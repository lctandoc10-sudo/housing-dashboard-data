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Current Inventory" sheetId="3" state="visible" r:id="rId5"/>
    <sheet name="Consumption Log" sheetId="4" state="visible" r:id="rId6"/>
    <sheet name="Deliveries" sheetId="5" state="visible" r:id="rId7"/>
    <sheet name="Stock Monitor" sheetId="6" state="visible" r:id="rId8"/>
    <sheet name="Production Plan" sheetId="7" state="visible" r:id="rId9"/>
    <sheet name="Forecast" sheetId="8" state="visible" r:id="rId10"/>
    <sheet name="Mix Design" sheetId="9" state="visible" r:id="rId11"/>
    <sheet name="Settings" sheetId="10" state="visible" r:id="rId12"/>
  </sheets>
  <definedNames>
    <definedName function="false" hidden="false" localSheetId="1" name="_xlnm.Print_Area" vbProcedure="false">Dashboard!$A$1:$O$154</definedName>
    <definedName function="false" hidden="false" name="AsOfDate" vbProcedure="false">Settings!$B$5</definedName>
    <definedName function="false" hidden="false" name="CI_Count" vbProcedure="false">'Current Inventory'!$E$6:$E$105</definedName>
    <definedName function="false" hidden="false" name="CI_Mat" vbProcedure="false">'Current Inventory'!$B$6:$B$105</definedName>
    <definedName function="false" hidden="false" name="CI_Site" vbProcedure="false">'Current Inventory'!$A$6:$A$105</definedName>
    <definedName function="false" hidden="false" name="Con_Date" vbProcedure="false">'Consumption Log'!$A$6:$A$2005</definedName>
    <definedName function="false" hidden="false" name="Con_Site" vbProcedure="false">'Consumption Log'!$B$6:$B$2005</definedName>
    <definedName function="false" hidden="false" name="Con_Use" vbProcedure="false">'Consumption Log'!$F$6:$J$2005</definedName>
    <definedName function="false" hidden="false" name="Con_Vol" vbProcedure="false">'Consumption Log'!$D$6:$D$2005</definedName>
    <definedName function="false" hidden="false" name="Del_Date" vbProcedure="false">Deliveries!$A$6:$A$1005</definedName>
    <definedName function="false" hidden="false" name="Del_Mat" vbProcedure="false">Deliveries!$C$6:$C$1005</definedName>
    <definedName function="false" hidden="false" name="Del_Qty" vbProcedure="false">Deliveries!$E$6:$E$1005</definedName>
    <definedName function="false" hidden="false" name="Del_Site" vbProcedure="false">Deliveries!$B$6:$B$1005</definedName>
    <definedName function="false" hidden="false" name="Del_Status" vbProcedure="false">Deliveries!$G$6:$G$1005</definedName>
    <definedName function="false" hidden="false" name="FCA_Per" vbProcedure="false">Forecast!$E$13:$J$32</definedName>
    <definedName function="false" hidden="false" name="FCA_Site" vbProcedure="false">Forecast!$A$13:$A$32</definedName>
    <definedName function="false" hidden="false" name="FC_Close" vbProcedure="false">Forecast!$AB$38:$AG$137</definedName>
    <definedName function="false" hidden="false" name="FC_In" vbProcedure="false">Forecast!$P$38:$U$137</definedName>
    <definedName function="false" hidden="false" name="FC_Mat" vbProcedure="false">Forecast!$B$38:$B$137</definedName>
    <definedName function="false" hidden="false" name="FC_Order" vbProcedure="false">Forecast!$V$38:$AA$137</definedName>
    <definedName function="false" hidden="false" name="FC_Site" vbProcedure="false">Forecast!$A$38:$A$137</definedName>
    <definedName function="false" hidden="false" name="FC_Use" vbProcedure="false">Forecast!$J$38:$O$137</definedName>
    <definedName function="false" hidden="false" name="Holidays" vbProcedure="false">Settings!$B$42:$B$61</definedName>
    <definedName function="false" hidden="false" name="Mat_Code" vbProcedure="false">Settings!$B$11:$B$15</definedName>
    <definedName function="false" hidden="false" name="Mat_Desc" vbProcedure="false">Settings!$D$11:$D$15</definedName>
    <definedName function="false" hidden="false" name="Mat_Lead" vbProcedure="false">Settings!$F$11:$F$15</definedName>
    <definedName function="false" hidden="false" name="Mat_Safety" vbProcedure="false">Settings!$G$11:$G$15</definedName>
    <definedName function="false" hidden="false" name="Mat_Short" vbProcedure="false">Settings!$C$11:$C$15</definedName>
    <definedName function="false" hidden="false" name="Mat_Unit" vbProcedure="false">Settings!$E$11:$E$15</definedName>
    <definedName function="false" hidden="false" name="Mix_Code" vbProcedure="false">'Mix Design'!$A$5:$A$24</definedName>
    <definedName function="false" hidden="false" name="Mix_Desc" vbProcedure="false">'Mix Design'!$B$5:$B$24</definedName>
    <definedName function="false" hidden="false" name="Mix_Eff" vbProcedure="false">'Mix Design'!$K$5:$O$24</definedName>
    <definedName function="false" hidden="false" name="PP_Daily" vbProcedure="false">'Production Plan'!$G$6:$K$85</definedName>
    <definedName function="false" hidden="false" name="PP_Site" vbProcedure="false">'Production Plan'!$A$6:$A$85</definedName>
    <definedName function="false" hidden="false" name="PP_Vol" vbProcedure="false">'Production Plan'!$D$6:$D$85</definedName>
    <definedName function="false" hidden="false" name="SelCrit" vbProcedure="false">Dashboard!$R$4</definedName>
    <definedName function="false" hidden="false" name="SiteChoice" vbProcedure="false">Settings!$B$18:$B$38</definedName>
    <definedName function="false" hidden="false" name="SiteList" vbProcedure="false">Settings!$B$19:$B$38</definedName>
    <definedName function="false" hidden="false" name="SM_Cap" vbProcedure="false">'Stock Monitor'!$F$6:$F$105</definedName>
    <definedName function="false" hidden="false" name="SM_CRn" vbProcedure="false">'Stock Monitor'!$AA$6:$AA$105</definedName>
    <definedName function="false" hidden="false" name="SM_Mat" vbProcedure="false">'Stock Monitor'!$B$6:$B$105</definedName>
    <definedName function="false" hidden="false" name="SM_OnOrder" vbProcedure="false">'Stock Monitor'!$N$6:$N$105</definedName>
    <definedName function="false" hidden="false" name="SM_Order" vbProcedure="false">'Stock Monitor'!$X$6:$X$105</definedName>
    <definedName function="false" hidden="false" name="SM_Rate" vbProcedure="false">'Stock Monitor'!$J$6:$J$105</definedName>
    <definedName function="false" hidden="false" name="SM_RBn" vbProcedure="false">'Stock Monitor'!$Z$6:$Z$105</definedName>
    <definedName function="false" hidden="false" name="SM_Site" vbProcedure="false">'Stock Monitor'!$A$6:$A$105</definedName>
    <definedName function="false" hidden="false" name="SM_SOn" vbProcedure="false">'Stock Monitor'!$AB$6:$AB$105</definedName>
    <definedName function="false" hidden="false" name="SM_Status" vbProcedure="false">'Stock Monitor'!$U$6:$U$105</definedName>
    <definedName function="false" hidden="false" name="SM_Stock" vbProcedure="false">'Stock Monitor'!$E$6:$E$105</definedName>
    <definedName function="false" hidden="false" name="WeekendMask" vbProcedure="false">Settings!$B$8</definedName>
    <definedName function="false" hidden="false" name="WorkDaysMonth" vbProcedure="false">Settings!$B$7</definedName>
    <definedName function="false" hidden="false" name="WorkDaysWeek" vbProcedure="false">Settings!$B$6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<sst xmlns="http://schemas.openxmlformats.org/spreadsheetml/2006/main" count="454" uniqueCount="277">
  <si>
    <t xml:space="preserve">Cement &amp; Aggregates Inventory Monitoring — Housing Projects</t>
  </si>
  <si>
    <t xml:space="preserve">Tracks cement, sand, gravel (3/4" and 3/8") and concrete admixture per housing site: current stock, consumption from the m3 of concrete produced (via mix design), new deliveries, critical-stock alerts, a daily-to-monthly consumption forecast and a visual dashboard with % of capacity and days remaining.</t>
  </si>
  <si>
    <t xml:space="preserve">HOW TO USE</t>
  </si>
  <si>
    <t xml:space="preserve">1. Settings — check the As-of Date (=TODAY() by default), working days per week/month, the materials (unit, supplier lead time, safety stock), the site list and (optional) non-working holidays.</t>
  </si>
  <si>
    <t xml:space="preserve">2. Mix Design — enter your approved mix design: quantity of each material per 1 m3 of concrete (cement in bags, aggregates in m3, admixture in litres), plus the allowance (waste) %.</t>
  </si>
  <si>
    <t xml:space="preserve">3. Current Inventory (1) — one row per site and material: count date, beginning balance (physical count) and maximum storage capacity.</t>
  </si>
  <si>
    <t xml:space="preserve">4. Consumption Log (2) — every day, record the concrete produced: date, site, mix code and m3. The cement, sand, gravel and admixture used are calculated from the mix design and deducted from stock.</t>
  </si>
  <si>
    <t xml:space="preserve">5. Deliveries (3) — record every delivery receipt as 'Received' (added to stock on its date). Also record purchase orders not yet delivered as 'Scheduled' with the expected date: they are not added to stock, but the monitor and the forecast count them as on order.</t>
  </si>
  <si>
    <t xml:space="preserve">6. Production Plan (5) — declare the planned m3 per working day for each site and mix. This drives the daily usage, days remaining, critical dates and the monthly forecast.</t>
  </si>
  <si>
    <t xml:space="preserve">7. Stock Monitor (4), Forecast (5) and Dashboard (6) are automatic. On the Dashboard, pick a site (or All Sites) in the yellow cell.</t>
  </si>
  <si>
    <t xml:space="preserve">Dashboard silo, bins &amp; tank: the cement silo, the 3 aggregate bins and the admixture tank fill up to their % of max storage capacity (bands of 5 %). '– – critical level – –' marks the stock needed for the supplier lead time and '– – reorder level – –' the stock for lead time + safety stock; the badge under each vessel is its status.</t>
  </si>
  <si>
    <t xml:space="preserve">COLOUR LEGEND</t>
  </si>
  <si>
    <t xml:space="preserve">Yellow cells = type your data here</t>
  </si>
  <si>
    <t xml:space="preserve">Grey cells = calculated automatically — do not type over these</t>
  </si>
  <si>
    <t xml:space="preserve">Light grey / italic row under each header = example showing the format — it is not counted</t>
  </si>
  <si>
    <t xml:space="preserve">Check columns show ⚠ when something needs attention (missing date, unknown code, duplicate row, scheduled delivery date already passed, ...).</t>
  </si>
  <si>
    <t xml:space="preserve">HOW CURRENT STOCK IS CALCULATED</t>
  </si>
  <si>
    <t xml:space="preserve">Current Stock = Beginning Balance (physical count) + Deliveries Received − Consumption, counting transactions dated from the Count Date up to and including the As-of Date.</t>
  </si>
  <si>
    <t xml:space="preserve">Consumption = m3 produced × mix design quantity per m3 × (1 + allowance %).</t>
  </si>
  <si>
    <t xml:space="preserve">The physical count is taken at the START of the count date (before that day's deliveries and production).</t>
  </si>
  <si>
    <t xml:space="preserve">Recount regularly (weekly or monthly): type the new count date and balance in Current Inventory. Older log rows then stop affecting the balance — there is no need to delete them.</t>
  </si>
  <si>
    <t xml:space="preserve">CRITICAL-STOCK MONITORING (Stock Monitor and Dashboard)</t>
  </si>
  <si>
    <t xml:space="preserve">Daily usage = declared m3/day (Production Plan) × mix design. If no plan is declared for a site, the actual average of the last 7 days (per working day) is used.</t>
  </si>
  <si>
    <t xml:space="preserve">Days Remaining = stock on hand ÷ daily usage, in working days. Stock-out On = the working day the stock on hand runs out if nothing more arrives (non-working weekdays and holidays in Settings are skipped).</t>
  </si>
  <si>
    <t xml:space="preserve">Planning Cover = days of usage covered by stock on hand plus deliveries already on order (Scheduled, or Received with a future date) — counted only when a delivery arrives on or before the stock-out day.</t>
  </si>
  <si>
    <t xml:space="preserve">OK — planning cover is above lead time + safety stock.</t>
  </si>
  <si>
    <t xml:space="preserve">REORDER — planning cover ≤ lead time + safety stock: place an order now.</t>
  </si>
  <si>
    <t xml:space="preserve">CRITICAL — planning cover ≤ supplier lead time: stock will run out before a normal delivery can arrive (or the next delivery is due after the stock-out). Expedite.</t>
  </si>
  <si>
    <t xml:space="preserve">OUT OF STOCK — stock on hand is zero or negative (negative also means a delivery or a recount is missing).</t>
  </si>
  <si>
    <t xml:space="preserve">Reorder By = last working day to place the order before the planning cover falls to lead time + safety stock. Critical On = the working day the cover falls to the lead time. 'NOW' = already reached.</t>
  </si>
  <si>
    <t xml:space="preserve">Suggested Order Qty = quantity that refills storage to its maximum capacity when the order arrives (after the usage during the lead time and counting what is already on order).</t>
  </si>
  <si>
    <t xml:space="preserve">Dashboard 'All Sites' view: stock, capacity and usage are totals; dates are the earliest site; the status is the worst site. The All-Sites table shows each site and material separately.</t>
  </si>
  <si>
    <t xml:space="preserve">FORECAST (Production Plan → Forecast)</t>
  </si>
  <si>
    <t xml:space="preserve">Daily usage × working days per week = weekly; × working days per month = generic monthly requirement.</t>
  </si>
  <si>
    <t xml:space="preserve">6 forecast periods: period 1 runs from the day after the As-of Date to month-end, then 5 calendar months. Each period uses its actual number of working days.</t>
  </si>
  <si>
    <t xml:space="preserve">Still to Order = what must be delivered in each period, beyond the scheduled deliveries, so the period closes at the reorder level (lead time + safety stock of usage). It is the monthly procurement forecast.</t>
  </si>
  <si>
    <t xml:space="preserve">Runs Out (no new orders) = first period in which stock on hand plus scheduled deliveries is used up.</t>
  </si>
  <si>
    <t xml:space="preserve">ASSUMPTIONS (change them in Settings / Mix Design)</t>
  </si>
  <si>
    <t xml:space="preserve">Mix design defaults are typical Philippine volumetric proportions per m3 with 40 kg cement bags, 0.50 m3 sand and 1.00 m3 gravel: Class AA (1:1.5:3) = 12 bags, Class A (1:2:4) = 9 bags, Class C (1:3:6) = 6 bags (as tabulated in common estimating references, e.g. M. Fajardo, Simplified Construction Estimate). Replace them with your approved, lab-tested mix design.</t>
  </si>
  <si>
    <t xml:space="preserve">Admixture default dosage: 4.0 L/m3 for the precast mixes and 2.5 L/m3 for footings (typical superplasticizer / water-reducer range); none for lean concrete. Use the supplier's recommended dosage from your trial mixes.</t>
  </si>
  <si>
    <t xml:space="preserve">Allowance 3% (precast) / 5% (cast in place), lead time 3 working days for cement, 2 for aggregates and 5 for admixture, safety stock 2 working days (3 for admixture), 6 working days per week (Sunday off) and 26 per month are starting assumptions. No holidays are entered by default, which is the conservative choice.</t>
  </si>
  <si>
    <t xml:space="preserve">CAPACITY</t>
  </si>
  <si>
    <t xml:space="preserve">Room for 100 site/material rows, 2,000 consumption rows, 1,000 deliveries, 80 plan rows, 20 mix designs and 20 sites. To extend a log, insert rows ABOVE its last row (the named ranges then grow) and copy the grey formula cells down.</t>
  </si>
  <si>
    <t xml:space="preserve">6 · Inventory Dashboard — Cement, Aggregates &amp; Admixture</t>
  </si>
  <si>
    <t xml:space="preserve">CHART DATA &amp; HELPERS (automatic — do not edit)</t>
  </si>
  <si>
    <t xml:space="preserve">Site / Project:</t>
  </si>
  <si>
    <t xml:space="preserve">All Sites</t>
  </si>
  <si>
    <t xml:space="preserve">Worst item status:</t>
  </si>
  <si>
    <t xml:space="preserve">Critical / out:</t>
  </si>
  <si>
    <t xml:space="preserve">To reorder:</t>
  </si>
  <si>
    <t xml:space="preserve">Site criteria</t>
  </si>
  <si>
    <t xml:space="preserve">Planned Production (concrete)</t>
  </si>
  <si>
    <t xml:space="preserve">Material</t>
  </si>
  <si>
    <t xml:space="preserve">Unit</t>
  </si>
  <si>
    <t xml:space="preserve">Current
Stock</t>
  </si>
  <si>
    <t xml:space="preserve">Max
Capacity</t>
  </si>
  <si>
    <t xml:space="preserve">% of
Capacity</t>
  </si>
  <si>
    <t xml:space="preserve">Use / Day</t>
  </si>
  <si>
    <t xml:space="preserve">Days
Remaining</t>
  </si>
  <si>
    <t xml:space="preserve">On Order</t>
  </si>
  <si>
    <t xml:space="preserve">Reorder By</t>
  </si>
  <si>
    <t xml:space="preserve">Critical On</t>
  </si>
  <si>
    <t xml:space="preserve">Stock-out On</t>
  </si>
  <si>
    <t xml:space="preserve">Status</t>
  </si>
  <si>
    <t xml:space="preserve">Sites Critical
/ Out</t>
  </si>
  <si>
    <t xml:space="preserve">Suggested
Order Qty</t>
  </si>
  <si>
    <t xml:space="preserve">Code</t>
  </si>
  <si>
    <t xml:space="preserve">Lead (days)</t>
  </si>
  <si>
    <t xml:space="preserve">Safety (days)</t>
  </si>
  <si>
    <t xml:space="preserve">Reorder level
(lead + safety)</t>
  </si>
  <si>
    <t xml:space="preserve">Critical level
(lead time)</t>
  </si>
  <si>
    <t xml:space="preserve">Days remaining
(on hand)</t>
  </si>
  <si>
    <t xml:space="preserve">% of capacity</t>
  </si>
  <si>
    <t xml:space="preserve">Earliest reorder</t>
  </si>
  <si>
    <t xml:space="preserve">Earliest critical</t>
  </si>
  <si>
    <t xml:space="preserve">Earliest stock-out</t>
  </si>
  <si>
    <t xml:space="preserve">Silo/bin fill
(of 20 bands)</t>
  </si>
  <si>
    <t xml:space="preserve">Critical mark
(band)</t>
  </si>
  <si>
    <t xml:space="preserve">Reorder mark
(band)</t>
  </si>
  <si>
    <t xml:space="preserve">Days Remaining = stock on hand ÷ use per day (working days). Status, Reorder By and Critical On also count scheduled deliveries that arrive before the stock-out. All Sites: totals, the earliest date and the worst status across sites.</t>
  </si>
  <si>
    <t xml:space="preserve">AGGREGATE BINS</t>
  </si>
  <si>
    <t xml:space="preserve">100% —</t>
  </si>
  <si>
    <t xml:space="preserve">75% —</t>
  </si>
  <si>
    <t xml:space="preserve">50% —</t>
  </si>
  <si>
    <t xml:space="preserve">25% —</t>
  </si>
  <si>
    <t xml:space="preserve">0% —</t>
  </si>
  <si>
    <t xml:space="preserve">How to read: coloured fill = stock on hand ÷ max storage capacity (5 % bands)   ·   – – critical level – – = usage during the supplier lead time   ·   – – reorder level – – = lead time + safety stock   ·   badge = status (counts scheduled deliveries)   ·   All Sites = combined stock and capacity</t>
  </si>
  <si>
    <t xml:space="preserve">ALL SITES — DAYS REMAINING (working days, colour = status) AND % OF CAPACITY</t>
  </si>
  <si>
    <t xml:space="preserve">Site / Project</t>
  </si>
  <si>
    <t xml:space="preserve">Worst Status</t>
  </si>
  <si>
    <t xml:space="preserve">Lowest
Days Left</t>
  </si>
  <si>
    <t xml:space="preserve">Stock-out ≈</t>
  </si>
  <si>
    <t xml:space="preserve">DAYS REMAINING vs REORDER &amp; CRITICAL LEVELS   ·   ACTUAL CONCRETE PRODUCTION, LAST 14 DAYS (selected site)</t>
  </si>
  <si>
    <t xml:space="preserve">Date</t>
  </si>
  <si>
    <t xml:space="preserve">Actual m3</t>
  </si>
  <si>
    <t xml:space="preserve">Planned m3/day</t>
  </si>
  <si>
    <t xml:space="preserve">Label</t>
  </si>
  <si>
    <t xml:space="preserve">6-MONTH FORECAST — selected site (declared m3/day × mix design × working days per month)</t>
  </si>
  <si>
    <t xml:space="preserve">Forecast consumption</t>
  </si>
  <si>
    <t xml:space="preserve">6-Period
Total</t>
  </si>
  <si>
    <t xml:space="preserve">Concrete (m3)</t>
  </si>
  <si>
    <t xml:space="preserve">m3</t>
  </si>
  <si>
    <t xml:space="preserve">Scheduled deliveries</t>
  </si>
  <si>
    <t xml:space="preserve">Still to order (keeps the reorder level)</t>
  </si>
  <si>
    <t xml:space="preserve">Still to order = forecast use − scheduled deliveries − stock above the reorder level, per period, so that each period closes at the reorder level (lead time + safety stock of usage). Details per site: Forecast sheet.</t>
  </si>
  <si>
    <t xml:space="preserve">FORECAST VISUALS — selected site</t>
  </si>
  <si>
    <t xml:space="preserve">1 · Current Inventory — Stock on Hand per Site</t>
  </si>
  <si>
    <t xml:space="preserve">One row per site and material: physical count (beginning balance), count date and storage capacity. Deliveries and consumption from the count date up to the As-of Date are applied automatically.</t>
  </si>
  <si>
    <t xml:space="preserve">Material Code</t>
  </si>
  <si>
    <t xml:space="preserve">Count Date</t>
  </si>
  <si>
    <t xml:space="preserve">Beginning Balance
(physical count)</t>
  </si>
  <si>
    <t xml:space="preserve">Max Storage
Capacity</t>
  </si>
  <si>
    <t xml:space="preserve">Deliveries
Received (+)</t>
  </si>
  <si>
    <t xml:space="preserve">Consumption
(−)</t>
  </si>
  <si>
    <t xml:space="preserve">Current Stock</t>
  </si>
  <si>
    <t xml:space="preserve">Check</t>
  </si>
  <si>
    <t xml:space="preserve">Remarks</t>
  </si>
  <si>
    <t xml:space="preserve">Example Site</t>
  </si>
  <si>
    <t xml:space="preserve">CEM</t>
  </si>
  <si>
    <t xml:space="preserve">Cement</t>
  </si>
  <si>
    <t xml:space="preserve">bags</t>
  </si>
  <si>
    <t xml:space="preserve">(auto)</t>
  </si>
  <si>
    <t xml:space="preserve">Example row — shows the format, not counted</t>
  </si>
  <si>
    <t xml:space="preserve">Batulao Parkhomes</t>
  </si>
  <si>
    <t xml:space="preserve">SAND</t>
  </si>
  <si>
    <t xml:space="preserve">G34</t>
  </si>
  <si>
    <t xml:space="preserve">G38</t>
  </si>
  <si>
    <t xml:space="preserve">ADM</t>
  </si>
  <si>
    <t xml:space="preserve">Calauan (Alora+Amani)</t>
  </si>
  <si>
    <t xml:space="preserve">Gentri</t>
  </si>
  <si>
    <t xml:space="preserve">Naic</t>
  </si>
  <si>
    <t xml:space="preserve">The Cove Lipa</t>
  </si>
  <si>
    <t xml:space="preserve">Sights Bay</t>
  </si>
  <si>
    <t xml:space="preserve">Tayabas</t>
  </si>
  <si>
    <t xml:space="preserve">Batulao Impression</t>
  </si>
  <si>
    <t xml:space="preserve">2 · Consumption Log — Concrete Produced (m3) by Mix Design</t>
  </si>
  <si>
    <t xml:space="preserve">Declare the m3 of concrete produced per day (or per pour/shift). Material used = m3 × mix design quantity × (1 + allowance), and is deducted from stock automatically.</t>
  </si>
  <si>
    <t xml:space="preserve">Mix Code</t>
  </si>
  <si>
    <t xml:space="preserve">Concrete
Produced (m3)</t>
  </si>
  <si>
    <t xml:space="preserve">Mix Description</t>
  </si>
  <si>
    <t xml:space="preserve">Element / Remarks</t>
  </si>
  <si>
    <t xml:space="preserve">MD-01</t>
  </si>
  <si>
    <t xml:space="preserve">Precast Wall Panel</t>
  </si>
  <si>
    <t xml:space="preserve">Example row — wall panels, casting beds 1-3</t>
  </si>
  <si>
    <t xml:space="preserve">3 · Deliveries — New Stock Added to Current Inventory</t>
  </si>
  <si>
    <t xml:space="preserve">One row per delivery receipt. 'Received' is added to stock on its date. 'Scheduled' (ordered, not yet arrived) is not added to stock but is used by the Forecast — change it to Received when it arrives.</t>
  </si>
  <si>
    <t xml:space="preserve">Quantity</t>
  </si>
  <si>
    <t xml:space="preserve">Supplier</t>
  </si>
  <si>
    <t xml:space="preserve">DR / Reference No.</t>
  </si>
  <si>
    <t xml:space="preserve">Received</t>
  </si>
  <si>
    <t xml:space="preserve">Cement Supplier A</t>
  </si>
  <si>
    <t xml:space="preserve">DR-000123</t>
  </si>
  <si>
    <t xml:space="preserve">Example row — 1 truck (20 t)</t>
  </si>
  <si>
    <t xml:space="preserve">4 · Stock Monitor — Days Remaining &amp; Critical Alerts</t>
  </si>
  <si>
    <t xml:space="preserve">Automatic — do not type here. Daily usage = declared m3/day (Production Plan) × mix design; if no plan is declared, the actual average of the last 7 days. Days are working days (Settings).</t>
  </si>
  <si>
    <t xml:space="preserve">OK = enough cover   ·   REORDER = cover ≤ lead time + safety stock → order now   ·   CRITICAL = cover ≤ supplier lead time → stock-out before a normal delivery, expedite   ·   OUT OF STOCK = zero stock.   Cover counts scheduled deliveries only if they arrive before the stock-out.</t>
  </si>
  <si>
    <t xml:space="preserve">ITEM</t>
  </si>
  <si>
    <t xml:space="preserve">STOCK</t>
  </si>
  <si>
    <t xml:space="preserve">USAGE RATE (per working day)</t>
  </si>
  <si>
    <t xml:space="preserve">ON HAND ONLY</t>
  </si>
  <si>
    <t xml:space="preserve">SCHEDULED DELIVERIES</t>
  </si>
  <si>
    <t xml:space="preserve">LEVELS</t>
  </si>
  <si>
    <t xml:space="preserve">STATUS &amp; ACTION</t>
  </si>
  <si>
    <t xml:space="preserve">FOR DASHBOARD (auto)</t>
  </si>
  <si>
    <t xml:space="preserve">Max Capacity</t>
  </si>
  <si>
    <t xml:space="preserve">% of Capacity</t>
  </si>
  <si>
    <t xml:space="preserve">Planned Use
/ Day</t>
  </si>
  <si>
    <t xml:space="preserve">Actual Avg Use
/ Day (7 days)</t>
  </si>
  <si>
    <t xml:space="preserve">Daily Rate
Used</t>
  </si>
  <si>
    <t xml:space="preserve">Basis</t>
  </si>
  <si>
    <t xml:space="preserve">Stock-out On
(no delivery)</t>
  </si>
  <si>
    <t xml:space="preserve">On Order
(qty)</t>
  </si>
  <si>
    <t xml:space="preserve">Next
Delivery</t>
  </si>
  <si>
    <t xml:space="preserve">Due Before
Stock-out (qty)</t>
  </si>
  <si>
    <t xml:space="preserve">Planning
Cover (days)</t>
  </si>
  <si>
    <t xml:space="preserve">Lead Time
(days)</t>
  </si>
  <si>
    <t xml:space="preserve">Safety Stock
(days)</t>
  </si>
  <si>
    <t xml:space="preserve">Reorder Point
(qty)</t>
  </si>
  <si>
    <t xml:space="preserve">Alert / Action</t>
  </si>
  <si>
    <t xml:space="preserve">Reorder By
(number)</t>
  </si>
  <si>
    <t xml:space="preserve">Critical On
(number)</t>
  </si>
  <si>
    <t xml:space="preserve">Stock-out
(number)</t>
  </si>
  <si>
    <t xml:space="preserve">5 · Production Plan — Declared m3 per Day (forecast basis)</t>
  </si>
  <si>
    <t xml:space="preserve">One row per site and mix design. Enter the planned concrete volume per working day; weekly and monthly volumes and material requirements are calculated.</t>
  </si>
  <si>
    <t xml:space="preserve">DECLARED PRODUCTION</t>
  </si>
  <si>
    <t xml:space="preserve">DAILY MATERIAL NEED (incl. allowance)</t>
  </si>
  <si>
    <t xml:space="preserve">MONTHLY MATERIAL NEED</t>
  </si>
  <si>
    <t xml:space="preserve">Planned
m3 / Day</t>
  </si>
  <si>
    <t xml:space="preserve">m3 / Week</t>
  </si>
  <si>
    <t xml:space="preserve">m3 / Month</t>
  </si>
  <si>
    <t xml:space="preserve">Example row — panels, 2 casting beds</t>
  </si>
  <si>
    <t xml:space="preserve">5 · Forecast — Consumption (Daily → Weekly → Monthly) &amp; 6-Month Stock Projection</t>
  </si>
  <si>
    <t xml:space="preserve">Automatic. Usage = declared m3/day (Production Plan) × mix design × working days. Period 1 runs from the day after the As-of Date to month-end; projected stock adds the deliveries dated in each period.</t>
  </si>
  <si>
    <t xml:space="preserve">FORECAST PERIODS</t>
  </si>
  <si>
    <t xml:space="preserve">Period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</si>
  <si>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</si>
  <si>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</si>
  <si>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</si>
  <si>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</si>
  <si>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</si>
  <si>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</si>
  <si>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Start date</t>
  </si>
  <si>
    <t xml:space="preserve">End date</t>
  </si>
  <si>
    <t xml:space="preserve">Working days</t>
  </si>
  <si>
    <t xml:space="preserve">← actual working days in each period (non-working weekdays and holidays from Settings are skipped)</t>
  </si>
  <si>
    <t xml:space="preserve">A. CONCRETE PRODUCTION FORECAST (m3) — from the declared m3/day in the Production Plan</t>
  </si>
  <si>
    <t xml:space="preserve">m3 / Month
(full month)</t>
  </si>
  <si>
    <t xml:space="preserve">Total next
6 periods</t>
  </si>
  <si>
    <t xml:space="preserve">TOTAL — ALL SITES</t>
  </si>
  <si>
    <t xml:space="preserve">B. MATERIAL FORECAST &amp; PROCUREMENT PLAN (per site and material)</t>
  </si>
  <si>
    <t xml:space="preserve">USAGE RATE, STOCK &amp; TARGET</t>
  </si>
  <si>
    <t xml:space="preserve">FORECAST CONSUMPTION per period</t>
  </si>
  <si>
    <t xml:space="preserve">SCHEDULED DELIVERIES per period</t>
  </si>
  <si>
    <t xml:space="preserve">STILL TO ORDER per period (keeps stock at the reorder level)</t>
  </si>
  <si>
    <t xml:space="preserve">PROJECTED CLOSING STOCK (with those orders)</t>
  </si>
  <si>
    <t xml:space="preserve">OUTLOOK</t>
  </si>
  <si>
    <t xml:space="preserve">Use / Week</t>
  </si>
  <si>
    <t xml:space="preserve">Use / Month
(generic)</t>
  </si>
  <si>
    <t xml:space="preserve">Target Stock
(reorder level)</t>
  </si>
  <si>
    <t xml:space="preserve">Runs Out
(no new orders)</t>
  </si>
  <si>
    <t xml:space="preserve">6-Period
Requirement</t>
  </si>
  <si>
    <t xml:space="preserve">Total Still
to Order</t>
  </si>
  <si>
    <t xml:space="preserve">Mix Design — Material Quantity per 1 m3 of Concrete</t>
  </si>
  <si>
    <t xml:space="preserve">Fill in the yellow cells with your approved mix design (per 1 m3, in each material's unit: cement in bags, aggregates in m3, admixture in litres). The allowance % covers waste and is added to every m3 produced.</t>
  </si>
  <si>
    <t xml:space="preserve">QUANTITY PER 1 m3 OF CONCRETE (input)</t>
  </si>
  <si>
    <t xml:space="preserve">USED IN CALCULATIONS — incl. allowance (auto)</t>
  </si>
  <si>
    <t xml:space="preserve">Description / Element</t>
  </si>
  <si>
    <t xml:space="preserve">Class / Proportion</t>
  </si>
  <si>
    <t xml:space="preserve">Allowance
(waste) %</t>
  </si>
  <si>
    <t xml:space="preserve">Notes / Source</t>
  </si>
  <si>
    <t xml:space="preserve">Class AA (1 : 1.5 : 3)</t>
  </si>
  <si>
    <t xml:space="preserve">Typical volumetric proportion per m3 using 40 kg bags (Philippine practice); admixture = typical superplasticizer / water-reducer dosage. Replace with your approved, lab-tested mix design and the supplier's recommended dosage.</t>
  </si>
  <si>
    <t xml:space="preserve">MD-02</t>
  </si>
  <si>
    <t xml:space="preserve">Precast Slab / Beam</t>
  </si>
  <si>
    <t xml:space="preserve">MD-03</t>
  </si>
  <si>
    <t xml:space="preserve">Footing / Ground Slab</t>
  </si>
  <si>
    <t xml:space="preserve">Class A (1 : 2 : 4)</t>
  </si>
  <si>
    <t xml:space="preserve">MD-04</t>
  </si>
  <si>
    <t xml:space="preserve">Lean Concrete / Blinding</t>
  </si>
  <si>
    <t xml:space="preserve">Class C (1 : 3 : 6)</t>
  </si>
  <si>
    <t xml:space="preserve">Settings — Report Date, Materials &amp; Sites</t>
  </si>
  <si>
    <t xml:space="preserve">Fill in the yellow cells. Material codes (grey) are fixed: Mix Design and log columns follow this order.</t>
  </si>
  <si>
    <t xml:space="preserve">GENERAL</t>
  </si>
  <si>
    <t xml:space="preserve">As-of Date (report date)</t>
  </si>
  <si>
    <t xml:space="preserve">Stock is counted up to and including this date. Keep =TODAY() for live monitoring, or type a date to review a past day.</t>
  </si>
  <si>
    <t xml:space="preserve">Working days per week</t>
  </si>
  <si>
    <t xml:space="preserve">Converts working days into calendar dates (6 = Monday to Saturday).</t>
  </si>
  <si>
    <t xml:space="preserve">Working days per month</t>
  </si>
  <si>
    <t xml:space="preserve">Used for the generic monthly requirement (daily use × this).</t>
  </si>
  <si>
    <t xml:space="preserve">Non-working weekdays (auto)</t>
  </si>
  <si>
    <t xml:space="preserve">Monday→Sunday, 1 = no work. 6 days/week = Sunday off; 5 = Saturday and Sunday off. Used to skip non-working days in dates and forecasts.</t>
  </si>
  <si>
    <t xml:space="preserve">MATERIALS</t>
  </si>
  <si>
    <t xml:space="preserve">#</t>
  </si>
  <si>
    <t xml:space="preserve">Code (fixed)</t>
  </si>
  <si>
    <t xml:space="preserve">Short Name</t>
  </si>
  <si>
    <t xml:space="preserve">Description</t>
  </si>
  <si>
    <t xml:space="preserve">Lead Time
(working days)</t>
  </si>
  <si>
    <t xml:space="preserve">Safety Stock
(working days)</t>
  </si>
  <si>
    <t xml:space="preserve">Notes</t>
  </si>
  <si>
    <t xml:space="preserve">Portland Cement Type 1 (40 kg bag)</t>
  </si>
  <si>
    <t xml:space="preserve">1 bag = 40 kg. Lead time = order to delivery on site. Lead time and safety stock are assumptions: confirm with supplier.</t>
  </si>
  <si>
    <t xml:space="preserve">Sand</t>
  </si>
  <si>
    <t xml:space="preserve">Fine Aggregate - Washed Sand</t>
  </si>
  <si>
    <t xml:space="preserve">Loose volume as delivered (m3).</t>
  </si>
  <si>
    <t xml:space="preserve">Gravel 3/4"</t>
  </si>
  <si>
    <t xml:space="preserve">Coarse Aggregate - 3/4" Crushed Gravel</t>
  </si>
  <si>
    <t xml:space="preserve">Gravel 3/8"</t>
  </si>
  <si>
    <t xml:space="preserve">Coarse Aggregate - 3/8" Crushed Gravel</t>
  </si>
  <si>
    <t xml:space="preserve">Admixture</t>
  </si>
  <si>
    <t xml:space="preserve">Concrete Admixture - Superplasticizer / Water Reducer</t>
  </si>
  <si>
    <t xml:space="preserve">L</t>
  </si>
  <si>
    <t xml:space="preserve">Liquid, in litres. Delivered in 200 L drums or 1,000 L IBC totes. Lead time and safety stock are assumptions: confirm with supplier.</t>
  </si>
  <si>
    <t xml:space="preserve">SITES / PROJECTS</t>
  </si>
  <si>
    <t xml:space="preserve">Combined view on the Dashboard — do not change.</t>
  </si>
  <si>
    <t xml:space="preserve">NON-WORKING HOLIDAYS (optional)</t>
  </si>
  <si>
    <t xml:space="preserve">Holiday / Reason</t>
  </si>
  <si>
    <t xml:space="preserve">Days with no production. They are skipped in stock-out / reorder dates and forecast working days. Left empty = conservative (assumes work continues).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</si>
</sst>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=1]0&quot; item&quot;;0&quot; items&quot;"/>
    <numFmt numFmtId="166" formatCode="0.0&quot; days&quot;"/>
    <numFmt numFmtId="167" formatCode="#,##0.0&quot; m3/day&quot;"/>
    <numFmt numFmtId="168" formatCode="#,##0.0;[RED]\-#,##0.0;0.0"/>
    <numFmt numFmtId="169" formatCode="0%"/>
    <numFmt numFmtId="170" formatCode="0.0"/>
    <numFmt numFmtId="171" formatCode="#,##0.0;[RED]\-#,##0.0;\–"/>
    <numFmt numFmtId="172" formatCode="dd\-mmm\-yyyy"/>
    <numFmt numFmtId="173" formatCode="0"/>
    <numFmt numFmtId="174" formatCode="#,##0;[RED]\-#,##0;\–"/>
    <numFmt numFmtId="175" formatCode="[&gt;=1000000000]\–;0"/>
    <numFmt numFmtId="176" formatCode="#,##0"/>
    <numFmt numFmtId="177" formatCode="0.00"/>
    <numFmt numFmtId="178" formatCode="0.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253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C2530"/>
      <name val="Arial"/>
      <family val="0"/>
      <charset val="1"/>
    </font>
    <font>
      <i val="true"/>
      <sz val="10"/>
      <color rgb="FF8A9096"/>
      <name val="Arial"/>
      <family val="0"/>
      <charset val="1"/>
    </font>
    <font>
      <b val="true"/>
      <sz val="16"/>
      <color rgb="FF1C2530"/>
      <name val="Arial"/>
      <family val="0"/>
      <charset val="1"/>
    </font>
    <font>
      <sz val="10"/>
      <color rgb="FF77807A"/>
      <name val="Arial"/>
      <family val="0"/>
      <charset val="1"/>
    </font>
    <font>
      <b val="true"/>
      <sz val="10"/>
      <color rgb="FF77807A"/>
      <name val="Arial"/>
      <family val="0"/>
      <charset val="1"/>
    </font>
    <font>
      <b val="true"/>
      <sz val="10"/>
      <color rgb="FF1C253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7780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C2530"/>
      <name val="Arial"/>
      <family val="0"/>
      <charset val="1"/>
    </font>
    <font>
      <sz val="8.5"/>
      <color rgb="FF3A4654"/>
      <name val="Arial"/>
      <family val="0"/>
      <charset val="1"/>
    </font>
    <font>
      <b val="true"/>
      <sz val="9"/>
      <color rgb="FF77807A"/>
      <name val="Arial"/>
      <family val="0"/>
      <charset val="1"/>
    </font>
    <font>
      <sz val="8"/>
      <color rgb="FF77807A"/>
      <name val="Arial"/>
      <family val="0"/>
      <charset val="1"/>
    </font>
    <font>
      <b val="true"/>
      <sz val="8"/>
      <color rgb="FF1C2530"/>
      <name val="Arial"/>
      <family val="0"/>
      <charset val="1"/>
    </font>
    <font>
      <b val="true"/>
      <sz val="9"/>
      <color rgb="FF1C2530"/>
      <name val="Arial"/>
      <family val="0"/>
      <charset val="1"/>
    </font>
    <font>
      <b val="true"/>
      <sz val="12"/>
      <color rgb="FF1C2530"/>
      <name val="Arial"/>
      <family val="0"/>
      <charset val="1"/>
    </font>
    <font>
      <b val="true"/>
      <sz val="9"/>
      <color rgb="FF3A4654"/>
      <name val="Arial"/>
      <family val="0"/>
      <charset val="1"/>
    </font>
    <font>
      <sz val="8"/>
      <color rgb="FF3A465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C253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6D6"/>
        <bgColor rgb="FFF2F0EA"/>
      </patternFill>
    </fill>
    <fill>
      <patternFill patternType="solid">
        <fgColor rgb="FFF2F0EA"/>
        <bgColor rgb="FFECECEA"/>
      </patternFill>
    </fill>
    <fill>
      <patternFill patternType="solid">
        <fgColor rgb="FFF7F7F5"/>
        <bgColor rgb="FFF2F0EA"/>
      </patternFill>
    </fill>
    <fill>
      <patternFill patternType="solid">
        <fgColor rgb="FFECECEA"/>
        <bgColor rgb="FFF2F0EA"/>
      </patternFill>
    </fill>
    <fill>
      <patternFill patternType="solid">
        <fgColor rgb="FF1C2530"/>
        <bgColor rgb="FF1A1A1A"/>
      </patternFill>
    </fill>
    <fill>
      <patternFill patternType="solid">
        <fgColor rgb="FFFFFFFF"/>
        <bgColor rgb="FFF7F7F5"/>
      </patternFill>
    </fill>
    <fill>
      <patternFill patternType="solid">
        <fgColor rgb="FFDDE3EA"/>
        <bgColor rgb="FFE3E3E3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/>
      <diagonal/>
    </border>
    <border diagonalUp="false" diagonalDown="false">
      <left style="thin">
        <color rgb="FFD5D8DC"/>
      </left>
      <right style="thin">
        <color rgb="FFD5D8DC"/>
      </right>
      <top/>
      <bottom/>
      <diagonal/>
    </border>
    <border diagonalUp="false" diagonalDown="false"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 diagonalUp="true" diagonalDown="false">
      <left/>
      <right/>
      <top/>
      <bottom/>
      <diagonal style="medium">
        <color rgb="FF3A4654"/>
      </diagonal>
    </border>
    <border diagonalUp="false" diagonalDown="true">
      <left/>
      <right/>
      <top/>
      <bottom/>
      <diagonal style="medium">
        <color rgb="FF3A4654"/>
      </diagonal>
    </border>
    <border diagonalUp="false" diagonalDown="false">
      <left/>
      <right style="thin">
        <color rgb="FF3A4654"/>
      </right>
      <top/>
      <bottom/>
      <diagonal/>
    </border>
    <border diagonalUp="false" diagonalDown="false">
      <left style="medium">
        <color rgb="FF3A4654"/>
      </left>
      <right style="medium">
        <color rgb="FF3A4654"/>
      </right>
      <top/>
      <bottom/>
      <diagonal/>
    </border>
    <border diagonalUp="false" diagonalDown="false">
      <left style="medium">
        <color rgb="FF3A4654"/>
      </left>
      <right style="medium">
        <color rgb="FF3A4654"/>
      </right>
      <top style="medium">
        <color rgb="FF3A4654"/>
      </top>
      <bottom/>
      <diagonal/>
    </border>
    <border diagonalUp="false" diagonalDown="false">
      <left style="medium">
        <color rgb="FF3A4654"/>
      </left>
      <right style="medium">
        <color rgb="FF3A4654"/>
      </right>
      <top/>
      <bottom style="medium">
        <color rgb="FF3A4654"/>
      </bottom>
      <diagonal/>
    </border>
    <border diagonalUp="false" diagonalDown="true">
      <left style="medium">
        <color rgb="FF3A4654"/>
      </left>
      <right/>
      <top/>
      <bottom/>
      <diagonal style="medium">
        <color rgb="FF3A4654"/>
      </diagonal>
    </border>
    <border diagonalUp="true" diagonalDown="false">
      <left/>
      <right style="medium">
        <color rgb="FF3A4654"/>
      </right>
      <top/>
      <bottom/>
      <diagonal style="medium">
        <color rgb="FF3A4654"/>
      </diagonal>
    </border>
    <border diagonalUp="false" diagonalDown="false">
      <left style="medium">
        <color rgb="FF3A4654"/>
      </left>
      <right style="thin">
        <color rgb="FF3A4654"/>
      </right>
      <top/>
      <bottom/>
      <diagonal/>
    </border>
    <border diagonalUp="false" diagonalDown="false">
      <left/>
      <right style="medium">
        <color rgb="FF3A4654"/>
      </right>
      <top/>
      <bottom/>
      <diagonal/>
    </border>
    <border diagonalUp="false" diagonalDown="false">
      <left/>
      <right/>
      <top/>
      <bottom style="thin">
        <color rgb="FF9AA0A6"/>
      </bottom>
      <diagonal/>
    </border>
    <border diagonalUp="false" diagonalDown="false">
      <left style="medium">
        <color rgb="FF3A4654"/>
      </left>
      <right/>
      <top/>
      <bottom style="thin">
        <color rgb="FF9AA0A6"/>
      </bottom>
      <diagonal/>
    </border>
    <border diagonalUp="false" diagonalDown="false">
      <left/>
      <right style="medium">
        <color rgb="FF3A4654"/>
      </right>
      <top/>
      <bottom style="thin">
        <color rgb="FF9AA0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9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b val="1"/>
        <color rgb="FFFFFFFF"/>
      </font>
      <fill>
        <patternFill>
          <bgColor rgb="FFD03B3B"/>
        </patternFill>
      </fill>
    </dxf>
    <dxf>
      <font>
        <b val="1"/>
        <color rgb="FF9E1F1F"/>
      </font>
      <fill>
        <patternFill>
          <bgColor rgb="FFF6CFCF"/>
        </patternFill>
      </fill>
    </dxf>
    <dxf>
      <font>
        <b val="1"/>
        <color rgb="FF7A5200"/>
      </font>
      <fill>
        <patternFill>
          <bgColor rgb="FFFFEDB8"/>
        </patternFill>
      </fill>
    </dxf>
    <dxf>
      <font>
        <b val="1"/>
        <color rgb="FF0B5E0B"/>
      </font>
      <fill>
        <patternFill>
          <bgColor rgb="FFD9F0D9"/>
        </patternFill>
      </fill>
    </dxf>
    <dxf>
      <font>
        <b val="1"/>
        <color rgb="FF55554F"/>
      </font>
      <fill>
        <patternFill>
          <bgColor rgb="FFECECEA"/>
        </patternFill>
      </fill>
    </dxf>
    <dxf>
      <font>
        <b val="1"/>
        <color rgb="FF9E1F1F"/>
      </font>
    </dxf>
    <dxf>
      <font>
        <b val="1"/>
        <color rgb="FF9E1F1F"/>
      </font>
      <fill>
        <patternFill>
          <bgColor rgb="FF9EC5F4"/>
        </patternFill>
      </fill>
    </dxf>
    <dxf>
      <font>
        <b val="1"/>
        <color rgb="FF7A5200"/>
      </font>
      <fill>
        <patternFill>
          <bgColor rgb="FF9EC5F4"/>
        </patternFill>
      </fill>
    </dxf>
    <dxf>
      <font>
        <b val="1"/>
        <color rgb="FF1C2530"/>
      </font>
      <fill>
        <patternFill>
          <bgColor rgb="FF9EC5F4"/>
        </patternFill>
      </fill>
    </dxf>
    <dxf>
      <font>
        <b val="1"/>
        <color rgb="FF7A5200"/>
      </font>
    </dxf>
    <dxf>
      <font>
        <b val="1"/>
        <color rgb="FF9E1F1F"/>
      </font>
      <fill>
        <patternFill>
          <bgColor rgb="FFF6B08F"/>
        </patternFill>
      </fill>
    </dxf>
    <dxf>
      <font>
        <b val="1"/>
        <color rgb="FF7A5200"/>
      </font>
      <fill>
        <patternFill>
          <bgColor rgb="FFF6B08F"/>
        </patternFill>
      </fill>
    </dxf>
    <dxf>
      <font>
        <b val="1"/>
        <color rgb="FF1C2530"/>
      </font>
      <fill>
        <patternFill>
          <bgColor rgb="FFF6B08F"/>
        </patternFill>
      </fill>
    </dxf>
    <dxf>
      <font>
        <b val="1"/>
        <color rgb="FF9E1F1F"/>
      </font>
      <fill>
        <patternFill>
          <bgColor rgb="FF8ED9BC"/>
        </patternFill>
      </fill>
    </dxf>
    <dxf>
      <font>
        <b val="1"/>
        <color rgb="FF7A5200"/>
      </font>
      <fill>
        <patternFill>
          <bgColor rgb="FF8ED9BC"/>
        </patternFill>
      </fill>
    </dxf>
    <dxf>
      <font>
        <b val="1"/>
        <color rgb="FF1C2530"/>
      </font>
      <fill>
        <patternFill>
          <bgColor rgb="FF8ED9BC"/>
        </patternFill>
      </fill>
    </dxf>
    <dxf>
      <font>
        <b val="1"/>
        <color rgb="FF9E1F1F"/>
      </font>
      <fill>
        <patternFill>
          <bgColor rgb="FFF7D27A"/>
        </patternFill>
      </fill>
    </dxf>
    <dxf>
      <font>
        <b val="1"/>
        <color rgb="FF7A5200"/>
      </font>
      <fill>
        <patternFill>
          <bgColor rgb="FFF7D27A"/>
        </patternFill>
      </fill>
    </dxf>
    <dxf>
      <font>
        <b val="1"/>
        <color rgb="FF1C2530"/>
      </font>
      <fill>
        <patternFill>
          <bgColor rgb="FFF7D27A"/>
        </patternFill>
      </fill>
    </dxf>
    <dxf>
      <font>
        <b val="1"/>
        <color rgb="FF9E1F1F"/>
      </font>
      <fill>
        <patternFill>
          <bgColor rgb="FFF2B8CF"/>
        </patternFill>
      </fill>
    </dxf>
    <dxf>
      <font>
        <b val="1"/>
        <color rgb="FF7A5200"/>
      </font>
      <fill>
        <patternFill>
          <bgColor rgb="FFF2B8CF"/>
        </patternFill>
      </fill>
    </dxf>
    <dxf>
      <font>
        <b val="1"/>
        <color rgb="FF1C2530"/>
      </font>
      <fill>
        <patternFill>
          <bgColor rgb="FFF2B8CF"/>
        </patternFill>
      </fill>
    </dxf>
    <dxf>
      <font>
        <b val="1"/>
        <color rgb="FF1C5CAB"/>
      </font>
    </dxf>
    <dxf>
      <font>
        <b val="1"/>
        <color rgb="FF256ABF"/>
      </font>
    </dxf>
  </dxfs>
  <colors>
    <indexedColors>
      <rgbColor rgb="FF000000"/>
      <rgbColor rgb="FFFFFFFF"/>
      <rgbColor rgb="FFFF0000"/>
      <rgbColor rgb="FF00FF00"/>
      <rgbColor rgb="FF0000FF"/>
      <rgbColor rgb="FFF6CFCF"/>
      <rgbColor rgb="FFFF00FF"/>
      <rgbColor rgb="FFF7F7F5"/>
      <rgbColor rgb="FF800000"/>
      <rgbColor rgb="FF0B5E0B"/>
      <rgbColor rgb="FF000080"/>
      <rgbColor rgb="FF7A5200"/>
      <rgbColor rgb="FF800080"/>
      <rgbColor rgb="FF008080"/>
      <rgbColor rgb="FFD9D9D9"/>
      <rgbColor rgb="FF77807A"/>
      <rgbColor rgb="FF86B6EF"/>
      <rgbColor rgb="FFD03B3B"/>
      <rgbColor rgb="FFFFF6D6"/>
      <rgbColor rgb="FFECECEA"/>
      <rgbColor rgb="FF660066"/>
      <rgbColor rgb="FFF6B08F"/>
      <rgbColor rgb="FF1C5CAB"/>
      <rgbColor rgb="FFD5D8DC"/>
      <rgbColor rgb="FF000080"/>
      <rgbColor rgb="FFFF00FF"/>
      <rgbColor rgb="FFF2F0EA"/>
      <rgbColor rgb="FF00FFFF"/>
      <rgbColor rgb="FF800080"/>
      <rgbColor rgb="FF800000"/>
      <rgbColor rgb="FF008080"/>
      <rgbColor rgb="FF0000FF"/>
      <rgbColor rgb="FFE3E3E3"/>
      <rgbColor rgb="FFDDE3EA"/>
      <rgbColor rgb="FFD9F0D9"/>
      <rgbColor rgb="FFFFEDB8"/>
      <rgbColor rgb="FF9EC5F4"/>
      <rgbColor rgb="FFF2B8CF"/>
      <rgbColor rgb="FF9AA0A6"/>
      <rgbColor rgb="FFF7D27A"/>
      <rgbColor rgb="FF256ABF"/>
      <rgbColor rgb="FF8ED9BC"/>
      <rgbColor rgb="FFE8B931"/>
      <rgbColor rgb="FFFAB219"/>
      <rgbColor rgb="FFEDA100"/>
      <rgbColor rgb="FFEB6834"/>
      <rgbColor rgb="FF55554F"/>
      <rgbColor rgb="FF8A9096"/>
      <rgbColor rgb="FF003366"/>
      <rgbColor rgb="FF1BAF7A"/>
      <rgbColor rgb="FF003300"/>
      <rgbColor rgb="FF1A1A1A"/>
      <rgbColor rgb="FF9E1F1F"/>
      <rgbColor rgb="FF878787"/>
      <rgbColor rgb="FF3A4654"/>
      <rgbColor rgb="FF1C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Cement — Monthly Use vs Still to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Dashboard!$R$98</c:f>
              <c:strCache>
                <c:ptCount val="1"/>
                <c:pt idx="0">
                  <c:v>Cement use (bags)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Dashboard!$D$98:$I$98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Dashboard!$R$112</c:f>
              <c:strCache>
                <c:ptCount val="1"/>
                <c:pt idx="0">
                  <c:v>Still to order (bags)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Dashboard!$D$112:$I$112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-5"/>
        <c:axId val="7301574"/>
        <c:axId val="17566949"/>
      </c:barChart>
      <c:catAx>
        <c:axId val="7301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66949"/>
        <c:crosses val="autoZero"/>
        <c:auto val="1"/>
        <c:lblAlgn val="ctr"/>
        <c:lblOffset val="100"/>
        <c:noMultiLvlLbl val="0"/>
      </c:catAx>
      <c:valAx>
        <c:axId val="1756694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15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Aggregates — Monthly Forecast 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Dashboard!$R$99</c:f>
              <c:strCache>
                <c:ptCount val="1"/>
                <c:pt idx="0">
                  <c:v>Sand use (m3)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Dashboard!$D$99:$I$99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Dashboard!$R$100</c:f>
              <c:strCache>
                <c:ptCount val="1"/>
                <c:pt idx="0">
                  <c:v>Gravel 3/4" use (m3)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Dashboard!$D$100:$I$100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Dashboard!$R$101</c:f>
              <c:strCache>
                <c:ptCount val="1"/>
                <c:pt idx="0">
                  <c:v>Gravel 3/8" use (m3)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Dashboard!$D$101:$I$101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-5"/>
        <c:axId val="43242099"/>
        <c:axId val="31670651"/>
      </c:barChart>
      <c:catAx>
        <c:axId val="43242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70651"/>
        <c:crosses val="autoZero"/>
        <c:auto val="1"/>
        <c:lblAlgn val="ctr"/>
        <c:lblOffset val="100"/>
        <c:noMultiLvlLbl val="0"/>
      </c:catAx>
      <c:valAx>
        <c:axId val="3167065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420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Admixture — Monthly Use vs Still to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Dashboard!$R$102</c:f>
              <c:strCache>
                <c:ptCount val="1"/>
                <c:pt idx="0">
                  <c:v>Admixture use (L)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Dashboard!$D$102:$I$102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Dashboard!$R$116</c:f>
              <c:strCache>
                <c:ptCount val="1"/>
                <c:pt idx="0">
                  <c:v>Still to order (L)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Dashboard!$D$116:$I$116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-5"/>
        <c:axId val="35696418"/>
        <c:axId val="75148842"/>
      </c:barChart>
      <c:catAx>
        <c:axId val="35696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48842"/>
        <c:crosses val="autoZero"/>
        <c:auto val="1"/>
        <c:lblAlgn val="ctr"/>
        <c:lblOffset val="100"/>
        <c:noMultiLvlLbl val="0"/>
      </c:catAx>
      <c:valAx>
        <c:axId val="7514884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964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Concrete Production Forecast (m3 per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Dashboard!$R$97</c:f>
              <c:strCache>
                <c:ptCount val="1"/>
                <c:pt idx="0">
                  <c:v>Concrete (m3)</c:v>
                </c:pt>
              </c:strCache>
            </c:strRef>
          </c:tx>
          <c:spPr>
            <a:solidFill>
              <a:srgbClr val="3a4654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Dashboard!$D$97:$I$97</c:f>
              <c:numCache>
                <c:formatCode>#,##0.0;[RED]\-#,##0.0;0.0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0"/>
        <c:axId val="47168980"/>
        <c:axId val="63277332"/>
      </c:barChart>
      <c:catAx>
        <c:axId val="471689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77332"/>
        <c:crosses val="autoZero"/>
        <c:auto val="1"/>
        <c:lblAlgn val="ctr"/>
        <c:lblOffset val="100"/>
        <c:noMultiLvlLbl val="0"/>
      </c:catAx>
      <c:valAx>
        <c:axId val="6327733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689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Days Remaining vs Reorder &amp; Critical Levels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Dashboard!V13</c:f>
              <c:strCache>
                <c:ptCount val="1"/>
                <c:pt idx="0">
                  <c:v>Days remaining
(on hand)</c:v>
                </c:pt>
              </c:strCache>
            </c:strRef>
          </c:tx>
          <c:spPr>
            <a:solidFill>
              <a:srgbClr val="3a4654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Dashboard!$B$14:$B$18</c:f>
              <c:strCache>
                <c:ptCount val="5"/>
                <c:pt idx="0">
                  <c:v>Cement</c:v>
                </c:pt>
                <c:pt idx="1">
                  <c:v>Sand</c:v>
                </c:pt>
                <c:pt idx="2">
                  <c:v>Gravel 3/4"</c:v>
                </c:pt>
                <c:pt idx="3">
                  <c:v>Gravel 3/8"</c:v>
                </c:pt>
                <c:pt idx="4">
                  <c:v>Admixture</c:v>
                </c:pt>
              </c:strCache>
            </c:strRef>
          </c:cat>
          <c:val>
            <c:numRef>
              <c:f>Dashboard!$V$14:$V$18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Dashboard!T13</c:f>
              <c:strCache>
                <c:ptCount val="1"/>
                <c:pt idx="0">
                  <c:v>Reorder level
(lead + safety)</c:v>
                </c:pt>
              </c:strCache>
            </c:strRef>
          </c:tx>
          <c:spPr>
            <a:solidFill>
              <a:srgbClr val="fab21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Dashboard!$B$14:$B$18</c:f>
              <c:strCache>
                <c:ptCount val="5"/>
                <c:pt idx="0">
                  <c:v>Cement</c:v>
                </c:pt>
                <c:pt idx="1">
                  <c:v>Sand</c:v>
                </c:pt>
                <c:pt idx="2">
                  <c:v>Gravel 3/4"</c:v>
                </c:pt>
                <c:pt idx="3">
                  <c:v>Gravel 3/8"</c:v>
                </c:pt>
                <c:pt idx="4">
                  <c:v>Admixture</c:v>
                </c:pt>
              </c:strCache>
            </c:strRef>
          </c:cat>
          <c:val>
            <c:numRef>
              <c:f>Dashboard!$T$14:$T$18</c:f>
              <c:numCache>
                <c:formatCode>0.0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tx>
            <c:strRef>
              <c:f>Dashboard!U13</c:f>
              <c:strCache>
                <c:ptCount val="1"/>
                <c:pt idx="0">
                  <c:v>Critical level
(lead time)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Dashboard!$B$14:$B$18</c:f>
              <c:strCache>
                <c:ptCount val="5"/>
                <c:pt idx="0">
                  <c:v>Cement</c:v>
                </c:pt>
                <c:pt idx="1">
                  <c:v>Sand</c:v>
                </c:pt>
                <c:pt idx="2">
                  <c:v>Gravel 3/4"</c:v>
                </c:pt>
                <c:pt idx="3">
                  <c:v>Gravel 3/8"</c:v>
                </c:pt>
                <c:pt idx="4">
                  <c:v>Admixture</c:v>
                </c:pt>
              </c:strCache>
            </c:strRef>
          </c:cat>
          <c:val>
            <c:numRef>
              <c:f>Dashboard!$U$14:$U$18</c:f>
              <c:numCache>
                <c:formatCode>0.0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</c:ser>
        <c:gapWidth val="60"/>
        <c:overlap val="-5"/>
        <c:axId val="73261929"/>
        <c:axId val="38119140"/>
      </c:barChart>
      <c:catAx>
        <c:axId val="73261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19140"/>
        <c:crosses val="autoZero"/>
        <c:auto val="1"/>
        <c:lblAlgn val="ctr"/>
        <c:lblOffset val="100"/>
        <c:noMultiLvlLbl val="0"/>
      </c:catAx>
      <c:valAx>
        <c:axId val="3811914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Working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61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Concrete Produced per Day (m3) — Actual vs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Dashboard!R77</c:f>
              <c:strCache>
                <c:ptCount val="1"/>
                <c:pt idx="0">
                  <c:v>Actual m3</c:v>
                </c:pt>
              </c:strCache>
            </c:strRef>
          </c:tx>
          <c:spPr>
            <a:solidFill>
              <a:srgbClr val="3a4654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Dashboard!$T$78:$T$91</c:f>
              <c:strCache>
                <c:ptCount val="14"/>
                <c:pt idx="0">
                  <c:v>Sun 18</c:v>
                </c:pt>
                <c:pt idx="1">
                  <c:v>Mon 19</c:v>
                </c:pt>
                <c:pt idx="2">
                  <c:v>Tue 20</c:v>
                </c:pt>
                <c:pt idx="3">
                  <c:v>Wed 21</c:v>
                </c:pt>
                <c:pt idx="4">
                  <c:v>Thu 22</c:v>
                </c:pt>
                <c:pt idx="5">
                  <c:v>Fri 23</c:v>
                </c:pt>
                <c:pt idx="6">
                  <c:v>Sat 24</c:v>
                </c:pt>
                <c:pt idx="7">
                  <c:v>Sun 25</c:v>
                </c:pt>
                <c:pt idx="8">
                  <c:v>Mon 26</c:v>
                </c:pt>
                <c:pt idx="9">
                  <c:v>Tue 27</c:v>
                </c:pt>
                <c:pt idx="10">
                  <c:v>Wed 28</c:v>
                </c:pt>
                <c:pt idx="11">
                  <c:v>Thu 29</c:v>
                </c:pt>
                <c:pt idx="12">
                  <c:v>Fri 30</c:v>
                </c:pt>
                <c:pt idx="13">
                  <c:v>Sat 31</c:v>
                </c:pt>
              </c:strCache>
            </c:strRef>
          </c:cat>
          <c:val>
            <c:numRef>
              <c:f>Dashboard!$R$78:$R$91</c:f>
              <c:numCache>
                <c:formatCode>#,##0.0;[RED]\-#,##0.0;0.0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50"/>
        <c:overlap val="0"/>
        <c:axId val="17799162"/>
        <c:axId val="88723442"/>
      </c:barChart>
      <c:lineChart>
        <c:grouping val="standard"/>
        <c:varyColors val="0"/>
        <c:ser>
          <c:idx val="1"/>
          <c:order val="1"/>
          <c:tx>
            <c:strRef>
              <c:f>Dashboard!S77</c:f>
              <c:strCache>
                <c:ptCount val="1"/>
                <c:pt idx="0">
                  <c:v>Planned m3/day</c:v>
                </c:pt>
              </c:strCache>
            </c:strRef>
          </c:tx>
          <c:spPr>
            <a:solidFill>
              <a:srgbClr val="77807a"/>
            </a:solidFill>
            <a:ln w="22320">
              <a:solidFill>
                <a:srgbClr val="7780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Dashboard!$T$78:$T$91</c:f>
              <c:strCache>
                <c:ptCount val="14"/>
                <c:pt idx="0">
                  <c:v>Sun 18</c:v>
                </c:pt>
                <c:pt idx="1">
                  <c:v>Mon 19</c:v>
                </c:pt>
                <c:pt idx="2">
                  <c:v>Tue 20</c:v>
                </c:pt>
                <c:pt idx="3">
                  <c:v>Wed 21</c:v>
                </c:pt>
                <c:pt idx="4">
                  <c:v>Thu 22</c:v>
                </c:pt>
                <c:pt idx="5">
                  <c:v>Fri 23</c:v>
                </c:pt>
                <c:pt idx="6">
                  <c:v>Sat 24</c:v>
                </c:pt>
                <c:pt idx="7">
                  <c:v>Sun 25</c:v>
                </c:pt>
                <c:pt idx="8">
                  <c:v>Mon 26</c:v>
                </c:pt>
                <c:pt idx="9">
                  <c:v>Tue 27</c:v>
                </c:pt>
                <c:pt idx="10">
                  <c:v>Wed 28</c:v>
                </c:pt>
                <c:pt idx="11">
                  <c:v>Thu 29</c:v>
                </c:pt>
                <c:pt idx="12">
                  <c:v>Fri 30</c:v>
                </c:pt>
                <c:pt idx="13">
                  <c:v>Sat 31</c:v>
                </c:pt>
              </c:strCache>
            </c:strRef>
          </c:cat>
          <c:val>
            <c:numRef>
              <c:f>Dashboard!$S$78:$S$91</c:f>
              <c:numCache>
                <c:formatCode>#,##0.0;[RED]\-#,##0.0;0.0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99162"/>
        <c:axId val="88723442"/>
      </c:lineChart>
      <c:catAx>
        <c:axId val="17799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23442"/>
        <c:crosses val="autoZero"/>
        <c:auto val="1"/>
        <c:lblAlgn val="ctr"/>
        <c:lblOffset val="100"/>
        <c:noMultiLvlLbl val="0"/>
      </c:catAx>
      <c:valAx>
        <c:axId val="88723442"/>
        <c:scaling>
          <c:orientation val="minMax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991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119</xdr:row>
      <xdr:rowOff>130680</xdr:rowOff>
    </xdr:from>
    <xdr:to>
      <xdr:col>6</xdr:col>
      <xdr:colOff>686520</xdr:colOff>
      <xdr:row>134</xdr:row>
      <xdr:rowOff>9000</xdr:rowOff>
    </xdr:to>
    <xdr:graphicFrame>
      <xdr:nvGraphicFramePr>
        <xdr:cNvPr id="0" name="Chart 1"/>
        <xdr:cNvGraphicFramePr/>
      </xdr:nvGraphicFramePr>
      <xdr:xfrm>
        <a:off x="141120" y="24898320"/>
        <a:ext cx="59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119</xdr:row>
      <xdr:rowOff>130680</xdr:rowOff>
    </xdr:from>
    <xdr:to>
      <xdr:col>14</xdr:col>
      <xdr:colOff>493920</xdr:colOff>
      <xdr:row>134</xdr:row>
      <xdr:rowOff>9000</xdr:rowOff>
    </xdr:to>
    <xdr:graphicFrame>
      <xdr:nvGraphicFramePr>
        <xdr:cNvPr id="1" name="Chart 2"/>
        <xdr:cNvGraphicFramePr/>
      </xdr:nvGraphicFramePr>
      <xdr:xfrm>
        <a:off x="6239520" y="248983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136</xdr:row>
      <xdr:rowOff>130680</xdr:rowOff>
    </xdr:from>
    <xdr:to>
      <xdr:col>6</xdr:col>
      <xdr:colOff>686520</xdr:colOff>
      <xdr:row>151</xdr:row>
      <xdr:rowOff>9000</xdr:rowOff>
    </xdr:to>
    <xdr:graphicFrame>
      <xdr:nvGraphicFramePr>
        <xdr:cNvPr id="2" name="Chart 3"/>
        <xdr:cNvGraphicFramePr/>
      </xdr:nvGraphicFramePr>
      <xdr:xfrm>
        <a:off x="141120" y="28136880"/>
        <a:ext cx="59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136</xdr:row>
      <xdr:rowOff>130680</xdr:rowOff>
    </xdr:from>
    <xdr:to>
      <xdr:col>14</xdr:col>
      <xdr:colOff>493920</xdr:colOff>
      <xdr:row>151</xdr:row>
      <xdr:rowOff>9000</xdr:rowOff>
    </xdr:to>
    <xdr:graphicFrame>
      <xdr:nvGraphicFramePr>
        <xdr:cNvPr id="3" name="Chart 4"/>
        <xdr:cNvGraphicFramePr/>
      </xdr:nvGraphicFramePr>
      <xdr:xfrm>
        <a:off x="6239520" y="2813688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76</xdr:row>
      <xdr:rowOff>169200</xdr:rowOff>
    </xdr:from>
    <xdr:to>
      <xdr:col>6</xdr:col>
      <xdr:colOff>686520</xdr:colOff>
      <xdr:row>91</xdr:row>
      <xdr:rowOff>9000</xdr:rowOff>
    </xdr:to>
    <xdr:graphicFrame>
      <xdr:nvGraphicFramePr>
        <xdr:cNvPr id="4" name="Chart 5"/>
        <xdr:cNvGraphicFramePr/>
      </xdr:nvGraphicFramePr>
      <xdr:xfrm>
        <a:off x="141120" y="15764040"/>
        <a:ext cx="59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76</xdr:row>
      <xdr:rowOff>169200</xdr:rowOff>
    </xdr:from>
    <xdr:to>
      <xdr:col>14</xdr:col>
      <xdr:colOff>493920</xdr:colOff>
      <xdr:row>91</xdr:row>
      <xdr:rowOff>9000</xdr:rowOff>
    </xdr:to>
    <xdr:graphicFrame>
      <xdr:nvGraphicFramePr>
        <xdr:cNvPr id="5" name="Chart 6"/>
        <xdr:cNvGraphicFramePr/>
      </xdr:nvGraphicFramePr>
      <xdr:xfrm>
        <a:off x="6239520" y="157640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807A"/>
    <pageSetUpPr fitToPage="false"/>
  </sheetPr>
  <dimension ref="B2:B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8.55" hidden="false" customHeight="false" outlineLevel="0" collapsed="false">
      <c r="B2" s="1" t="s">
        <v>0</v>
      </c>
    </row>
    <row r="3" customFormat="false" ht="45" hidden="false" customHeight="tru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2" t="s">
        <v>3</v>
      </c>
    </row>
    <row r="7" customFormat="false" ht="30" hidden="false" customHeight="true" outlineLevel="0" collapsed="false">
      <c r="B7" s="2" t="s">
        <v>4</v>
      </c>
    </row>
    <row r="8" customFormat="false" ht="30" hidden="false" customHeight="true" outlineLevel="0" collapsed="false">
      <c r="B8" s="2" t="s">
        <v>5</v>
      </c>
    </row>
    <row r="9" customFormat="false" ht="30" hidden="false" customHeight="true" outlineLevel="0" collapsed="false">
      <c r="B9" s="2" t="s">
        <v>6</v>
      </c>
    </row>
    <row r="10" customFormat="false" ht="45" hidden="false" customHeight="true" outlineLevel="0" collapsed="false">
      <c r="B10" s="2" t="s">
        <v>7</v>
      </c>
    </row>
    <row r="11" customFormat="false" ht="30" hidden="false" customHeight="true" outlineLevel="0" collapsed="false">
      <c r="B11" s="2" t="s">
        <v>8</v>
      </c>
    </row>
    <row r="12" customFormat="false" ht="30" hidden="false" customHeight="true" outlineLevel="0" collapsed="false">
      <c r="B12" s="2" t="s">
        <v>9</v>
      </c>
    </row>
    <row r="13" customFormat="false" ht="45" hidden="false" customHeight="true" outlineLevel="0" collapsed="false">
      <c r="B13" s="2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6" t="s">
        <v>14</v>
      </c>
    </row>
    <row r="19" customFormat="false" ht="30" hidden="false" customHeight="true" outlineLevel="0" collapsed="false">
      <c r="B19" s="2" t="s">
        <v>15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16</v>
      </c>
    </row>
    <row r="22" customFormat="false" ht="30" hidden="false" customHeight="true" outlineLevel="0" collapsed="false">
      <c r="B22" s="2" t="s">
        <v>17</v>
      </c>
    </row>
    <row r="23" customFormat="false" ht="1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30" hidden="false" customHeight="true" outlineLevel="0" collapsed="false">
      <c r="B25" s="2" t="s">
        <v>20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21</v>
      </c>
    </row>
    <row r="28" customFormat="false" ht="30" hidden="false" customHeight="true" outlineLevel="0" collapsed="false">
      <c r="B28" s="2" t="s">
        <v>22</v>
      </c>
    </row>
    <row r="29" customFormat="false" ht="30" hidden="false" customHeight="true" outlineLevel="0" collapsed="false">
      <c r="B29" s="2" t="s">
        <v>23</v>
      </c>
    </row>
    <row r="30" customFormat="false" ht="30" hidden="false" customHeight="true" outlineLevel="0" collapsed="false">
      <c r="B30" s="2" t="s">
        <v>24</v>
      </c>
    </row>
    <row r="31" customFormat="false" ht="15" hidden="false" customHeight="false" outlineLevel="0" collapsed="false">
      <c r="B31" s="2" t="s">
        <v>25</v>
      </c>
    </row>
    <row r="32" customFormat="false" ht="15" hidden="false" customHeight="false" outlineLevel="0" collapsed="false">
      <c r="B32" s="2" t="s">
        <v>26</v>
      </c>
    </row>
    <row r="33" customFormat="false" ht="30" hidden="false" customHeight="true" outlineLevel="0" collapsed="false">
      <c r="B33" s="2" t="s">
        <v>27</v>
      </c>
    </row>
    <row r="34" customFormat="false" ht="15" hidden="false" customHeight="false" outlineLevel="0" collapsed="false">
      <c r="B34" s="2" t="s">
        <v>28</v>
      </c>
    </row>
    <row r="35" customFormat="false" ht="30" hidden="false" customHeight="true" outlineLevel="0" collapsed="false">
      <c r="B35" s="2" t="s">
        <v>29</v>
      </c>
    </row>
    <row r="36" customFormat="false" ht="30" hidden="false" customHeight="true" outlineLevel="0" collapsed="false">
      <c r="B36" s="2" t="s">
        <v>30</v>
      </c>
    </row>
    <row r="37" customFormat="false" ht="30" hidden="false" customHeight="true" outlineLevel="0" collapsed="false">
      <c r="B37" s="2" t="s">
        <v>31</v>
      </c>
    </row>
    <row r="38" customFormat="false" ht="15" hidden="false" customHeight="false" outlineLevel="0" collapsed="false">
      <c r="B38" s="2"/>
    </row>
    <row r="39" customFormat="false" ht="15" hidden="false" customHeight="false" outlineLevel="0" collapsed="false">
      <c r="B39" s="3" t="s">
        <v>32</v>
      </c>
    </row>
    <row r="40" customFormat="false" ht="15" hidden="false" customHeight="false" outlineLevel="0" collapsed="false">
      <c r="B40" s="2" t="s">
        <v>33</v>
      </c>
    </row>
    <row r="41" customFormat="false" ht="30" hidden="false" customHeight="true" outlineLevel="0" collapsed="false">
      <c r="B41" s="2" t="s">
        <v>34</v>
      </c>
    </row>
    <row r="42" customFormat="false" ht="30" hidden="false" customHeight="true" outlineLevel="0" collapsed="false">
      <c r="B42" s="2" t="s">
        <v>35</v>
      </c>
    </row>
    <row r="43" customFormat="false" ht="15" hidden="false" customHeight="false" outlineLevel="0" collapsed="false">
      <c r="B43" s="2" t="s">
        <v>36</v>
      </c>
    </row>
    <row r="44" customFormat="false" ht="15" hidden="false" customHeight="false" outlineLevel="0" collapsed="false">
      <c r="B44" s="2"/>
    </row>
    <row r="45" customFormat="false" ht="15" hidden="false" customHeight="false" outlineLevel="0" collapsed="false">
      <c r="B45" s="3" t="s">
        <v>37</v>
      </c>
    </row>
    <row r="46" customFormat="false" ht="60" hidden="false" customHeight="true" outlineLevel="0" collapsed="false">
      <c r="B46" s="2" t="s">
        <v>38</v>
      </c>
    </row>
    <row r="47" customFormat="false" ht="30" hidden="false" customHeight="true" outlineLevel="0" collapsed="false">
      <c r="B47" s="2" t="s">
        <v>39</v>
      </c>
    </row>
    <row r="48" customFormat="false" ht="45" hidden="false" customHeight="true" outlineLevel="0" collapsed="false">
      <c r="B48" s="2" t="s">
        <v>40</v>
      </c>
    </row>
    <row r="49" customFormat="false" ht="15" hidden="false" customHeight="false" outlineLevel="0" collapsed="false">
      <c r="B49" s="2"/>
    </row>
    <row r="50" customFormat="false" ht="15" hidden="false" customHeight="false" outlineLevel="0" collapsed="false">
      <c r="B50" s="3" t="s">
        <v>41</v>
      </c>
    </row>
    <row r="51" customFormat="false" ht="30" hidden="false" customHeight="true" outlineLevel="0" collapsed="false">
      <c r="B51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530"/>
    <pageSetUpPr fitToPage="true"/>
  </sheetPr>
  <dimension ref="B1:AC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2" min="3" style="0" width="12.5"/>
    <col collapsed="false" customWidth="true" hidden="false" outlineLevel="0" max="13" min="13" style="0" width="15"/>
    <col collapsed="false" customWidth="true" hidden="false" outlineLevel="0" max="15" min="14" style="0" width="12.5"/>
    <col collapsed="false" customWidth="true" hidden="false" outlineLevel="0" max="16" min="16" style="0" width="3"/>
    <col collapsed="false" customWidth="true" hidden="false" outlineLevel="0" max="17" min="17" style="0" width="13"/>
    <col collapsed="false" customWidth="true" hidden="false" outlineLevel="0" max="18" min="18" style="0" width="26"/>
    <col collapsed="false" customWidth="true" hidden="false" outlineLevel="0" max="29" min="19" style="0" width="13"/>
  </cols>
  <sheetData>
    <row r="1" customFormat="false" ht="19.7" hidden="false" customHeight="false" outlineLevel="0" collapsed="false">
      <c r="B1" s="7" t="s">
        <v>43</v>
      </c>
    </row>
    <row r="2" customFormat="false" ht="15" hidden="false" customHeight="false" outlineLevel="0" collapsed="false">
      <c r="B2" s="8" t="str">
        <f aca="false">"As of "&amp;TEXT(AsOfDate,"dddd, dd mmmm yyyy")&amp;"   ·   Days are working days ("&amp;WorkDaysWeek&amp;" per week)   ·   Pick a site in the yellow cell"</f>
        <v>As of Saturday, 31 October 2026   ·   Days are working days (6 per week)   ·   Pick a site in the yellow cell</v>
      </c>
    </row>
    <row r="3" customFormat="false" ht="18" hidden="false" customHeight="true" outlineLevel="0" collapsed="false">
      <c r="Q3" s="9" t="s">
        <v>44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customFormat="false" ht="24" hidden="false" customHeight="true" outlineLevel="0" collapsed="false">
      <c r="B4" s="10" t="s">
        <v>45</v>
      </c>
      <c r="C4" s="11" t="s">
        <v>46</v>
      </c>
      <c r="D4" s="11"/>
      <c r="E4" s="11"/>
      <c r="G4" s="12" t="s">
        <v>47</v>
      </c>
      <c r="H4" s="13" t="str">
        <f aca="false">IF(COUNTIFS(SM_Site,SelCrit,SM_Status,"OUT OF STOCK")&gt;0,"OUT OF STOCK",IF(COUNTIFS(SM_Site,SelCrit,SM_Status,"CRITICAL")&gt;0,"CRITICAL",IF(COUNTIFS(SM_Site,SelCrit,SM_Status,"REORDER")&gt;0,"REORDER",IF(COUNTIFS(SM_Site,SelCrit,SM_Status,"OK")&gt;0,"OK","NO DATA"))))</f>
        <v>NO DATA</v>
      </c>
      <c r="I4" s="13"/>
      <c r="J4" s="12" t="s">
        <v>48</v>
      </c>
      <c r="K4" s="14" t="n">
        <f aca="false">COUNTIFS(SM_Site,SelCrit,SM_Status,"CRITICAL")+COUNTIFS(SM_Site,SelCrit,SM_Status,"OUT OF STOCK")</f>
        <v>0</v>
      </c>
      <c r="L4" s="12" t="s">
        <v>49</v>
      </c>
      <c r="M4" s="14" t="n">
        <f aca="false">COUNTIFS(SM_Site,SelCrit,SM_Status,"REORDER")</f>
        <v>0</v>
      </c>
      <c r="Q4" s="15" t="s">
        <v>50</v>
      </c>
      <c r="R4" s="16" t="str">
        <f aca="false">IF(OR($C$4="",$C$4="All Sites"),"*",$C$4)</f>
        <v>*</v>
      </c>
    </row>
    <row r="6" customFormat="false" ht="19.5" hidden="false" customHeight="true" outlineLevel="0" collapsed="false">
      <c r="B6" s="17" t="str">
        <f aca="false">B14&amp;"  ("&amp;C14&amp;")"</f>
        <v>Cement  (bags)</v>
      </c>
      <c r="C6" s="17" t="str">
        <f aca="false">B15&amp;"  ("&amp;C15&amp;")"</f>
        <v>Sand  (m3)</v>
      </c>
      <c r="D6" s="17"/>
      <c r="E6" s="17" t="str">
        <f aca="false">B16&amp;"  ("&amp;C16&amp;")"</f>
        <v>Gravel 3/4"  (m3)</v>
      </c>
      <c r="F6" s="17"/>
      <c r="G6" s="17" t="str">
        <f aca="false">B17&amp;"  ("&amp;C17&amp;")"</f>
        <v>Gravel 3/8"  (m3)</v>
      </c>
      <c r="H6" s="17"/>
      <c r="I6" s="17" t="str">
        <f aca="false">B18&amp;"  ("&amp;C18&amp;")"</f>
        <v>Admixture  (L)</v>
      </c>
      <c r="J6" s="17"/>
      <c r="K6" s="17" t="s">
        <v>51</v>
      </c>
      <c r="L6" s="17"/>
      <c r="M6" s="17"/>
      <c r="N6" s="17"/>
      <c r="O6" s="17"/>
    </row>
    <row r="7" customFormat="false" ht="21.75" hidden="false" customHeight="true" outlineLevel="0" collapsed="false">
      <c r="B7" s="18" t="str">
        <f aca="false">IF(ISNUMBER(H14),H14,"–")</f>
        <v>–</v>
      </c>
      <c r="C7" s="18" t="str">
        <f aca="false">IF(ISNUMBER(H15),H15,"–")</f>
        <v>–</v>
      </c>
      <c r="D7" s="18"/>
      <c r="E7" s="18" t="str">
        <f aca="false">IF(ISNUMBER(H16),H16,"–")</f>
        <v>–</v>
      </c>
      <c r="F7" s="18"/>
      <c r="G7" s="18" t="str">
        <f aca="false">IF(ISNUMBER(H17),H17,"–")</f>
        <v>–</v>
      </c>
      <c r="H7" s="18"/>
      <c r="I7" s="18" t="str">
        <f aca="false">IF(ISNUMBER(H18),H18,"–")</f>
        <v>–</v>
      </c>
      <c r="J7" s="18"/>
      <c r="K7" s="19" t="n">
        <f aca="false">SUMIFS(PP_Vol,PP_Site,SelCrit)</f>
        <v>0</v>
      </c>
      <c r="L7" s="19"/>
      <c r="M7" s="19"/>
      <c r="N7" s="19"/>
      <c r="O7" s="19"/>
    </row>
    <row r="8" customFormat="false" ht="21.75" hidden="false" customHeight="true" outlineLevel="0" collapsed="false">
      <c r="B8" s="18"/>
      <c r="C8" s="18"/>
      <c r="D8" s="18"/>
      <c r="E8" s="18"/>
      <c r="F8" s="18"/>
      <c r="G8" s="18"/>
      <c r="H8" s="18"/>
      <c r="I8" s="18"/>
      <c r="J8" s="18"/>
      <c r="K8" s="19"/>
      <c r="L8" s="19"/>
      <c r="M8" s="19"/>
      <c r="N8" s="19"/>
      <c r="O8" s="19"/>
    </row>
    <row r="9" customFormat="false" ht="15" hidden="false" customHeight="false" outlineLevel="0" collapsed="false">
      <c r="B9" s="20" t="str">
        <f aca="false">IF(ISNUMBER(L14),IF($R$4="*","Earliest out ≈ ","Stock-out ≈ ")&amp;TEXT(L14,"ddd dd-mmm"),IF(L14="OUT","OUT OF STOCK now",IF(M14="NO DATA","Not set up yet","No usage declared")))</f>
        <v>Not set up yet</v>
      </c>
      <c r="C9" s="20" t="str">
        <f aca="false">IF(ISNUMBER(L15),IF($R$4="*","Earliest out ≈ ","Stock-out ≈ ")&amp;TEXT(L15,"ddd dd-mmm"),IF(L15="OUT","OUT OF STOCK now",IF(M15="NO DATA","Not set up yet","No usage declared")))</f>
        <v>Not set up yet</v>
      </c>
      <c r="D9" s="20"/>
      <c r="E9" s="20" t="str">
        <f aca="false">IF(ISNUMBER(L16),IF($R$4="*","Earliest out ≈ ","Stock-out ≈ ")&amp;TEXT(L16,"ddd dd-mmm"),IF(L16="OUT","OUT OF STOCK now",IF(M16="NO DATA","Not set up yet","No usage declared")))</f>
        <v>Not set up yet</v>
      </c>
      <c r="F9" s="20"/>
      <c r="G9" s="20" t="str">
        <f aca="false">IF(ISNUMBER(L17),IF($R$4="*","Earliest out ≈ ","Stock-out ≈ ")&amp;TEXT(L17,"ddd dd-mmm"),IF(L17="OUT","OUT OF STOCK now",IF(M17="NO DATA","Not set up yet","No usage declared")))</f>
        <v>Not set up yet</v>
      </c>
      <c r="H9" s="20"/>
      <c r="I9" s="20" t="str">
        <f aca="false">IF(ISNUMBER(L18),IF($R$4="*","Earliest out ≈ ","Stock-out ≈ ")&amp;TEXT(L18,"ddd dd-mmm"),IF(L18="OUT","OUT OF STOCK now",IF(M18="NO DATA","Not set up yet","No usage declared")))</f>
        <v>Not set up yet</v>
      </c>
      <c r="J9" s="20"/>
      <c r="K9" s="20" t="str">
        <f aca="false">"≈ "&amp;TEXT(K7*WorkDaysMonth,"#,##0")&amp;" m3 per month ("&amp;WorkDaysMonth&amp;" working days)"</f>
        <v>≈ 0 m3 per month (26 working days)</v>
      </c>
      <c r="L9" s="20"/>
      <c r="M9" s="20"/>
      <c r="N9" s="20"/>
      <c r="O9" s="20"/>
    </row>
    <row r="10" customFormat="false" ht="15" hidden="false" customHeight="false" outlineLevel="0" collapsed="false">
      <c r="B10" s="20" t="str">
        <f aca="false">TEXT(D14,"#,##0")&amp;" "&amp;C14&amp;IF(ISNUMBER(F14),"  ·  "&amp;TEXT(F14,"0%")&amp;" full","")</f>
        <v>0 bags</v>
      </c>
      <c r="C10" s="20" t="str">
        <f aca="false">TEXT(D15,"#,##0")&amp;" "&amp;C15&amp;IF(ISNUMBER(F15),"  ·  "&amp;TEXT(F15,"0%")&amp;" full","")</f>
        <v>0 m3</v>
      </c>
      <c r="D10" s="20"/>
      <c r="E10" s="20" t="str">
        <f aca="false">TEXT(D16,"#,##0")&amp;" "&amp;C16&amp;IF(ISNUMBER(F16),"  ·  "&amp;TEXT(F16,"0%")&amp;" full","")</f>
        <v>0 m3</v>
      </c>
      <c r="F10" s="20"/>
      <c r="G10" s="20" t="str">
        <f aca="false">TEXT(D17,"#,##0")&amp;" "&amp;C17&amp;IF(ISNUMBER(F17),"  ·  "&amp;TEXT(F17,"0%")&amp;" full","")</f>
        <v>0 m3</v>
      </c>
      <c r="H10" s="20"/>
      <c r="I10" s="20" t="str">
        <f aca="false">TEXT(D18,"#,##0")&amp;" "&amp;C18&amp;IF(ISNUMBER(F18),"  ·  "&amp;TEXT(F18,"0%")&amp;" full","")</f>
        <v>0 L</v>
      </c>
      <c r="J10" s="20"/>
      <c r="K10" s="20" t="str">
        <f aca="false">"Actual, last 7 days: "&amp;TEXT(SUMIFS(Con_Vol,Con_Site,SelCrit,Con_Date,"&gt;"&amp;(AsOfDate-7),Con_Date,"&lt;="&amp;AsOfDate)/MAX(1,NETWORKDAYS.INTL(AsOfDate-6,AsOfDate,WeekendMask,Holidays)),"#,##0.0")&amp;" m3/day"</f>
        <v>Actual, last 7 days: 0.0 m3/day</v>
      </c>
      <c r="L10" s="20"/>
      <c r="M10" s="20"/>
      <c r="N10" s="20"/>
      <c r="O10" s="20"/>
    </row>
    <row r="11" customFormat="false" ht="19.5" hidden="false" customHeight="true" outlineLevel="0" collapsed="false">
      <c r="B11" s="21" t="str">
        <f aca="false">M14</f>
        <v>NO DATA</v>
      </c>
      <c r="C11" s="21" t="str">
        <f aca="false">M15</f>
        <v>NO DATA</v>
      </c>
      <c r="D11" s="21"/>
      <c r="E11" s="21" t="str">
        <f aca="false">M16</f>
        <v>NO DATA</v>
      </c>
      <c r="F11" s="21"/>
      <c r="G11" s="21" t="str">
        <f aca="false">M17</f>
        <v>NO DATA</v>
      </c>
      <c r="H11" s="21"/>
      <c r="I11" s="21" t="str">
        <f aca="false">M18</f>
        <v>NO DATA</v>
      </c>
      <c r="J11" s="21"/>
      <c r="K11" s="21" t="str">
        <f aca="false">IF(K7&gt;0,"PLAN DECLARED","NO DATA")</f>
        <v>NO DATA</v>
      </c>
      <c r="L11" s="21"/>
      <c r="M11" s="21"/>
      <c r="N11" s="21"/>
      <c r="O11" s="21"/>
    </row>
    <row r="13" customFormat="false" ht="33.75" hidden="false" customHeight="true" outlineLevel="0" collapsed="false">
      <c r="B13" s="22" t="s">
        <v>52</v>
      </c>
      <c r="C13" s="22" t="s">
        <v>53</v>
      </c>
      <c r="D13" s="22" t="s">
        <v>54</v>
      </c>
      <c r="E13" s="22" t="s">
        <v>55</v>
      </c>
      <c r="F13" s="22" t="s">
        <v>56</v>
      </c>
      <c r="G13" s="22" t="s">
        <v>57</v>
      </c>
      <c r="H13" s="22" t="s">
        <v>58</v>
      </c>
      <c r="I13" s="22" t="s">
        <v>59</v>
      </c>
      <c r="J13" s="22" t="s">
        <v>60</v>
      </c>
      <c r="K13" s="22" t="s">
        <v>61</v>
      </c>
      <c r="L13" s="22" t="s">
        <v>62</v>
      </c>
      <c r="M13" s="22" t="s">
        <v>63</v>
      </c>
      <c r="N13" s="22" t="s">
        <v>64</v>
      </c>
      <c r="O13" s="22" t="s">
        <v>65</v>
      </c>
      <c r="Q13" s="22" t="s">
        <v>66</v>
      </c>
      <c r="R13" s="22" t="s">
        <v>67</v>
      </c>
      <c r="S13" s="22" t="s">
        <v>68</v>
      </c>
      <c r="T13" s="22" t="s">
        <v>69</v>
      </c>
      <c r="U13" s="22" t="s">
        <v>70</v>
      </c>
      <c r="V13" s="22" t="s">
        <v>71</v>
      </c>
      <c r="W13" s="22" t="s">
        <v>72</v>
      </c>
      <c r="X13" s="22" t="s">
        <v>73</v>
      </c>
      <c r="Y13" s="22" t="s">
        <v>74</v>
      </c>
      <c r="Z13" s="22" t="s">
        <v>75</v>
      </c>
      <c r="AA13" s="22" t="s">
        <v>76</v>
      </c>
      <c r="AB13" s="22" t="s">
        <v>77</v>
      </c>
      <c r="AC13" s="22" t="s">
        <v>78</v>
      </c>
    </row>
    <row r="14" customFormat="false" ht="19.5" hidden="false" customHeight="true" outlineLevel="0" collapsed="false">
      <c r="B14" s="23" t="str">
        <f aca="false">INDEX(Mat_Short,1)</f>
        <v>Cement</v>
      </c>
      <c r="C14" s="24" t="str">
        <f aca="false">INDEX(Mat_Unit,1)</f>
        <v>bags</v>
      </c>
      <c r="D14" s="25" t="n">
        <f aca="false">SUMIFS(SM_Stock,SM_Site,SelCrit,SM_Mat,$Q14)</f>
        <v>0</v>
      </c>
      <c r="E14" s="25" t="n">
        <f aca="false">SUMIFS(SM_Cap,SM_Site,SelCrit,SM_Mat,$Q14)</f>
        <v>0</v>
      </c>
      <c r="F14" s="26" t="str">
        <f aca="false">IF(E14&gt;0,MAX(0,D14)/E14,"")</f>
        <v/>
      </c>
      <c r="G14" s="25" t="n">
        <f aca="false">SUMIFS(SM_Rate,SM_Site,SelCrit,SM_Mat,$Q14)</f>
        <v>0</v>
      </c>
      <c r="H14" s="27" t="str">
        <f aca="false">IF(G14&gt;0,MAX(0,D14)/G14,"")</f>
        <v/>
      </c>
      <c r="I14" s="28" t="n">
        <f aca="false">SUMIFS(SM_OnOrder,SM_Site,SelCrit,SM_Mat,$Q14)</f>
        <v>0</v>
      </c>
      <c r="J14" s="29" t="str">
        <f aca="false">IF($X14&gt;=1000000000,"",IF($X14&lt;=AsOfDate,"NOW",$X14))</f>
        <v/>
      </c>
      <c r="K14" s="29" t="str">
        <f aca="false">IF($Y14&gt;=1000000000,"",IF($Y14&lt;=AsOfDate,"NOW",$Y14))</f>
        <v/>
      </c>
      <c r="L14" s="29" t="str">
        <f aca="false">IF($Z14&gt;=1000000000,"",IF($Z14&lt;=AsOfDate,"OUT",$Z14))</f>
        <v/>
      </c>
      <c r="M14" s="30" t="str">
        <f aca="false">IF(COUNTIFS(SM_Site,SelCrit,SM_Mat,$Q14)=0,"NO DATA",IF(COUNTIFS(SM_Site,SelCrit,SM_Mat,$Q14,SM_Status,"OUT OF STOCK")&gt;0,"OUT OF STOCK",IF(COUNTIFS(SM_Site,SelCrit,SM_Mat,$Q14,SM_Status,"CRITICAL")&gt;0,"CRITICAL",IF(COUNTIFS(SM_Site,SelCrit,SM_Mat,$Q14,SM_Status,"REORDER")&gt;0,"REORDER",IF(COUNTIFS(SM_Site,SelCrit,SM_Mat,$Q14,SM_Status,"OK")&gt;0,"OK","NO USAGE")))))</f>
        <v>NO DATA</v>
      </c>
      <c r="N14" s="31" t="n">
        <f aca="false">COUNTIFS(SM_Site,SelCrit,SM_Mat,$Q14,SM_Status,"CRITICAL")+COUNTIFS(SM_Site,SelCrit,SM_Mat,$Q14,SM_Status,"OUT OF STOCK")</f>
        <v>0</v>
      </c>
      <c r="O14" s="32" t="n">
        <f aca="false">SUMIFS(SM_Order,SM_Site,SelCrit,SM_Mat,$Q14)</f>
        <v>0</v>
      </c>
      <c r="Q14" s="24" t="str">
        <f aca="false">INDEX(Mat_Code,1)</f>
        <v>CEM</v>
      </c>
      <c r="R14" s="33" t="n">
        <f aca="false">INDEX(Mat_Lead,1)</f>
        <v>3</v>
      </c>
      <c r="S14" s="33" t="n">
        <f aca="false">INDEX(Mat_Safety,1)</f>
        <v>2</v>
      </c>
      <c r="T14" s="33" t="n">
        <f aca="false">R14+S14</f>
        <v>5</v>
      </c>
      <c r="U14" s="33" t="n">
        <f aca="false">R14</f>
        <v>3</v>
      </c>
      <c r="V14" s="33" t="n">
        <f aca="false">IF(ISNUMBER(H14),H14,0)</f>
        <v>0</v>
      </c>
      <c r="W14" s="26" t="n">
        <f aca="false">IF(ISNUMBER(F14),F14,0)</f>
        <v>0</v>
      </c>
      <c r="X14" s="34" t="n">
        <f aca="false">SUMPRODUCT(MIN(((($C$4=SM_Site)+($R$4="*"))&gt;0)*(SM_Mat=$Q14)*SM_RBn+(1-((($C$4=SM_Site)+($R$4="*"))&gt;0)*(SM_Mat=$Q14))*1000000000))</f>
        <v>1000000000</v>
      </c>
      <c r="Y14" s="34" t="n">
        <f aca="false">SUMPRODUCT(MIN(((($C$4=SM_Site)+($R$4="*"))&gt;0)*(SM_Mat=$Q14)*SM_CRn+(1-((($C$4=SM_Site)+($R$4="*"))&gt;0)*(SM_Mat=$Q14))*1000000000))</f>
        <v>1000000000</v>
      </c>
      <c r="Z14" s="34" t="n">
        <f aca="false">SUMPRODUCT(MIN(((($C$4=SM_Site)+($R$4="*"))&gt;0)*(SM_Mat=$Q14)*SM_SOn+(1-((($C$4=SM_Site)+($R$4="*"))&gt;0)*(SM_Mat=$Q14))*1000000000))</f>
        <v>1000000000</v>
      </c>
      <c r="AA14" s="31" t="n">
        <f aca="false">IF(AND(E14&gt;0,D14&gt;0),MIN(20,MAX(1,ROUND(D14/E14*20,0))),0)</f>
        <v>0</v>
      </c>
      <c r="AB14" s="31" t="n">
        <f aca="false">IF(AND(E14&gt;0,G14&gt;0,R14&gt;0),MIN(20,MAX(1,ROUND(G14*R14/E14*20,0))),0)</f>
        <v>0</v>
      </c>
      <c r="AC14" s="31" t="n">
        <f aca="false">IF(AND(E14&gt;0,G14&gt;0,T14&gt;0),MIN(20,MAX(1,ROUND(G14*T14/E14*20,0))),0)</f>
        <v>0</v>
      </c>
    </row>
    <row r="15" customFormat="false" ht="19.5" hidden="false" customHeight="true" outlineLevel="0" collapsed="false">
      <c r="B15" s="23" t="str">
        <f aca="false">INDEX(Mat_Short,2)</f>
        <v>Sand</v>
      </c>
      <c r="C15" s="24" t="str">
        <f aca="false">INDEX(Mat_Unit,2)</f>
        <v>m3</v>
      </c>
      <c r="D15" s="25" t="n">
        <f aca="false">SUMIFS(SM_Stock,SM_Site,SelCrit,SM_Mat,$Q15)</f>
        <v>0</v>
      </c>
      <c r="E15" s="25" t="n">
        <f aca="false">SUMIFS(SM_Cap,SM_Site,SelCrit,SM_Mat,$Q15)</f>
        <v>0</v>
      </c>
      <c r="F15" s="26" t="str">
        <f aca="false">IF(E15&gt;0,MAX(0,D15)/E15,"")</f>
        <v/>
      </c>
      <c r="G15" s="25" t="n">
        <f aca="false">SUMIFS(SM_Rate,SM_Site,SelCrit,SM_Mat,$Q15)</f>
        <v>0</v>
      </c>
      <c r="H15" s="27" t="str">
        <f aca="false">IF(G15&gt;0,MAX(0,D15)/G15,"")</f>
        <v/>
      </c>
      <c r="I15" s="28" t="n">
        <f aca="false">SUMIFS(SM_OnOrder,SM_Site,SelCrit,SM_Mat,$Q15)</f>
        <v>0</v>
      </c>
      <c r="J15" s="29" t="str">
        <f aca="false">IF($X15&gt;=1000000000,"",IF($X15&lt;=AsOfDate,"NOW",$X15))</f>
        <v/>
      </c>
      <c r="K15" s="29" t="str">
        <f aca="false">IF($Y15&gt;=1000000000,"",IF($Y15&lt;=AsOfDate,"NOW",$Y15))</f>
        <v/>
      </c>
      <c r="L15" s="29" t="str">
        <f aca="false">IF($Z15&gt;=1000000000,"",IF($Z15&lt;=AsOfDate,"OUT",$Z15))</f>
        <v/>
      </c>
      <c r="M15" s="30" t="str">
        <f aca="false">IF(COUNTIFS(SM_Site,SelCrit,SM_Mat,$Q15)=0,"NO DATA",IF(COUNTIFS(SM_Site,SelCrit,SM_Mat,$Q15,SM_Status,"OUT OF STOCK")&gt;0,"OUT OF STOCK",IF(COUNTIFS(SM_Site,SelCrit,SM_Mat,$Q15,SM_Status,"CRITICAL")&gt;0,"CRITICAL",IF(COUNTIFS(SM_Site,SelCrit,SM_Mat,$Q15,SM_Status,"REORDER")&gt;0,"REORDER",IF(COUNTIFS(SM_Site,SelCrit,SM_Mat,$Q15,SM_Status,"OK")&gt;0,"OK","NO USAGE")))))</f>
        <v>NO DATA</v>
      </c>
      <c r="N15" s="31" t="n">
        <f aca="false">COUNTIFS(SM_Site,SelCrit,SM_Mat,$Q15,SM_Status,"CRITICAL")+COUNTIFS(SM_Site,SelCrit,SM_Mat,$Q15,SM_Status,"OUT OF STOCK")</f>
        <v>0</v>
      </c>
      <c r="O15" s="32" t="n">
        <f aca="false">SUMIFS(SM_Order,SM_Site,SelCrit,SM_Mat,$Q15)</f>
        <v>0</v>
      </c>
      <c r="Q15" s="24" t="str">
        <f aca="false">INDEX(Mat_Code,2)</f>
        <v>SAND</v>
      </c>
      <c r="R15" s="33" t="n">
        <f aca="false">INDEX(Mat_Lead,2)</f>
        <v>2</v>
      </c>
      <c r="S15" s="33" t="n">
        <f aca="false">INDEX(Mat_Safety,2)</f>
        <v>2</v>
      </c>
      <c r="T15" s="33" t="n">
        <f aca="false">R15+S15</f>
        <v>4</v>
      </c>
      <c r="U15" s="33" t="n">
        <f aca="false">R15</f>
        <v>2</v>
      </c>
      <c r="V15" s="33" t="n">
        <f aca="false">IF(ISNUMBER(H15),H15,0)</f>
        <v>0</v>
      </c>
      <c r="W15" s="26" t="n">
        <f aca="false">IF(ISNUMBER(F15),F15,0)</f>
        <v>0</v>
      </c>
      <c r="X15" s="34" t="n">
        <f aca="false">SUMPRODUCT(MIN(((($C$4=SM_Site)+($R$4="*"))&gt;0)*(SM_Mat=$Q15)*SM_RBn+(1-((($C$4=SM_Site)+($R$4="*"))&gt;0)*(SM_Mat=$Q15))*1000000000))</f>
        <v>1000000000</v>
      </c>
      <c r="Y15" s="34" t="n">
        <f aca="false">SUMPRODUCT(MIN(((($C$4=SM_Site)+($R$4="*"))&gt;0)*(SM_Mat=$Q15)*SM_CRn+(1-((($C$4=SM_Site)+($R$4="*"))&gt;0)*(SM_Mat=$Q15))*1000000000))</f>
        <v>1000000000</v>
      </c>
      <c r="Z15" s="34" t="n">
        <f aca="false">SUMPRODUCT(MIN(((($C$4=SM_Site)+($R$4="*"))&gt;0)*(SM_Mat=$Q15)*SM_SOn+(1-((($C$4=SM_Site)+($R$4="*"))&gt;0)*(SM_Mat=$Q15))*1000000000))</f>
        <v>1000000000</v>
      </c>
      <c r="AA15" s="31" t="n">
        <f aca="false">IF(AND(E15&gt;0,D15&gt;0),MIN(20,MAX(1,ROUND(D15/E15*20,0))),0)</f>
        <v>0</v>
      </c>
      <c r="AB15" s="31" t="n">
        <f aca="false">IF(AND(E15&gt;0,G15&gt;0,R15&gt;0),MIN(20,MAX(1,ROUND(G15*R15/E15*20,0))),0)</f>
        <v>0</v>
      </c>
      <c r="AC15" s="31" t="n">
        <f aca="false">IF(AND(E15&gt;0,G15&gt;0,T15&gt;0),MIN(20,MAX(1,ROUND(G15*T15/E15*20,0))),0)</f>
        <v>0</v>
      </c>
    </row>
    <row r="16" customFormat="false" ht="19.5" hidden="false" customHeight="true" outlineLevel="0" collapsed="false">
      <c r="B16" s="23" t="str">
        <f aca="false">INDEX(Mat_Short,3)</f>
        <v>Gravel 3/4"</v>
      </c>
      <c r="C16" s="24" t="str">
        <f aca="false">INDEX(Mat_Unit,3)</f>
        <v>m3</v>
      </c>
      <c r="D16" s="25" t="n">
        <f aca="false">SUMIFS(SM_Stock,SM_Site,SelCrit,SM_Mat,$Q16)</f>
        <v>0</v>
      </c>
      <c r="E16" s="25" t="n">
        <f aca="false">SUMIFS(SM_Cap,SM_Site,SelCrit,SM_Mat,$Q16)</f>
        <v>0</v>
      </c>
      <c r="F16" s="26" t="str">
        <f aca="false">IF(E16&gt;0,MAX(0,D16)/E16,"")</f>
        <v/>
      </c>
      <c r="G16" s="25" t="n">
        <f aca="false">SUMIFS(SM_Rate,SM_Site,SelCrit,SM_Mat,$Q16)</f>
        <v>0</v>
      </c>
      <c r="H16" s="27" t="str">
        <f aca="false">IF(G16&gt;0,MAX(0,D16)/G16,"")</f>
        <v/>
      </c>
      <c r="I16" s="28" t="n">
        <f aca="false">SUMIFS(SM_OnOrder,SM_Site,SelCrit,SM_Mat,$Q16)</f>
        <v>0</v>
      </c>
      <c r="J16" s="29" t="str">
        <f aca="false">IF($X16&gt;=1000000000,"",IF($X16&lt;=AsOfDate,"NOW",$X16))</f>
        <v/>
      </c>
      <c r="K16" s="29" t="str">
        <f aca="false">IF($Y16&gt;=1000000000,"",IF($Y16&lt;=AsOfDate,"NOW",$Y16))</f>
        <v/>
      </c>
      <c r="L16" s="29" t="str">
        <f aca="false">IF($Z16&gt;=1000000000,"",IF($Z16&lt;=AsOfDate,"OUT",$Z16))</f>
        <v/>
      </c>
      <c r="M16" s="30" t="str">
        <f aca="false">IF(COUNTIFS(SM_Site,SelCrit,SM_Mat,$Q16)=0,"NO DATA",IF(COUNTIFS(SM_Site,SelCrit,SM_Mat,$Q16,SM_Status,"OUT OF STOCK")&gt;0,"OUT OF STOCK",IF(COUNTIFS(SM_Site,SelCrit,SM_Mat,$Q16,SM_Status,"CRITICAL")&gt;0,"CRITICAL",IF(COUNTIFS(SM_Site,SelCrit,SM_Mat,$Q16,SM_Status,"REORDER")&gt;0,"REORDER",IF(COUNTIFS(SM_Site,SelCrit,SM_Mat,$Q16,SM_Status,"OK")&gt;0,"OK","NO USAGE")))))</f>
        <v>NO DATA</v>
      </c>
      <c r="N16" s="31" t="n">
        <f aca="false">COUNTIFS(SM_Site,SelCrit,SM_Mat,$Q16,SM_Status,"CRITICAL")+COUNTIFS(SM_Site,SelCrit,SM_Mat,$Q16,SM_Status,"OUT OF STOCK")</f>
        <v>0</v>
      </c>
      <c r="O16" s="32" t="n">
        <f aca="false">SUMIFS(SM_Order,SM_Site,SelCrit,SM_Mat,$Q16)</f>
        <v>0</v>
      </c>
      <c r="Q16" s="24" t="str">
        <f aca="false">INDEX(Mat_Code,3)</f>
        <v>G34</v>
      </c>
      <c r="R16" s="33" t="n">
        <f aca="false">INDEX(Mat_Lead,3)</f>
        <v>2</v>
      </c>
      <c r="S16" s="33" t="n">
        <f aca="false">INDEX(Mat_Safety,3)</f>
        <v>2</v>
      </c>
      <c r="T16" s="33" t="n">
        <f aca="false">R16+S16</f>
        <v>4</v>
      </c>
      <c r="U16" s="33" t="n">
        <f aca="false">R16</f>
        <v>2</v>
      </c>
      <c r="V16" s="33" t="n">
        <f aca="false">IF(ISNUMBER(H16),H16,0)</f>
        <v>0</v>
      </c>
      <c r="W16" s="26" t="n">
        <f aca="false">IF(ISNUMBER(F16),F16,0)</f>
        <v>0</v>
      </c>
      <c r="X16" s="34" t="n">
        <f aca="false">SUMPRODUCT(MIN(((($C$4=SM_Site)+($R$4="*"))&gt;0)*(SM_Mat=$Q16)*SM_RBn+(1-((($C$4=SM_Site)+($R$4="*"))&gt;0)*(SM_Mat=$Q16))*1000000000))</f>
        <v>1000000000</v>
      </c>
      <c r="Y16" s="34" t="n">
        <f aca="false">SUMPRODUCT(MIN(((($C$4=SM_Site)+($R$4="*"))&gt;0)*(SM_Mat=$Q16)*SM_CRn+(1-((($C$4=SM_Site)+($R$4="*"))&gt;0)*(SM_Mat=$Q16))*1000000000))</f>
        <v>1000000000</v>
      </c>
      <c r="Z16" s="34" t="n">
        <f aca="false">SUMPRODUCT(MIN(((($C$4=SM_Site)+($R$4="*"))&gt;0)*(SM_Mat=$Q16)*SM_SOn+(1-((($C$4=SM_Site)+($R$4="*"))&gt;0)*(SM_Mat=$Q16))*1000000000))</f>
        <v>1000000000</v>
      </c>
      <c r="AA16" s="31" t="n">
        <f aca="false">IF(AND(E16&gt;0,D16&gt;0),MIN(20,MAX(1,ROUND(D16/E16*20,0))),0)</f>
        <v>0</v>
      </c>
      <c r="AB16" s="31" t="n">
        <f aca="false">IF(AND(E16&gt;0,G16&gt;0,R16&gt;0),MIN(20,MAX(1,ROUND(G16*R16/E16*20,0))),0)</f>
        <v>0</v>
      </c>
      <c r="AC16" s="31" t="n">
        <f aca="false">IF(AND(E16&gt;0,G16&gt;0,T16&gt;0),MIN(20,MAX(1,ROUND(G16*T16/E16*20,0))),0)</f>
        <v>0</v>
      </c>
    </row>
    <row r="17" customFormat="false" ht="19.5" hidden="false" customHeight="true" outlineLevel="0" collapsed="false">
      <c r="B17" s="23" t="str">
        <f aca="false">INDEX(Mat_Short,4)</f>
        <v>Gravel 3/8"</v>
      </c>
      <c r="C17" s="24" t="str">
        <f aca="false">INDEX(Mat_Unit,4)</f>
        <v>m3</v>
      </c>
      <c r="D17" s="25" t="n">
        <f aca="false">SUMIFS(SM_Stock,SM_Site,SelCrit,SM_Mat,$Q17)</f>
        <v>0</v>
      </c>
      <c r="E17" s="25" t="n">
        <f aca="false">SUMIFS(SM_Cap,SM_Site,SelCrit,SM_Mat,$Q17)</f>
        <v>0</v>
      </c>
      <c r="F17" s="26" t="str">
        <f aca="false">IF(E17&gt;0,MAX(0,D17)/E17,"")</f>
        <v/>
      </c>
      <c r="G17" s="25" t="n">
        <f aca="false">SUMIFS(SM_Rate,SM_Site,SelCrit,SM_Mat,$Q17)</f>
        <v>0</v>
      </c>
      <c r="H17" s="27" t="str">
        <f aca="false">IF(G17&gt;0,MAX(0,D17)/G17,"")</f>
        <v/>
      </c>
      <c r="I17" s="28" t="n">
        <f aca="false">SUMIFS(SM_OnOrder,SM_Site,SelCrit,SM_Mat,$Q17)</f>
        <v>0</v>
      </c>
      <c r="J17" s="29" t="str">
        <f aca="false">IF($X17&gt;=1000000000,"",IF($X17&lt;=AsOfDate,"NOW",$X17))</f>
        <v/>
      </c>
      <c r="K17" s="29" t="str">
        <f aca="false">IF($Y17&gt;=1000000000,"",IF($Y17&lt;=AsOfDate,"NOW",$Y17))</f>
        <v/>
      </c>
      <c r="L17" s="29" t="str">
        <f aca="false">IF($Z17&gt;=1000000000,"",IF($Z17&lt;=AsOfDate,"OUT",$Z17))</f>
        <v/>
      </c>
      <c r="M17" s="30" t="str">
        <f aca="false">IF(COUNTIFS(SM_Site,SelCrit,SM_Mat,$Q17)=0,"NO DATA",IF(COUNTIFS(SM_Site,SelCrit,SM_Mat,$Q17,SM_Status,"OUT OF STOCK")&gt;0,"OUT OF STOCK",IF(COUNTIFS(SM_Site,SelCrit,SM_Mat,$Q17,SM_Status,"CRITICAL")&gt;0,"CRITICAL",IF(COUNTIFS(SM_Site,SelCrit,SM_Mat,$Q17,SM_Status,"REORDER")&gt;0,"REORDER",IF(COUNTIFS(SM_Site,SelCrit,SM_Mat,$Q17,SM_Status,"OK")&gt;0,"OK","NO USAGE")))))</f>
        <v>NO DATA</v>
      </c>
      <c r="N17" s="31" t="n">
        <f aca="false">COUNTIFS(SM_Site,SelCrit,SM_Mat,$Q17,SM_Status,"CRITICAL")+COUNTIFS(SM_Site,SelCrit,SM_Mat,$Q17,SM_Status,"OUT OF STOCK")</f>
        <v>0</v>
      </c>
      <c r="O17" s="32" t="n">
        <f aca="false">SUMIFS(SM_Order,SM_Site,SelCrit,SM_Mat,$Q17)</f>
        <v>0</v>
      </c>
      <c r="Q17" s="24" t="str">
        <f aca="false">INDEX(Mat_Code,4)</f>
        <v>G38</v>
      </c>
      <c r="R17" s="33" t="n">
        <f aca="false">INDEX(Mat_Lead,4)</f>
        <v>2</v>
      </c>
      <c r="S17" s="33" t="n">
        <f aca="false">INDEX(Mat_Safety,4)</f>
        <v>2</v>
      </c>
      <c r="T17" s="33" t="n">
        <f aca="false">R17+S17</f>
        <v>4</v>
      </c>
      <c r="U17" s="33" t="n">
        <f aca="false">R17</f>
        <v>2</v>
      </c>
      <c r="V17" s="33" t="n">
        <f aca="false">IF(ISNUMBER(H17),H17,0)</f>
        <v>0</v>
      </c>
      <c r="W17" s="26" t="n">
        <f aca="false">IF(ISNUMBER(F17),F17,0)</f>
        <v>0</v>
      </c>
      <c r="X17" s="34" t="n">
        <f aca="false">SUMPRODUCT(MIN(((($C$4=SM_Site)+($R$4="*"))&gt;0)*(SM_Mat=$Q17)*SM_RBn+(1-((($C$4=SM_Site)+($R$4="*"))&gt;0)*(SM_Mat=$Q17))*1000000000))</f>
        <v>1000000000</v>
      </c>
      <c r="Y17" s="34" t="n">
        <f aca="false">SUMPRODUCT(MIN(((($C$4=SM_Site)+($R$4="*"))&gt;0)*(SM_Mat=$Q17)*SM_CRn+(1-((($C$4=SM_Site)+($R$4="*"))&gt;0)*(SM_Mat=$Q17))*1000000000))</f>
        <v>1000000000</v>
      </c>
      <c r="Z17" s="34" t="n">
        <f aca="false">SUMPRODUCT(MIN(((($C$4=SM_Site)+($R$4="*"))&gt;0)*(SM_Mat=$Q17)*SM_SOn+(1-((($C$4=SM_Site)+($R$4="*"))&gt;0)*(SM_Mat=$Q17))*1000000000))</f>
        <v>1000000000</v>
      </c>
      <c r="AA17" s="31" t="n">
        <f aca="false">IF(AND(E17&gt;0,D17&gt;0),MIN(20,MAX(1,ROUND(D17/E17*20,0))),0)</f>
        <v>0</v>
      </c>
      <c r="AB17" s="31" t="n">
        <f aca="false">IF(AND(E17&gt;0,G17&gt;0,R17&gt;0),MIN(20,MAX(1,ROUND(G17*R17/E17*20,0))),0)</f>
        <v>0</v>
      </c>
      <c r="AC17" s="31" t="n">
        <f aca="false">IF(AND(E17&gt;0,G17&gt;0,T17&gt;0),MIN(20,MAX(1,ROUND(G17*T17/E17*20,0))),0)</f>
        <v>0</v>
      </c>
    </row>
    <row r="18" customFormat="false" ht="19.5" hidden="false" customHeight="true" outlineLevel="0" collapsed="false">
      <c r="B18" s="23" t="str">
        <f aca="false">INDEX(Mat_Short,5)</f>
        <v>Admixture</v>
      </c>
      <c r="C18" s="24" t="str">
        <f aca="false">INDEX(Mat_Unit,5)</f>
        <v>L</v>
      </c>
      <c r="D18" s="25" t="n">
        <f aca="false">SUMIFS(SM_Stock,SM_Site,SelCrit,SM_Mat,$Q18)</f>
        <v>0</v>
      </c>
      <c r="E18" s="25" t="n">
        <f aca="false">SUMIFS(SM_Cap,SM_Site,SelCrit,SM_Mat,$Q18)</f>
        <v>0</v>
      </c>
      <c r="F18" s="26" t="str">
        <f aca="false">IF(E18&gt;0,MAX(0,D18)/E18,"")</f>
        <v/>
      </c>
      <c r="G18" s="25" t="n">
        <f aca="false">SUMIFS(SM_Rate,SM_Site,SelCrit,SM_Mat,$Q18)</f>
        <v>0</v>
      </c>
      <c r="H18" s="27" t="str">
        <f aca="false">IF(G18&gt;0,MAX(0,D18)/G18,"")</f>
        <v/>
      </c>
      <c r="I18" s="28" t="n">
        <f aca="false">SUMIFS(SM_OnOrder,SM_Site,SelCrit,SM_Mat,$Q18)</f>
        <v>0</v>
      </c>
      <c r="J18" s="29" t="str">
        <f aca="false">IF($X18&gt;=1000000000,"",IF($X18&lt;=AsOfDate,"NOW",$X18))</f>
        <v/>
      </c>
      <c r="K18" s="29" t="str">
        <f aca="false">IF($Y18&gt;=1000000000,"",IF($Y18&lt;=AsOfDate,"NOW",$Y18))</f>
        <v/>
      </c>
      <c r="L18" s="29" t="str">
        <f aca="false">IF($Z18&gt;=1000000000,"",IF($Z18&lt;=AsOfDate,"OUT",$Z18))</f>
        <v/>
      </c>
      <c r="M18" s="30" t="str">
        <f aca="false">IF(COUNTIFS(SM_Site,SelCrit,SM_Mat,$Q18)=0,"NO DATA",IF(COUNTIFS(SM_Site,SelCrit,SM_Mat,$Q18,SM_Status,"OUT OF STOCK")&gt;0,"OUT OF STOCK",IF(COUNTIFS(SM_Site,SelCrit,SM_Mat,$Q18,SM_Status,"CRITICAL")&gt;0,"CRITICAL",IF(COUNTIFS(SM_Site,SelCrit,SM_Mat,$Q18,SM_Status,"REORDER")&gt;0,"REORDER",IF(COUNTIFS(SM_Site,SelCrit,SM_Mat,$Q18,SM_Status,"OK")&gt;0,"OK","NO USAGE")))))</f>
        <v>NO DATA</v>
      </c>
      <c r="N18" s="31" t="n">
        <f aca="false">COUNTIFS(SM_Site,SelCrit,SM_Mat,$Q18,SM_Status,"CRITICAL")+COUNTIFS(SM_Site,SelCrit,SM_Mat,$Q18,SM_Status,"OUT OF STOCK")</f>
        <v>0</v>
      </c>
      <c r="O18" s="32" t="n">
        <f aca="false">SUMIFS(SM_Order,SM_Site,SelCrit,SM_Mat,$Q18)</f>
        <v>0</v>
      </c>
      <c r="Q18" s="24" t="str">
        <f aca="false">INDEX(Mat_Code,5)</f>
        <v>ADM</v>
      </c>
      <c r="R18" s="33" t="n">
        <f aca="false">INDEX(Mat_Lead,5)</f>
        <v>5</v>
      </c>
      <c r="S18" s="33" t="n">
        <f aca="false">INDEX(Mat_Safety,5)</f>
        <v>3</v>
      </c>
      <c r="T18" s="33" t="n">
        <f aca="false">R18+S18</f>
        <v>8</v>
      </c>
      <c r="U18" s="33" t="n">
        <f aca="false">R18</f>
        <v>5</v>
      </c>
      <c r="V18" s="33" t="n">
        <f aca="false">IF(ISNUMBER(H18),H18,0)</f>
        <v>0</v>
      </c>
      <c r="W18" s="26" t="n">
        <f aca="false">IF(ISNUMBER(F18),F18,0)</f>
        <v>0</v>
      </c>
      <c r="X18" s="34" t="n">
        <f aca="false">SUMPRODUCT(MIN(((($C$4=SM_Site)+($R$4="*"))&gt;0)*(SM_Mat=$Q18)*SM_RBn+(1-((($C$4=SM_Site)+($R$4="*"))&gt;0)*(SM_Mat=$Q18))*1000000000))</f>
        <v>1000000000</v>
      </c>
      <c r="Y18" s="34" t="n">
        <f aca="false">SUMPRODUCT(MIN(((($C$4=SM_Site)+($R$4="*"))&gt;0)*(SM_Mat=$Q18)*SM_CRn+(1-((($C$4=SM_Site)+($R$4="*"))&gt;0)*(SM_Mat=$Q18))*1000000000))</f>
        <v>1000000000</v>
      </c>
      <c r="Z18" s="34" t="n">
        <f aca="false">SUMPRODUCT(MIN(((($C$4=SM_Site)+($R$4="*"))&gt;0)*(SM_Mat=$Q18)*SM_SOn+(1-((($C$4=SM_Site)+($R$4="*"))&gt;0)*(SM_Mat=$Q18))*1000000000))</f>
        <v>1000000000</v>
      </c>
      <c r="AA18" s="31" t="n">
        <f aca="false">IF(AND(E18&gt;0,D18&gt;0),MIN(20,MAX(1,ROUND(D18/E18*20,0))),0)</f>
        <v>0</v>
      </c>
      <c r="AB18" s="31" t="n">
        <f aca="false">IF(AND(E18&gt;0,G18&gt;0,R18&gt;0),MIN(20,MAX(1,ROUND(G18*R18/E18*20,0))),0)</f>
        <v>0</v>
      </c>
      <c r="AC18" s="31" t="n">
        <f aca="false">IF(AND(E18&gt;0,G18&gt;0,T18&gt;0),MIN(20,MAX(1,ROUND(G18*T18/E18*20,0))),0)</f>
        <v>0</v>
      </c>
    </row>
    <row r="19" customFormat="false" ht="15" hidden="false" customHeight="false" outlineLevel="0" collapsed="false">
      <c r="B19" s="15" t="s">
        <v>79</v>
      </c>
    </row>
    <row r="20" customFormat="false" ht="18" hidden="false" customHeight="true" outlineLevel="0" collapsed="false">
      <c r="B20" s="35" t="str">
        <f aca="false">"STORAGE LEVELS — CEMENT SILO, AGGREGATE BINS &amp; ADMIXTURE TANK ("&amp;IF($R$4="*","all sites combined",$C$4)&amp;")   ·   fill = stock on hand ÷ max storage capacity"</f>
        <v>STORAGE LEVELS — CEMENT SILO, AGGREGATE BINS &amp; ADMIXTURE TANK (all sites combined)   ·   fill = stock on hand ÷ max storage capacity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2" customFormat="false" ht="25.5" hidden="false" customHeight="true" outlineLevel="0" collapsed="false">
      <c r="C22" s="36"/>
      <c r="D22" s="37"/>
      <c r="F22" s="38" t="s">
        <v>80</v>
      </c>
      <c r="G22" s="38"/>
      <c r="H22" s="38"/>
      <c r="I22" s="38"/>
      <c r="J22" s="38"/>
      <c r="K22" s="38"/>
      <c r="M22" s="39"/>
    </row>
    <row r="23" customFormat="false" ht="12.75" hidden="false" customHeight="true" outlineLevel="0" collapsed="false">
      <c r="B23" s="40" t="s">
        <v>81</v>
      </c>
      <c r="C23" s="41" t="str">
        <f aca="false">IF(20=$AB$14,"– – critical level – –",IF(20=$AC$14,"– – reorder level – –",IF(20=$AA$14,TEXT($W$14,"0%"),"")))</f>
        <v/>
      </c>
      <c r="D23" s="41"/>
      <c r="F23" s="41" t="str">
        <f aca="false">IF(20=$AB$15,"– – critical level – –",IF(20=$AC$15,"– – reorder level – –",IF(20=$AA$15,TEXT($W$15,"0%"),"")))</f>
        <v/>
      </c>
      <c r="G23" s="41"/>
      <c r="H23" s="41" t="str">
        <f aca="false">IF(20=$AB$16,"– – critical level – –",IF(20=$AC$16,"– – reorder level – –",IF(20=$AA$16,TEXT($W$16,"0%"),"")))</f>
        <v/>
      </c>
      <c r="I23" s="41"/>
      <c r="J23" s="41" t="str">
        <f aca="false">IF(20=$AB$17,"– – critical level – –",IF(20=$AC$17,"– – reorder level – –",IF(20=$AA$17,TEXT($W$17,"0%"),"")))</f>
        <v/>
      </c>
      <c r="K23" s="41"/>
      <c r="M23" s="42" t="str">
        <f aca="false">IF(20=$AB$18,"– – critical level – –",IF(20=$AC$18,"– – reorder level – –",IF(20=$AA$18,TEXT($W$18,"0%"),"")))</f>
        <v/>
      </c>
      <c r="N23" s="42"/>
    </row>
    <row r="24" customFormat="false" ht="12.75" hidden="false" customHeight="true" outlineLevel="0" collapsed="false">
      <c r="C24" s="41" t="str">
        <f aca="false">IF(19=$AB$14,"– – critical level – –",IF(19=$AC$14,"– – reorder level – –",IF(19=$AA$14,TEXT($W$14,"0%"),"")))</f>
        <v/>
      </c>
      <c r="D24" s="41"/>
      <c r="F24" s="41" t="str">
        <f aca="false">IF(19=$AB$15,"– – critical level – –",IF(19=$AC$15,"– – reorder level – –",IF(19=$AA$15,TEXT($W$15,"0%"),"")))</f>
        <v/>
      </c>
      <c r="G24" s="41"/>
      <c r="H24" s="41" t="str">
        <f aca="false">IF(19=$AB$16,"– – critical level – –",IF(19=$AC$16,"– – reorder level – –",IF(19=$AA$16,TEXT($W$16,"0%"),"")))</f>
        <v/>
      </c>
      <c r="I24" s="41"/>
      <c r="J24" s="41" t="str">
        <f aca="false">IF(19=$AB$17,"– – critical level – –",IF(19=$AC$17,"– – reorder level – –",IF(19=$AA$17,TEXT($W$17,"0%"),"")))</f>
        <v/>
      </c>
      <c r="K24" s="41"/>
      <c r="M24" s="41" t="str">
        <f aca="false">IF(19=$AB$18,"– – critical level – –",IF(19=$AC$18,"– – reorder level – –",IF(19=$AA$18,TEXT($W$18,"0%"),"")))</f>
        <v/>
      </c>
      <c r="N24" s="41"/>
    </row>
    <row r="25" customFormat="false" ht="12.75" hidden="false" customHeight="true" outlineLevel="0" collapsed="false">
      <c r="C25" s="41" t="str">
        <f aca="false">IF(18=$AB$14,"– – critical level – –",IF(18=$AC$14,"– – reorder level – –",IF(18=$AA$14,TEXT($W$14,"0%"),"")))</f>
        <v/>
      </c>
      <c r="D25" s="41"/>
      <c r="F25" s="41" t="str">
        <f aca="false">IF(18=$AB$15,"– – critical level – –",IF(18=$AC$15,"– – reorder level – –",IF(18=$AA$15,TEXT($W$15,"0%"),"")))</f>
        <v/>
      </c>
      <c r="G25" s="41"/>
      <c r="H25" s="41" t="str">
        <f aca="false">IF(18=$AB$16,"– – critical level – –",IF(18=$AC$16,"– – reorder level – –",IF(18=$AA$16,TEXT($W$16,"0%"),"")))</f>
        <v/>
      </c>
      <c r="I25" s="41"/>
      <c r="J25" s="41" t="str">
        <f aca="false">IF(18=$AB$17,"– – critical level – –",IF(18=$AC$17,"– – reorder level – –",IF(18=$AA$17,TEXT($W$17,"0%"),"")))</f>
        <v/>
      </c>
      <c r="K25" s="41"/>
      <c r="M25" s="41" t="str">
        <f aca="false">IF(18=$AB$18,"– – critical level – –",IF(18=$AC$18,"– – reorder level – –",IF(18=$AA$18,TEXT($W$18,"0%"),"")))</f>
        <v/>
      </c>
      <c r="N25" s="41"/>
    </row>
    <row r="26" customFormat="false" ht="12.75" hidden="false" customHeight="true" outlineLevel="0" collapsed="false">
      <c r="C26" s="41" t="str">
        <f aca="false">IF(17=$AB$14,"– – critical level – –",IF(17=$AC$14,"– – reorder level – –",IF(17=$AA$14,TEXT($W$14,"0%"),"")))</f>
        <v/>
      </c>
      <c r="D26" s="41"/>
      <c r="F26" s="41" t="str">
        <f aca="false">IF(17=$AB$15,"– – critical level – –",IF(17=$AC$15,"– – reorder level – –",IF(17=$AA$15,TEXT($W$15,"0%"),"")))</f>
        <v/>
      </c>
      <c r="G26" s="41"/>
      <c r="H26" s="41" t="str">
        <f aca="false">IF(17=$AB$16,"– – critical level – –",IF(17=$AC$16,"– – reorder level – –",IF(17=$AA$16,TEXT($W$16,"0%"),"")))</f>
        <v/>
      </c>
      <c r="I26" s="41"/>
      <c r="J26" s="41" t="str">
        <f aca="false">IF(17=$AB$17,"– – critical level – –",IF(17=$AC$17,"– – reorder level – –",IF(17=$AA$17,TEXT($W$17,"0%"),"")))</f>
        <v/>
      </c>
      <c r="K26" s="41"/>
      <c r="M26" s="41" t="str">
        <f aca="false">IF(17=$AB$18,"– – critical level – –",IF(17=$AC$18,"– – reorder level – –",IF(17=$AA$18,TEXT($W$18,"0%"),"")))</f>
        <v/>
      </c>
      <c r="N26" s="41"/>
    </row>
    <row r="27" customFormat="false" ht="12.75" hidden="false" customHeight="true" outlineLevel="0" collapsed="false">
      <c r="C27" s="41" t="str">
        <f aca="false">IF(16=$AB$14,"– – critical level – –",IF(16=$AC$14,"– – reorder level – –",IF(16=$AA$14,TEXT($W$14,"0%"),"")))</f>
        <v/>
      </c>
      <c r="D27" s="41"/>
      <c r="F27" s="41" t="str">
        <f aca="false">IF(16=$AB$15,"– – critical level – –",IF(16=$AC$15,"– – reorder level – –",IF(16=$AA$15,TEXT($W$15,"0%"),"")))</f>
        <v/>
      </c>
      <c r="G27" s="41"/>
      <c r="H27" s="41" t="str">
        <f aca="false">IF(16=$AB$16,"– – critical level – –",IF(16=$AC$16,"– – reorder level – –",IF(16=$AA$16,TEXT($W$16,"0%"),"")))</f>
        <v/>
      </c>
      <c r="I27" s="41"/>
      <c r="J27" s="41" t="str">
        <f aca="false">IF(16=$AB$17,"– – critical level – –",IF(16=$AC$17,"– – reorder level – –",IF(16=$AA$17,TEXT($W$17,"0%"),"")))</f>
        <v/>
      </c>
      <c r="K27" s="41"/>
      <c r="M27" s="41" t="str">
        <f aca="false">IF(16=$AB$18,"– – critical level – –",IF(16=$AC$18,"– – reorder level – –",IF(16=$AA$18,TEXT($W$18,"0%"),"")))</f>
        <v/>
      </c>
      <c r="N27" s="41"/>
    </row>
    <row r="28" customFormat="false" ht="12.75" hidden="false" customHeight="true" outlineLevel="0" collapsed="false">
      <c r="B28" s="40" t="s">
        <v>82</v>
      </c>
      <c r="C28" s="41" t="str">
        <f aca="false">IF(15=$AB$14,"– – critical level – –",IF(15=$AC$14,"– – reorder level – –",IF(15=$AA$14,TEXT($W$14,"0%"),"")))</f>
        <v/>
      </c>
      <c r="D28" s="41"/>
      <c r="F28" s="41" t="str">
        <f aca="false">IF(15=$AB$15,"– – critical level – –",IF(15=$AC$15,"– – reorder level – –",IF(15=$AA$15,TEXT($W$15,"0%"),"")))</f>
        <v/>
      </c>
      <c r="G28" s="41"/>
      <c r="H28" s="41" t="str">
        <f aca="false">IF(15=$AB$16,"– – critical level – –",IF(15=$AC$16,"– – reorder level – –",IF(15=$AA$16,TEXT($W$16,"0%"),"")))</f>
        <v/>
      </c>
      <c r="I28" s="41"/>
      <c r="J28" s="41" t="str">
        <f aca="false">IF(15=$AB$17,"– – critical level – –",IF(15=$AC$17,"– – reorder level – –",IF(15=$AA$17,TEXT($W$17,"0%"),"")))</f>
        <v/>
      </c>
      <c r="K28" s="41"/>
      <c r="M28" s="41" t="str">
        <f aca="false">IF(15=$AB$18,"– – critical level – –",IF(15=$AC$18,"– – reorder level – –",IF(15=$AA$18,TEXT($W$18,"0%"),"")))</f>
        <v/>
      </c>
      <c r="N28" s="41"/>
    </row>
    <row r="29" customFormat="false" ht="12.75" hidden="false" customHeight="true" outlineLevel="0" collapsed="false">
      <c r="C29" s="41" t="str">
        <f aca="false">IF(14=$AB$14,"– – critical level – –",IF(14=$AC$14,"– – reorder level – –",IF(14=$AA$14,TEXT($W$14,"0%"),"")))</f>
        <v/>
      </c>
      <c r="D29" s="41"/>
      <c r="F29" s="41" t="str">
        <f aca="false">IF(14=$AB$15,"– – critical level – –",IF(14=$AC$15,"– – reorder level – –",IF(14=$AA$15,TEXT($W$15,"0%"),"")))</f>
        <v/>
      </c>
      <c r="G29" s="41"/>
      <c r="H29" s="41" t="str">
        <f aca="false">IF(14=$AB$16,"– – critical level – –",IF(14=$AC$16,"– – reorder level – –",IF(14=$AA$16,TEXT($W$16,"0%"),"")))</f>
        <v/>
      </c>
      <c r="I29" s="41"/>
      <c r="J29" s="41" t="str">
        <f aca="false">IF(14=$AB$17,"– – critical level – –",IF(14=$AC$17,"– – reorder level – –",IF(14=$AA$17,TEXT($W$17,"0%"),"")))</f>
        <v/>
      </c>
      <c r="K29" s="41"/>
      <c r="M29" s="41" t="str">
        <f aca="false">IF(14=$AB$18,"– – critical level – –",IF(14=$AC$18,"– – reorder level – –",IF(14=$AA$18,TEXT($W$18,"0%"),"")))</f>
        <v/>
      </c>
      <c r="N29" s="41"/>
    </row>
    <row r="30" customFormat="false" ht="12.75" hidden="false" customHeight="true" outlineLevel="0" collapsed="false">
      <c r="C30" s="41" t="str">
        <f aca="false">IF(13=$AB$14,"– – critical level – –",IF(13=$AC$14,"– – reorder level – –",IF(13=$AA$14,TEXT($W$14,"0%"),"")))</f>
        <v/>
      </c>
      <c r="D30" s="41"/>
      <c r="F30" s="41" t="str">
        <f aca="false">IF(13=$AB$15,"– – critical level – –",IF(13=$AC$15,"– – reorder level – –",IF(13=$AA$15,TEXT($W$15,"0%"),"")))</f>
        <v/>
      </c>
      <c r="G30" s="41"/>
      <c r="H30" s="41" t="str">
        <f aca="false">IF(13=$AB$16,"– – critical level – –",IF(13=$AC$16,"– – reorder level – –",IF(13=$AA$16,TEXT($W$16,"0%"),"")))</f>
        <v/>
      </c>
      <c r="I30" s="41"/>
      <c r="J30" s="41" t="str">
        <f aca="false">IF(13=$AB$17,"– – critical level – –",IF(13=$AC$17,"– – reorder level – –",IF(13=$AA$17,TEXT($W$17,"0%"),"")))</f>
        <v/>
      </c>
      <c r="K30" s="41"/>
      <c r="M30" s="41" t="str">
        <f aca="false">IF(13=$AB$18,"– – critical level – –",IF(13=$AC$18,"– – reorder level – –",IF(13=$AA$18,TEXT($W$18,"0%"),"")))</f>
        <v/>
      </c>
      <c r="N30" s="41"/>
    </row>
    <row r="31" customFormat="false" ht="12.75" hidden="false" customHeight="true" outlineLevel="0" collapsed="false">
      <c r="C31" s="41" t="str">
        <f aca="false">IF(12=$AB$14,"– – critical level – –",IF(12=$AC$14,"– – reorder level – –",IF(12=$AA$14,TEXT($W$14,"0%"),"")))</f>
        <v/>
      </c>
      <c r="D31" s="41"/>
      <c r="F31" s="41" t="str">
        <f aca="false">IF(12=$AB$15,"– – critical level – –",IF(12=$AC$15,"– – reorder level – –",IF(12=$AA$15,TEXT($W$15,"0%"),"")))</f>
        <v/>
      </c>
      <c r="G31" s="41"/>
      <c r="H31" s="41" t="str">
        <f aca="false">IF(12=$AB$16,"– – critical level – –",IF(12=$AC$16,"– – reorder level – –",IF(12=$AA$16,TEXT($W$16,"0%"),"")))</f>
        <v/>
      </c>
      <c r="I31" s="41"/>
      <c r="J31" s="41" t="str">
        <f aca="false">IF(12=$AB$17,"– – critical level – –",IF(12=$AC$17,"– – reorder level – –",IF(12=$AA$17,TEXT($W$17,"0%"),"")))</f>
        <v/>
      </c>
      <c r="K31" s="41"/>
      <c r="M31" s="41" t="str">
        <f aca="false">IF(12=$AB$18,"– – critical level – –",IF(12=$AC$18,"– – reorder level – –",IF(12=$AA$18,TEXT($W$18,"0%"),"")))</f>
        <v/>
      </c>
      <c r="N31" s="41"/>
    </row>
    <row r="32" customFormat="false" ht="12.75" hidden="false" customHeight="true" outlineLevel="0" collapsed="false">
      <c r="C32" s="41" t="str">
        <f aca="false">IF(11=$AB$14,"– – critical level – –",IF(11=$AC$14,"– – reorder level – –",IF(11=$AA$14,TEXT($W$14,"0%"),"")))</f>
        <v/>
      </c>
      <c r="D32" s="41"/>
      <c r="F32" s="41" t="str">
        <f aca="false">IF(11=$AB$15,"– – critical level – –",IF(11=$AC$15,"– – reorder level – –",IF(11=$AA$15,TEXT($W$15,"0%"),"")))</f>
        <v/>
      </c>
      <c r="G32" s="41"/>
      <c r="H32" s="41" t="str">
        <f aca="false">IF(11=$AB$16,"– – critical level – –",IF(11=$AC$16,"– – reorder level – –",IF(11=$AA$16,TEXT($W$16,"0%"),"")))</f>
        <v/>
      </c>
      <c r="I32" s="41"/>
      <c r="J32" s="41" t="str">
        <f aca="false">IF(11=$AB$17,"– – critical level – –",IF(11=$AC$17,"– – reorder level – –",IF(11=$AA$17,TEXT($W$17,"0%"),"")))</f>
        <v/>
      </c>
      <c r="K32" s="41"/>
      <c r="M32" s="41" t="str">
        <f aca="false">IF(11=$AB$18,"– – critical level – –",IF(11=$AC$18,"– – reorder level – –",IF(11=$AA$18,TEXT($W$18,"0%"),"")))</f>
        <v/>
      </c>
      <c r="N32" s="41"/>
    </row>
    <row r="33" customFormat="false" ht="12.75" hidden="false" customHeight="true" outlineLevel="0" collapsed="false">
      <c r="B33" s="40" t="s">
        <v>83</v>
      </c>
      <c r="C33" s="41" t="str">
        <f aca="false">IF(10=$AB$14,"– – critical level – –",IF(10=$AC$14,"– – reorder level – –",IF(10=$AA$14,TEXT($W$14,"0%"),"")))</f>
        <v/>
      </c>
      <c r="D33" s="41"/>
      <c r="F33" s="41" t="str">
        <f aca="false">IF(10=$AB$15,"– – critical level – –",IF(10=$AC$15,"– – reorder level – –",IF(10=$AA$15,TEXT($W$15,"0%"),"")))</f>
        <v/>
      </c>
      <c r="G33" s="41"/>
      <c r="H33" s="41" t="str">
        <f aca="false">IF(10=$AB$16,"– – critical level – –",IF(10=$AC$16,"– – reorder level – –",IF(10=$AA$16,TEXT($W$16,"0%"),"")))</f>
        <v/>
      </c>
      <c r="I33" s="41"/>
      <c r="J33" s="41" t="str">
        <f aca="false">IF(10=$AB$17,"– – critical level – –",IF(10=$AC$17,"– – reorder level – –",IF(10=$AA$17,TEXT($W$17,"0%"),"")))</f>
        <v/>
      </c>
      <c r="K33" s="41"/>
      <c r="M33" s="41" t="str">
        <f aca="false">IF(10=$AB$18,"– – critical level – –",IF(10=$AC$18,"– – reorder level – –",IF(10=$AA$18,TEXT($W$18,"0%"),"")))</f>
        <v/>
      </c>
      <c r="N33" s="41"/>
    </row>
    <row r="34" customFormat="false" ht="12.75" hidden="false" customHeight="true" outlineLevel="0" collapsed="false">
      <c r="C34" s="41" t="str">
        <f aca="false">IF(9=$AB$14,"– – critical level – –",IF(9=$AC$14,"– – reorder level – –",IF(9=$AA$14,TEXT($W$14,"0%"),"")))</f>
        <v/>
      </c>
      <c r="D34" s="41"/>
      <c r="F34" s="41" t="str">
        <f aca="false">IF(9=$AB$15,"– – critical level – –",IF(9=$AC$15,"– – reorder level – –",IF(9=$AA$15,TEXT($W$15,"0%"),"")))</f>
        <v/>
      </c>
      <c r="G34" s="41"/>
      <c r="H34" s="41" t="str">
        <f aca="false">IF(9=$AB$16,"– – critical level – –",IF(9=$AC$16,"– – reorder level – –",IF(9=$AA$16,TEXT($W$16,"0%"),"")))</f>
        <v/>
      </c>
      <c r="I34" s="41"/>
      <c r="J34" s="41" t="str">
        <f aca="false">IF(9=$AB$17,"– – critical level – –",IF(9=$AC$17,"– – reorder level – –",IF(9=$AA$17,TEXT($W$17,"0%"),"")))</f>
        <v/>
      </c>
      <c r="K34" s="41"/>
      <c r="M34" s="41" t="str">
        <f aca="false">IF(9=$AB$18,"– – critical level – –",IF(9=$AC$18,"– – reorder level – –",IF(9=$AA$18,TEXT($W$18,"0%"),"")))</f>
        <v/>
      </c>
      <c r="N34" s="41"/>
    </row>
    <row r="35" customFormat="false" ht="12.75" hidden="false" customHeight="true" outlineLevel="0" collapsed="false">
      <c r="C35" s="41" t="str">
        <f aca="false">IF(8=$AB$14,"– – critical level – –",IF(8=$AC$14,"– – reorder level – –",IF(8=$AA$14,TEXT($W$14,"0%"),"")))</f>
        <v/>
      </c>
      <c r="D35" s="41"/>
      <c r="F35" s="41" t="str">
        <f aca="false">IF(8=$AB$15,"– – critical level – –",IF(8=$AC$15,"– – reorder level – –",IF(8=$AA$15,TEXT($W$15,"0%"),"")))</f>
        <v/>
      </c>
      <c r="G35" s="41"/>
      <c r="H35" s="41" t="str">
        <f aca="false">IF(8=$AB$16,"– – critical level – –",IF(8=$AC$16,"– – reorder level – –",IF(8=$AA$16,TEXT($W$16,"0%"),"")))</f>
        <v/>
      </c>
      <c r="I35" s="41"/>
      <c r="J35" s="41" t="str">
        <f aca="false">IF(8=$AB$17,"– – critical level – –",IF(8=$AC$17,"– – reorder level – –",IF(8=$AA$17,TEXT($W$17,"0%"),"")))</f>
        <v/>
      </c>
      <c r="K35" s="41"/>
      <c r="M35" s="41" t="str">
        <f aca="false">IF(8=$AB$18,"– – critical level – –",IF(8=$AC$18,"– – reorder level – –",IF(8=$AA$18,TEXT($W$18,"0%"),"")))</f>
        <v/>
      </c>
      <c r="N35" s="41"/>
    </row>
    <row r="36" customFormat="false" ht="12.75" hidden="false" customHeight="true" outlineLevel="0" collapsed="false">
      <c r="C36" s="41" t="str">
        <f aca="false">IF(7=$AB$14,"– – critical level – –",IF(7=$AC$14,"– – reorder level – –",IF(7=$AA$14,TEXT($W$14,"0%"),"")))</f>
        <v/>
      </c>
      <c r="D36" s="41"/>
      <c r="F36" s="41" t="str">
        <f aca="false">IF(7=$AB$15,"– – critical level – –",IF(7=$AC$15,"– – reorder level – –",IF(7=$AA$15,TEXT($W$15,"0%"),"")))</f>
        <v/>
      </c>
      <c r="G36" s="41"/>
      <c r="H36" s="41" t="str">
        <f aca="false">IF(7=$AB$16,"– – critical level – –",IF(7=$AC$16,"– – reorder level – –",IF(7=$AA$16,TEXT($W$16,"0%"),"")))</f>
        <v/>
      </c>
      <c r="I36" s="41"/>
      <c r="J36" s="41" t="str">
        <f aca="false">IF(7=$AB$17,"– – critical level – –",IF(7=$AC$17,"– – reorder level – –",IF(7=$AA$17,TEXT($W$17,"0%"),"")))</f>
        <v/>
      </c>
      <c r="K36" s="41"/>
      <c r="M36" s="41" t="str">
        <f aca="false">IF(7=$AB$18,"– – critical level – –",IF(7=$AC$18,"– – reorder level – –",IF(7=$AA$18,TEXT($W$18,"0%"),"")))</f>
        <v/>
      </c>
      <c r="N36" s="41"/>
    </row>
    <row r="37" customFormat="false" ht="12.75" hidden="false" customHeight="true" outlineLevel="0" collapsed="false">
      <c r="C37" s="41" t="str">
        <f aca="false">IF(6=$AB$14,"– – critical level – –",IF(6=$AC$14,"– – reorder level – –",IF(6=$AA$14,TEXT($W$14,"0%"),"")))</f>
        <v/>
      </c>
      <c r="D37" s="41"/>
      <c r="F37" s="41" t="str">
        <f aca="false">IF(6=$AB$15,"– – critical level – –",IF(6=$AC$15,"– – reorder level – –",IF(6=$AA$15,TEXT($W$15,"0%"),"")))</f>
        <v/>
      </c>
      <c r="G37" s="41"/>
      <c r="H37" s="41" t="str">
        <f aca="false">IF(6=$AB$16,"– – critical level – –",IF(6=$AC$16,"– – reorder level – –",IF(6=$AA$16,TEXT($W$16,"0%"),"")))</f>
        <v/>
      </c>
      <c r="I37" s="41"/>
      <c r="J37" s="41" t="str">
        <f aca="false">IF(6=$AB$17,"– – critical level – –",IF(6=$AC$17,"– – reorder level – –",IF(6=$AA$17,TEXT($W$17,"0%"),"")))</f>
        <v/>
      </c>
      <c r="K37" s="41"/>
      <c r="M37" s="41" t="str">
        <f aca="false">IF(6=$AB$18,"– – critical level – –",IF(6=$AC$18,"– – reorder level – –",IF(6=$AA$18,TEXT($W$18,"0%"),"")))</f>
        <v/>
      </c>
      <c r="N37" s="41"/>
    </row>
    <row r="38" customFormat="false" ht="12.75" hidden="false" customHeight="true" outlineLevel="0" collapsed="false">
      <c r="B38" s="40" t="s">
        <v>84</v>
      </c>
      <c r="C38" s="41" t="str">
        <f aca="false">IF(5=$AB$14,"– – critical level – –",IF(5=$AC$14,"– – reorder level – –",IF(5=$AA$14,TEXT($W$14,"0%"),"")))</f>
        <v/>
      </c>
      <c r="D38" s="41"/>
      <c r="F38" s="41" t="str">
        <f aca="false">IF(5=$AB$15,"– – critical level – –",IF(5=$AC$15,"– – reorder level – –",IF(5=$AA$15,TEXT($W$15,"0%"),"")))</f>
        <v/>
      </c>
      <c r="G38" s="41"/>
      <c r="H38" s="41" t="str">
        <f aca="false">IF(5=$AB$16,"– – critical level – –",IF(5=$AC$16,"– – reorder level – –",IF(5=$AA$16,TEXT($W$16,"0%"),"")))</f>
        <v/>
      </c>
      <c r="I38" s="41"/>
      <c r="J38" s="41" t="str">
        <f aca="false">IF(5=$AB$17,"– – critical level – –",IF(5=$AC$17,"– – reorder level – –",IF(5=$AA$17,TEXT($W$17,"0%"),"")))</f>
        <v/>
      </c>
      <c r="K38" s="41"/>
      <c r="M38" s="41" t="str">
        <f aca="false">IF(5=$AB$18,"– – critical level – –",IF(5=$AC$18,"– – reorder level – –",IF(5=$AA$18,TEXT($W$18,"0%"),"")))</f>
        <v/>
      </c>
      <c r="N38" s="41"/>
    </row>
    <row r="39" customFormat="false" ht="12.75" hidden="false" customHeight="true" outlineLevel="0" collapsed="false">
      <c r="C39" s="41" t="str">
        <f aca="false">IF(4=$AB$14,"– – critical level – –",IF(4=$AC$14,"– – reorder level – –",IF(4=$AA$14,TEXT($W$14,"0%"),"")))</f>
        <v/>
      </c>
      <c r="D39" s="41"/>
      <c r="F39" s="41" t="str">
        <f aca="false">IF(4=$AB$15,"– – critical level – –",IF(4=$AC$15,"– – reorder level – –",IF(4=$AA$15,TEXT($W$15,"0%"),"")))</f>
        <v/>
      </c>
      <c r="G39" s="41"/>
      <c r="H39" s="41" t="str">
        <f aca="false">IF(4=$AB$16,"– – critical level – –",IF(4=$AC$16,"– – reorder level – –",IF(4=$AA$16,TEXT($W$16,"0%"),"")))</f>
        <v/>
      </c>
      <c r="I39" s="41"/>
      <c r="J39" s="41" t="str">
        <f aca="false">IF(4=$AB$17,"– – critical level – –",IF(4=$AC$17,"– – reorder level – –",IF(4=$AA$17,TEXT($W$17,"0%"),"")))</f>
        <v/>
      </c>
      <c r="K39" s="41"/>
      <c r="M39" s="41" t="str">
        <f aca="false">IF(4=$AB$18,"– – critical level – –",IF(4=$AC$18,"– – reorder level – –",IF(4=$AA$18,TEXT($W$18,"0%"),"")))</f>
        <v/>
      </c>
      <c r="N39" s="41"/>
    </row>
    <row r="40" customFormat="false" ht="12.75" hidden="false" customHeight="true" outlineLevel="0" collapsed="false">
      <c r="C40" s="41" t="str">
        <f aca="false">IF(3=$AB$14,"– – critical level – –",IF(3=$AC$14,"– – reorder level – –",IF(3=$AA$14,TEXT($W$14,"0%"),"")))</f>
        <v/>
      </c>
      <c r="D40" s="41"/>
      <c r="F40" s="41" t="str">
        <f aca="false">IF(3=$AB$15,"– – critical level – –",IF(3=$AC$15,"– – reorder level – –",IF(3=$AA$15,TEXT($W$15,"0%"),"")))</f>
        <v/>
      </c>
      <c r="G40" s="41"/>
      <c r="H40" s="41" t="str">
        <f aca="false">IF(3=$AB$16,"– – critical level – –",IF(3=$AC$16,"– – reorder level – –",IF(3=$AA$16,TEXT($W$16,"0%"),"")))</f>
        <v/>
      </c>
      <c r="I40" s="41"/>
      <c r="J40" s="41" t="str">
        <f aca="false">IF(3=$AB$17,"– – critical level – –",IF(3=$AC$17,"– – reorder level – –",IF(3=$AA$17,TEXT($W$17,"0%"),"")))</f>
        <v/>
      </c>
      <c r="K40" s="41"/>
      <c r="M40" s="41" t="str">
        <f aca="false">IF(3=$AB$18,"– – critical level – –",IF(3=$AC$18,"– – reorder level – –",IF(3=$AA$18,TEXT($W$18,"0%"),"")))</f>
        <v/>
      </c>
      <c r="N40" s="41"/>
    </row>
    <row r="41" customFormat="false" ht="12.75" hidden="false" customHeight="true" outlineLevel="0" collapsed="false">
      <c r="C41" s="41" t="str">
        <f aca="false">IF(2=$AB$14,"– – critical level – –",IF(2=$AC$14,"– – reorder level – –",IF(2=$AA$14,TEXT($W$14,"0%"),"")))</f>
        <v/>
      </c>
      <c r="D41" s="41"/>
      <c r="F41" s="41" t="str">
        <f aca="false">IF(2=$AB$15,"– – critical level – –",IF(2=$AC$15,"– – reorder level – –",IF(2=$AA$15,TEXT($W$15,"0%"),"")))</f>
        <v/>
      </c>
      <c r="G41" s="41"/>
      <c r="H41" s="41" t="str">
        <f aca="false">IF(2=$AB$16,"– – critical level – –",IF(2=$AC$16,"– – reorder level – –",IF(2=$AA$16,TEXT($W$16,"0%"),"")))</f>
        <v/>
      </c>
      <c r="I41" s="41"/>
      <c r="J41" s="41" t="str">
        <f aca="false">IF(2=$AB$17,"– – critical level – –",IF(2=$AC$17,"– – reorder level – –",IF(2=$AA$17,TEXT($W$17,"0%"),"")))</f>
        <v/>
      </c>
      <c r="K41" s="41"/>
      <c r="M41" s="41" t="str">
        <f aca="false">IF(2=$AB$18,"– – critical level – –",IF(2=$AC$18,"– – reorder level – –",IF(2=$AA$18,TEXT($W$18,"0%"),"")))</f>
        <v/>
      </c>
      <c r="N41" s="41"/>
    </row>
    <row r="42" customFormat="false" ht="12.75" hidden="false" customHeight="true" outlineLevel="0" collapsed="false">
      <c r="B42" s="43" t="s">
        <v>85</v>
      </c>
      <c r="C42" s="41" t="str">
        <f aca="false">IF(1=$AB$14,"– – critical level – –",IF(1=$AC$14,"– – reorder level – –",IF(1=$AA$14,TEXT($W$14,"0%"),"")))</f>
        <v/>
      </c>
      <c r="D42" s="41"/>
      <c r="F42" s="41" t="str">
        <f aca="false">IF(1=$AB$15,"– – critical level – –",IF(1=$AC$15,"– – reorder level – –",IF(1=$AA$15,TEXT($W$15,"0%"),"")))</f>
        <v/>
      </c>
      <c r="G42" s="41"/>
      <c r="H42" s="41" t="str">
        <f aca="false">IF(1=$AB$16,"– – critical level – –",IF(1=$AC$16,"– – reorder level – –",IF(1=$AA$16,TEXT($W$16,"0%"),"")))</f>
        <v/>
      </c>
      <c r="I42" s="41"/>
      <c r="J42" s="41" t="str">
        <f aca="false">IF(1=$AB$17,"– – critical level – –",IF(1=$AC$17,"– – reorder level – –",IF(1=$AA$17,TEXT($W$17,"0%"),"")))</f>
        <v/>
      </c>
      <c r="K42" s="41"/>
      <c r="M42" s="44" t="str">
        <f aca="false">IF(1=$AB$18,"– – critical level – –",IF(1=$AC$18,"– – reorder level – –",IF(1=$AA$18,TEXT($W$18,"0%"),"")))</f>
        <v/>
      </c>
      <c r="N42" s="44"/>
    </row>
    <row r="43" customFormat="false" ht="30" hidden="false" customHeight="true" outlineLevel="0" collapsed="false">
      <c r="C43" s="45"/>
      <c r="D43" s="46"/>
      <c r="F43" s="45"/>
      <c r="G43" s="46"/>
      <c r="H43" s="37"/>
      <c r="I43" s="46"/>
      <c r="J43" s="37"/>
      <c r="K43" s="46"/>
      <c r="M43" s="47"/>
      <c r="N43" s="48"/>
    </row>
    <row r="44" customFormat="false" ht="9.75" hidden="false" customHeight="true" outlineLevel="0" collapsed="false">
      <c r="C44" s="47"/>
      <c r="D44" s="48"/>
      <c r="F44" s="47"/>
      <c r="G44" s="48"/>
      <c r="H44" s="39"/>
      <c r="I44" s="48"/>
      <c r="J44" s="39"/>
      <c r="K44" s="48"/>
      <c r="M44" s="47"/>
      <c r="N44" s="48"/>
    </row>
    <row r="45" customFormat="false" ht="12" hidden="false" customHeight="true" outlineLevel="0" collapsed="false">
      <c r="B45" s="49"/>
      <c r="C45" s="50"/>
      <c r="D45" s="51"/>
      <c r="E45" s="49"/>
      <c r="F45" s="50"/>
      <c r="G45" s="51"/>
      <c r="H45" s="49"/>
      <c r="I45" s="51"/>
      <c r="J45" s="49"/>
      <c r="K45" s="51"/>
      <c r="L45" s="49"/>
      <c r="M45" s="50"/>
      <c r="N45" s="51"/>
      <c r="O45" s="49"/>
    </row>
    <row r="46" customFormat="false" ht="15" hidden="false" customHeight="false" outlineLevel="0" collapsed="false">
      <c r="C46" s="52" t="str">
        <f aca="false">UPPER(INDEX(Mat_Short,1))&amp;" SILO"</f>
        <v>CEMENT SILO</v>
      </c>
      <c r="D46" s="52"/>
      <c r="F46" s="52" t="str">
        <f aca="false">UPPER(INDEX(Mat_Short,2))&amp;" BIN"</f>
        <v>SAND BIN</v>
      </c>
      <c r="G46" s="52"/>
      <c r="H46" s="52" t="str">
        <f aca="false">UPPER(INDEX(Mat_Short,3))&amp;" BIN"</f>
        <v>GRAVEL 3/4" BIN</v>
      </c>
      <c r="I46" s="52"/>
      <c r="J46" s="52" t="str">
        <f aca="false">UPPER(INDEX(Mat_Short,4))&amp;" BIN"</f>
        <v>GRAVEL 3/8" BIN</v>
      </c>
      <c r="K46" s="52"/>
      <c r="M46" s="52" t="str">
        <f aca="false">UPPER(INDEX(Mat_Short,5))&amp;" TANK"</f>
        <v>ADMIXTURE TANK</v>
      </c>
      <c r="N46" s="52"/>
    </row>
    <row r="47" customFormat="false" ht="18" hidden="false" customHeight="true" outlineLevel="0" collapsed="false">
      <c r="C47" s="53" t="str">
        <f aca="false">IF(ISNUMBER(F14),TEXT(F14,"0%")&amp;" full",IF(M14="NO DATA","not set up","no capacity set"))</f>
        <v>not set up</v>
      </c>
      <c r="D47" s="53"/>
      <c r="F47" s="53" t="str">
        <f aca="false">IF(ISNUMBER(F15),TEXT(F15,"0%")&amp;" full",IF(M15="NO DATA","not set up","no capacity set"))</f>
        <v>not set up</v>
      </c>
      <c r="G47" s="53"/>
      <c r="H47" s="53" t="str">
        <f aca="false">IF(ISNUMBER(F16),TEXT(F16,"0%")&amp;" full",IF(M16="NO DATA","not set up","no capacity set"))</f>
        <v>not set up</v>
      </c>
      <c r="I47" s="53"/>
      <c r="J47" s="53" t="str">
        <f aca="false">IF(ISNUMBER(F17),TEXT(F17,"0%")&amp;" full",IF(M17="NO DATA","not set up","no capacity set"))</f>
        <v>not set up</v>
      </c>
      <c r="K47" s="53"/>
      <c r="M47" s="53" t="str">
        <f aca="false">IF(ISNUMBER(F18),TEXT(F18,"0%")&amp;" full",IF(M18="NO DATA","not set up","no capacity set"))</f>
        <v>not set up</v>
      </c>
      <c r="N47" s="53"/>
    </row>
    <row r="48" customFormat="false" ht="15" hidden="false" customHeight="false" outlineLevel="0" collapsed="false">
      <c r="C48" s="54" t="str">
        <f aca="false">TEXT(D14,"#,##0")&amp;" / "&amp;TEXT(E14,"#,##0")&amp;" "&amp;C14</f>
        <v>0 / 0 bags</v>
      </c>
      <c r="D48" s="54"/>
      <c r="F48" s="54" t="str">
        <f aca="false">TEXT(D15,"#,##0")&amp;" / "&amp;TEXT(E15,"#,##0")&amp;" "&amp;C15</f>
        <v>0 / 0 m3</v>
      </c>
      <c r="G48" s="54"/>
      <c r="H48" s="54" t="str">
        <f aca="false">TEXT(D16,"#,##0")&amp;" / "&amp;TEXT(E16,"#,##0")&amp;" "&amp;C16</f>
        <v>0 / 0 m3</v>
      </c>
      <c r="I48" s="54"/>
      <c r="J48" s="54" t="str">
        <f aca="false">TEXT(D17,"#,##0")&amp;" / "&amp;TEXT(E17,"#,##0")&amp;" "&amp;C17</f>
        <v>0 / 0 m3</v>
      </c>
      <c r="K48" s="54"/>
      <c r="M48" s="54" t="str">
        <f aca="false">TEXT(D18,"#,##0")&amp;" / "&amp;TEXT(E18,"#,##0")&amp;" "&amp;C18</f>
        <v>0 / 0 L</v>
      </c>
      <c r="N48" s="54"/>
    </row>
    <row r="49" customFormat="false" ht="15" hidden="false" customHeight="false" outlineLevel="0" collapsed="false">
      <c r="C49" s="55" t="str">
        <f aca="false">IF(ISNUMBER(H14),TEXT(H14,"0.0")&amp;" days left",IF(M14="NO DATA","–","no usage"))</f>
        <v>–</v>
      </c>
      <c r="D49" s="55"/>
      <c r="F49" s="55" t="str">
        <f aca="false">IF(ISNUMBER(H15),TEXT(H15,"0.0")&amp;" days left",IF(M15="NO DATA","–","no usage"))</f>
        <v>–</v>
      </c>
      <c r="G49" s="55"/>
      <c r="H49" s="55" t="str">
        <f aca="false">IF(ISNUMBER(H16),TEXT(H16,"0.0")&amp;" days left",IF(M16="NO DATA","–","no usage"))</f>
        <v>–</v>
      </c>
      <c r="I49" s="55"/>
      <c r="J49" s="55" t="str">
        <f aca="false">IF(ISNUMBER(H17),TEXT(H17,"0.0")&amp;" days left",IF(M17="NO DATA","–","no usage"))</f>
        <v>–</v>
      </c>
      <c r="K49" s="55"/>
      <c r="M49" s="55" t="str">
        <f aca="false">IF(ISNUMBER(H18),TEXT(H18,"0.0")&amp;" days left",IF(M18="NO DATA","–","no usage"))</f>
        <v>–</v>
      </c>
      <c r="N49" s="55"/>
    </row>
    <row r="50" customFormat="false" ht="15" hidden="false" customHeight="false" outlineLevel="0" collapsed="false">
      <c r="C50" s="56" t="str">
        <f aca="false">M14</f>
        <v>NO DATA</v>
      </c>
      <c r="D50" s="56"/>
      <c r="F50" s="56" t="str">
        <f aca="false">M15</f>
        <v>NO DATA</v>
      </c>
      <c r="G50" s="56"/>
      <c r="H50" s="56" t="str">
        <f aca="false">M16</f>
        <v>NO DATA</v>
      </c>
      <c r="I50" s="56"/>
      <c r="J50" s="56" t="str">
        <f aca="false">M17</f>
        <v>NO DATA</v>
      </c>
      <c r="K50" s="56"/>
      <c r="M50" s="56" t="str">
        <f aca="false">M18</f>
        <v>NO DATA</v>
      </c>
      <c r="N50" s="56"/>
    </row>
    <row r="51" customFormat="false" ht="19.5" hidden="false" customHeight="true" outlineLevel="0" collapsed="false">
      <c r="B51" s="57" t="s">
        <v>86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  <row r="53" customFormat="false" ht="18" hidden="false" customHeight="true" outlineLevel="0" collapsed="false">
      <c r="B53" s="35" t="s">
        <v>87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customFormat="false" ht="33.75" hidden="false" customHeight="true" outlineLevel="0" collapsed="false">
      <c r="B54" s="22" t="s">
        <v>88</v>
      </c>
      <c r="C54" s="22" t="str">
        <f aca="false">INDEX(Mat_Short,1)&amp;CHAR(10)&amp;"days left"</f>
        <v>Cement
days left</v>
      </c>
      <c r="D54" s="22" t="str">
        <f aca="false">INDEX(Mat_Short,2)&amp;CHAR(10)&amp;"days left"</f>
        <v>Sand
days left</v>
      </c>
      <c r="E54" s="22" t="str">
        <f aca="false">INDEX(Mat_Short,3)&amp;CHAR(10)&amp;"days left"</f>
        <v>Gravel 3/4"
days left</v>
      </c>
      <c r="F54" s="22" t="str">
        <f aca="false">INDEX(Mat_Short,4)&amp;CHAR(10)&amp;"days left"</f>
        <v>Gravel 3/8"
days left</v>
      </c>
      <c r="G54" s="22" t="str">
        <f aca="false">INDEX(Mat_Short,5)&amp;CHAR(10)&amp;"days left"</f>
        <v>Admixture
days left</v>
      </c>
      <c r="H54" s="22" t="str">
        <f aca="false">INDEX(Mat_Short,1)&amp;CHAR(10)&amp;"% full"</f>
        <v>Cement
% full</v>
      </c>
      <c r="I54" s="22" t="str">
        <f aca="false">INDEX(Mat_Short,2)&amp;CHAR(10)&amp;"% full"</f>
        <v>Sand
% full</v>
      </c>
      <c r="J54" s="22" t="str">
        <f aca="false">INDEX(Mat_Short,3)&amp;CHAR(10)&amp;"% full"</f>
        <v>Gravel 3/4"
% full</v>
      </c>
      <c r="K54" s="22" t="str">
        <f aca="false">INDEX(Mat_Short,4)&amp;CHAR(10)&amp;"% full"</f>
        <v>Gravel 3/8"
% full</v>
      </c>
      <c r="L54" s="22" t="str">
        <f aca="false">INDEX(Mat_Short,5)&amp;CHAR(10)&amp;"% full"</f>
        <v>Admixture
% full</v>
      </c>
      <c r="M54" s="22" t="s">
        <v>89</v>
      </c>
      <c r="N54" s="22" t="s">
        <v>90</v>
      </c>
      <c r="O54" s="22" t="s">
        <v>91</v>
      </c>
    </row>
    <row r="55" customFormat="false" ht="15" hidden="false" customHeight="false" outlineLevel="0" collapsed="false">
      <c r="B55" s="23" t="str">
        <f aca="false">IF(Settings!$B19="","",Settings!$B19)</f>
        <v>Batulao Parkhomes</v>
      </c>
      <c r="C55" s="33" t="str">
        <f aca="false">IF($B55="","",IF(COUNTIFS(SM_Site,$B55,SM_Mat,Settings!$B$11)=0,"",IF(SUMIFS(SM_Rate,SM_Site,$B55,SM_Mat,Settings!$B$11)&gt;0,MAX(0,SUMIFS(SM_Stock,SM_Site,$B55,SM_Mat,Settings!$B$11))/SUMIFS(SM_Rate,SM_Site,$B55,SM_Mat,Settings!$B$11),"no use")))</f>
        <v/>
      </c>
      <c r="D55" s="33" t="str">
        <f aca="false">IF($B55="","",IF(COUNTIFS(SM_Site,$B55,SM_Mat,Settings!$B$12)=0,"",IF(SUMIFS(SM_Rate,SM_Site,$B55,SM_Mat,Settings!$B$12)&gt;0,MAX(0,SUMIFS(SM_Stock,SM_Site,$B55,SM_Mat,Settings!$B$12))/SUMIFS(SM_Rate,SM_Site,$B55,SM_Mat,Settings!$B$12),"no use")))</f>
        <v/>
      </c>
      <c r="E55" s="33" t="str">
        <f aca="false">IF($B55="","",IF(COUNTIFS(SM_Site,$B55,SM_Mat,Settings!$B$13)=0,"",IF(SUMIFS(SM_Rate,SM_Site,$B55,SM_Mat,Settings!$B$13)&gt;0,MAX(0,SUMIFS(SM_Stock,SM_Site,$B55,SM_Mat,Settings!$B$13))/SUMIFS(SM_Rate,SM_Site,$B55,SM_Mat,Settings!$B$13),"no use")))</f>
        <v/>
      </c>
      <c r="F55" s="33" t="str">
        <f aca="false">IF($B55="","",IF(COUNTIFS(SM_Site,$B55,SM_Mat,Settings!$B$14)=0,"",IF(SUMIFS(SM_Rate,SM_Site,$B55,SM_Mat,Settings!$B$14)&gt;0,MAX(0,SUMIFS(SM_Stock,SM_Site,$B55,SM_Mat,Settings!$B$14))/SUMIFS(SM_Rate,SM_Site,$B55,SM_Mat,Settings!$B$14),"no use")))</f>
        <v/>
      </c>
      <c r="G55" s="33" t="str">
        <f aca="false">IF($B55="","",IF(COUNTIFS(SM_Site,$B55,SM_Mat,Settings!$B$15)=0,"",IF(SUMIFS(SM_Rate,SM_Site,$B55,SM_Mat,Settings!$B$15)&gt;0,MAX(0,SUMIFS(SM_Stock,SM_Site,$B55,SM_Mat,Settings!$B$15))/SUMIFS(SM_Rate,SM_Site,$B55,SM_Mat,Settings!$B$15),"no use")))</f>
        <v/>
      </c>
      <c r="H55" s="26" t="str">
        <f aca="false">IF($B55="","",IF(SUMIFS(SM_Cap,SM_Site,$B55,SM_Mat,Settings!$B$11)&gt;0,MAX(0,SUMIFS(SM_Stock,SM_Site,$B55,SM_Mat,Settings!$B$11))/SUMIFS(SM_Cap,SM_Site,$B55,SM_Mat,Settings!$B$11),""))</f>
        <v/>
      </c>
      <c r="I55" s="26" t="str">
        <f aca="false">IF($B55="","",IF(SUMIFS(SM_Cap,SM_Site,$B55,SM_Mat,Settings!$B$12)&gt;0,MAX(0,SUMIFS(SM_Stock,SM_Site,$B55,SM_Mat,Settings!$B$12))/SUMIFS(SM_Cap,SM_Site,$B55,SM_Mat,Settings!$B$12),""))</f>
        <v/>
      </c>
      <c r="J55" s="26" t="str">
        <f aca="false">IF($B55="","",IF(SUMIFS(SM_Cap,SM_Site,$B55,SM_Mat,Settings!$B$13)&gt;0,MAX(0,SUMIFS(SM_Stock,SM_Site,$B55,SM_Mat,Settings!$B$13))/SUMIFS(SM_Cap,SM_Site,$B55,SM_Mat,Settings!$B$13),""))</f>
        <v/>
      </c>
      <c r="K55" s="26" t="str">
        <f aca="false">IF($B55="","",IF(SUMIFS(SM_Cap,SM_Site,$B55,SM_Mat,Settings!$B$14)&gt;0,MAX(0,SUMIFS(SM_Stock,SM_Site,$B55,SM_Mat,Settings!$B$14))/SUMIFS(SM_Cap,SM_Site,$B55,SM_Mat,Settings!$B$14),""))</f>
        <v/>
      </c>
      <c r="L55" s="26" t="str">
        <f aca="false">IF($B55="","",IF(SUMIFS(SM_Cap,SM_Site,$B55,SM_Mat,Settings!$B$15)&gt;0,MAX(0,SUMIFS(SM_Stock,SM_Site,$B55,SM_Mat,Settings!$B$15))/SUMIFS(SM_Cap,SM_Site,$B55,SM_Mat,Settings!$B$15),""))</f>
        <v/>
      </c>
      <c r="M55" s="30" t="str">
        <f aca="false">IF($B55="","",IF(COUNTIF(SM_Site,$B55)=0,"NOT SET UP",IF(COUNTIFS(SM_Site,$B55,SM_Status,"OUT OF STOCK")&gt;0,"OUT OF STOCK",IF(COUNTIFS(SM_Site,$B55,SM_Status,"CRITICAL")&gt;0,"CRITICAL",IF(COUNTIFS(SM_Site,$B55,SM_Status,"REORDER")&gt;0,"REORDER",IF(COUNTIFS(SM_Site,$B55,SM_Status,"OK")&gt;0,"OK","NO USAGE"))))))</f>
        <v>NOT SET UP</v>
      </c>
      <c r="N55" s="27" t="str">
        <f aca="false">IF(COUNT(C55:G55)=0,"",MIN(C55:G55))</f>
        <v/>
      </c>
      <c r="O55" s="29" t="str">
        <f aca="false">IF(N55="","",IF(N55&lt;=0,"OUT",WORKDAY.INTL(AsOfDate,ROUNDUP(N55,0),WeekendMask,Holidays)))</f>
        <v/>
      </c>
    </row>
    <row r="56" customFormat="false" ht="15" hidden="false" customHeight="false" outlineLevel="0" collapsed="false">
      <c r="B56" s="23" t="str">
        <f aca="false">IF(Settings!$B20="","",Settings!$B20)</f>
        <v>Calauan (Alora+Amani)</v>
      </c>
      <c r="C56" s="33" t="str">
        <f aca="false">IF($B56="","",IF(COUNTIFS(SM_Site,$B56,SM_Mat,Settings!$B$11)=0,"",IF(SUMIFS(SM_Rate,SM_Site,$B56,SM_Mat,Settings!$B$11)&gt;0,MAX(0,SUMIFS(SM_Stock,SM_Site,$B56,SM_Mat,Settings!$B$11))/SUMIFS(SM_Rate,SM_Site,$B56,SM_Mat,Settings!$B$11),"no use")))</f>
        <v/>
      </c>
      <c r="D56" s="33" t="str">
        <f aca="false">IF($B56="","",IF(COUNTIFS(SM_Site,$B56,SM_Mat,Settings!$B$12)=0,"",IF(SUMIFS(SM_Rate,SM_Site,$B56,SM_Mat,Settings!$B$12)&gt;0,MAX(0,SUMIFS(SM_Stock,SM_Site,$B56,SM_Mat,Settings!$B$12))/SUMIFS(SM_Rate,SM_Site,$B56,SM_Mat,Settings!$B$12),"no use")))</f>
        <v/>
      </c>
      <c r="E56" s="33" t="str">
        <f aca="false">IF($B56="","",IF(COUNTIFS(SM_Site,$B56,SM_Mat,Settings!$B$13)=0,"",IF(SUMIFS(SM_Rate,SM_Site,$B56,SM_Mat,Settings!$B$13)&gt;0,MAX(0,SUMIFS(SM_Stock,SM_Site,$B56,SM_Mat,Settings!$B$13))/SUMIFS(SM_Rate,SM_Site,$B56,SM_Mat,Settings!$B$13),"no use")))</f>
        <v/>
      </c>
      <c r="F56" s="33" t="str">
        <f aca="false">IF($B56="","",IF(COUNTIFS(SM_Site,$B56,SM_Mat,Settings!$B$14)=0,"",IF(SUMIFS(SM_Rate,SM_Site,$B56,SM_Mat,Settings!$B$14)&gt;0,MAX(0,SUMIFS(SM_Stock,SM_Site,$B56,SM_Mat,Settings!$B$14))/SUMIFS(SM_Rate,SM_Site,$B56,SM_Mat,Settings!$B$14),"no use")))</f>
        <v/>
      </c>
      <c r="G56" s="33" t="str">
        <f aca="false">IF($B56="","",IF(COUNTIFS(SM_Site,$B56,SM_Mat,Settings!$B$15)=0,"",IF(SUMIFS(SM_Rate,SM_Site,$B56,SM_Mat,Settings!$B$15)&gt;0,MAX(0,SUMIFS(SM_Stock,SM_Site,$B56,SM_Mat,Settings!$B$15))/SUMIFS(SM_Rate,SM_Site,$B56,SM_Mat,Settings!$B$15),"no use")))</f>
        <v/>
      </c>
      <c r="H56" s="26" t="str">
        <f aca="false">IF($B56="","",IF(SUMIFS(SM_Cap,SM_Site,$B56,SM_Mat,Settings!$B$11)&gt;0,MAX(0,SUMIFS(SM_Stock,SM_Site,$B56,SM_Mat,Settings!$B$11))/SUMIFS(SM_Cap,SM_Site,$B56,SM_Mat,Settings!$B$11),""))</f>
        <v/>
      </c>
      <c r="I56" s="26" t="str">
        <f aca="false">IF($B56="","",IF(SUMIFS(SM_Cap,SM_Site,$B56,SM_Mat,Settings!$B$12)&gt;0,MAX(0,SUMIFS(SM_Stock,SM_Site,$B56,SM_Mat,Settings!$B$12))/SUMIFS(SM_Cap,SM_Site,$B56,SM_Mat,Settings!$B$12),""))</f>
        <v/>
      </c>
      <c r="J56" s="26" t="str">
        <f aca="false">IF($B56="","",IF(SUMIFS(SM_Cap,SM_Site,$B56,SM_Mat,Settings!$B$13)&gt;0,MAX(0,SUMIFS(SM_Stock,SM_Site,$B56,SM_Mat,Settings!$B$13))/SUMIFS(SM_Cap,SM_Site,$B56,SM_Mat,Settings!$B$13),""))</f>
        <v/>
      </c>
      <c r="K56" s="26" t="str">
        <f aca="false">IF($B56="","",IF(SUMIFS(SM_Cap,SM_Site,$B56,SM_Mat,Settings!$B$14)&gt;0,MAX(0,SUMIFS(SM_Stock,SM_Site,$B56,SM_Mat,Settings!$B$14))/SUMIFS(SM_Cap,SM_Site,$B56,SM_Mat,Settings!$B$14),""))</f>
        <v/>
      </c>
      <c r="L56" s="26" t="str">
        <f aca="false">IF($B56="","",IF(SUMIFS(SM_Cap,SM_Site,$B56,SM_Mat,Settings!$B$15)&gt;0,MAX(0,SUMIFS(SM_Stock,SM_Site,$B56,SM_Mat,Settings!$B$15))/SUMIFS(SM_Cap,SM_Site,$B56,SM_Mat,Settings!$B$15),""))</f>
        <v/>
      </c>
      <c r="M56" s="30" t="str">
        <f aca="false">IF($B56="","",IF(COUNTIF(SM_Site,$B56)=0,"NOT SET UP",IF(COUNTIFS(SM_Site,$B56,SM_Status,"OUT OF STOCK")&gt;0,"OUT OF STOCK",IF(COUNTIFS(SM_Site,$B56,SM_Status,"CRITICAL")&gt;0,"CRITICAL",IF(COUNTIFS(SM_Site,$B56,SM_Status,"REORDER")&gt;0,"REORDER",IF(COUNTIFS(SM_Site,$B56,SM_Status,"OK")&gt;0,"OK","NO USAGE"))))))</f>
        <v>NOT SET UP</v>
      </c>
      <c r="N56" s="27" t="str">
        <f aca="false">IF(COUNT(C56:G56)=0,"",MIN(C56:G56))</f>
        <v/>
      </c>
      <c r="O56" s="29" t="str">
        <f aca="false">IF(N56="","",IF(N56&lt;=0,"OUT",WORKDAY.INTL(AsOfDate,ROUNDUP(N56,0),WeekendMask,Holidays)))</f>
        <v/>
      </c>
    </row>
    <row r="57" customFormat="false" ht="15" hidden="false" customHeight="false" outlineLevel="0" collapsed="false">
      <c r="B57" s="23" t="str">
        <f aca="false">IF(Settings!$B21="","",Settings!$B21)</f>
        <v>Gentri</v>
      </c>
      <c r="C57" s="33" t="str">
        <f aca="false">IF($B57="","",IF(COUNTIFS(SM_Site,$B57,SM_Mat,Settings!$B$11)=0,"",IF(SUMIFS(SM_Rate,SM_Site,$B57,SM_Mat,Settings!$B$11)&gt;0,MAX(0,SUMIFS(SM_Stock,SM_Site,$B57,SM_Mat,Settings!$B$11))/SUMIFS(SM_Rate,SM_Site,$B57,SM_Mat,Settings!$B$11),"no use")))</f>
        <v/>
      </c>
      <c r="D57" s="33" t="str">
        <f aca="false">IF($B57="","",IF(COUNTIFS(SM_Site,$B57,SM_Mat,Settings!$B$12)=0,"",IF(SUMIFS(SM_Rate,SM_Site,$B57,SM_Mat,Settings!$B$12)&gt;0,MAX(0,SUMIFS(SM_Stock,SM_Site,$B57,SM_Mat,Settings!$B$12))/SUMIFS(SM_Rate,SM_Site,$B57,SM_Mat,Settings!$B$12),"no use")))</f>
        <v/>
      </c>
      <c r="E57" s="33" t="str">
        <f aca="false">IF($B57="","",IF(COUNTIFS(SM_Site,$B57,SM_Mat,Settings!$B$13)=0,"",IF(SUMIFS(SM_Rate,SM_Site,$B57,SM_Mat,Settings!$B$13)&gt;0,MAX(0,SUMIFS(SM_Stock,SM_Site,$B57,SM_Mat,Settings!$B$13))/SUMIFS(SM_Rate,SM_Site,$B57,SM_Mat,Settings!$B$13),"no use")))</f>
        <v/>
      </c>
      <c r="F57" s="33" t="str">
        <f aca="false">IF($B57="","",IF(COUNTIFS(SM_Site,$B57,SM_Mat,Settings!$B$14)=0,"",IF(SUMIFS(SM_Rate,SM_Site,$B57,SM_Mat,Settings!$B$14)&gt;0,MAX(0,SUMIFS(SM_Stock,SM_Site,$B57,SM_Mat,Settings!$B$14))/SUMIFS(SM_Rate,SM_Site,$B57,SM_Mat,Settings!$B$14),"no use")))</f>
        <v/>
      </c>
      <c r="G57" s="33" t="str">
        <f aca="false">IF($B57="","",IF(COUNTIFS(SM_Site,$B57,SM_Mat,Settings!$B$15)=0,"",IF(SUMIFS(SM_Rate,SM_Site,$B57,SM_Mat,Settings!$B$15)&gt;0,MAX(0,SUMIFS(SM_Stock,SM_Site,$B57,SM_Mat,Settings!$B$15))/SUMIFS(SM_Rate,SM_Site,$B57,SM_Mat,Settings!$B$15),"no use")))</f>
        <v/>
      </c>
      <c r="H57" s="26" t="str">
        <f aca="false">IF($B57="","",IF(SUMIFS(SM_Cap,SM_Site,$B57,SM_Mat,Settings!$B$11)&gt;0,MAX(0,SUMIFS(SM_Stock,SM_Site,$B57,SM_Mat,Settings!$B$11))/SUMIFS(SM_Cap,SM_Site,$B57,SM_Mat,Settings!$B$11),""))</f>
        <v/>
      </c>
      <c r="I57" s="26" t="str">
        <f aca="false">IF($B57="","",IF(SUMIFS(SM_Cap,SM_Site,$B57,SM_Mat,Settings!$B$12)&gt;0,MAX(0,SUMIFS(SM_Stock,SM_Site,$B57,SM_Mat,Settings!$B$12))/SUMIFS(SM_Cap,SM_Site,$B57,SM_Mat,Settings!$B$12),""))</f>
        <v/>
      </c>
      <c r="J57" s="26" t="str">
        <f aca="false">IF($B57="","",IF(SUMIFS(SM_Cap,SM_Site,$B57,SM_Mat,Settings!$B$13)&gt;0,MAX(0,SUMIFS(SM_Stock,SM_Site,$B57,SM_Mat,Settings!$B$13))/SUMIFS(SM_Cap,SM_Site,$B57,SM_Mat,Settings!$B$13),""))</f>
        <v/>
      </c>
      <c r="K57" s="26" t="str">
        <f aca="false">IF($B57="","",IF(SUMIFS(SM_Cap,SM_Site,$B57,SM_Mat,Settings!$B$14)&gt;0,MAX(0,SUMIFS(SM_Stock,SM_Site,$B57,SM_Mat,Settings!$B$14))/SUMIFS(SM_Cap,SM_Site,$B57,SM_Mat,Settings!$B$14),""))</f>
        <v/>
      </c>
      <c r="L57" s="26" t="str">
        <f aca="false">IF($B57="","",IF(SUMIFS(SM_Cap,SM_Site,$B57,SM_Mat,Settings!$B$15)&gt;0,MAX(0,SUMIFS(SM_Stock,SM_Site,$B57,SM_Mat,Settings!$B$15))/SUMIFS(SM_Cap,SM_Site,$B57,SM_Mat,Settings!$B$15),""))</f>
        <v/>
      </c>
      <c r="M57" s="30" t="str">
        <f aca="false">IF($B57="","",IF(COUNTIF(SM_Site,$B57)=0,"NOT SET UP",IF(COUNTIFS(SM_Site,$B57,SM_Status,"OUT OF STOCK")&gt;0,"OUT OF STOCK",IF(COUNTIFS(SM_Site,$B57,SM_Status,"CRITICAL")&gt;0,"CRITICAL",IF(COUNTIFS(SM_Site,$B57,SM_Status,"REORDER")&gt;0,"REORDER",IF(COUNTIFS(SM_Site,$B57,SM_Status,"OK")&gt;0,"OK","NO USAGE"))))))</f>
        <v>NOT SET UP</v>
      </c>
      <c r="N57" s="27" t="str">
        <f aca="false">IF(COUNT(C57:G57)=0,"",MIN(C57:G57))</f>
        <v/>
      </c>
      <c r="O57" s="29" t="str">
        <f aca="false">IF(N57="","",IF(N57&lt;=0,"OUT",WORKDAY.INTL(AsOfDate,ROUNDUP(N57,0),WeekendMask,Holidays)))</f>
        <v/>
      </c>
    </row>
    <row r="58" customFormat="false" ht="15" hidden="false" customHeight="false" outlineLevel="0" collapsed="false">
      <c r="B58" s="23" t="str">
        <f aca="false">IF(Settings!$B22="","",Settings!$B22)</f>
        <v>Naic</v>
      </c>
      <c r="C58" s="33" t="str">
        <f aca="false">IF($B58="","",IF(COUNTIFS(SM_Site,$B58,SM_Mat,Settings!$B$11)=0,"",IF(SUMIFS(SM_Rate,SM_Site,$B58,SM_Mat,Settings!$B$11)&gt;0,MAX(0,SUMIFS(SM_Stock,SM_Site,$B58,SM_Mat,Settings!$B$11))/SUMIFS(SM_Rate,SM_Site,$B58,SM_Mat,Settings!$B$11),"no use")))</f>
        <v/>
      </c>
      <c r="D58" s="33" t="str">
        <f aca="false">IF($B58="","",IF(COUNTIFS(SM_Site,$B58,SM_Mat,Settings!$B$12)=0,"",IF(SUMIFS(SM_Rate,SM_Site,$B58,SM_Mat,Settings!$B$12)&gt;0,MAX(0,SUMIFS(SM_Stock,SM_Site,$B58,SM_Mat,Settings!$B$12))/SUMIFS(SM_Rate,SM_Site,$B58,SM_Mat,Settings!$B$12),"no use")))</f>
        <v/>
      </c>
      <c r="E58" s="33" t="str">
        <f aca="false">IF($B58="","",IF(COUNTIFS(SM_Site,$B58,SM_Mat,Settings!$B$13)=0,"",IF(SUMIFS(SM_Rate,SM_Site,$B58,SM_Mat,Settings!$B$13)&gt;0,MAX(0,SUMIFS(SM_Stock,SM_Site,$B58,SM_Mat,Settings!$B$13))/SUMIFS(SM_Rate,SM_Site,$B58,SM_Mat,Settings!$B$13),"no use")))</f>
        <v/>
      </c>
      <c r="F58" s="33" t="str">
        <f aca="false">IF($B58="","",IF(COUNTIFS(SM_Site,$B58,SM_Mat,Settings!$B$14)=0,"",IF(SUMIFS(SM_Rate,SM_Site,$B58,SM_Mat,Settings!$B$14)&gt;0,MAX(0,SUMIFS(SM_Stock,SM_Site,$B58,SM_Mat,Settings!$B$14))/SUMIFS(SM_Rate,SM_Site,$B58,SM_Mat,Settings!$B$14),"no use")))</f>
        <v/>
      </c>
      <c r="G58" s="33" t="str">
        <f aca="false">IF($B58="","",IF(COUNTIFS(SM_Site,$B58,SM_Mat,Settings!$B$15)=0,"",IF(SUMIFS(SM_Rate,SM_Site,$B58,SM_Mat,Settings!$B$15)&gt;0,MAX(0,SUMIFS(SM_Stock,SM_Site,$B58,SM_Mat,Settings!$B$15))/SUMIFS(SM_Rate,SM_Site,$B58,SM_Mat,Settings!$B$15),"no use")))</f>
        <v/>
      </c>
      <c r="H58" s="26" t="str">
        <f aca="false">IF($B58="","",IF(SUMIFS(SM_Cap,SM_Site,$B58,SM_Mat,Settings!$B$11)&gt;0,MAX(0,SUMIFS(SM_Stock,SM_Site,$B58,SM_Mat,Settings!$B$11))/SUMIFS(SM_Cap,SM_Site,$B58,SM_Mat,Settings!$B$11),""))</f>
        <v/>
      </c>
      <c r="I58" s="26" t="str">
        <f aca="false">IF($B58="","",IF(SUMIFS(SM_Cap,SM_Site,$B58,SM_Mat,Settings!$B$12)&gt;0,MAX(0,SUMIFS(SM_Stock,SM_Site,$B58,SM_Mat,Settings!$B$12))/SUMIFS(SM_Cap,SM_Site,$B58,SM_Mat,Settings!$B$12),""))</f>
        <v/>
      </c>
      <c r="J58" s="26" t="str">
        <f aca="false">IF($B58="","",IF(SUMIFS(SM_Cap,SM_Site,$B58,SM_Mat,Settings!$B$13)&gt;0,MAX(0,SUMIFS(SM_Stock,SM_Site,$B58,SM_Mat,Settings!$B$13))/SUMIFS(SM_Cap,SM_Site,$B58,SM_Mat,Settings!$B$13),""))</f>
        <v/>
      </c>
      <c r="K58" s="26" t="str">
        <f aca="false">IF($B58="","",IF(SUMIFS(SM_Cap,SM_Site,$B58,SM_Mat,Settings!$B$14)&gt;0,MAX(0,SUMIFS(SM_Stock,SM_Site,$B58,SM_Mat,Settings!$B$14))/SUMIFS(SM_Cap,SM_Site,$B58,SM_Mat,Settings!$B$14),""))</f>
        <v/>
      </c>
      <c r="L58" s="26" t="str">
        <f aca="false">IF($B58="","",IF(SUMIFS(SM_Cap,SM_Site,$B58,SM_Mat,Settings!$B$15)&gt;0,MAX(0,SUMIFS(SM_Stock,SM_Site,$B58,SM_Mat,Settings!$B$15))/SUMIFS(SM_Cap,SM_Site,$B58,SM_Mat,Settings!$B$15),""))</f>
        <v/>
      </c>
      <c r="M58" s="30" t="str">
        <f aca="false">IF($B58="","",IF(COUNTIF(SM_Site,$B58)=0,"NOT SET UP",IF(COUNTIFS(SM_Site,$B58,SM_Status,"OUT OF STOCK")&gt;0,"OUT OF STOCK",IF(COUNTIFS(SM_Site,$B58,SM_Status,"CRITICAL")&gt;0,"CRITICAL",IF(COUNTIFS(SM_Site,$B58,SM_Status,"REORDER")&gt;0,"REORDER",IF(COUNTIFS(SM_Site,$B58,SM_Status,"OK")&gt;0,"OK","NO USAGE"))))))</f>
        <v>NOT SET UP</v>
      </c>
      <c r="N58" s="27" t="str">
        <f aca="false">IF(COUNT(C58:G58)=0,"",MIN(C58:G58))</f>
        <v/>
      </c>
      <c r="O58" s="29" t="str">
        <f aca="false">IF(N58="","",IF(N58&lt;=0,"OUT",WORKDAY.INTL(AsOfDate,ROUNDUP(N58,0),WeekendMask,Holidays)))</f>
        <v/>
      </c>
    </row>
    <row r="59" customFormat="false" ht="15" hidden="false" customHeight="false" outlineLevel="0" collapsed="false">
      <c r="B59" s="23" t="str">
        <f aca="false">IF(Settings!$B23="","",Settings!$B23)</f>
        <v>The Cove Lipa</v>
      </c>
      <c r="C59" s="33" t="str">
        <f aca="false">IF($B59="","",IF(COUNTIFS(SM_Site,$B59,SM_Mat,Settings!$B$11)=0,"",IF(SUMIFS(SM_Rate,SM_Site,$B59,SM_Mat,Settings!$B$11)&gt;0,MAX(0,SUMIFS(SM_Stock,SM_Site,$B59,SM_Mat,Settings!$B$11))/SUMIFS(SM_Rate,SM_Site,$B59,SM_Mat,Settings!$B$11),"no use")))</f>
        <v/>
      </c>
      <c r="D59" s="33" t="str">
        <f aca="false">IF($B59="","",IF(COUNTIFS(SM_Site,$B59,SM_Mat,Settings!$B$12)=0,"",IF(SUMIFS(SM_Rate,SM_Site,$B59,SM_Mat,Settings!$B$12)&gt;0,MAX(0,SUMIFS(SM_Stock,SM_Site,$B59,SM_Mat,Settings!$B$12))/SUMIFS(SM_Rate,SM_Site,$B59,SM_Mat,Settings!$B$12),"no use")))</f>
        <v/>
      </c>
      <c r="E59" s="33" t="str">
        <f aca="false">IF($B59="","",IF(COUNTIFS(SM_Site,$B59,SM_Mat,Settings!$B$13)=0,"",IF(SUMIFS(SM_Rate,SM_Site,$B59,SM_Mat,Settings!$B$13)&gt;0,MAX(0,SUMIFS(SM_Stock,SM_Site,$B59,SM_Mat,Settings!$B$13))/SUMIFS(SM_Rate,SM_Site,$B59,SM_Mat,Settings!$B$13),"no use")))</f>
        <v/>
      </c>
      <c r="F59" s="33" t="str">
        <f aca="false">IF($B59="","",IF(COUNTIFS(SM_Site,$B59,SM_Mat,Settings!$B$14)=0,"",IF(SUMIFS(SM_Rate,SM_Site,$B59,SM_Mat,Settings!$B$14)&gt;0,MAX(0,SUMIFS(SM_Stock,SM_Site,$B59,SM_Mat,Settings!$B$14))/SUMIFS(SM_Rate,SM_Site,$B59,SM_Mat,Settings!$B$14),"no use")))</f>
        <v/>
      </c>
      <c r="G59" s="33" t="str">
        <f aca="false">IF($B59="","",IF(COUNTIFS(SM_Site,$B59,SM_Mat,Settings!$B$15)=0,"",IF(SUMIFS(SM_Rate,SM_Site,$B59,SM_Mat,Settings!$B$15)&gt;0,MAX(0,SUMIFS(SM_Stock,SM_Site,$B59,SM_Mat,Settings!$B$15))/SUMIFS(SM_Rate,SM_Site,$B59,SM_Mat,Settings!$B$15),"no use")))</f>
        <v/>
      </c>
      <c r="H59" s="26" t="str">
        <f aca="false">IF($B59="","",IF(SUMIFS(SM_Cap,SM_Site,$B59,SM_Mat,Settings!$B$11)&gt;0,MAX(0,SUMIFS(SM_Stock,SM_Site,$B59,SM_Mat,Settings!$B$11))/SUMIFS(SM_Cap,SM_Site,$B59,SM_Mat,Settings!$B$11),""))</f>
        <v/>
      </c>
      <c r="I59" s="26" t="str">
        <f aca="false">IF($B59="","",IF(SUMIFS(SM_Cap,SM_Site,$B59,SM_Mat,Settings!$B$12)&gt;0,MAX(0,SUMIFS(SM_Stock,SM_Site,$B59,SM_Mat,Settings!$B$12))/SUMIFS(SM_Cap,SM_Site,$B59,SM_Mat,Settings!$B$12),""))</f>
        <v/>
      </c>
      <c r="J59" s="26" t="str">
        <f aca="false">IF($B59="","",IF(SUMIFS(SM_Cap,SM_Site,$B59,SM_Mat,Settings!$B$13)&gt;0,MAX(0,SUMIFS(SM_Stock,SM_Site,$B59,SM_Mat,Settings!$B$13))/SUMIFS(SM_Cap,SM_Site,$B59,SM_Mat,Settings!$B$13),""))</f>
        <v/>
      </c>
      <c r="K59" s="26" t="str">
        <f aca="false">IF($B59="","",IF(SUMIFS(SM_Cap,SM_Site,$B59,SM_Mat,Settings!$B$14)&gt;0,MAX(0,SUMIFS(SM_Stock,SM_Site,$B59,SM_Mat,Settings!$B$14))/SUMIFS(SM_Cap,SM_Site,$B59,SM_Mat,Settings!$B$14),""))</f>
        <v/>
      </c>
      <c r="L59" s="26" t="str">
        <f aca="false">IF($B59="","",IF(SUMIFS(SM_Cap,SM_Site,$B59,SM_Mat,Settings!$B$15)&gt;0,MAX(0,SUMIFS(SM_Stock,SM_Site,$B59,SM_Mat,Settings!$B$15))/SUMIFS(SM_Cap,SM_Site,$B59,SM_Mat,Settings!$B$15),""))</f>
        <v/>
      </c>
      <c r="M59" s="30" t="str">
        <f aca="false">IF($B59="","",IF(COUNTIF(SM_Site,$B59)=0,"NOT SET UP",IF(COUNTIFS(SM_Site,$B59,SM_Status,"OUT OF STOCK")&gt;0,"OUT OF STOCK",IF(COUNTIFS(SM_Site,$B59,SM_Status,"CRITICAL")&gt;0,"CRITICAL",IF(COUNTIFS(SM_Site,$B59,SM_Status,"REORDER")&gt;0,"REORDER",IF(COUNTIFS(SM_Site,$B59,SM_Status,"OK")&gt;0,"OK","NO USAGE"))))))</f>
        <v>NOT SET UP</v>
      </c>
      <c r="N59" s="27" t="str">
        <f aca="false">IF(COUNT(C59:G59)=0,"",MIN(C59:G59))</f>
        <v/>
      </c>
      <c r="O59" s="29" t="str">
        <f aca="false">IF(N59="","",IF(N59&lt;=0,"OUT",WORKDAY.INTL(AsOfDate,ROUNDUP(N59,0),WeekendMask,Holidays)))</f>
        <v/>
      </c>
    </row>
    <row r="60" customFormat="false" ht="15" hidden="false" customHeight="false" outlineLevel="0" collapsed="false">
      <c r="B60" s="23" t="str">
        <f aca="false">IF(Settings!$B24="","",Settings!$B24)</f>
        <v>Sights Bay</v>
      </c>
      <c r="C60" s="33" t="str">
        <f aca="false">IF($B60="","",IF(COUNTIFS(SM_Site,$B60,SM_Mat,Settings!$B$11)=0,"",IF(SUMIFS(SM_Rate,SM_Site,$B60,SM_Mat,Settings!$B$11)&gt;0,MAX(0,SUMIFS(SM_Stock,SM_Site,$B60,SM_Mat,Settings!$B$11))/SUMIFS(SM_Rate,SM_Site,$B60,SM_Mat,Settings!$B$11),"no use")))</f>
        <v/>
      </c>
      <c r="D60" s="33" t="str">
        <f aca="false">IF($B60="","",IF(COUNTIFS(SM_Site,$B60,SM_Mat,Settings!$B$12)=0,"",IF(SUMIFS(SM_Rate,SM_Site,$B60,SM_Mat,Settings!$B$12)&gt;0,MAX(0,SUMIFS(SM_Stock,SM_Site,$B60,SM_Mat,Settings!$B$12))/SUMIFS(SM_Rate,SM_Site,$B60,SM_Mat,Settings!$B$12),"no use")))</f>
        <v/>
      </c>
      <c r="E60" s="33" t="str">
        <f aca="false">IF($B60="","",IF(COUNTIFS(SM_Site,$B60,SM_Mat,Settings!$B$13)=0,"",IF(SUMIFS(SM_Rate,SM_Site,$B60,SM_Mat,Settings!$B$13)&gt;0,MAX(0,SUMIFS(SM_Stock,SM_Site,$B60,SM_Mat,Settings!$B$13))/SUMIFS(SM_Rate,SM_Site,$B60,SM_Mat,Settings!$B$13),"no use")))</f>
        <v/>
      </c>
      <c r="F60" s="33" t="str">
        <f aca="false">IF($B60="","",IF(COUNTIFS(SM_Site,$B60,SM_Mat,Settings!$B$14)=0,"",IF(SUMIFS(SM_Rate,SM_Site,$B60,SM_Mat,Settings!$B$14)&gt;0,MAX(0,SUMIFS(SM_Stock,SM_Site,$B60,SM_Mat,Settings!$B$14))/SUMIFS(SM_Rate,SM_Site,$B60,SM_Mat,Settings!$B$14),"no use")))</f>
        <v/>
      </c>
      <c r="G60" s="33" t="str">
        <f aca="false">IF($B60="","",IF(COUNTIFS(SM_Site,$B60,SM_Mat,Settings!$B$15)=0,"",IF(SUMIFS(SM_Rate,SM_Site,$B60,SM_Mat,Settings!$B$15)&gt;0,MAX(0,SUMIFS(SM_Stock,SM_Site,$B60,SM_Mat,Settings!$B$15))/SUMIFS(SM_Rate,SM_Site,$B60,SM_Mat,Settings!$B$15),"no use")))</f>
        <v/>
      </c>
      <c r="H60" s="26" t="str">
        <f aca="false">IF($B60="","",IF(SUMIFS(SM_Cap,SM_Site,$B60,SM_Mat,Settings!$B$11)&gt;0,MAX(0,SUMIFS(SM_Stock,SM_Site,$B60,SM_Mat,Settings!$B$11))/SUMIFS(SM_Cap,SM_Site,$B60,SM_Mat,Settings!$B$11),""))</f>
        <v/>
      </c>
      <c r="I60" s="26" t="str">
        <f aca="false">IF($B60="","",IF(SUMIFS(SM_Cap,SM_Site,$B60,SM_Mat,Settings!$B$12)&gt;0,MAX(0,SUMIFS(SM_Stock,SM_Site,$B60,SM_Mat,Settings!$B$12))/SUMIFS(SM_Cap,SM_Site,$B60,SM_Mat,Settings!$B$12),""))</f>
        <v/>
      </c>
      <c r="J60" s="26" t="str">
        <f aca="false">IF($B60="","",IF(SUMIFS(SM_Cap,SM_Site,$B60,SM_Mat,Settings!$B$13)&gt;0,MAX(0,SUMIFS(SM_Stock,SM_Site,$B60,SM_Mat,Settings!$B$13))/SUMIFS(SM_Cap,SM_Site,$B60,SM_Mat,Settings!$B$13),""))</f>
        <v/>
      </c>
      <c r="K60" s="26" t="str">
        <f aca="false">IF($B60="","",IF(SUMIFS(SM_Cap,SM_Site,$B60,SM_Mat,Settings!$B$14)&gt;0,MAX(0,SUMIFS(SM_Stock,SM_Site,$B60,SM_Mat,Settings!$B$14))/SUMIFS(SM_Cap,SM_Site,$B60,SM_Mat,Settings!$B$14),""))</f>
        <v/>
      </c>
      <c r="L60" s="26" t="str">
        <f aca="false">IF($B60="","",IF(SUMIFS(SM_Cap,SM_Site,$B60,SM_Mat,Settings!$B$15)&gt;0,MAX(0,SUMIFS(SM_Stock,SM_Site,$B60,SM_Mat,Settings!$B$15))/SUMIFS(SM_Cap,SM_Site,$B60,SM_Mat,Settings!$B$15),""))</f>
        <v/>
      </c>
      <c r="M60" s="30" t="str">
        <f aca="false">IF($B60="","",IF(COUNTIF(SM_Site,$B60)=0,"NOT SET UP",IF(COUNTIFS(SM_Site,$B60,SM_Status,"OUT OF STOCK")&gt;0,"OUT OF STOCK",IF(COUNTIFS(SM_Site,$B60,SM_Status,"CRITICAL")&gt;0,"CRITICAL",IF(COUNTIFS(SM_Site,$B60,SM_Status,"REORDER")&gt;0,"REORDER",IF(COUNTIFS(SM_Site,$B60,SM_Status,"OK")&gt;0,"OK","NO USAGE"))))))</f>
        <v>NOT SET UP</v>
      </c>
      <c r="N60" s="27" t="str">
        <f aca="false">IF(COUNT(C60:G60)=0,"",MIN(C60:G60))</f>
        <v/>
      </c>
      <c r="O60" s="29" t="str">
        <f aca="false">IF(N60="","",IF(N60&lt;=0,"OUT",WORKDAY.INTL(AsOfDate,ROUNDUP(N60,0),WeekendMask,Holidays)))</f>
        <v/>
      </c>
    </row>
    <row r="61" customFormat="false" ht="15" hidden="false" customHeight="false" outlineLevel="0" collapsed="false">
      <c r="B61" s="23" t="str">
        <f aca="false">IF(Settings!$B25="","",Settings!$B25)</f>
        <v>Tayabas</v>
      </c>
      <c r="C61" s="33" t="str">
        <f aca="false">IF($B61="","",IF(COUNTIFS(SM_Site,$B61,SM_Mat,Settings!$B$11)=0,"",IF(SUMIFS(SM_Rate,SM_Site,$B61,SM_Mat,Settings!$B$11)&gt;0,MAX(0,SUMIFS(SM_Stock,SM_Site,$B61,SM_Mat,Settings!$B$11))/SUMIFS(SM_Rate,SM_Site,$B61,SM_Mat,Settings!$B$11),"no use")))</f>
        <v/>
      </c>
      <c r="D61" s="33" t="str">
        <f aca="false">IF($B61="","",IF(COUNTIFS(SM_Site,$B61,SM_Mat,Settings!$B$12)=0,"",IF(SUMIFS(SM_Rate,SM_Site,$B61,SM_Mat,Settings!$B$12)&gt;0,MAX(0,SUMIFS(SM_Stock,SM_Site,$B61,SM_Mat,Settings!$B$12))/SUMIFS(SM_Rate,SM_Site,$B61,SM_Mat,Settings!$B$12),"no use")))</f>
        <v/>
      </c>
      <c r="E61" s="33" t="str">
        <f aca="false">IF($B61="","",IF(COUNTIFS(SM_Site,$B61,SM_Mat,Settings!$B$13)=0,"",IF(SUMIFS(SM_Rate,SM_Site,$B61,SM_Mat,Settings!$B$13)&gt;0,MAX(0,SUMIFS(SM_Stock,SM_Site,$B61,SM_Mat,Settings!$B$13))/SUMIFS(SM_Rate,SM_Site,$B61,SM_Mat,Settings!$B$13),"no use")))</f>
        <v/>
      </c>
      <c r="F61" s="33" t="str">
        <f aca="false">IF($B61="","",IF(COUNTIFS(SM_Site,$B61,SM_Mat,Settings!$B$14)=0,"",IF(SUMIFS(SM_Rate,SM_Site,$B61,SM_Mat,Settings!$B$14)&gt;0,MAX(0,SUMIFS(SM_Stock,SM_Site,$B61,SM_Mat,Settings!$B$14))/SUMIFS(SM_Rate,SM_Site,$B61,SM_Mat,Settings!$B$14),"no use")))</f>
        <v/>
      </c>
      <c r="G61" s="33" t="str">
        <f aca="false">IF($B61="","",IF(COUNTIFS(SM_Site,$B61,SM_Mat,Settings!$B$15)=0,"",IF(SUMIFS(SM_Rate,SM_Site,$B61,SM_Mat,Settings!$B$15)&gt;0,MAX(0,SUMIFS(SM_Stock,SM_Site,$B61,SM_Mat,Settings!$B$15))/SUMIFS(SM_Rate,SM_Site,$B61,SM_Mat,Settings!$B$15),"no use")))</f>
        <v/>
      </c>
      <c r="H61" s="26" t="str">
        <f aca="false">IF($B61="","",IF(SUMIFS(SM_Cap,SM_Site,$B61,SM_Mat,Settings!$B$11)&gt;0,MAX(0,SUMIFS(SM_Stock,SM_Site,$B61,SM_Mat,Settings!$B$11))/SUMIFS(SM_Cap,SM_Site,$B61,SM_Mat,Settings!$B$11),""))</f>
        <v/>
      </c>
      <c r="I61" s="26" t="str">
        <f aca="false">IF($B61="","",IF(SUMIFS(SM_Cap,SM_Site,$B61,SM_Mat,Settings!$B$12)&gt;0,MAX(0,SUMIFS(SM_Stock,SM_Site,$B61,SM_Mat,Settings!$B$12))/SUMIFS(SM_Cap,SM_Site,$B61,SM_Mat,Settings!$B$12),""))</f>
        <v/>
      </c>
      <c r="J61" s="26" t="str">
        <f aca="false">IF($B61="","",IF(SUMIFS(SM_Cap,SM_Site,$B61,SM_Mat,Settings!$B$13)&gt;0,MAX(0,SUMIFS(SM_Stock,SM_Site,$B61,SM_Mat,Settings!$B$13))/SUMIFS(SM_Cap,SM_Site,$B61,SM_Mat,Settings!$B$13),""))</f>
        <v/>
      </c>
      <c r="K61" s="26" t="str">
        <f aca="false">IF($B61="","",IF(SUMIFS(SM_Cap,SM_Site,$B61,SM_Mat,Settings!$B$14)&gt;0,MAX(0,SUMIFS(SM_Stock,SM_Site,$B61,SM_Mat,Settings!$B$14))/SUMIFS(SM_Cap,SM_Site,$B61,SM_Mat,Settings!$B$14),""))</f>
        <v/>
      </c>
      <c r="L61" s="26" t="str">
        <f aca="false">IF($B61="","",IF(SUMIFS(SM_Cap,SM_Site,$B61,SM_Mat,Settings!$B$15)&gt;0,MAX(0,SUMIFS(SM_Stock,SM_Site,$B61,SM_Mat,Settings!$B$15))/SUMIFS(SM_Cap,SM_Site,$B61,SM_Mat,Settings!$B$15),""))</f>
        <v/>
      </c>
      <c r="M61" s="30" t="str">
        <f aca="false">IF($B61="","",IF(COUNTIF(SM_Site,$B61)=0,"NOT SET UP",IF(COUNTIFS(SM_Site,$B61,SM_Status,"OUT OF STOCK")&gt;0,"OUT OF STOCK",IF(COUNTIFS(SM_Site,$B61,SM_Status,"CRITICAL")&gt;0,"CRITICAL",IF(COUNTIFS(SM_Site,$B61,SM_Status,"REORDER")&gt;0,"REORDER",IF(COUNTIFS(SM_Site,$B61,SM_Status,"OK")&gt;0,"OK","NO USAGE"))))))</f>
        <v>NOT SET UP</v>
      </c>
      <c r="N61" s="27" t="str">
        <f aca="false">IF(COUNT(C61:G61)=0,"",MIN(C61:G61))</f>
        <v/>
      </c>
      <c r="O61" s="29" t="str">
        <f aca="false">IF(N61="","",IF(N61&lt;=0,"OUT",WORKDAY.INTL(AsOfDate,ROUNDUP(N61,0),WeekendMask,Holidays)))</f>
        <v/>
      </c>
    </row>
    <row r="62" customFormat="false" ht="15" hidden="false" customHeight="false" outlineLevel="0" collapsed="false">
      <c r="B62" s="23" t="str">
        <f aca="false">IF(Settings!$B26="","",Settings!$B26)</f>
        <v>Batulao Impression</v>
      </c>
      <c r="C62" s="33" t="str">
        <f aca="false">IF($B62="","",IF(COUNTIFS(SM_Site,$B62,SM_Mat,Settings!$B$11)=0,"",IF(SUMIFS(SM_Rate,SM_Site,$B62,SM_Mat,Settings!$B$11)&gt;0,MAX(0,SUMIFS(SM_Stock,SM_Site,$B62,SM_Mat,Settings!$B$11))/SUMIFS(SM_Rate,SM_Site,$B62,SM_Mat,Settings!$B$11),"no use")))</f>
        <v/>
      </c>
      <c r="D62" s="33" t="str">
        <f aca="false">IF($B62="","",IF(COUNTIFS(SM_Site,$B62,SM_Mat,Settings!$B$12)=0,"",IF(SUMIFS(SM_Rate,SM_Site,$B62,SM_Mat,Settings!$B$12)&gt;0,MAX(0,SUMIFS(SM_Stock,SM_Site,$B62,SM_Mat,Settings!$B$12))/SUMIFS(SM_Rate,SM_Site,$B62,SM_Mat,Settings!$B$12),"no use")))</f>
        <v/>
      </c>
      <c r="E62" s="33" t="str">
        <f aca="false">IF($B62="","",IF(COUNTIFS(SM_Site,$B62,SM_Mat,Settings!$B$13)=0,"",IF(SUMIFS(SM_Rate,SM_Site,$B62,SM_Mat,Settings!$B$13)&gt;0,MAX(0,SUMIFS(SM_Stock,SM_Site,$B62,SM_Mat,Settings!$B$13))/SUMIFS(SM_Rate,SM_Site,$B62,SM_Mat,Settings!$B$13),"no use")))</f>
        <v/>
      </c>
      <c r="F62" s="33" t="str">
        <f aca="false">IF($B62="","",IF(COUNTIFS(SM_Site,$B62,SM_Mat,Settings!$B$14)=0,"",IF(SUMIFS(SM_Rate,SM_Site,$B62,SM_Mat,Settings!$B$14)&gt;0,MAX(0,SUMIFS(SM_Stock,SM_Site,$B62,SM_Mat,Settings!$B$14))/SUMIFS(SM_Rate,SM_Site,$B62,SM_Mat,Settings!$B$14),"no use")))</f>
        <v/>
      </c>
      <c r="G62" s="33" t="str">
        <f aca="false">IF($B62="","",IF(COUNTIFS(SM_Site,$B62,SM_Mat,Settings!$B$15)=0,"",IF(SUMIFS(SM_Rate,SM_Site,$B62,SM_Mat,Settings!$B$15)&gt;0,MAX(0,SUMIFS(SM_Stock,SM_Site,$B62,SM_Mat,Settings!$B$15))/SUMIFS(SM_Rate,SM_Site,$B62,SM_Mat,Settings!$B$15),"no use")))</f>
        <v/>
      </c>
      <c r="H62" s="26" t="str">
        <f aca="false">IF($B62="","",IF(SUMIFS(SM_Cap,SM_Site,$B62,SM_Mat,Settings!$B$11)&gt;0,MAX(0,SUMIFS(SM_Stock,SM_Site,$B62,SM_Mat,Settings!$B$11))/SUMIFS(SM_Cap,SM_Site,$B62,SM_Mat,Settings!$B$11),""))</f>
        <v/>
      </c>
      <c r="I62" s="26" t="str">
        <f aca="false">IF($B62="","",IF(SUMIFS(SM_Cap,SM_Site,$B62,SM_Mat,Settings!$B$12)&gt;0,MAX(0,SUMIFS(SM_Stock,SM_Site,$B62,SM_Mat,Settings!$B$12))/SUMIFS(SM_Cap,SM_Site,$B62,SM_Mat,Settings!$B$12),""))</f>
        <v/>
      </c>
      <c r="J62" s="26" t="str">
        <f aca="false">IF($B62="","",IF(SUMIFS(SM_Cap,SM_Site,$B62,SM_Mat,Settings!$B$13)&gt;0,MAX(0,SUMIFS(SM_Stock,SM_Site,$B62,SM_Mat,Settings!$B$13))/SUMIFS(SM_Cap,SM_Site,$B62,SM_Mat,Settings!$B$13),""))</f>
        <v/>
      </c>
      <c r="K62" s="26" t="str">
        <f aca="false">IF($B62="","",IF(SUMIFS(SM_Cap,SM_Site,$B62,SM_Mat,Settings!$B$14)&gt;0,MAX(0,SUMIFS(SM_Stock,SM_Site,$B62,SM_Mat,Settings!$B$14))/SUMIFS(SM_Cap,SM_Site,$B62,SM_Mat,Settings!$B$14),""))</f>
        <v/>
      </c>
      <c r="L62" s="26" t="str">
        <f aca="false">IF($B62="","",IF(SUMIFS(SM_Cap,SM_Site,$B62,SM_Mat,Settings!$B$15)&gt;0,MAX(0,SUMIFS(SM_Stock,SM_Site,$B62,SM_Mat,Settings!$B$15))/SUMIFS(SM_Cap,SM_Site,$B62,SM_Mat,Settings!$B$15),""))</f>
        <v/>
      </c>
      <c r="M62" s="30" t="str">
        <f aca="false">IF($B62="","",IF(COUNTIF(SM_Site,$B62)=0,"NOT SET UP",IF(COUNTIFS(SM_Site,$B62,SM_Status,"OUT OF STOCK")&gt;0,"OUT OF STOCK",IF(COUNTIFS(SM_Site,$B62,SM_Status,"CRITICAL")&gt;0,"CRITICAL",IF(COUNTIFS(SM_Site,$B62,SM_Status,"REORDER")&gt;0,"REORDER",IF(COUNTIFS(SM_Site,$B62,SM_Status,"OK")&gt;0,"OK","NO USAGE"))))))</f>
        <v>NOT SET UP</v>
      </c>
      <c r="N62" s="27" t="str">
        <f aca="false">IF(COUNT(C62:G62)=0,"",MIN(C62:G62))</f>
        <v/>
      </c>
      <c r="O62" s="29" t="str">
        <f aca="false">IF(N62="","",IF(N62&lt;=0,"OUT",WORKDAY.INTL(AsOfDate,ROUNDUP(N62,0),WeekendMask,Holidays)))</f>
        <v/>
      </c>
    </row>
    <row r="63" customFormat="false" ht="15" hidden="false" customHeight="false" outlineLevel="0" collapsed="false">
      <c r="B63" s="23" t="str">
        <f aca="false">IF(Settings!$B27="","",Settings!$B27)</f>
        <v/>
      </c>
      <c r="C63" s="33" t="str">
        <f aca="false">IF($B63="","",IF(COUNTIFS(SM_Site,$B63,SM_Mat,Settings!$B$11)=0,"",IF(SUMIFS(SM_Rate,SM_Site,$B63,SM_Mat,Settings!$B$11)&gt;0,MAX(0,SUMIFS(SM_Stock,SM_Site,$B63,SM_Mat,Settings!$B$11))/SUMIFS(SM_Rate,SM_Site,$B63,SM_Mat,Settings!$B$11),"no use")))</f>
        <v/>
      </c>
      <c r="D63" s="33" t="str">
        <f aca="false">IF($B63="","",IF(COUNTIFS(SM_Site,$B63,SM_Mat,Settings!$B$12)=0,"",IF(SUMIFS(SM_Rate,SM_Site,$B63,SM_Mat,Settings!$B$12)&gt;0,MAX(0,SUMIFS(SM_Stock,SM_Site,$B63,SM_Mat,Settings!$B$12))/SUMIFS(SM_Rate,SM_Site,$B63,SM_Mat,Settings!$B$12),"no use")))</f>
        <v/>
      </c>
      <c r="E63" s="33" t="str">
        <f aca="false">IF($B63="","",IF(COUNTIFS(SM_Site,$B63,SM_Mat,Settings!$B$13)=0,"",IF(SUMIFS(SM_Rate,SM_Site,$B63,SM_Mat,Settings!$B$13)&gt;0,MAX(0,SUMIFS(SM_Stock,SM_Site,$B63,SM_Mat,Settings!$B$13))/SUMIFS(SM_Rate,SM_Site,$B63,SM_Mat,Settings!$B$13),"no use")))</f>
        <v/>
      </c>
      <c r="F63" s="33" t="str">
        <f aca="false">IF($B63="","",IF(COUNTIFS(SM_Site,$B63,SM_Mat,Settings!$B$14)=0,"",IF(SUMIFS(SM_Rate,SM_Site,$B63,SM_Mat,Settings!$B$14)&gt;0,MAX(0,SUMIFS(SM_Stock,SM_Site,$B63,SM_Mat,Settings!$B$14))/SUMIFS(SM_Rate,SM_Site,$B63,SM_Mat,Settings!$B$14),"no use")))</f>
        <v/>
      </c>
      <c r="G63" s="33" t="str">
        <f aca="false">IF($B63="","",IF(COUNTIFS(SM_Site,$B63,SM_Mat,Settings!$B$15)=0,"",IF(SUMIFS(SM_Rate,SM_Site,$B63,SM_Mat,Settings!$B$15)&gt;0,MAX(0,SUMIFS(SM_Stock,SM_Site,$B63,SM_Mat,Settings!$B$15))/SUMIFS(SM_Rate,SM_Site,$B63,SM_Mat,Settings!$B$15),"no use")))</f>
        <v/>
      </c>
      <c r="H63" s="26" t="str">
        <f aca="false">IF($B63="","",IF(SUMIFS(SM_Cap,SM_Site,$B63,SM_Mat,Settings!$B$11)&gt;0,MAX(0,SUMIFS(SM_Stock,SM_Site,$B63,SM_Mat,Settings!$B$11))/SUMIFS(SM_Cap,SM_Site,$B63,SM_Mat,Settings!$B$11),""))</f>
        <v/>
      </c>
      <c r="I63" s="26" t="str">
        <f aca="false">IF($B63="","",IF(SUMIFS(SM_Cap,SM_Site,$B63,SM_Mat,Settings!$B$12)&gt;0,MAX(0,SUMIFS(SM_Stock,SM_Site,$B63,SM_Mat,Settings!$B$12))/SUMIFS(SM_Cap,SM_Site,$B63,SM_Mat,Settings!$B$12),""))</f>
        <v/>
      </c>
      <c r="J63" s="26" t="str">
        <f aca="false">IF($B63="","",IF(SUMIFS(SM_Cap,SM_Site,$B63,SM_Mat,Settings!$B$13)&gt;0,MAX(0,SUMIFS(SM_Stock,SM_Site,$B63,SM_Mat,Settings!$B$13))/SUMIFS(SM_Cap,SM_Site,$B63,SM_Mat,Settings!$B$13),""))</f>
        <v/>
      </c>
      <c r="K63" s="26" t="str">
        <f aca="false">IF($B63="","",IF(SUMIFS(SM_Cap,SM_Site,$B63,SM_Mat,Settings!$B$14)&gt;0,MAX(0,SUMIFS(SM_Stock,SM_Site,$B63,SM_Mat,Settings!$B$14))/SUMIFS(SM_Cap,SM_Site,$B63,SM_Mat,Settings!$B$14),""))</f>
        <v/>
      </c>
      <c r="L63" s="26" t="str">
        <f aca="false">IF($B63="","",IF(SUMIFS(SM_Cap,SM_Site,$B63,SM_Mat,Settings!$B$15)&gt;0,MAX(0,SUMIFS(SM_Stock,SM_Site,$B63,SM_Mat,Settings!$B$15))/SUMIFS(SM_Cap,SM_Site,$B63,SM_Mat,Settings!$B$15),""))</f>
        <v/>
      </c>
      <c r="M63" s="30" t="str">
        <f aca="false">IF($B63="","",IF(COUNTIF(SM_Site,$B63)=0,"NOT SET UP",IF(COUNTIFS(SM_Site,$B63,SM_Status,"OUT OF STOCK")&gt;0,"OUT OF STOCK",IF(COUNTIFS(SM_Site,$B63,SM_Status,"CRITICAL")&gt;0,"CRITICAL",IF(COUNTIFS(SM_Site,$B63,SM_Status,"REORDER")&gt;0,"REORDER",IF(COUNTIFS(SM_Site,$B63,SM_Status,"OK")&gt;0,"OK","NO USAGE"))))))</f>
        <v/>
      </c>
      <c r="N63" s="27" t="str">
        <f aca="false">IF(COUNT(C63:G63)=0,"",MIN(C63:G63))</f>
        <v/>
      </c>
      <c r="O63" s="29" t="str">
        <f aca="false">IF(N63="","",IF(N63&lt;=0,"OUT",WORKDAY.INTL(AsOfDate,ROUNDUP(N63,0),WeekendMask,Holidays)))</f>
        <v/>
      </c>
    </row>
    <row r="64" customFormat="false" ht="15" hidden="false" customHeight="false" outlineLevel="0" collapsed="false">
      <c r="B64" s="23" t="str">
        <f aca="false">IF(Settings!$B28="","",Settings!$B28)</f>
        <v/>
      </c>
      <c r="C64" s="33" t="str">
        <f aca="false">IF($B64="","",IF(COUNTIFS(SM_Site,$B64,SM_Mat,Settings!$B$11)=0,"",IF(SUMIFS(SM_Rate,SM_Site,$B64,SM_Mat,Settings!$B$11)&gt;0,MAX(0,SUMIFS(SM_Stock,SM_Site,$B64,SM_Mat,Settings!$B$11))/SUMIFS(SM_Rate,SM_Site,$B64,SM_Mat,Settings!$B$11),"no use")))</f>
        <v/>
      </c>
      <c r="D64" s="33" t="str">
        <f aca="false">IF($B64="","",IF(COUNTIFS(SM_Site,$B64,SM_Mat,Settings!$B$12)=0,"",IF(SUMIFS(SM_Rate,SM_Site,$B64,SM_Mat,Settings!$B$12)&gt;0,MAX(0,SUMIFS(SM_Stock,SM_Site,$B64,SM_Mat,Settings!$B$12))/SUMIFS(SM_Rate,SM_Site,$B64,SM_Mat,Settings!$B$12),"no use")))</f>
        <v/>
      </c>
      <c r="E64" s="33" t="str">
        <f aca="false">IF($B64="","",IF(COUNTIFS(SM_Site,$B64,SM_Mat,Settings!$B$13)=0,"",IF(SUMIFS(SM_Rate,SM_Site,$B64,SM_Mat,Settings!$B$13)&gt;0,MAX(0,SUMIFS(SM_Stock,SM_Site,$B64,SM_Mat,Settings!$B$13))/SUMIFS(SM_Rate,SM_Site,$B64,SM_Mat,Settings!$B$13),"no use")))</f>
        <v/>
      </c>
      <c r="F64" s="33" t="str">
        <f aca="false">IF($B64="","",IF(COUNTIFS(SM_Site,$B64,SM_Mat,Settings!$B$14)=0,"",IF(SUMIFS(SM_Rate,SM_Site,$B64,SM_Mat,Settings!$B$14)&gt;0,MAX(0,SUMIFS(SM_Stock,SM_Site,$B64,SM_Mat,Settings!$B$14))/SUMIFS(SM_Rate,SM_Site,$B64,SM_Mat,Settings!$B$14),"no use")))</f>
        <v/>
      </c>
      <c r="G64" s="33" t="str">
        <f aca="false">IF($B64="","",IF(COUNTIFS(SM_Site,$B64,SM_Mat,Settings!$B$15)=0,"",IF(SUMIFS(SM_Rate,SM_Site,$B64,SM_Mat,Settings!$B$15)&gt;0,MAX(0,SUMIFS(SM_Stock,SM_Site,$B64,SM_Mat,Settings!$B$15))/SUMIFS(SM_Rate,SM_Site,$B64,SM_Mat,Settings!$B$15),"no use")))</f>
        <v/>
      </c>
      <c r="H64" s="26" t="str">
        <f aca="false">IF($B64="","",IF(SUMIFS(SM_Cap,SM_Site,$B64,SM_Mat,Settings!$B$11)&gt;0,MAX(0,SUMIFS(SM_Stock,SM_Site,$B64,SM_Mat,Settings!$B$11))/SUMIFS(SM_Cap,SM_Site,$B64,SM_Mat,Settings!$B$11),""))</f>
        <v/>
      </c>
      <c r="I64" s="26" t="str">
        <f aca="false">IF($B64="","",IF(SUMIFS(SM_Cap,SM_Site,$B64,SM_Mat,Settings!$B$12)&gt;0,MAX(0,SUMIFS(SM_Stock,SM_Site,$B64,SM_Mat,Settings!$B$12))/SUMIFS(SM_Cap,SM_Site,$B64,SM_Mat,Settings!$B$12),""))</f>
        <v/>
      </c>
      <c r="J64" s="26" t="str">
        <f aca="false">IF($B64="","",IF(SUMIFS(SM_Cap,SM_Site,$B64,SM_Mat,Settings!$B$13)&gt;0,MAX(0,SUMIFS(SM_Stock,SM_Site,$B64,SM_Mat,Settings!$B$13))/SUMIFS(SM_Cap,SM_Site,$B64,SM_Mat,Settings!$B$13),""))</f>
        <v/>
      </c>
      <c r="K64" s="26" t="str">
        <f aca="false">IF($B64="","",IF(SUMIFS(SM_Cap,SM_Site,$B64,SM_Mat,Settings!$B$14)&gt;0,MAX(0,SUMIFS(SM_Stock,SM_Site,$B64,SM_Mat,Settings!$B$14))/SUMIFS(SM_Cap,SM_Site,$B64,SM_Mat,Settings!$B$14),""))</f>
        <v/>
      </c>
      <c r="L64" s="26" t="str">
        <f aca="false">IF($B64="","",IF(SUMIFS(SM_Cap,SM_Site,$B64,SM_Mat,Settings!$B$15)&gt;0,MAX(0,SUMIFS(SM_Stock,SM_Site,$B64,SM_Mat,Settings!$B$15))/SUMIFS(SM_Cap,SM_Site,$B64,SM_Mat,Settings!$B$15),""))</f>
        <v/>
      </c>
      <c r="M64" s="30" t="str">
        <f aca="false">IF($B64="","",IF(COUNTIF(SM_Site,$B64)=0,"NOT SET UP",IF(COUNTIFS(SM_Site,$B64,SM_Status,"OUT OF STOCK")&gt;0,"OUT OF STOCK",IF(COUNTIFS(SM_Site,$B64,SM_Status,"CRITICAL")&gt;0,"CRITICAL",IF(COUNTIFS(SM_Site,$B64,SM_Status,"REORDER")&gt;0,"REORDER",IF(COUNTIFS(SM_Site,$B64,SM_Status,"OK")&gt;0,"OK","NO USAGE"))))))</f>
        <v/>
      </c>
      <c r="N64" s="27" t="str">
        <f aca="false">IF(COUNT(C64:G64)=0,"",MIN(C64:G64))</f>
        <v/>
      </c>
      <c r="O64" s="29" t="str">
        <f aca="false">IF(N64="","",IF(N64&lt;=0,"OUT",WORKDAY.INTL(AsOfDate,ROUNDUP(N64,0),WeekendMask,Holidays)))</f>
        <v/>
      </c>
    </row>
    <row r="65" customFormat="false" ht="15" hidden="false" customHeight="false" outlineLevel="0" collapsed="false">
      <c r="B65" s="23" t="str">
        <f aca="false">IF(Settings!$B29="","",Settings!$B29)</f>
        <v/>
      </c>
      <c r="C65" s="33" t="str">
        <f aca="false">IF($B65="","",IF(COUNTIFS(SM_Site,$B65,SM_Mat,Settings!$B$11)=0,"",IF(SUMIFS(SM_Rate,SM_Site,$B65,SM_Mat,Settings!$B$11)&gt;0,MAX(0,SUMIFS(SM_Stock,SM_Site,$B65,SM_Mat,Settings!$B$11))/SUMIFS(SM_Rate,SM_Site,$B65,SM_Mat,Settings!$B$11),"no use")))</f>
        <v/>
      </c>
      <c r="D65" s="33" t="str">
        <f aca="false">IF($B65="","",IF(COUNTIFS(SM_Site,$B65,SM_Mat,Settings!$B$12)=0,"",IF(SUMIFS(SM_Rate,SM_Site,$B65,SM_Mat,Settings!$B$12)&gt;0,MAX(0,SUMIFS(SM_Stock,SM_Site,$B65,SM_Mat,Settings!$B$12))/SUMIFS(SM_Rate,SM_Site,$B65,SM_Mat,Settings!$B$12),"no use")))</f>
        <v/>
      </c>
      <c r="E65" s="33" t="str">
        <f aca="false">IF($B65="","",IF(COUNTIFS(SM_Site,$B65,SM_Mat,Settings!$B$13)=0,"",IF(SUMIFS(SM_Rate,SM_Site,$B65,SM_Mat,Settings!$B$13)&gt;0,MAX(0,SUMIFS(SM_Stock,SM_Site,$B65,SM_Mat,Settings!$B$13))/SUMIFS(SM_Rate,SM_Site,$B65,SM_Mat,Settings!$B$13),"no use")))</f>
        <v/>
      </c>
      <c r="F65" s="33" t="str">
        <f aca="false">IF($B65="","",IF(COUNTIFS(SM_Site,$B65,SM_Mat,Settings!$B$14)=0,"",IF(SUMIFS(SM_Rate,SM_Site,$B65,SM_Mat,Settings!$B$14)&gt;0,MAX(0,SUMIFS(SM_Stock,SM_Site,$B65,SM_Mat,Settings!$B$14))/SUMIFS(SM_Rate,SM_Site,$B65,SM_Mat,Settings!$B$14),"no use")))</f>
        <v/>
      </c>
      <c r="G65" s="33" t="str">
        <f aca="false">IF($B65="","",IF(COUNTIFS(SM_Site,$B65,SM_Mat,Settings!$B$15)=0,"",IF(SUMIFS(SM_Rate,SM_Site,$B65,SM_Mat,Settings!$B$15)&gt;0,MAX(0,SUMIFS(SM_Stock,SM_Site,$B65,SM_Mat,Settings!$B$15))/SUMIFS(SM_Rate,SM_Site,$B65,SM_Mat,Settings!$B$15),"no use")))</f>
        <v/>
      </c>
      <c r="H65" s="26" t="str">
        <f aca="false">IF($B65="","",IF(SUMIFS(SM_Cap,SM_Site,$B65,SM_Mat,Settings!$B$11)&gt;0,MAX(0,SUMIFS(SM_Stock,SM_Site,$B65,SM_Mat,Settings!$B$11))/SUMIFS(SM_Cap,SM_Site,$B65,SM_Mat,Settings!$B$11),""))</f>
        <v/>
      </c>
      <c r="I65" s="26" t="str">
        <f aca="false">IF($B65="","",IF(SUMIFS(SM_Cap,SM_Site,$B65,SM_Mat,Settings!$B$12)&gt;0,MAX(0,SUMIFS(SM_Stock,SM_Site,$B65,SM_Mat,Settings!$B$12))/SUMIFS(SM_Cap,SM_Site,$B65,SM_Mat,Settings!$B$12),""))</f>
        <v/>
      </c>
      <c r="J65" s="26" t="str">
        <f aca="false">IF($B65="","",IF(SUMIFS(SM_Cap,SM_Site,$B65,SM_Mat,Settings!$B$13)&gt;0,MAX(0,SUMIFS(SM_Stock,SM_Site,$B65,SM_Mat,Settings!$B$13))/SUMIFS(SM_Cap,SM_Site,$B65,SM_Mat,Settings!$B$13),""))</f>
        <v/>
      </c>
      <c r="K65" s="26" t="str">
        <f aca="false">IF($B65="","",IF(SUMIFS(SM_Cap,SM_Site,$B65,SM_Mat,Settings!$B$14)&gt;0,MAX(0,SUMIFS(SM_Stock,SM_Site,$B65,SM_Mat,Settings!$B$14))/SUMIFS(SM_Cap,SM_Site,$B65,SM_Mat,Settings!$B$14),""))</f>
        <v/>
      </c>
      <c r="L65" s="26" t="str">
        <f aca="false">IF($B65="","",IF(SUMIFS(SM_Cap,SM_Site,$B65,SM_Mat,Settings!$B$15)&gt;0,MAX(0,SUMIFS(SM_Stock,SM_Site,$B65,SM_Mat,Settings!$B$15))/SUMIFS(SM_Cap,SM_Site,$B65,SM_Mat,Settings!$B$15),""))</f>
        <v/>
      </c>
      <c r="M65" s="30" t="str">
        <f aca="false">IF($B65="","",IF(COUNTIF(SM_Site,$B65)=0,"NOT SET UP",IF(COUNTIFS(SM_Site,$B65,SM_Status,"OUT OF STOCK")&gt;0,"OUT OF STOCK",IF(COUNTIFS(SM_Site,$B65,SM_Status,"CRITICAL")&gt;0,"CRITICAL",IF(COUNTIFS(SM_Site,$B65,SM_Status,"REORDER")&gt;0,"REORDER",IF(COUNTIFS(SM_Site,$B65,SM_Status,"OK")&gt;0,"OK","NO USAGE"))))))</f>
        <v/>
      </c>
      <c r="N65" s="27" t="str">
        <f aca="false">IF(COUNT(C65:G65)=0,"",MIN(C65:G65))</f>
        <v/>
      </c>
      <c r="O65" s="29" t="str">
        <f aca="false">IF(N65="","",IF(N65&lt;=0,"OUT",WORKDAY.INTL(AsOfDate,ROUNDUP(N65,0),WeekendMask,Holidays)))</f>
        <v/>
      </c>
    </row>
    <row r="66" customFormat="false" ht="15" hidden="false" customHeight="false" outlineLevel="0" collapsed="false">
      <c r="B66" s="23" t="str">
        <f aca="false">IF(Settings!$B30="","",Settings!$B30)</f>
        <v/>
      </c>
      <c r="C66" s="33" t="str">
        <f aca="false">IF($B66="","",IF(COUNTIFS(SM_Site,$B66,SM_Mat,Settings!$B$11)=0,"",IF(SUMIFS(SM_Rate,SM_Site,$B66,SM_Mat,Settings!$B$11)&gt;0,MAX(0,SUMIFS(SM_Stock,SM_Site,$B66,SM_Mat,Settings!$B$11))/SUMIFS(SM_Rate,SM_Site,$B66,SM_Mat,Settings!$B$11),"no use")))</f>
        <v/>
      </c>
      <c r="D66" s="33" t="str">
        <f aca="false">IF($B66="","",IF(COUNTIFS(SM_Site,$B66,SM_Mat,Settings!$B$12)=0,"",IF(SUMIFS(SM_Rate,SM_Site,$B66,SM_Mat,Settings!$B$12)&gt;0,MAX(0,SUMIFS(SM_Stock,SM_Site,$B66,SM_Mat,Settings!$B$12))/SUMIFS(SM_Rate,SM_Site,$B66,SM_Mat,Settings!$B$12),"no use")))</f>
        <v/>
      </c>
      <c r="E66" s="33" t="str">
        <f aca="false">IF($B66="","",IF(COUNTIFS(SM_Site,$B66,SM_Mat,Settings!$B$13)=0,"",IF(SUMIFS(SM_Rate,SM_Site,$B66,SM_Mat,Settings!$B$13)&gt;0,MAX(0,SUMIFS(SM_Stock,SM_Site,$B66,SM_Mat,Settings!$B$13))/SUMIFS(SM_Rate,SM_Site,$B66,SM_Mat,Settings!$B$13),"no use")))</f>
        <v/>
      </c>
      <c r="F66" s="33" t="str">
        <f aca="false">IF($B66="","",IF(COUNTIFS(SM_Site,$B66,SM_Mat,Settings!$B$14)=0,"",IF(SUMIFS(SM_Rate,SM_Site,$B66,SM_Mat,Settings!$B$14)&gt;0,MAX(0,SUMIFS(SM_Stock,SM_Site,$B66,SM_Mat,Settings!$B$14))/SUMIFS(SM_Rate,SM_Site,$B66,SM_Mat,Settings!$B$14),"no use")))</f>
        <v/>
      </c>
      <c r="G66" s="33" t="str">
        <f aca="false">IF($B66="","",IF(COUNTIFS(SM_Site,$B66,SM_Mat,Settings!$B$15)=0,"",IF(SUMIFS(SM_Rate,SM_Site,$B66,SM_Mat,Settings!$B$15)&gt;0,MAX(0,SUMIFS(SM_Stock,SM_Site,$B66,SM_Mat,Settings!$B$15))/SUMIFS(SM_Rate,SM_Site,$B66,SM_Mat,Settings!$B$15),"no use")))</f>
        <v/>
      </c>
      <c r="H66" s="26" t="str">
        <f aca="false">IF($B66="","",IF(SUMIFS(SM_Cap,SM_Site,$B66,SM_Mat,Settings!$B$11)&gt;0,MAX(0,SUMIFS(SM_Stock,SM_Site,$B66,SM_Mat,Settings!$B$11))/SUMIFS(SM_Cap,SM_Site,$B66,SM_Mat,Settings!$B$11),""))</f>
        <v/>
      </c>
      <c r="I66" s="26" t="str">
        <f aca="false">IF($B66="","",IF(SUMIFS(SM_Cap,SM_Site,$B66,SM_Mat,Settings!$B$12)&gt;0,MAX(0,SUMIFS(SM_Stock,SM_Site,$B66,SM_Mat,Settings!$B$12))/SUMIFS(SM_Cap,SM_Site,$B66,SM_Mat,Settings!$B$12),""))</f>
        <v/>
      </c>
      <c r="J66" s="26" t="str">
        <f aca="false">IF($B66="","",IF(SUMIFS(SM_Cap,SM_Site,$B66,SM_Mat,Settings!$B$13)&gt;0,MAX(0,SUMIFS(SM_Stock,SM_Site,$B66,SM_Mat,Settings!$B$13))/SUMIFS(SM_Cap,SM_Site,$B66,SM_Mat,Settings!$B$13),""))</f>
        <v/>
      </c>
      <c r="K66" s="26" t="str">
        <f aca="false">IF($B66="","",IF(SUMIFS(SM_Cap,SM_Site,$B66,SM_Mat,Settings!$B$14)&gt;0,MAX(0,SUMIFS(SM_Stock,SM_Site,$B66,SM_Mat,Settings!$B$14))/SUMIFS(SM_Cap,SM_Site,$B66,SM_Mat,Settings!$B$14),""))</f>
        <v/>
      </c>
      <c r="L66" s="26" t="str">
        <f aca="false">IF($B66="","",IF(SUMIFS(SM_Cap,SM_Site,$B66,SM_Mat,Settings!$B$15)&gt;0,MAX(0,SUMIFS(SM_Stock,SM_Site,$B66,SM_Mat,Settings!$B$15))/SUMIFS(SM_Cap,SM_Site,$B66,SM_Mat,Settings!$B$15),""))</f>
        <v/>
      </c>
      <c r="M66" s="30" t="str">
        <f aca="false">IF($B66="","",IF(COUNTIF(SM_Site,$B66)=0,"NOT SET UP",IF(COUNTIFS(SM_Site,$B66,SM_Status,"OUT OF STOCK")&gt;0,"OUT OF STOCK",IF(COUNTIFS(SM_Site,$B66,SM_Status,"CRITICAL")&gt;0,"CRITICAL",IF(COUNTIFS(SM_Site,$B66,SM_Status,"REORDER")&gt;0,"REORDER",IF(COUNTIFS(SM_Site,$B66,SM_Status,"OK")&gt;0,"OK","NO USAGE"))))))</f>
        <v/>
      </c>
      <c r="N66" s="27" t="str">
        <f aca="false">IF(COUNT(C66:G66)=0,"",MIN(C66:G66))</f>
        <v/>
      </c>
      <c r="O66" s="29" t="str">
        <f aca="false">IF(N66="","",IF(N66&lt;=0,"OUT",WORKDAY.INTL(AsOfDate,ROUNDUP(N66,0),WeekendMask,Holidays)))</f>
        <v/>
      </c>
    </row>
    <row r="67" customFormat="false" ht="15" hidden="false" customHeight="false" outlineLevel="0" collapsed="false">
      <c r="B67" s="23" t="str">
        <f aca="false">IF(Settings!$B31="","",Settings!$B31)</f>
        <v/>
      </c>
      <c r="C67" s="33" t="str">
        <f aca="false">IF($B67="","",IF(COUNTIFS(SM_Site,$B67,SM_Mat,Settings!$B$11)=0,"",IF(SUMIFS(SM_Rate,SM_Site,$B67,SM_Mat,Settings!$B$11)&gt;0,MAX(0,SUMIFS(SM_Stock,SM_Site,$B67,SM_Mat,Settings!$B$11))/SUMIFS(SM_Rate,SM_Site,$B67,SM_Mat,Settings!$B$11),"no use")))</f>
        <v/>
      </c>
      <c r="D67" s="33" t="str">
        <f aca="false">IF($B67="","",IF(COUNTIFS(SM_Site,$B67,SM_Mat,Settings!$B$12)=0,"",IF(SUMIFS(SM_Rate,SM_Site,$B67,SM_Mat,Settings!$B$12)&gt;0,MAX(0,SUMIFS(SM_Stock,SM_Site,$B67,SM_Mat,Settings!$B$12))/SUMIFS(SM_Rate,SM_Site,$B67,SM_Mat,Settings!$B$12),"no use")))</f>
        <v/>
      </c>
      <c r="E67" s="33" t="str">
        <f aca="false">IF($B67="","",IF(COUNTIFS(SM_Site,$B67,SM_Mat,Settings!$B$13)=0,"",IF(SUMIFS(SM_Rate,SM_Site,$B67,SM_Mat,Settings!$B$13)&gt;0,MAX(0,SUMIFS(SM_Stock,SM_Site,$B67,SM_Mat,Settings!$B$13))/SUMIFS(SM_Rate,SM_Site,$B67,SM_Mat,Settings!$B$13),"no use")))</f>
        <v/>
      </c>
      <c r="F67" s="33" t="str">
        <f aca="false">IF($B67="","",IF(COUNTIFS(SM_Site,$B67,SM_Mat,Settings!$B$14)=0,"",IF(SUMIFS(SM_Rate,SM_Site,$B67,SM_Mat,Settings!$B$14)&gt;0,MAX(0,SUMIFS(SM_Stock,SM_Site,$B67,SM_Mat,Settings!$B$14))/SUMIFS(SM_Rate,SM_Site,$B67,SM_Mat,Settings!$B$14),"no use")))</f>
        <v/>
      </c>
      <c r="G67" s="33" t="str">
        <f aca="false">IF($B67="","",IF(COUNTIFS(SM_Site,$B67,SM_Mat,Settings!$B$15)=0,"",IF(SUMIFS(SM_Rate,SM_Site,$B67,SM_Mat,Settings!$B$15)&gt;0,MAX(0,SUMIFS(SM_Stock,SM_Site,$B67,SM_Mat,Settings!$B$15))/SUMIFS(SM_Rate,SM_Site,$B67,SM_Mat,Settings!$B$15),"no use")))</f>
        <v/>
      </c>
      <c r="H67" s="26" t="str">
        <f aca="false">IF($B67="","",IF(SUMIFS(SM_Cap,SM_Site,$B67,SM_Mat,Settings!$B$11)&gt;0,MAX(0,SUMIFS(SM_Stock,SM_Site,$B67,SM_Mat,Settings!$B$11))/SUMIFS(SM_Cap,SM_Site,$B67,SM_Mat,Settings!$B$11),""))</f>
        <v/>
      </c>
      <c r="I67" s="26" t="str">
        <f aca="false">IF($B67="","",IF(SUMIFS(SM_Cap,SM_Site,$B67,SM_Mat,Settings!$B$12)&gt;0,MAX(0,SUMIFS(SM_Stock,SM_Site,$B67,SM_Mat,Settings!$B$12))/SUMIFS(SM_Cap,SM_Site,$B67,SM_Mat,Settings!$B$12),""))</f>
        <v/>
      </c>
      <c r="J67" s="26" t="str">
        <f aca="false">IF($B67="","",IF(SUMIFS(SM_Cap,SM_Site,$B67,SM_Mat,Settings!$B$13)&gt;0,MAX(0,SUMIFS(SM_Stock,SM_Site,$B67,SM_Mat,Settings!$B$13))/SUMIFS(SM_Cap,SM_Site,$B67,SM_Mat,Settings!$B$13),""))</f>
        <v/>
      </c>
      <c r="K67" s="26" t="str">
        <f aca="false">IF($B67="","",IF(SUMIFS(SM_Cap,SM_Site,$B67,SM_Mat,Settings!$B$14)&gt;0,MAX(0,SUMIFS(SM_Stock,SM_Site,$B67,SM_Mat,Settings!$B$14))/SUMIFS(SM_Cap,SM_Site,$B67,SM_Mat,Settings!$B$14),""))</f>
        <v/>
      </c>
      <c r="L67" s="26" t="str">
        <f aca="false">IF($B67="","",IF(SUMIFS(SM_Cap,SM_Site,$B67,SM_Mat,Settings!$B$15)&gt;0,MAX(0,SUMIFS(SM_Stock,SM_Site,$B67,SM_Mat,Settings!$B$15))/SUMIFS(SM_Cap,SM_Site,$B67,SM_Mat,Settings!$B$15),""))</f>
        <v/>
      </c>
      <c r="M67" s="30" t="str">
        <f aca="false">IF($B67="","",IF(COUNTIF(SM_Site,$B67)=0,"NOT SET UP",IF(COUNTIFS(SM_Site,$B67,SM_Status,"OUT OF STOCK")&gt;0,"OUT OF STOCK",IF(COUNTIFS(SM_Site,$B67,SM_Status,"CRITICAL")&gt;0,"CRITICAL",IF(COUNTIFS(SM_Site,$B67,SM_Status,"REORDER")&gt;0,"REORDER",IF(COUNTIFS(SM_Site,$B67,SM_Status,"OK")&gt;0,"OK","NO USAGE"))))))</f>
        <v/>
      </c>
      <c r="N67" s="27" t="str">
        <f aca="false">IF(COUNT(C67:G67)=0,"",MIN(C67:G67))</f>
        <v/>
      </c>
      <c r="O67" s="29" t="str">
        <f aca="false">IF(N67="","",IF(N67&lt;=0,"OUT",WORKDAY.INTL(AsOfDate,ROUNDUP(N67,0),WeekendMask,Holidays)))</f>
        <v/>
      </c>
    </row>
    <row r="68" customFormat="false" ht="15" hidden="false" customHeight="false" outlineLevel="0" collapsed="false">
      <c r="B68" s="23" t="str">
        <f aca="false">IF(Settings!$B32="","",Settings!$B32)</f>
        <v/>
      </c>
      <c r="C68" s="33" t="str">
        <f aca="false">IF($B68="","",IF(COUNTIFS(SM_Site,$B68,SM_Mat,Settings!$B$11)=0,"",IF(SUMIFS(SM_Rate,SM_Site,$B68,SM_Mat,Settings!$B$11)&gt;0,MAX(0,SUMIFS(SM_Stock,SM_Site,$B68,SM_Mat,Settings!$B$11))/SUMIFS(SM_Rate,SM_Site,$B68,SM_Mat,Settings!$B$11),"no use")))</f>
        <v/>
      </c>
      <c r="D68" s="33" t="str">
        <f aca="false">IF($B68="","",IF(COUNTIFS(SM_Site,$B68,SM_Mat,Settings!$B$12)=0,"",IF(SUMIFS(SM_Rate,SM_Site,$B68,SM_Mat,Settings!$B$12)&gt;0,MAX(0,SUMIFS(SM_Stock,SM_Site,$B68,SM_Mat,Settings!$B$12))/SUMIFS(SM_Rate,SM_Site,$B68,SM_Mat,Settings!$B$12),"no use")))</f>
        <v/>
      </c>
      <c r="E68" s="33" t="str">
        <f aca="false">IF($B68="","",IF(COUNTIFS(SM_Site,$B68,SM_Mat,Settings!$B$13)=0,"",IF(SUMIFS(SM_Rate,SM_Site,$B68,SM_Mat,Settings!$B$13)&gt;0,MAX(0,SUMIFS(SM_Stock,SM_Site,$B68,SM_Mat,Settings!$B$13))/SUMIFS(SM_Rate,SM_Site,$B68,SM_Mat,Settings!$B$13),"no use")))</f>
        <v/>
      </c>
      <c r="F68" s="33" t="str">
        <f aca="false">IF($B68="","",IF(COUNTIFS(SM_Site,$B68,SM_Mat,Settings!$B$14)=0,"",IF(SUMIFS(SM_Rate,SM_Site,$B68,SM_Mat,Settings!$B$14)&gt;0,MAX(0,SUMIFS(SM_Stock,SM_Site,$B68,SM_Mat,Settings!$B$14))/SUMIFS(SM_Rate,SM_Site,$B68,SM_Mat,Settings!$B$14),"no use")))</f>
        <v/>
      </c>
      <c r="G68" s="33" t="str">
        <f aca="false">IF($B68="","",IF(COUNTIFS(SM_Site,$B68,SM_Mat,Settings!$B$15)=0,"",IF(SUMIFS(SM_Rate,SM_Site,$B68,SM_Mat,Settings!$B$15)&gt;0,MAX(0,SUMIFS(SM_Stock,SM_Site,$B68,SM_Mat,Settings!$B$15))/SUMIFS(SM_Rate,SM_Site,$B68,SM_Mat,Settings!$B$15),"no use")))</f>
        <v/>
      </c>
      <c r="H68" s="26" t="str">
        <f aca="false">IF($B68="","",IF(SUMIFS(SM_Cap,SM_Site,$B68,SM_Mat,Settings!$B$11)&gt;0,MAX(0,SUMIFS(SM_Stock,SM_Site,$B68,SM_Mat,Settings!$B$11))/SUMIFS(SM_Cap,SM_Site,$B68,SM_Mat,Settings!$B$11),""))</f>
        <v/>
      </c>
      <c r="I68" s="26" t="str">
        <f aca="false">IF($B68="","",IF(SUMIFS(SM_Cap,SM_Site,$B68,SM_Mat,Settings!$B$12)&gt;0,MAX(0,SUMIFS(SM_Stock,SM_Site,$B68,SM_Mat,Settings!$B$12))/SUMIFS(SM_Cap,SM_Site,$B68,SM_Mat,Settings!$B$12),""))</f>
        <v/>
      </c>
      <c r="J68" s="26" t="str">
        <f aca="false">IF($B68="","",IF(SUMIFS(SM_Cap,SM_Site,$B68,SM_Mat,Settings!$B$13)&gt;0,MAX(0,SUMIFS(SM_Stock,SM_Site,$B68,SM_Mat,Settings!$B$13))/SUMIFS(SM_Cap,SM_Site,$B68,SM_Mat,Settings!$B$13),""))</f>
        <v/>
      </c>
      <c r="K68" s="26" t="str">
        <f aca="false">IF($B68="","",IF(SUMIFS(SM_Cap,SM_Site,$B68,SM_Mat,Settings!$B$14)&gt;0,MAX(0,SUMIFS(SM_Stock,SM_Site,$B68,SM_Mat,Settings!$B$14))/SUMIFS(SM_Cap,SM_Site,$B68,SM_Mat,Settings!$B$14),""))</f>
        <v/>
      </c>
      <c r="L68" s="26" t="str">
        <f aca="false">IF($B68="","",IF(SUMIFS(SM_Cap,SM_Site,$B68,SM_Mat,Settings!$B$15)&gt;0,MAX(0,SUMIFS(SM_Stock,SM_Site,$B68,SM_Mat,Settings!$B$15))/SUMIFS(SM_Cap,SM_Site,$B68,SM_Mat,Settings!$B$15),""))</f>
        <v/>
      </c>
      <c r="M68" s="30" t="str">
        <f aca="false">IF($B68="","",IF(COUNTIF(SM_Site,$B68)=0,"NOT SET UP",IF(COUNTIFS(SM_Site,$B68,SM_Status,"OUT OF STOCK")&gt;0,"OUT OF STOCK",IF(COUNTIFS(SM_Site,$B68,SM_Status,"CRITICAL")&gt;0,"CRITICAL",IF(COUNTIFS(SM_Site,$B68,SM_Status,"REORDER")&gt;0,"REORDER",IF(COUNTIFS(SM_Site,$B68,SM_Status,"OK")&gt;0,"OK","NO USAGE"))))))</f>
        <v/>
      </c>
      <c r="N68" s="27" t="str">
        <f aca="false">IF(COUNT(C68:G68)=0,"",MIN(C68:G68))</f>
        <v/>
      </c>
      <c r="O68" s="29" t="str">
        <f aca="false">IF(N68="","",IF(N68&lt;=0,"OUT",WORKDAY.INTL(AsOfDate,ROUNDUP(N68,0),WeekendMask,Holidays)))</f>
        <v/>
      </c>
    </row>
    <row r="69" customFormat="false" ht="15" hidden="false" customHeight="false" outlineLevel="0" collapsed="false">
      <c r="B69" s="23" t="str">
        <f aca="false">IF(Settings!$B33="","",Settings!$B33)</f>
        <v/>
      </c>
      <c r="C69" s="33" t="str">
        <f aca="false">IF($B69="","",IF(COUNTIFS(SM_Site,$B69,SM_Mat,Settings!$B$11)=0,"",IF(SUMIFS(SM_Rate,SM_Site,$B69,SM_Mat,Settings!$B$11)&gt;0,MAX(0,SUMIFS(SM_Stock,SM_Site,$B69,SM_Mat,Settings!$B$11))/SUMIFS(SM_Rate,SM_Site,$B69,SM_Mat,Settings!$B$11),"no use")))</f>
        <v/>
      </c>
      <c r="D69" s="33" t="str">
        <f aca="false">IF($B69="","",IF(COUNTIFS(SM_Site,$B69,SM_Mat,Settings!$B$12)=0,"",IF(SUMIFS(SM_Rate,SM_Site,$B69,SM_Mat,Settings!$B$12)&gt;0,MAX(0,SUMIFS(SM_Stock,SM_Site,$B69,SM_Mat,Settings!$B$12))/SUMIFS(SM_Rate,SM_Site,$B69,SM_Mat,Settings!$B$12),"no use")))</f>
        <v/>
      </c>
      <c r="E69" s="33" t="str">
        <f aca="false">IF($B69="","",IF(COUNTIFS(SM_Site,$B69,SM_Mat,Settings!$B$13)=0,"",IF(SUMIFS(SM_Rate,SM_Site,$B69,SM_Mat,Settings!$B$13)&gt;0,MAX(0,SUMIFS(SM_Stock,SM_Site,$B69,SM_Mat,Settings!$B$13))/SUMIFS(SM_Rate,SM_Site,$B69,SM_Mat,Settings!$B$13),"no use")))</f>
        <v/>
      </c>
      <c r="F69" s="33" t="str">
        <f aca="false">IF($B69="","",IF(COUNTIFS(SM_Site,$B69,SM_Mat,Settings!$B$14)=0,"",IF(SUMIFS(SM_Rate,SM_Site,$B69,SM_Mat,Settings!$B$14)&gt;0,MAX(0,SUMIFS(SM_Stock,SM_Site,$B69,SM_Mat,Settings!$B$14))/SUMIFS(SM_Rate,SM_Site,$B69,SM_Mat,Settings!$B$14),"no use")))</f>
        <v/>
      </c>
      <c r="G69" s="33" t="str">
        <f aca="false">IF($B69="","",IF(COUNTIFS(SM_Site,$B69,SM_Mat,Settings!$B$15)=0,"",IF(SUMIFS(SM_Rate,SM_Site,$B69,SM_Mat,Settings!$B$15)&gt;0,MAX(0,SUMIFS(SM_Stock,SM_Site,$B69,SM_Mat,Settings!$B$15))/SUMIFS(SM_Rate,SM_Site,$B69,SM_Mat,Settings!$B$15),"no use")))</f>
        <v/>
      </c>
      <c r="H69" s="26" t="str">
        <f aca="false">IF($B69="","",IF(SUMIFS(SM_Cap,SM_Site,$B69,SM_Mat,Settings!$B$11)&gt;0,MAX(0,SUMIFS(SM_Stock,SM_Site,$B69,SM_Mat,Settings!$B$11))/SUMIFS(SM_Cap,SM_Site,$B69,SM_Mat,Settings!$B$11),""))</f>
        <v/>
      </c>
      <c r="I69" s="26" t="str">
        <f aca="false">IF($B69="","",IF(SUMIFS(SM_Cap,SM_Site,$B69,SM_Mat,Settings!$B$12)&gt;0,MAX(0,SUMIFS(SM_Stock,SM_Site,$B69,SM_Mat,Settings!$B$12))/SUMIFS(SM_Cap,SM_Site,$B69,SM_Mat,Settings!$B$12),""))</f>
        <v/>
      </c>
      <c r="J69" s="26" t="str">
        <f aca="false">IF($B69="","",IF(SUMIFS(SM_Cap,SM_Site,$B69,SM_Mat,Settings!$B$13)&gt;0,MAX(0,SUMIFS(SM_Stock,SM_Site,$B69,SM_Mat,Settings!$B$13))/SUMIFS(SM_Cap,SM_Site,$B69,SM_Mat,Settings!$B$13),""))</f>
        <v/>
      </c>
      <c r="K69" s="26" t="str">
        <f aca="false">IF($B69="","",IF(SUMIFS(SM_Cap,SM_Site,$B69,SM_Mat,Settings!$B$14)&gt;0,MAX(0,SUMIFS(SM_Stock,SM_Site,$B69,SM_Mat,Settings!$B$14))/SUMIFS(SM_Cap,SM_Site,$B69,SM_Mat,Settings!$B$14),""))</f>
        <v/>
      </c>
      <c r="L69" s="26" t="str">
        <f aca="false">IF($B69="","",IF(SUMIFS(SM_Cap,SM_Site,$B69,SM_Mat,Settings!$B$15)&gt;0,MAX(0,SUMIFS(SM_Stock,SM_Site,$B69,SM_Mat,Settings!$B$15))/SUMIFS(SM_Cap,SM_Site,$B69,SM_Mat,Settings!$B$15),""))</f>
        <v/>
      </c>
      <c r="M69" s="30" t="str">
        <f aca="false">IF($B69="","",IF(COUNTIF(SM_Site,$B69)=0,"NOT SET UP",IF(COUNTIFS(SM_Site,$B69,SM_Status,"OUT OF STOCK")&gt;0,"OUT OF STOCK",IF(COUNTIFS(SM_Site,$B69,SM_Status,"CRITICAL")&gt;0,"CRITICAL",IF(COUNTIFS(SM_Site,$B69,SM_Status,"REORDER")&gt;0,"REORDER",IF(COUNTIFS(SM_Site,$B69,SM_Status,"OK")&gt;0,"OK","NO USAGE"))))))</f>
        <v/>
      </c>
      <c r="N69" s="27" t="str">
        <f aca="false">IF(COUNT(C69:G69)=0,"",MIN(C69:G69))</f>
        <v/>
      </c>
      <c r="O69" s="29" t="str">
        <f aca="false">IF(N69="","",IF(N69&lt;=0,"OUT",WORKDAY.INTL(AsOfDate,ROUNDUP(N69,0),WeekendMask,Holidays)))</f>
        <v/>
      </c>
    </row>
    <row r="70" customFormat="false" ht="15" hidden="false" customHeight="false" outlineLevel="0" collapsed="false">
      <c r="B70" s="23" t="str">
        <f aca="false">IF(Settings!$B34="","",Settings!$B34)</f>
        <v/>
      </c>
      <c r="C70" s="33" t="str">
        <f aca="false">IF($B70="","",IF(COUNTIFS(SM_Site,$B70,SM_Mat,Settings!$B$11)=0,"",IF(SUMIFS(SM_Rate,SM_Site,$B70,SM_Mat,Settings!$B$11)&gt;0,MAX(0,SUMIFS(SM_Stock,SM_Site,$B70,SM_Mat,Settings!$B$11))/SUMIFS(SM_Rate,SM_Site,$B70,SM_Mat,Settings!$B$11),"no use")))</f>
        <v/>
      </c>
      <c r="D70" s="33" t="str">
        <f aca="false">IF($B70="","",IF(COUNTIFS(SM_Site,$B70,SM_Mat,Settings!$B$12)=0,"",IF(SUMIFS(SM_Rate,SM_Site,$B70,SM_Mat,Settings!$B$12)&gt;0,MAX(0,SUMIFS(SM_Stock,SM_Site,$B70,SM_Mat,Settings!$B$12))/SUMIFS(SM_Rate,SM_Site,$B70,SM_Mat,Settings!$B$12),"no use")))</f>
        <v/>
      </c>
      <c r="E70" s="33" t="str">
        <f aca="false">IF($B70="","",IF(COUNTIFS(SM_Site,$B70,SM_Mat,Settings!$B$13)=0,"",IF(SUMIFS(SM_Rate,SM_Site,$B70,SM_Mat,Settings!$B$13)&gt;0,MAX(0,SUMIFS(SM_Stock,SM_Site,$B70,SM_Mat,Settings!$B$13))/SUMIFS(SM_Rate,SM_Site,$B70,SM_Mat,Settings!$B$13),"no use")))</f>
        <v/>
      </c>
      <c r="F70" s="33" t="str">
        <f aca="false">IF($B70="","",IF(COUNTIFS(SM_Site,$B70,SM_Mat,Settings!$B$14)=0,"",IF(SUMIFS(SM_Rate,SM_Site,$B70,SM_Mat,Settings!$B$14)&gt;0,MAX(0,SUMIFS(SM_Stock,SM_Site,$B70,SM_Mat,Settings!$B$14))/SUMIFS(SM_Rate,SM_Site,$B70,SM_Mat,Settings!$B$14),"no use")))</f>
        <v/>
      </c>
      <c r="G70" s="33" t="str">
        <f aca="false">IF($B70="","",IF(COUNTIFS(SM_Site,$B70,SM_Mat,Settings!$B$15)=0,"",IF(SUMIFS(SM_Rate,SM_Site,$B70,SM_Mat,Settings!$B$15)&gt;0,MAX(0,SUMIFS(SM_Stock,SM_Site,$B70,SM_Mat,Settings!$B$15))/SUMIFS(SM_Rate,SM_Site,$B70,SM_Mat,Settings!$B$15),"no use")))</f>
        <v/>
      </c>
      <c r="H70" s="26" t="str">
        <f aca="false">IF($B70="","",IF(SUMIFS(SM_Cap,SM_Site,$B70,SM_Mat,Settings!$B$11)&gt;0,MAX(0,SUMIFS(SM_Stock,SM_Site,$B70,SM_Mat,Settings!$B$11))/SUMIFS(SM_Cap,SM_Site,$B70,SM_Mat,Settings!$B$11),""))</f>
        <v/>
      </c>
      <c r="I70" s="26" t="str">
        <f aca="false">IF($B70="","",IF(SUMIFS(SM_Cap,SM_Site,$B70,SM_Mat,Settings!$B$12)&gt;0,MAX(0,SUMIFS(SM_Stock,SM_Site,$B70,SM_Mat,Settings!$B$12))/SUMIFS(SM_Cap,SM_Site,$B70,SM_Mat,Settings!$B$12),""))</f>
        <v/>
      </c>
      <c r="J70" s="26" t="str">
        <f aca="false">IF($B70="","",IF(SUMIFS(SM_Cap,SM_Site,$B70,SM_Mat,Settings!$B$13)&gt;0,MAX(0,SUMIFS(SM_Stock,SM_Site,$B70,SM_Mat,Settings!$B$13))/SUMIFS(SM_Cap,SM_Site,$B70,SM_Mat,Settings!$B$13),""))</f>
        <v/>
      </c>
      <c r="K70" s="26" t="str">
        <f aca="false">IF($B70="","",IF(SUMIFS(SM_Cap,SM_Site,$B70,SM_Mat,Settings!$B$14)&gt;0,MAX(0,SUMIFS(SM_Stock,SM_Site,$B70,SM_Mat,Settings!$B$14))/SUMIFS(SM_Cap,SM_Site,$B70,SM_Mat,Settings!$B$14),""))</f>
        <v/>
      </c>
      <c r="L70" s="26" t="str">
        <f aca="false">IF($B70="","",IF(SUMIFS(SM_Cap,SM_Site,$B70,SM_Mat,Settings!$B$15)&gt;0,MAX(0,SUMIFS(SM_Stock,SM_Site,$B70,SM_Mat,Settings!$B$15))/SUMIFS(SM_Cap,SM_Site,$B70,SM_Mat,Settings!$B$15),""))</f>
        <v/>
      </c>
      <c r="M70" s="30" t="str">
        <f aca="false">IF($B70="","",IF(COUNTIF(SM_Site,$B70)=0,"NOT SET UP",IF(COUNTIFS(SM_Site,$B70,SM_Status,"OUT OF STOCK")&gt;0,"OUT OF STOCK",IF(COUNTIFS(SM_Site,$B70,SM_Status,"CRITICAL")&gt;0,"CRITICAL",IF(COUNTIFS(SM_Site,$B70,SM_Status,"REORDER")&gt;0,"REORDER",IF(COUNTIFS(SM_Site,$B70,SM_Status,"OK")&gt;0,"OK","NO USAGE"))))))</f>
        <v/>
      </c>
      <c r="N70" s="27" t="str">
        <f aca="false">IF(COUNT(C70:G70)=0,"",MIN(C70:G70))</f>
        <v/>
      </c>
      <c r="O70" s="29" t="str">
        <f aca="false">IF(N70="","",IF(N70&lt;=0,"OUT",WORKDAY.INTL(AsOfDate,ROUNDUP(N70,0),WeekendMask,Holidays)))</f>
        <v/>
      </c>
    </row>
    <row r="71" customFormat="false" ht="15" hidden="false" customHeight="false" outlineLevel="0" collapsed="false">
      <c r="B71" s="23" t="str">
        <f aca="false">IF(Settings!$B35="","",Settings!$B35)</f>
        <v/>
      </c>
      <c r="C71" s="33" t="str">
        <f aca="false">IF($B71="","",IF(COUNTIFS(SM_Site,$B71,SM_Mat,Settings!$B$11)=0,"",IF(SUMIFS(SM_Rate,SM_Site,$B71,SM_Mat,Settings!$B$11)&gt;0,MAX(0,SUMIFS(SM_Stock,SM_Site,$B71,SM_Mat,Settings!$B$11))/SUMIFS(SM_Rate,SM_Site,$B71,SM_Mat,Settings!$B$11),"no use")))</f>
        <v/>
      </c>
      <c r="D71" s="33" t="str">
        <f aca="false">IF($B71="","",IF(COUNTIFS(SM_Site,$B71,SM_Mat,Settings!$B$12)=0,"",IF(SUMIFS(SM_Rate,SM_Site,$B71,SM_Mat,Settings!$B$12)&gt;0,MAX(0,SUMIFS(SM_Stock,SM_Site,$B71,SM_Mat,Settings!$B$12))/SUMIFS(SM_Rate,SM_Site,$B71,SM_Mat,Settings!$B$12),"no use")))</f>
        <v/>
      </c>
      <c r="E71" s="33" t="str">
        <f aca="false">IF($B71="","",IF(COUNTIFS(SM_Site,$B71,SM_Mat,Settings!$B$13)=0,"",IF(SUMIFS(SM_Rate,SM_Site,$B71,SM_Mat,Settings!$B$13)&gt;0,MAX(0,SUMIFS(SM_Stock,SM_Site,$B71,SM_Mat,Settings!$B$13))/SUMIFS(SM_Rate,SM_Site,$B71,SM_Mat,Settings!$B$13),"no use")))</f>
        <v/>
      </c>
      <c r="F71" s="33" t="str">
        <f aca="false">IF($B71="","",IF(COUNTIFS(SM_Site,$B71,SM_Mat,Settings!$B$14)=0,"",IF(SUMIFS(SM_Rate,SM_Site,$B71,SM_Mat,Settings!$B$14)&gt;0,MAX(0,SUMIFS(SM_Stock,SM_Site,$B71,SM_Mat,Settings!$B$14))/SUMIFS(SM_Rate,SM_Site,$B71,SM_Mat,Settings!$B$14),"no use")))</f>
        <v/>
      </c>
      <c r="G71" s="33" t="str">
        <f aca="false">IF($B71="","",IF(COUNTIFS(SM_Site,$B71,SM_Mat,Settings!$B$15)=0,"",IF(SUMIFS(SM_Rate,SM_Site,$B71,SM_Mat,Settings!$B$15)&gt;0,MAX(0,SUMIFS(SM_Stock,SM_Site,$B71,SM_Mat,Settings!$B$15))/SUMIFS(SM_Rate,SM_Site,$B71,SM_Mat,Settings!$B$15),"no use")))</f>
        <v/>
      </c>
      <c r="H71" s="26" t="str">
        <f aca="false">IF($B71="","",IF(SUMIFS(SM_Cap,SM_Site,$B71,SM_Mat,Settings!$B$11)&gt;0,MAX(0,SUMIFS(SM_Stock,SM_Site,$B71,SM_Mat,Settings!$B$11))/SUMIFS(SM_Cap,SM_Site,$B71,SM_Mat,Settings!$B$11),""))</f>
        <v/>
      </c>
      <c r="I71" s="26" t="str">
        <f aca="false">IF($B71="","",IF(SUMIFS(SM_Cap,SM_Site,$B71,SM_Mat,Settings!$B$12)&gt;0,MAX(0,SUMIFS(SM_Stock,SM_Site,$B71,SM_Mat,Settings!$B$12))/SUMIFS(SM_Cap,SM_Site,$B71,SM_Mat,Settings!$B$12),""))</f>
        <v/>
      </c>
      <c r="J71" s="26" t="str">
        <f aca="false">IF($B71="","",IF(SUMIFS(SM_Cap,SM_Site,$B71,SM_Mat,Settings!$B$13)&gt;0,MAX(0,SUMIFS(SM_Stock,SM_Site,$B71,SM_Mat,Settings!$B$13))/SUMIFS(SM_Cap,SM_Site,$B71,SM_Mat,Settings!$B$13),""))</f>
        <v/>
      </c>
      <c r="K71" s="26" t="str">
        <f aca="false">IF($B71="","",IF(SUMIFS(SM_Cap,SM_Site,$B71,SM_Mat,Settings!$B$14)&gt;0,MAX(0,SUMIFS(SM_Stock,SM_Site,$B71,SM_Mat,Settings!$B$14))/SUMIFS(SM_Cap,SM_Site,$B71,SM_Mat,Settings!$B$14),""))</f>
        <v/>
      </c>
      <c r="L71" s="26" t="str">
        <f aca="false">IF($B71="","",IF(SUMIFS(SM_Cap,SM_Site,$B71,SM_Mat,Settings!$B$15)&gt;0,MAX(0,SUMIFS(SM_Stock,SM_Site,$B71,SM_Mat,Settings!$B$15))/SUMIFS(SM_Cap,SM_Site,$B71,SM_Mat,Settings!$B$15),""))</f>
        <v/>
      </c>
      <c r="M71" s="30" t="str">
        <f aca="false">IF($B71="","",IF(COUNTIF(SM_Site,$B71)=0,"NOT SET UP",IF(COUNTIFS(SM_Site,$B71,SM_Status,"OUT OF STOCK")&gt;0,"OUT OF STOCK",IF(COUNTIFS(SM_Site,$B71,SM_Status,"CRITICAL")&gt;0,"CRITICAL",IF(COUNTIFS(SM_Site,$B71,SM_Status,"REORDER")&gt;0,"REORDER",IF(COUNTIFS(SM_Site,$B71,SM_Status,"OK")&gt;0,"OK","NO USAGE"))))))</f>
        <v/>
      </c>
      <c r="N71" s="27" t="str">
        <f aca="false">IF(COUNT(C71:G71)=0,"",MIN(C71:G71))</f>
        <v/>
      </c>
      <c r="O71" s="29" t="str">
        <f aca="false">IF(N71="","",IF(N71&lt;=0,"OUT",WORKDAY.INTL(AsOfDate,ROUNDUP(N71,0),WeekendMask,Holidays)))</f>
        <v/>
      </c>
    </row>
    <row r="72" customFormat="false" ht="15" hidden="false" customHeight="false" outlineLevel="0" collapsed="false">
      <c r="B72" s="23" t="str">
        <f aca="false">IF(Settings!$B36="","",Settings!$B36)</f>
        <v/>
      </c>
      <c r="C72" s="33" t="str">
        <f aca="false">IF($B72="","",IF(COUNTIFS(SM_Site,$B72,SM_Mat,Settings!$B$11)=0,"",IF(SUMIFS(SM_Rate,SM_Site,$B72,SM_Mat,Settings!$B$11)&gt;0,MAX(0,SUMIFS(SM_Stock,SM_Site,$B72,SM_Mat,Settings!$B$11))/SUMIFS(SM_Rate,SM_Site,$B72,SM_Mat,Settings!$B$11),"no use")))</f>
        <v/>
      </c>
      <c r="D72" s="33" t="str">
        <f aca="false">IF($B72="","",IF(COUNTIFS(SM_Site,$B72,SM_Mat,Settings!$B$12)=0,"",IF(SUMIFS(SM_Rate,SM_Site,$B72,SM_Mat,Settings!$B$12)&gt;0,MAX(0,SUMIFS(SM_Stock,SM_Site,$B72,SM_Mat,Settings!$B$12))/SUMIFS(SM_Rate,SM_Site,$B72,SM_Mat,Settings!$B$12),"no use")))</f>
        <v/>
      </c>
      <c r="E72" s="33" t="str">
        <f aca="false">IF($B72="","",IF(COUNTIFS(SM_Site,$B72,SM_Mat,Settings!$B$13)=0,"",IF(SUMIFS(SM_Rate,SM_Site,$B72,SM_Mat,Settings!$B$13)&gt;0,MAX(0,SUMIFS(SM_Stock,SM_Site,$B72,SM_Mat,Settings!$B$13))/SUMIFS(SM_Rate,SM_Site,$B72,SM_Mat,Settings!$B$13),"no use")))</f>
        <v/>
      </c>
      <c r="F72" s="33" t="str">
        <f aca="false">IF($B72="","",IF(COUNTIFS(SM_Site,$B72,SM_Mat,Settings!$B$14)=0,"",IF(SUMIFS(SM_Rate,SM_Site,$B72,SM_Mat,Settings!$B$14)&gt;0,MAX(0,SUMIFS(SM_Stock,SM_Site,$B72,SM_Mat,Settings!$B$14))/SUMIFS(SM_Rate,SM_Site,$B72,SM_Mat,Settings!$B$14),"no use")))</f>
        <v/>
      </c>
      <c r="G72" s="33" t="str">
        <f aca="false">IF($B72="","",IF(COUNTIFS(SM_Site,$B72,SM_Mat,Settings!$B$15)=0,"",IF(SUMIFS(SM_Rate,SM_Site,$B72,SM_Mat,Settings!$B$15)&gt;0,MAX(0,SUMIFS(SM_Stock,SM_Site,$B72,SM_Mat,Settings!$B$15))/SUMIFS(SM_Rate,SM_Site,$B72,SM_Mat,Settings!$B$15),"no use")))</f>
        <v/>
      </c>
      <c r="H72" s="26" t="str">
        <f aca="false">IF($B72="","",IF(SUMIFS(SM_Cap,SM_Site,$B72,SM_Mat,Settings!$B$11)&gt;0,MAX(0,SUMIFS(SM_Stock,SM_Site,$B72,SM_Mat,Settings!$B$11))/SUMIFS(SM_Cap,SM_Site,$B72,SM_Mat,Settings!$B$11),""))</f>
        <v/>
      </c>
      <c r="I72" s="26" t="str">
        <f aca="false">IF($B72="","",IF(SUMIFS(SM_Cap,SM_Site,$B72,SM_Mat,Settings!$B$12)&gt;0,MAX(0,SUMIFS(SM_Stock,SM_Site,$B72,SM_Mat,Settings!$B$12))/SUMIFS(SM_Cap,SM_Site,$B72,SM_Mat,Settings!$B$12),""))</f>
        <v/>
      </c>
      <c r="J72" s="26" t="str">
        <f aca="false">IF($B72="","",IF(SUMIFS(SM_Cap,SM_Site,$B72,SM_Mat,Settings!$B$13)&gt;0,MAX(0,SUMIFS(SM_Stock,SM_Site,$B72,SM_Mat,Settings!$B$13))/SUMIFS(SM_Cap,SM_Site,$B72,SM_Mat,Settings!$B$13),""))</f>
        <v/>
      </c>
      <c r="K72" s="26" t="str">
        <f aca="false">IF($B72="","",IF(SUMIFS(SM_Cap,SM_Site,$B72,SM_Mat,Settings!$B$14)&gt;0,MAX(0,SUMIFS(SM_Stock,SM_Site,$B72,SM_Mat,Settings!$B$14))/SUMIFS(SM_Cap,SM_Site,$B72,SM_Mat,Settings!$B$14),""))</f>
        <v/>
      </c>
      <c r="L72" s="26" t="str">
        <f aca="false">IF($B72="","",IF(SUMIFS(SM_Cap,SM_Site,$B72,SM_Mat,Settings!$B$15)&gt;0,MAX(0,SUMIFS(SM_Stock,SM_Site,$B72,SM_Mat,Settings!$B$15))/SUMIFS(SM_Cap,SM_Site,$B72,SM_Mat,Settings!$B$15),""))</f>
        <v/>
      </c>
      <c r="M72" s="30" t="str">
        <f aca="false">IF($B72="","",IF(COUNTIF(SM_Site,$B72)=0,"NOT SET UP",IF(COUNTIFS(SM_Site,$B72,SM_Status,"OUT OF STOCK")&gt;0,"OUT OF STOCK",IF(COUNTIFS(SM_Site,$B72,SM_Status,"CRITICAL")&gt;0,"CRITICAL",IF(COUNTIFS(SM_Site,$B72,SM_Status,"REORDER")&gt;0,"REORDER",IF(COUNTIFS(SM_Site,$B72,SM_Status,"OK")&gt;0,"OK","NO USAGE"))))))</f>
        <v/>
      </c>
      <c r="N72" s="27" t="str">
        <f aca="false">IF(COUNT(C72:G72)=0,"",MIN(C72:G72))</f>
        <v/>
      </c>
      <c r="O72" s="29" t="str">
        <f aca="false">IF(N72="","",IF(N72&lt;=0,"OUT",WORKDAY.INTL(AsOfDate,ROUNDUP(N72,0),WeekendMask,Holidays)))</f>
        <v/>
      </c>
    </row>
    <row r="73" customFormat="false" ht="15" hidden="false" customHeight="false" outlineLevel="0" collapsed="false">
      <c r="B73" s="23" t="str">
        <f aca="false">IF(Settings!$B37="","",Settings!$B37)</f>
        <v/>
      </c>
      <c r="C73" s="33" t="str">
        <f aca="false">IF($B73="","",IF(COUNTIFS(SM_Site,$B73,SM_Mat,Settings!$B$11)=0,"",IF(SUMIFS(SM_Rate,SM_Site,$B73,SM_Mat,Settings!$B$11)&gt;0,MAX(0,SUMIFS(SM_Stock,SM_Site,$B73,SM_Mat,Settings!$B$11))/SUMIFS(SM_Rate,SM_Site,$B73,SM_Mat,Settings!$B$11),"no use")))</f>
        <v/>
      </c>
      <c r="D73" s="33" t="str">
        <f aca="false">IF($B73="","",IF(COUNTIFS(SM_Site,$B73,SM_Mat,Settings!$B$12)=0,"",IF(SUMIFS(SM_Rate,SM_Site,$B73,SM_Mat,Settings!$B$12)&gt;0,MAX(0,SUMIFS(SM_Stock,SM_Site,$B73,SM_Mat,Settings!$B$12))/SUMIFS(SM_Rate,SM_Site,$B73,SM_Mat,Settings!$B$12),"no use")))</f>
        <v/>
      </c>
      <c r="E73" s="33" t="str">
        <f aca="false">IF($B73="","",IF(COUNTIFS(SM_Site,$B73,SM_Mat,Settings!$B$13)=0,"",IF(SUMIFS(SM_Rate,SM_Site,$B73,SM_Mat,Settings!$B$13)&gt;0,MAX(0,SUMIFS(SM_Stock,SM_Site,$B73,SM_Mat,Settings!$B$13))/SUMIFS(SM_Rate,SM_Site,$B73,SM_Mat,Settings!$B$13),"no use")))</f>
        <v/>
      </c>
      <c r="F73" s="33" t="str">
        <f aca="false">IF($B73="","",IF(COUNTIFS(SM_Site,$B73,SM_Mat,Settings!$B$14)=0,"",IF(SUMIFS(SM_Rate,SM_Site,$B73,SM_Mat,Settings!$B$14)&gt;0,MAX(0,SUMIFS(SM_Stock,SM_Site,$B73,SM_Mat,Settings!$B$14))/SUMIFS(SM_Rate,SM_Site,$B73,SM_Mat,Settings!$B$14),"no use")))</f>
        <v/>
      </c>
      <c r="G73" s="33" t="str">
        <f aca="false">IF($B73="","",IF(COUNTIFS(SM_Site,$B73,SM_Mat,Settings!$B$15)=0,"",IF(SUMIFS(SM_Rate,SM_Site,$B73,SM_Mat,Settings!$B$15)&gt;0,MAX(0,SUMIFS(SM_Stock,SM_Site,$B73,SM_Mat,Settings!$B$15))/SUMIFS(SM_Rate,SM_Site,$B73,SM_Mat,Settings!$B$15),"no use")))</f>
        <v/>
      </c>
      <c r="H73" s="26" t="str">
        <f aca="false">IF($B73="","",IF(SUMIFS(SM_Cap,SM_Site,$B73,SM_Mat,Settings!$B$11)&gt;0,MAX(0,SUMIFS(SM_Stock,SM_Site,$B73,SM_Mat,Settings!$B$11))/SUMIFS(SM_Cap,SM_Site,$B73,SM_Mat,Settings!$B$11),""))</f>
        <v/>
      </c>
      <c r="I73" s="26" t="str">
        <f aca="false">IF($B73="","",IF(SUMIFS(SM_Cap,SM_Site,$B73,SM_Mat,Settings!$B$12)&gt;0,MAX(0,SUMIFS(SM_Stock,SM_Site,$B73,SM_Mat,Settings!$B$12))/SUMIFS(SM_Cap,SM_Site,$B73,SM_Mat,Settings!$B$12),""))</f>
        <v/>
      </c>
      <c r="J73" s="26" t="str">
        <f aca="false">IF($B73="","",IF(SUMIFS(SM_Cap,SM_Site,$B73,SM_Mat,Settings!$B$13)&gt;0,MAX(0,SUMIFS(SM_Stock,SM_Site,$B73,SM_Mat,Settings!$B$13))/SUMIFS(SM_Cap,SM_Site,$B73,SM_Mat,Settings!$B$13),""))</f>
        <v/>
      </c>
      <c r="K73" s="26" t="str">
        <f aca="false">IF($B73="","",IF(SUMIFS(SM_Cap,SM_Site,$B73,SM_Mat,Settings!$B$14)&gt;0,MAX(0,SUMIFS(SM_Stock,SM_Site,$B73,SM_Mat,Settings!$B$14))/SUMIFS(SM_Cap,SM_Site,$B73,SM_Mat,Settings!$B$14),""))</f>
        <v/>
      </c>
      <c r="L73" s="26" t="str">
        <f aca="false">IF($B73="","",IF(SUMIFS(SM_Cap,SM_Site,$B73,SM_Mat,Settings!$B$15)&gt;0,MAX(0,SUMIFS(SM_Stock,SM_Site,$B73,SM_Mat,Settings!$B$15))/SUMIFS(SM_Cap,SM_Site,$B73,SM_Mat,Settings!$B$15),""))</f>
        <v/>
      </c>
      <c r="M73" s="30" t="str">
        <f aca="false">IF($B73="","",IF(COUNTIF(SM_Site,$B73)=0,"NOT SET UP",IF(COUNTIFS(SM_Site,$B73,SM_Status,"OUT OF STOCK")&gt;0,"OUT OF STOCK",IF(COUNTIFS(SM_Site,$B73,SM_Status,"CRITICAL")&gt;0,"CRITICAL",IF(COUNTIFS(SM_Site,$B73,SM_Status,"REORDER")&gt;0,"REORDER",IF(COUNTIFS(SM_Site,$B73,SM_Status,"OK")&gt;0,"OK","NO USAGE"))))))</f>
        <v/>
      </c>
      <c r="N73" s="27" t="str">
        <f aca="false">IF(COUNT(C73:G73)=0,"",MIN(C73:G73))</f>
        <v/>
      </c>
      <c r="O73" s="29" t="str">
        <f aca="false">IF(N73="","",IF(N73&lt;=0,"OUT",WORKDAY.INTL(AsOfDate,ROUNDUP(N73,0),WeekendMask,Holidays)))</f>
        <v/>
      </c>
    </row>
    <row r="74" customFormat="false" ht="15" hidden="false" customHeight="false" outlineLevel="0" collapsed="false">
      <c r="B74" s="23" t="str">
        <f aca="false">IF(Settings!$B38="","",Settings!$B38)</f>
        <v/>
      </c>
      <c r="C74" s="33" t="str">
        <f aca="false">IF($B74="","",IF(COUNTIFS(SM_Site,$B74,SM_Mat,Settings!$B$11)=0,"",IF(SUMIFS(SM_Rate,SM_Site,$B74,SM_Mat,Settings!$B$11)&gt;0,MAX(0,SUMIFS(SM_Stock,SM_Site,$B74,SM_Mat,Settings!$B$11))/SUMIFS(SM_Rate,SM_Site,$B74,SM_Mat,Settings!$B$11),"no use")))</f>
        <v/>
      </c>
      <c r="D74" s="33" t="str">
        <f aca="false">IF($B74="","",IF(COUNTIFS(SM_Site,$B74,SM_Mat,Settings!$B$12)=0,"",IF(SUMIFS(SM_Rate,SM_Site,$B74,SM_Mat,Settings!$B$12)&gt;0,MAX(0,SUMIFS(SM_Stock,SM_Site,$B74,SM_Mat,Settings!$B$12))/SUMIFS(SM_Rate,SM_Site,$B74,SM_Mat,Settings!$B$12),"no use")))</f>
        <v/>
      </c>
      <c r="E74" s="33" t="str">
        <f aca="false">IF($B74="","",IF(COUNTIFS(SM_Site,$B74,SM_Mat,Settings!$B$13)=0,"",IF(SUMIFS(SM_Rate,SM_Site,$B74,SM_Mat,Settings!$B$13)&gt;0,MAX(0,SUMIFS(SM_Stock,SM_Site,$B74,SM_Mat,Settings!$B$13))/SUMIFS(SM_Rate,SM_Site,$B74,SM_Mat,Settings!$B$13),"no use")))</f>
        <v/>
      </c>
      <c r="F74" s="33" t="str">
        <f aca="false">IF($B74="","",IF(COUNTIFS(SM_Site,$B74,SM_Mat,Settings!$B$14)=0,"",IF(SUMIFS(SM_Rate,SM_Site,$B74,SM_Mat,Settings!$B$14)&gt;0,MAX(0,SUMIFS(SM_Stock,SM_Site,$B74,SM_Mat,Settings!$B$14))/SUMIFS(SM_Rate,SM_Site,$B74,SM_Mat,Settings!$B$14),"no use")))</f>
        <v/>
      </c>
      <c r="G74" s="33" t="str">
        <f aca="false">IF($B74="","",IF(COUNTIFS(SM_Site,$B74,SM_Mat,Settings!$B$15)=0,"",IF(SUMIFS(SM_Rate,SM_Site,$B74,SM_Mat,Settings!$B$15)&gt;0,MAX(0,SUMIFS(SM_Stock,SM_Site,$B74,SM_Mat,Settings!$B$15))/SUMIFS(SM_Rate,SM_Site,$B74,SM_Mat,Settings!$B$15),"no use")))</f>
        <v/>
      </c>
      <c r="H74" s="26" t="str">
        <f aca="false">IF($B74="","",IF(SUMIFS(SM_Cap,SM_Site,$B74,SM_Mat,Settings!$B$11)&gt;0,MAX(0,SUMIFS(SM_Stock,SM_Site,$B74,SM_Mat,Settings!$B$11))/SUMIFS(SM_Cap,SM_Site,$B74,SM_Mat,Settings!$B$11),""))</f>
        <v/>
      </c>
      <c r="I74" s="26" t="str">
        <f aca="false">IF($B74="","",IF(SUMIFS(SM_Cap,SM_Site,$B74,SM_Mat,Settings!$B$12)&gt;0,MAX(0,SUMIFS(SM_Stock,SM_Site,$B74,SM_Mat,Settings!$B$12))/SUMIFS(SM_Cap,SM_Site,$B74,SM_Mat,Settings!$B$12),""))</f>
        <v/>
      </c>
      <c r="J74" s="26" t="str">
        <f aca="false">IF($B74="","",IF(SUMIFS(SM_Cap,SM_Site,$B74,SM_Mat,Settings!$B$13)&gt;0,MAX(0,SUMIFS(SM_Stock,SM_Site,$B74,SM_Mat,Settings!$B$13))/SUMIFS(SM_Cap,SM_Site,$B74,SM_Mat,Settings!$B$13),""))</f>
        <v/>
      </c>
      <c r="K74" s="26" t="str">
        <f aca="false">IF($B74="","",IF(SUMIFS(SM_Cap,SM_Site,$B74,SM_Mat,Settings!$B$14)&gt;0,MAX(0,SUMIFS(SM_Stock,SM_Site,$B74,SM_Mat,Settings!$B$14))/SUMIFS(SM_Cap,SM_Site,$B74,SM_Mat,Settings!$B$14),""))</f>
        <v/>
      </c>
      <c r="L74" s="26" t="str">
        <f aca="false">IF($B74="","",IF(SUMIFS(SM_Cap,SM_Site,$B74,SM_Mat,Settings!$B$15)&gt;0,MAX(0,SUMIFS(SM_Stock,SM_Site,$B74,SM_Mat,Settings!$B$15))/SUMIFS(SM_Cap,SM_Site,$B74,SM_Mat,Settings!$B$15),""))</f>
        <v/>
      </c>
      <c r="M74" s="30" t="str">
        <f aca="false">IF($B74="","",IF(COUNTIF(SM_Site,$B74)=0,"NOT SET UP",IF(COUNTIFS(SM_Site,$B74,SM_Status,"OUT OF STOCK")&gt;0,"OUT OF STOCK",IF(COUNTIFS(SM_Site,$B74,SM_Status,"CRITICAL")&gt;0,"CRITICAL",IF(COUNTIFS(SM_Site,$B74,SM_Status,"REORDER")&gt;0,"REORDER",IF(COUNTIFS(SM_Site,$B74,SM_Status,"OK")&gt;0,"OK","NO USAGE"))))))</f>
        <v/>
      </c>
      <c r="N74" s="27" t="str">
        <f aca="false">IF(COUNT(C74:G74)=0,"",MIN(C74:G74))</f>
        <v/>
      </c>
      <c r="O74" s="29" t="str">
        <f aca="false">IF(N74="","",IF(N74&lt;=0,"OUT",WORKDAY.INTL(AsOfDate,ROUNDUP(N74,0),WeekendMask,Holidays)))</f>
        <v/>
      </c>
    </row>
    <row r="76" customFormat="false" ht="18" hidden="false" customHeight="true" outlineLevel="0" collapsed="false">
      <c r="B76" s="35" t="s">
        <v>92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</row>
    <row r="77" customFormat="false" ht="18" hidden="false" customHeight="true" outlineLevel="0" collapsed="false">
      <c r="Q77" s="22" t="s">
        <v>93</v>
      </c>
      <c r="R77" s="22" t="s">
        <v>94</v>
      </c>
      <c r="S77" s="22" t="s">
        <v>95</v>
      </c>
      <c r="T77" s="22" t="s">
        <v>96</v>
      </c>
    </row>
    <row r="78" customFormat="false" ht="15" hidden="false" customHeight="false" outlineLevel="0" collapsed="false">
      <c r="Q78" s="29" t="n">
        <f aca="false">AsOfDate-13</f>
        <v>46313</v>
      </c>
      <c r="R78" s="25" t="n">
        <f aca="false">SUMIFS(Con_Vol,Con_Site,SelCrit,Con_Date,Q78)</f>
        <v>0</v>
      </c>
      <c r="S78" s="25" t="n">
        <f aca="false">SUMIFS(PP_Vol,PP_Site,SelCrit)</f>
        <v>0</v>
      </c>
      <c r="T78" s="24" t="str">
        <f aca="false">TEXT(Q78,"ddd dd")</f>
        <v>Sun 18</v>
      </c>
    </row>
    <row r="79" customFormat="false" ht="15" hidden="false" customHeight="false" outlineLevel="0" collapsed="false">
      <c r="Q79" s="29" t="n">
        <f aca="false">Q78+1</f>
        <v>46314</v>
      </c>
      <c r="R79" s="25" t="n">
        <f aca="false">SUMIFS(Con_Vol,Con_Site,SelCrit,Con_Date,Q79)</f>
        <v>0</v>
      </c>
      <c r="S79" s="25" t="n">
        <f aca="false">SUMIFS(PP_Vol,PP_Site,SelCrit)</f>
        <v>0</v>
      </c>
      <c r="T79" s="24" t="str">
        <f aca="false">TEXT(Q79,"ddd dd")</f>
        <v>Mon 19</v>
      </c>
    </row>
    <row r="80" customFormat="false" ht="15" hidden="false" customHeight="false" outlineLevel="0" collapsed="false">
      <c r="Q80" s="29" t="n">
        <f aca="false">Q79+1</f>
        <v>46315</v>
      </c>
      <c r="R80" s="25" t="n">
        <f aca="false">SUMIFS(Con_Vol,Con_Site,SelCrit,Con_Date,Q80)</f>
        <v>0</v>
      </c>
      <c r="S80" s="25" t="n">
        <f aca="false">SUMIFS(PP_Vol,PP_Site,SelCrit)</f>
        <v>0</v>
      </c>
      <c r="T80" s="24" t="str">
        <f aca="false">TEXT(Q80,"ddd dd")</f>
        <v>Tue 20</v>
      </c>
    </row>
    <row r="81" customFormat="false" ht="15" hidden="false" customHeight="false" outlineLevel="0" collapsed="false">
      <c r="Q81" s="29" t="n">
        <f aca="false">Q80+1</f>
        <v>46316</v>
      </c>
      <c r="R81" s="25" t="n">
        <f aca="false">SUMIFS(Con_Vol,Con_Site,SelCrit,Con_Date,Q81)</f>
        <v>0</v>
      </c>
      <c r="S81" s="25" t="n">
        <f aca="false">SUMIFS(PP_Vol,PP_Site,SelCrit)</f>
        <v>0</v>
      </c>
      <c r="T81" s="24" t="str">
        <f aca="false">TEXT(Q81,"ddd dd")</f>
        <v>Wed 21</v>
      </c>
    </row>
    <row r="82" customFormat="false" ht="15" hidden="false" customHeight="false" outlineLevel="0" collapsed="false">
      <c r="Q82" s="29" t="n">
        <f aca="false">Q81+1</f>
        <v>46317</v>
      </c>
      <c r="R82" s="25" t="n">
        <f aca="false">SUMIFS(Con_Vol,Con_Site,SelCrit,Con_Date,Q82)</f>
        <v>0</v>
      </c>
      <c r="S82" s="25" t="n">
        <f aca="false">SUMIFS(PP_Vol,PP_Site,SelCrit)</f>
        <v>0</v>
      </c>
      <c r="T82" s="24" t="str">
        <f aca="false">TEXT(Q82,"ddd dd")</f>
        <v>Thu 22</v>
      </c>
    </row>
    <row r="83" customFormat="false" ht="15" hidden="false" customHeight="false" outlineLevel="0" collapsed="false">
      <c r="Q83" s="29" t="n">
        <f aca="false">Q82+1</f>
        <v>46318</v>
      </c>
      <c r="R83" s="25" t="n">
        <f aca="false">SUMIFS(Con_Vol,Con_Site,SelCrit,Con_Date,Q83)</f>
        <v>0</v>
      </c>
      <c r="S83" s="25" t="n">
        <f aca="false">SUMIFS(PP_Vol,PP_Site,SelCrit)</f>
        <v>0</v>
      </c>
      <c r="T83" s="24" t="str">
        <f aca="false">TEXT(Q83,"ddd dd")</f>
        <v>Fri 23</v>
      </c>
    </row>
    <row r="84" customFormat="false" ht="15" hidden="false" customHeight="false" outlineLevel="0" collapsed="false">
      <c r="Q84" s="29" t="n">
        <f aca="false">Q83+1</f>
        <v>46319</v>
      </c>
      <c r="R84" s="25" t="n">
        <f aca="false">SUMIFS(Con_Vol,Con_Site,SelCrit,Con_Date,Q84)</f>
        <v>0</v>
      </c>
      <c r="S84" s="25" t="n">
        <f aca="false">SUMIFS(PP_Vol,PP_Site,SelCrit)</f>
        <v>0</v>
      </c>
      <c r="T84" s="24" t="str">
        <f aca="false">TEXT(Q84,"ddd dd")</f>
        <v>Sat 24</v>
      </c>
    </row>
    <row r="85" customFormat="false" ht="15" hidden="false" customHeight="false" outlineLevel="0" collapsed="false">
      <c r="Q85" s="29" t="n">
        <f aca="false">Q84+1</f>
        <v>46320</v>
      </c>
      <c r="R85" s="25" t="n">
        <f aca="false">SUMIFS(Con_Vol,Con_Site,SelCrit,Con_Date,Q85)</f>
        <v>0</v>
      </c>
      <c r="S85" s="25" t="n">
        <f aca="false">SUMIFS(PP_Vol,PP_Site,SelCrit)</f>
        <v>0</v>
      </c>
      <c r="T85" s="24" t="str">
        <f aca="false">TEXT(Q85,"ddd dd")</f>
        <v>Sun 25</v>
      </c>
    </row>
    <row r="86" customFormat="false" ht="15" hidden="false" customHeight="false" outlineLevel="0" collapsed="false">
      <c r="Q86" s="29" t="n">
        <f aca="false">Q85+1</f>
        <v>46321</v>
      </c>
      <c r="R86" s="25" t="n">
        <f aca="false">SUMIFS(Con_Vol,Con_Site,SelCrit,Con_Date,Q86)</f>
        <v>0</v>
      </c>
      <c r="S86" s="25" t="n">
        <f aca="false">SUMIFS(PP_Vol,PP_Site,SelCrit)</f>
        <v>0</v>
      </c>
      <c r="T86" s="24" t="str">
        <f aca="false">TEXT(Q86,"ddd dd")</f>
        <v>Mon 26</v>
      </c>
    </row>
    <row r="87" customFormat="false" ht="15" hidden="false" customHeight="false" outlineLevel="0" collapsed="false">
      <c r="Q87" s="29" t="n">
        <f aca="false">Q86+1</f>
        <v>46322</v>
      </c>
      <c r="R87" s="25" t="n">
        <f aca="false">SUMIFS(Con_Vol,Con_Site,SelCrit,Con_Date,Q87)</f>
        <v>0</v>
      </c>
      <c r="S87" s="25" t="n">
        <f aca="false">SUMIFS(PP_Vol,PP_Site,SelCrit)</f>
        <v>0</v>
      </c>
      <c r="T87" s="24" t="str">
        <f aca="false">TEXT(Q87,"ddd dd")</f>
        <v>Tue 27</v>
      </c>
    </row>
    <row r="88" customFormat="false" ht="15" hidden="false" customHeight="false" outlineLevel="0" collapsed="false">
      <c r="Q88" s="29" t="n">
        <f aca="false">Q87+1</f>
        <v>46323</v>
      </c>
      <c r="R88" s="25" t="n">
        <f aca="false">SUMIFS(Con_Vol,Con_Site,SelCrit,Con_Date,Q88)</f>
        <v>0</v>
      </c>
      <c r="S88" s="25" t="n">
        <f aca="false">SUMIFS(PP_Vol,PP_Site,SelCrit)</f>
        <v>0</v>
      </c>
      <c r="T88" s="24" t="str">
        <f aca="false">TEXT(Q88,"ddd dd")</f>
        <v>Wed 28</v>
      </c>
    </row>
    <row r="89" customFormat="false" ht="15" hidden="false" customHeight="false" outlineLevel="0" collapsed="false">
      <c r="Q89" s="29" t="n">
        <f aca="false">Q88+1</f>
        <v>46324</v>
      </c>
      <c r="R89" s="25" t="n">
        <f aca="false">SUMIFS(Con_Vol,Con_Site,SelCrit,Con_Date,Q89)</f>
        <v>0</v>
      </c>
      <c r="S89" s="25" t="n">
        <f aca="false">SUMIFS(PP_Vol,PP_Site,SelCrit)</f>
        <v>0</v>
      </c>
      <c r="T89" s="24" t="str">
        <f aca="false">TEXT(Q89,"ddd dd")</f>
        <v>Thu 29</v>
      </c>
    </row>
    <row r="90" customFormat="false" ht="15" hidden="false" customHeight="false" outlineLevel="0" collapsed="false">
      <c r="Q90" s="29" t="n">
        <f aca="false">Q89+1</f>
        <v>46325</v>
      </c>
      <c r="R90" s="25" t="n">
        <f aca="false">SUMIFS(Con_Vol,Con_Site,SelCrit,Con_Date,Q90)</f>
        <v>0</v>
      </c>
      <c r="S90" s="25" t="n">
        <f aca="false">SUMIFS(PP_Vol,PP_Site,SelCrit)</f>
        <v>0</v>
      </c>
      <c r="T90" s="24" t="str">
        <f aca="false">TEXT(Q90,"ddd dd")</f>
        <v>Fri 30</v>
      </c>
    </row>
    <row r="91" customFormat="false" ht="15" hidden="false" customHeight="false" outlineLevel="0" collapsed="false">
      <c r="Q91" s="29" t="n">
        <f aca="false">Q90+1</f>
        <v>46326</v>
      </c>
      <c r="R91" s="25" t="n">
        <f aca="false">SUMIFS(Con_Vol,Con_Site,SelCrit,Con_Date,Q91)</f>
        <v>0</v>
      </c>
      <c r="S91" s="25" t="n">
        <f aca="false">SUMIFS(PP_Vol,PP_Site,SelCrit)</f>
        <v>0</v>
      </c>
      <c r="T91" s="24" t="str">
        <f aca="false">TEXT(Q91,"ddd dd")</f>
        <v>Sat 31</v>
      </c>
    </row>
    <row r="95" customFormat="false" ht="18" hidden="false" customHeight="true" outlineLevel="0" collapsed="false">
      <c r="B95" s="35" t="s">
        <v>97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</row>
    <row r="96" customFormat="false" ht="45.75" hidden="false" customHeight="true" outlineLevel="0" collapsed="false">
      <c r="B96" s="22" t="s">
        <v>98</v>
      </c>
      <c r="C96" s="22" t="s">
        <v>53</v>
      </c>
      <c r="D96" s="22" t="str">
        <f aca="false">Forecast!B$9&amp;CHAR(10)&amp;Forecast!B$8&amp;" working days"</f>
        <v>Nov 2026
25 working days</v>
      </c>
      <c r="E96" s="22" t="str">
        <f aca="false">Forecast!C$9&amp;CHAR(10)&amp;Forecast!C$8&amp;" working days"</f>
        <v>Dec 2026
27 working days</v>
      </c>
      <c r="F96" s="22" t="str">
        <f aca="false">Forecast!D$9&amp;CHAR(10)&amp;Forecast!D$8&amp;" working days"</f>
        <v>Jan 2027
26 working days</v>
      </c>
      <c r="G96" s="22" t="str">
        <f aca="false">Forecast!E$9&amp;CHAR(10)&amp;Forecast!E$8&amp;" working days"</f>
        <v>Feb 2027
24 working days</v>
      </c>
      <c r="H96" s="22" t="str">
        <f aca="false">Forecast!F$9&amp;CHAR(10)&amp;Forecast!F$8&amp;" working days"</f>
        <v>Mar 2027
27 working days</v>
      </c>
      <c r="I96" s="22" t="str">
        <f aca="false">Forecast!G$9&amp;CHAR(10)&amp;Forecast!G$8&amp;" working days"</f>
        <v>Apr 2027
26 working days</v>
      </c>
      <c r="J96" s="22" t="s">
        <v>99</v>
      </c>
    </row>
    <row r="97" customFormat="false" ht="15" hidden="false" customHeight="false" outlineLevel="0" collapsed="false">
      <c r="B97" s="23" t="s">
        <v>100</v>
      </c>
      <c r="C97" s="24" t="s">
        <v>101</v>
      </c>
      <c r="D97" s="25" t="n">
        <f aca="false">SUMIFS(INDEX(FCA_Per,0,1),FCA_Site,SelCrit)</f>
        <v>0</v>
      </c>
      <c r="E97" s="25" t="n">
        <f aca="false">SUMIFS(INDEX(FCA_Per,0,2),FCA_Site,SelCrit)</f>
        <v>0</v>
      </c>
      <c r="F97" s="25" t="n">
        <f aca="false">SUMIFS(INDEX(FCA_Per,0,3),FCA_Site,SelCrit)</f>
        <v>0</v>
      </c>
      <c r="G97" s="25" t="n">
        <f aca="false">SUMIFS(INDEX(FCA_Per,0,4),FCA_Site,SelCrit)</f>
        <v>0</v>
      </c>
      <c r="H97" s="25" t="n">
        <f aca="false">SUMIFS(INDEX(FCA_Per,0,5),FCA_Site,SelCrit)</f>
        <v>0</v>
      </c>
      <c r="I97" s="25" t="n">
        <f aca="false">SUMIFS(INDEX(FCA_Per,0,6),FCA_Site,SelCrit)</f>
        <v>0</v>
      </c>
      <c r="J97" s="58" t="n">
        <f aca="false">SUM(D97:I97)</f>
        <v>0</v>
      </c>
      <c r="R97" s="16" t="s">
        <v>100</v>
      </c>
    </row>
    <row r="98" customFormat="false" ht="15" hidden="false" customHeight="false" outlineLevel="0" collapsed="false">
      <c r="B98" s="23" t="str">
        <f aca="false">INDEX(Mat_Short,1)</f>
        <v>Cement</v>
      </c>
      <c r="C98" s="24" t="str">
        <f aca="false">INDEX(Mat_Unit,1)</f>
        <v>bags</v>
      </c>
      <c r="D98" s="25" t="n">
        <f aca="false">SUMIFS(INDEX(FC_Use,0,1),FC_Site,SelCrit,FC_Mat,$Q$14)</f>
        <v>0</v>
      </c>
      <c r="E98" s="25" t="n">
        <f aca="false">SUMIFS(INDEX(FC_Use,0,2),FC_Site,SelCrit,FC_Mat,$Q$14)</f>
        <v>0</v>
      </c>
      <c r="F98" s="25" t="n">
        <f aca="false">SUMIFS(INDEX(FC_Use,0,3),FC_Site,SelCrit,FC_Mat,$Q$14)</f>
        <v>0</v>
      </c>
      <c r="G98" s="25" t="n">
        <f aca="false">SUMIFS(INDEX(FC_Use,0,4),FC_Site,SelCrit,FC_Mat,$Q$14)</f>
        <v>0</v>
      </c>
      <c r="H98" s="25" t="n">
        <f aca="false">SUMIFS(INDEX(FC_Use,0,5),FC_Site,SelCrit,FC_Mat,$Q$14)</f>
        <v>0</v>
      </c>
      <c r="I98" s="25" t="n">
        <f aca="false">SUMIFS(INDEX(FC_Use,0,6),FC_Site,SelCrit,FC_Mat,$Q$14)</f>
        <v>0</v>
      </c>
      <c r="J98" s="58" t="n">
        <f aca="false">SUM(D98:I98)</f>
        <v>0</v>
      </c>
      <c r="R98" s="16" t="str">
        <f aca="false">B98&amp;" use ("&amp;C98&amp;")"</f>
        <v>Cement use (bags)</v>
      </c>
    </row>
    <row r="99" customFormat="false" ht="15" hidden="false" customHeight="false" outlineLevel="0" collapsed="false">
      <c r="B99" s="23" t="str">
        <f aca="false">INDEX(Mat_Short,2)</f>
        <v>Sand</v>
      </c>
      <c r="C99" s="24" t="str">
        <f aca="false">INDEX(Mat_Unit,2)</f>
        <v>m3</v>
      </c>
      <c r="D99" s="25" t="n">
        <f aca="false">SUMIFS(INDEX(FC_Use,0,1),FC_Site,SelCrit,FC_Mat,$Q$15)</f>
        <v>0</v>
      </c>
      <c r="E99" s="25" t="n">
        <f aca="false">SUMIFS(INDEX(FC_Use,0,2),FC_Site,SelCrit,FC_Mat,$Q$15)</f>
        <v>0</v>
      </c>
      <c r="F99" s="25" t="n">
        <f aca="false">SUMIFS(INDEX(FC_Use,0,3),FC_Site,SelCrit,FC_Mat,$Q$15)</f>
        <v>0</v>
      </c>
      <c r="G99" s="25" t="n">
        <f aca="false">SUMIFS(INDEX(FC_Use,0,4),FC_Site,SelCrit,FC_Mat,$Q$15)</f>
        <v>0</v>
      </c>
      <c r="H99" s="25" t="n">
        <f aca="false">SUMIFS(INDEX(FC_Use,0,5),FC_Site,SelCrit,FC_Mat,$Q$15)</f>
        <v>0</v>
      </c>
      <c r="I99" s="25" t="n">
        <f aca="false">SUMIFS(INDEX(FC_Use,0,6),FC_Site,SelCrit,FC_Mat,$Q$15)</f>
        <v>0</v>
      </c>
      <c r="J99" s="58" t="n">
        <f aca="false">SUM(D99:I99)</f>
        <v>0</v>
      </c>
      <c r="R99" s="16" t="str">
        <f aca="false">B99&amp;" use ("&amp;C99&amp;")"</f>
        <v>Sand use (m3)</v>
      </c>
    </row>
    <row r="100" customFormat="false" ht="15" hidden="false" customHeight="false" outlineLevel="0" collapsed="false">
      <c r="B100" s="23" t="str">
        <f aca="false">INDEX(Mat_Short,3)</f>
        <v>Gravel 3/4"</v>
      </c>
      <c r="C100" s="24" t="str">
        <f aca="false">INDEX(Mat_Unit,3)</f>
        <v>m3</v>
      </c>
      <c r="D100" s="25" t="n">
        <f aca="false">SUMIFS(INDEX(FC_Use,0,1),FC_Site,SelCrit,FC_Mat,$Q$16)</f>
        <v>0</v>
      </c>
      <c r="E100" s="25" t="n">
        <f aca="false">SUMIFS(INDEX(FC_Use,0,2),FC_Site,SelCrit,FC_Mat,$Q$16)</f>
        <v>0</v>
      </c>
      <c r="F100" s="25" t="n">
        <f aca="false">SUMIFS(INDEX(FC_Use,0,3),FC_Site,SelCrit,FC_Mat,$Q$16)</f>
        <v>0</v>
      </c>
      <c r="G100" s="25" t="n">
        <f aca="false">SUMIFS(INDEX(FC_Use,0,4),FC_Site,SelCrit,FC_Mat,$Q$16)</f>
        <v>0</v>
      </c>
      <c r="H100" s="25" t="n">
        <f aca="false">SUMIFS(INDEX(FC_Use,0,5),FC_Site,SelCrit,FC_Mat,$Q$16)</f>
        <v>0</v>
      </c>
      <c r="I100" s="25" t="n">
        <f aca="false">SUMIFS(INDEX(FC_Use,0,6),FC_Site,SelCrit,FC_Mat,$Q$16)</f>
        <v>0</v>
      </c>
      <c r="J100" s="58" t="n">
        <f aca="false">SUM(D100:I100)</f>
        <v>0</v>
      </c>
      <c r="R100" s="16" t="str">
        <f aca="false">B100&amp;" use ("&amp;C100&amp;")"</f>
        <v>Gravel 3/4" use (m3)</v>
      </c>
    </row>
    <row r="101" customFormat="false" ht="15" hidden="false" customHeight="false" outlineLevel="0" collapsed="false">
      <c r="B101" s="23" t="str">
        <f aca="false">INDEX(Mat_Short,4)</f>
        <v>Gravel 3/8"</v>
      </c>
      <c r="C101" s="24" t="str">
        <f aca="false">INDEX(Mat_Unit,4)</f>
        <v>m3</v>
      </c>
      <c r="D101" s="25" t="n">
        <f aca="false">SUMIFS(INDEX(FC_Use,0,1),FC_Site,SelCrit,FC_Mat,$Q$17)</f>
        <v>0</v>
      </c>
      <c r="E101" s="25" t="n">
        <f aca="false">SUMIFS(INDEX(FC_Use,0,2),FC_Site,SelCrit,FC_Mat,$Q$17)</f>
        <v>0</v>
      </c>
      <c r="F101" s="25" t="n">
        <f aca="false">SUMIFS(INDEX(FC_Use,0,3),FC_Site,SelCrit,FC_Mat,$Q$17)</f>
        <v>0</v>
      </c>
      <c r="G101" s="25" t="n">
        <f aca="false">SUMIFS(INDEX(FC_Use,0,4),FC_Site,SelCrit,FC_Mat,$Q$17)</f>
        <v>0</v>
      </c>
      <c r="H101" s="25" t="n">
        <f aca="false">SUMIFS(INDEX(FC_Use,0,5),FC_Site,SelCrit,FC_Mat,$Q$17)</f>
        <v>0</v>
      </c>
      <c r="I101" s="25" t="n">
        <f aca="false">SUMIFS(INDEX(FC_Use,0,6),FC_Site,SelCrit,FC_Mat,$Q$17)</f>
        <v>0</v>
      </c>
      <c r="J101" s="58" t="n">
        <f aca="false">SUM(D101:I101)</f>
        <v>0</v>
      </c>
      <c r="R101" s="16" t="str">
        <f aca="false">B101&amp;" use ("&amp;C101&amp;")"</f>
        <v>Gravel 3/8" use (m3)</v>
      </c>
    </row>
    <row r="102" customFormat="false" ht="15" hidden="false" customHeight="false" outlineLevel="0" collapsed="false">
      <c r="B102" s="23" t="str">
        <f aca="false">INDEX(Mat_Short,5)</f>
        <v>Admixture</v>
      </c>
      <c r="C102" s="24" t="str">
        <f aca="false">INDEX(Mat_Unit,5)</f>
        <v>L</v>
      </c>
      <c r="D102" s="25" t="n">
        <f aca="false">SUMIFS(INDEX(FC_Use,0,1),FC_Site,SelCrit,FC_Mat,$Q$18)</f>
        <v>0</v>
      </c>
      <c r="E102" s="25" t="n">
        <f aca="false">SUMIFS(INDEX(FC_Use,0,2),FC_Site,SelCrit,FC_Mat,$Q$18)</f>
        <v>0</v>
      </c>
      <c r="F102" s="25" t="n">
        <f aca="false">SUMIFS(INDEX(FC_Use,0,3),FC_Site,SelCrit,FC_Mat,$Q$18)</f>
        <v>0</v>
      </c>
      <c r="G102" s="25" t="n">
        <f aca="false">SUMIFS(INDEX(FC_Use,0,4),FC_Site,SelCrit,FC_Mat,$Q$18)</f>
        <v>0</v>
      </c>
      <c r="H102" s="25" t="n">
        <f aca="false">SUMIFS(INDEX(FC_Use,0,5),FC_Site,SelCrit,FC_Mat,$Q$18)</f>
        <v>0</v>
      </c>
      <c r="I102" s="25" t="n">
        <f aca="false">SUMIFS(INDEX(FC_Use,0,6),FC_Site,SelCrit,FC_Mat,$Q$18)</f>
        <v>0</v>
      </c>
      <c r="J102" s="58" t="n">
        <f aca="false">SUM(D102:I102)</f>
        <v>0</v>
      </c>
      <c r="R102" s="16" t="str">
        <f aca="false">B102&amp;" use ("&amp;C102&amp;")"</f>
        <v>Admixture use (L)</v>
      </c>
    </row>
    <row r="104" customFormat="false" ht="33.75" hidden="false" customHeight="true" outlineLevel="0" collapsed="false">
      <c r="B104" s="22" t="s">
        <v>102</v>
      </c>
      <c r="C104" s="22" t="s">
        <v>53</v>
      </c>
      <c r="D104" s="22" t="str">
        <f aca="false">Forecast!B$9</f>
        <v>Nov 2026</v>
      </c>
      <c r="E104" s="22" t="str">
        <f aca="false">Forecast!C$9</f>
        <v>Dec 2026</v>
      </c>
      <c r="F104" s="22" t="str">
        <f aca="false">Forecast!D$9</f>
        <v>Jan 2027</v>
      </c>
      <c r="G104" s="22" t="str">
        <f aca="false">Forecast!E$9</f>
        <v>Feb 2027</v>
      </c>
      <c r="H104" s="22" t="str">
        <f aca="false">Forecast!F$9</f>
        <v>Mar 2027</v>
      </c>
      <c r="I104" s="22" t="str">
        <f aca="false">Forecast!G$9</f>
        <v>Apr 2027</v>
      </c>
      <c r="J104" s="22" t="s">
        <v>99</v>
      </c>
    </row>
    <row r="105" customFormat="false" ht="15" hidden="false" customHeight="false" outlineLevel="0" collapsed="false">
      <c r="B105" s="23" t="str">
        <f aca="false">INDEX(Mat_Short,1)</f>
        <v>Cement</v>
      </c>
      <c r="C105" s="24" t="str">
        <f aca="false">INDEX(Mat_Unit,1)</f>
        <v>bags</v>
      </c>
      <c r="D105" s="25" t="n">
        <f aca="false">SUMIFS(INDEX(FC_In,0,1),FC_Site,SelCrit,FC_Mat,$Q$14)</f>
        <v>0</v>
      </c>
      <c r="E105" s="25" t="n">
        <f aca="false">SUMIFS(INDEX(FC_In,0,2),FC_Site,SelCrit,FC_Mat,$Q$14)</f>
        <v>0</v>
      </c>
      <c r="F105" s="25" t="n">
        <f aca="false">SUMIFS(INDEX(FC_In,0,3),FC_Site,SelCrit,FC_Mat,$Q$14)</f>
        <v>0</v>
      </c>
      <c r="G105" s="25" t="n">
        <f aca="false">SUMIFS(INDEX(FC_In,0,4),FC_Site,SelCrit,FC_Mat,$Q$14)</f>
        <v>0</v>
      </c>
      <c r="H105" s="25" t="n">
        <f aca="false">SUMIFS(INDEX(FC_In,0,5),FC_Site,SelCrit,FC_Mat,$Q$14)</f>
        <v>0</v>
      </c>
      <c r="I105" s="25" t="n">
        <f aca="false">SUMIFS(INDEX(FC_In,0,6),FC_Site,SelCrit,FC_Mat,$Q$14)</f>
        <v>0</v>
      </c>
      <c r="J105" s="58" t="n">
        <f aca="false">SUM(D105:I105)</f>
        <v>0</v>
      </c>
    </row>
    <row r="106" customFormat="false" ht="15" hidden="false" customHeight="false" outlineLevel="0" collapsed="false">
      <c r="B106" s="23" t="str">
        <f aca="false">INDEX(Mat_Short,2)</f>
        <v>Sand</v>
      </c>
      <c r="C106" s="24" t="str">
        <f aca="false">INDEX(Mat_Unit,2)</f>
        <v>m3</v>
      </c>
      <c r="D106" s="25" t="n">
        <f aca="false">SUMIFS(INDEX(FC_In,0,1),FC_Site,SelCrit,FC_Mat,$Q$15)</f>
        <v>0</v>
      </c>
      <c r="E106" s="25" t="n">
        <f aca="false">SUMIFS(INDEX(FC_In,0,2),FC_Site,SelCrit,FC_Mat,$Q$15)</f>
        <v>0</v>
      </c>
      <c r="F106" s="25" t="n">
        <f aca="false">SUMIFS(INDEX(FC_In,0,3),FC_Site,SelCrit,FC_Mat,$Q$15)</f>
        <v>0</v>
      </c>
      <c r="G106" s="25" t="n">
        <f aca="false">SUMIFS(INDEX(FC_In,0,4),FC_Site,SelCrit,FC_Mat,$Q$15)</f>
        <v>0</v>
      </c>
      <c r="H106" s="25" t="n">
        <f aca="false">SUMIFS(INDEX(FC_In,0,5),FC_Site,SelCrit,FC_Mat,$Q$15)</f>
        <v>0</v>
      </c>
      <c r="I106" s="25" t="n">
        <f aca="false">SUMIFS(INDEX(FC_In,0,6),FC_Site,SelCrit,FC_Mat,$Q$15)</f>
        <v>0</v>
      </c>
      <c r="J106" s="58" t="n">
        <f aca="false">SUM(D106:I106)</f>
        <v>0</v>
      </c>
    </row>
    <row r="107" customFormat="false" ht="15" hidden="false" customHeight="false" outlineLevel="0" collapsed="false">
      <c r="B107" s="23" t="str">
        <f aca="false">INDEX(Mat_Short,3)</f>
        <v>Gravel 3/4"</v>
      </c>
      <c r="C107" s="24" t="str">
        <f aca="false">INDEX(Mat_Unit,3)</f>
        <v>m3</v>
      </c>
      <c r="D107" s="25" t="n">
        <f aca="false">SUMIFS(INDEX(FC_In,0,1),FC_Site,SelCrit,FC_Mat,$Q$16)</f>
        <v>0</v>
      </c>
      <c r="E107" s="25" t="n">
        <f aca="false">SUMIFS(INDEX(FC_In,0,2),FC_Site,SelCrit,FC_Mat,$Q$16)</f>
        <v>0</v>
      </c>
      <c r="F107" s="25" t="n">
        <f aca="false">SUMIFS(INDEX(FC_In,0,3),FC_Site,SelCrit,FC_Mat,$Q$16)</f>
        <v>0</v>
      </c>
      <c r="G107" s="25" t="n">
        <f aca="false">SUMIFS(INDEX(FC_In,0,4),FC_Site,SelCrit,FC_Mat,$Q$16)</f>
        <v>0</v>
      </c>
      <c r="H107" s="25" t="n">
        <f aca="false">SUMIFS(INDEX(FC_In,0,5),FC_Site,SelCrit,FC_Mat,$Q$16)</f>
        <v>0</v>
      </c>
      <c r="I107" s="25" t="n">
        <f aca="false">SUMIFS(INDEX(FC_In,0,6),FC_Site,SelCrit,FC_Mat,$Q$16)</f>
        <v>0</v>
      </c>
      <c r="J107" s="58" t="n">
        <f aca="false">SUM(D107:I107)</f>
        <v>0</v>
      </c>
    </row>
    <row r="108" customFormat="false" ht="15" hidden="false" customHeight="false" outlineLevel="0" collapsed="false">
      <c r="B108" s="23" t="str">
        <f aca="false">INDEX(Mat_Short,4)</f>
        <v>Gravel 3/8"</v>
      </c>
      <c r="C108" s="24" t="str">
        <f aca="false">INDEX(Mat_Unit,4)</f>
        <v>m3</v>
      </c>
      <c r="D108" s="25" t="n">
        <f aca="false">SUMIFS(INDEX(FC_In,0,1),FC_Site,SelCrit,FC_Mat,$Q$17)</f>
        <v>0</v>
      </c>
      <c r="E108" s="25" t="n">
        <f aca="false">SUMIFS(INDEX(FC_In,0,2),FC_Site,SelCrit,FC_Mat,$Q$17)</f>
        <v>0</v>
      </c>
      <c r="F108" s="25" t="n">
        <f aca="false">SUMIFS(INDEX(FC_In,0,3),FC_Site,SelCrit,FC_Mat,$Q$17)</f>
        <v>0</v>
      </c>
      <c r="G108" s="25" t="n">
        <f aca="false">SUMIFS(INDEX(FC_In,0,4),FC_Site,SelCrit,FC_Mat,$Q$17)</f>
        <v>0</v>
      </c>
      <c r="H108" s="25" t="n">
        <f aca="false">SUMIFS(INDEX(FC_In,0,5),FC_Site,SelCrit,FC_Mat,$Q$17)</f>
        <v>0</v>
      </c>
      <c r="I108" s="25" t="n">
        <f aca="false">SUMIFS(INDEX(FC_In,0,6),FC_Site,SelCrit,FC_Mat,$Q$17)</f>
        <v>0</v>
      </c>
      <c r="J108" s="58" t="n">
        <f aca="false">SUM(D108:I108)</f>
        <v>0</v>
      </c>
    </row>
    <row r="109" customFormat="false" ht="15" hidden="false" customHeight="false" outlineLevel="0" collapsed="false">
      <c r="B109" s="23" t="str">
        <f aca="false">INDEX(Mat_Short,5)</f>
        <v>Admixture</v>
      </c>
      <c r="C109" s="24" t="str">
        <f aca="false">INDEX(Mat_Unit,5)</f>
        <v>L</v>
      </c>
      <c r="D109" s="25" t="n">
        <f aca="false">SUMIFS(INDEX(FC_In,0,1),FC_Site,SelCrit,FC_Mat,$Q$18)</f>
        <v>0</v>
      </c>
      <c r="E109" s="25" t="n">
        <f aca="false">SUMIFS(INDEX(FC_In,0,2),FC_Site,SelCrit,FC_Mat,$Q$18)</f>
        <v>0</v>
      </c>
      <c r="F109" s="25" t="n">
        <f aca="false">SUMIFS(INDEX(FC_In,0,3),FC_Site,SelCrit,FC_Mat,$Q$18)</f>
        <v>0</v>
      </c>
      <c r="G109" s="25" t="n">
        <f aca="false">SUMIFS(INDEX(FC_In,0,4),FC_Site,SelCrit,FC_Mat,$Q$18)</f>
        <v>0</v>
      </c>
      <c r="H109" s="25" t="n">
        <f aca="false">SUMIFS(INDEX(FC_In,0,5),FC_Site,SelCrit,FC_Mat,$Q$18)</f>
        <v>0</v>
      </c>
      <c r="I109" s="25" t="n">
        <f aca="false">SUMIFS(INDEX(FC_In,0,6),FC_Site,SelCrit,FC_Mat,$Q$18)</f>
        <v>0</v>
      </c>
      <c r="J109" s="58" t="n">
        <f aca="false">SUM(D109:I109)</f>
        <v>0</v>
      </c>
    </row>
    <row r="111" customFormat="false" ht="33.75" hidden="false" customHeight="true" outlineLevel="0" collapsed="false">
      <c r="B111" s="22" t="s">
        <v>103</v>
      </c>
      <c r="C111" s="22" t="s">
        <v>53</v>
      </c>
      <c r="D111" s="22" t="str">
        <f aca="false">Forecast!B$9</f>
        <v>Nov 2026</v>
      </c>
      <c r="E111" s="22" t="str">
        <f aca="false">Forecast!C$9</f>
        <v>Dec 2026</v>
      </c>
      <c r="F111" s="22" t="str">
        <f aca="false">Forecast!D$9</f>
        <v>Jan 2027</v>
      </c>
      <c r="G111" s="22" t="str">
        <f aca="false">Forecast!E$9</f>
        <v>Feb 2027</v>
      </c>
      <c r="H111" s="22" t="str">
        <f aca="false">Forecast!F$9</f>
        <v>Mar 2027</v>
      </c>
      <c r="I111" s="22" t="str">
        <f aca="false">Forecast!G$9</f>
        <v>Apr 2027</v>
      </c>
      <c r="J111" s="22" t="s">
        <v>99</v>
      </c>
    </row>
    <row r="112" customFormat="false" ht="15" hidden="false" customHeight="false" outlineLevel="0" collapsed="false">
      <c r="B112" s="23" t="str">
        <f aca="false">INDEX(Mat_Short,1)</f>
        <v>Cement</v>
      </c>
      <c r="C112" s="24" t="str">
        <f aca="false">INDEX(Mat_Unit,1)</f>
        <v>bags</v>
      </c>
      <c r="D112" s="25" t="n">
        <f aca="false">SUMIFS(INDEX(FC_Order,0,1),FC_Site,SelCrit,FC_Mat,$Q$14)</f>
        <v>0</v>
      </c>
      <c r="E112" s="25" t="n">
        <f aca="false">SUMIFS(INDEX(FC_Order,0,2),FC_Site,SelCrit,FC_Mat,$Q$14)</f>
        <v>0</v>
      </c>
      <c r="F112" s="25" t="n">
        <f aca="false">SUMIFS(INDEX(FC_Order,0,3),FC_Site,SelCrit,FC_Mat,$Q$14)</f>
        <v>0</v>
      </c>
      <c r="G112" s="25" t="n">
        <f aca="false">SUMIFS(INDEX(FC_Order,0,4),FC_Site,SelCrit,FC_Mat,$Q$14)</f>
        <v>0</v>
      </c>
      <c r="H112" s="25" t="n">
        <f aca="false">SUMIFS(INDEX(FC_Order,0,5),FC_Site,SelCrit,FC_Mat,$Q$14)</f>
        <v>0</v>
      </c>
      <c r="I112" s="25" t="n">
        <f aca="false">SUMIFS(INDEX(FC_Order,0,6),FC_Site,SelCrit,FC_Mat,$Q$14)</f>
        <v>0</v>
      </c>
      <c r="J112" s="58" t="n">
        <f aca="false">SUM(D112:I112)</f>
        <v>0</v>
      </c>
      <c r="R112" s="16" t="str">
        <f aca="false">"Still to order ("&amp;C112&amp;")"</f>
        <v>Still to order (bags)</v>
      </c>
    </row>
    <row r="113" customFormat="false" ht="15" hidden="false" customHeight="false" outlineLevel="0" collapsed="false">
      <c r="B113" s="23" t="str">
        <f aca="false">INDEX(Mat_Short,2)</f>
        <v>Sand</v>
      </c>
      <c r="C113" s="24" t="str">
        <f aca="false">INDEX(Mat_Unit,2)</f>
        <v>m3</v>
      </c>
      <c r="D113" s="25" t="n">
        <f aca="false">SUMIFS(INDEX(FC_Order,0,1),FC_Site,SelCrit,FC_Mat,$Q$15)</f>
        <v>0</v>
      </c>
      <c r="E113" s="25" t="n">
        <f aca="false">SUMIFS(INDEX(FC_Order,0,2),FC_Site,SelCrit,FC_Mat,$Q$15)</f>
        <v>0</v>
      </c>
      <c r="F113" s="25" t="n">
        <f aca="false">SUMIFS(INDEX(FC_Order,0,3),FC_Site,SelCrit,FC_Mat,$Q$15)</f>
        <v>0</v>
      </c>
      <c r="G113" s="25" t="n">
        <f aca="false">SUMIFS(INDEX(FC_Order,0,4),FC_Site,SelCrit,FC_Mat,$Q$15)</f>
        <v>0</v>
      </c>
      <c r="H113" s="25" t="n">
        <f aca="false">SUMIFS(INDEX(FC_Order,0,5),FC_Site,SelCrit,FC_Mat,$Q$15)</f>
        <v>0</v>
      </c>
      <c r="I113" s="25" t="n">
        <f aca="false">SUMIFS(INDEX(FC_Order,0,6),FC_Site,SelCrit,FC_Mat,$Q$15)</f>
        <v>0</v>
      </c>
      <c r="J113" s="58" t="n">
        <f aca="false">SUM(D113:I113)</f>
        <v>0</v>
      </c>
      <c r="R113" s="16" t="str">
        <f aca="false">"Still to order ("&amp;C113&amp;")"</f>
        <v>Still to order (m3)</v>
      </c>
    </row>
    <row r="114" customFormat="false" ht="15" hidden="false" customHeight="false" outlineLevel="0" collapsed="false">
      <c r="B114" s="23" t="str">
        <f aca="false">INDEX(Mat_Short,3)</f>
        <v>Gravel 3/4"</v>
      </c>
      <c r="C114" s="24" t="str">
        <f aca="false">INDEX(Mat_Unit,3)</f>
        <v>m3</v>
      </c>
      <c r="D114" s="25" t="n">
        <f aca="false">SUMIFS(INDEX(FC_Order,0,1),FC_Site,SelCrit,FC_Mat,$Q$16)</f>
        <v>0</v>
      </c>
      <c r="E114" s="25" t="n">
        <f aca="false">SUMIFS(INDEX(FC_Order,0,2),FC_Site,SelCrit,FC_Mat,$Q$16)</f>
        <v>0</v>
      </c>
      <c r="F114" s="25" t="n">
        <f aca="false">SUMIFS(INDEX(FC_Order,0,3),FC_Site,SelCrit,FC_Mat,$Q$16)</f>
        <v>0</v>
      </c>
      <c r="G114" s="25" t="n">
        <f aca="false">SUMIFS(INDEX(FC_Order,0,4),FC_Site,SelCrit,FC_Mat,$Q$16)</f>
        <v>0</v>
      </c>
      <c r="H114" s="25" t="n">
        <f aca="false">SUMIFS(INDEX(FC_Order,0,5),FC_Site,SelCrit,FC_Mat,$Q$16)</f>
        <v>0</v>
      </c>
      <c r="I114" s="25" t="n">
        <f aca="false">SUMIFS(INDEX(FC_Order,0,6),FC_Site,SelCrit,FC_Mat,$Q$16)</f>
        <v>0</v>
      </c>
      <c r="J114" s="58" t="n">
        <f aca="false">SUM(D114:I114)</f>
        <v>0</v>
      </c>
      <c r="R114" s="16" t="str">
        <f aca="false">"Still to order ("&amp;C114&amp;")"</f>
        <v>Still to order (m3)</v>
      </c>
    </row>
    <row r="115" customFormat="false" ht="15" hidden="false" customHeight="false" outlineLevel="0" collapsed="false">
      <c r="B115" s="23" t="str">
        <f aca="false">INDEX(Mat_Short,4)</f>
        <v>Gravel 3/8"</v>
      </c>
      <c r="C115" s="24" t="str">
        <f aca="false">INDEX(Mat_Unit,4)</f>
        <v>m3</v>
      </c>
      <c r="D115" s="25" t="n">
        <f aca="false">SUMIFS(INDEX(FC_Order,0,1),FC_Site,SelCrit,FC_Mat,$Q$17)</f>
        <v>0</v>
      </c>
      <c r="E115" s="25" t="n">
        <f aca="false">SUMIFS(INDEX(FC_Order,0,2),FC_Site,SelCrit,FC_Mat,$Q$17)</f>
        <v>0</v>
      </c>
      <c r="F115" s="25" t="n">
        <f aca="false">SUMIFS(INDEX(FC_Order,0,3),FC_Site,SelCrit,FC_Mat,$Q$17)</f>
        <v>0</v>
      </c>
      <c r="G115" s="25" t="n">
        <f aca="false">SUMIFS(INDEX(FC_Order,0,4),FC_Site,SelCrit,FC_Mat,$Q$17)</f>
        <v>0</v>
      </c>
      <c r="H115" s="25" t="n">
        <f aca="false">SUMIFS(INDEX(FC_Order,0,5),FC_Site,SelCrit,FC_Mat,$Q$17)</f>
        <v>0</v>
      </c>
      <c r="I115" s="25" t="n">
        <f aca="false">SUMIFS(INDEX(FC_Order,0,6),FC_Site,SelCrit,FC_Mat,$Q$17)</f>
        <v>0</v>
      </c>
      <c r="J115" s="58" t="n">
        <f aca="false">SUM(D115:I115)</f>
        <v>0</v>
      </c>
      <c r="R115" s="16" t="str">
        <f aca="false">"Still to order ("&amp;C115&amp;")"</f>
        <v>Still to order (m3)</v>
      </c>
    </row>
    <row r="116" customFormat="false" ht="15" hidden="false" customHeight="false" outlineLevel="0" collapsed="false">
      <c r="B116" s="23" t="str">
        <f aca="false">INDEX(Mat_Short,5)</f>
        <v>Admixture</v>
      </c>
      <c r="C116" s="24" t="str">
        <f aca="false">INDEX(Mat_Unit,5)</f>
        <v>L</v>
      </c>
      <c r="D116" s="25" t="n">
        <f aca="false">SUMIFS(INDEX(FC_Order,0,1),FC_Site,SelCrit,FC_Mat,$Q$18)</f>
        <v>0</v>
      </c>
      <c r="E116" s="25" t="n">
        <f aca="false">SUMIFS(INDEX(FC_Order,0,2),FC_Site,SelCrit,FC_Mat,$Q$18)</f>
        <v>0</v>
      </c>
      <c r="F116" s="25" t="n">
        <f aca="false">SUMIFS(INDEX(FC_Order,0,3),FC_Site,SelCrit,FC_Mat,$Q$18)</f>
        <v>0</v>
      </c>
      <c r="G116" s="25" t="n">
        <f aca="false">SUMIFS(INDEX(FC_Order,0,4),FC_Site,SelCrit,FC_Mat,$Q$18)</f>
        <v>0</v>
      </c>
      <c r="H116" s="25" t="n">
        <f aca="false">SUMIFS(INDEX(FC_Order,0,5),FC_Site,SelCrit,FC_Mat,$Q$18)</f>
        <v>0</v>
      </c>
      <c r="I116" s="25" t="n">
        <f aca="false">SUMIFS(INDEX(FC_Order,0,6),FC_Site,SelCrit,FC_Mat,$Q$18)</f>
        <v>0</v>
      </c>
      <c r="J116" s="58" t="n">
        <f aca="false">SUM(D116:I116)</f>
        <v>0</v>
      </c>
      <c r="R116" s="16" t="str">
        <f aca="false">"Still to order ("&amp;C116&amp;")"</f>
        <v>Still to order (L)</v>
      </c>
    </row>
    <row r="117" customFormat="false" ht="15" hidden="false" customHeight="false" outlineLevel="0" collapsed="false">
      <c r="B117" s="15" t="s">
        <v>104</v>
      </c>
    </row>
    <row r="119" customFormat="false" ht="18" hidden="false" customHeight="true" outlineLevel="0" collapsed="false">
      <c r="B119" s="35" t="s">
        <v>105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</row>
  </sheetData>
  <mergeCells count="161">
    <mergeCell ref="Q3:AC3"/>
    <mergeCell ref="C4:E4"/>
    <mergeCell ref="H4:I4"/>
    <mergeCell ref="C6:D6"/>
    <mergeCell ref="E6:F6"/>
    <mergeCell ref="G6:H6"/>
    <mergeCell ref="I6:J6"/>
    <mergeCell ref="K6:O6"/>
    <mergeCell ref="B7:B8"/>
    <mergeCell ref="C7:D8"/>
    <mergeCell ref="E7:F8"/>
    <mergeCell ref="G7:H8"/>
    <mergeCell ref="I7:J8"/>
    <mergeCell ref="K7:O8"/>
    <mergeCell ref="C9:D9"/>
    <mergeCell ref="E9:F9"/>
    <mergeCell ref="G9:H9"/>
    <mergeCell ref="I9:J9"/>
    <mergeCell ref="K9:O9"/>
    <mergeCell ref="C10:D10"/>
    <mergeCell ref="E10:F10"/>
    <mergeCell ref="G10:H10"/>
    <mergeCell ref="I10:J10"/>
    <mergeCell ref="K10:O10"/>
    <mergeCell ref="C11:D11"/>
    <mergeCell ref="E11:F11"/>
    <mergeCell ref="G11:H11"/>
    <mergeCell ref="I11:J11"/>
    <mergeCell ref="K11:O11"/>
    <mergeCell ref="B20:O20"/>
    <mergeCell ref="F22:K22"/>
    <mergeCell ref="C23:D23"/>
    <mergeCell ref="F23:G23"/>
    <mergeCell ref="H23:I23"/>
    <mergeCell ref="J23:K23"/>
    <mergeCell ref="M23:N23"/>
    <mergeCell ref="C24:D24"/>
    <mergeCell ref="F24:G24"/>
    <mergeCell ref="H24:I24"/>
    <mergeCell ref="J24:K24"/>
    <mergeCell ref="M24:N24"/>
    <mergeCell ref="C25:D25"/>
    <mergeCell ref="F25:G25"/>
    <mergeCell ref="H25:I25"/>
    <mergeCell ref="J25:K25"/>
    <mergeCell ref="M25:N25"/>
    <mergeCell ref="C26:D26"/>
    <mergeCell ref="F26:G26"/>
    <mergeCell ref="H26:I26"/>
    <mergeCell ref="J26:K26"/>
    <mergeCell ref="M26:N26"/>
    <mergeCell ref="C27:D27"/>
    <mergeCell ref="F27:G27"/>
    <mergeCell ref="H27:I27"/>
    <mergeCell ref="J27:K27"/>
    <mergeCell ref="M27:N27"/>
    <mergeCell ref="C28:D28"/>
    <mergeCell ref="F28:G28"/>
    <mergeCell ref="H28:I28"/>
    <mergeCell ref="J28:K28"/>
    <mergeCell ref="M28:N28"/>
    <mergeCell ref="C29:D29"/>
    <mergeCell ref="F29:G29"/>
    <mergeCell ref="H29:I29"/>
    <mergeCell ref="J29:K29"/>
    <mergeCell ref="M29:N29"/>
    <mergeCell ref="C30:D30"/>
    <mergeCell ref="F30:G30"/>
    <mergeCell ref="H30:I30"/>
    <mergeCell ref="J30:K30"/>
    <mergeCell ref="M30:N30"/>
    <mergeCell ref="C31:D31"/>
    <mergeCell ref="F31:G31"/>
    <mergeCell ref="H31:I31"/>
    <mergeCell ref="J31:K31"/>
    <mergeCell ref="M31:N31"/>
    <mergeCell ref="C32:D32"/>
    <mergeCell ref="F32:G32"/>
    <mergeCell ref="H32:I32"/>
    <mergeCell ref="J32:K32"/>
    <mergeCell ref="M32:N32"/>
    <mergeCell ref="C33:D33"/>
    <mergeCell ref="F33:G33"/>
    <mergeCell ref="H33:I33"/>
    <mergeCell ref="J33:K33"/>
    <mergeCell ref="M33:N33"/>
    <mergeCell ref="C34:D34"/>
    <mergeCell ref="F34:G34"/>
    <mergeCell ref="H34:I34"/>
    <mergeCell ref="J34:K34"/>
    <mergeCell ref="M34:N34"/>
    <mergeCell ref="C35:D35"/>
    <mergeCell ref="F35:G35"/>
    <mergeCell ref="H35:I35"/>
    <mergeCell ref="J35:K35"/>
    <mergeCell ref="M35:N35"/>
    <mergeCell ref="C36:D36"/>
    <mergeCell ref="F36:G36"/>
    <mergeCell ref="H36:I36"/>
    <mergeCell ref="J36:K36"/>
    <mergeCell ref="M36:N36"/>
    <mergeCell ref="C37:D37"/>
    <mergeCell ref="F37:G37"/>
    <mergeCell ref="H37:I37"/>
    <mergeCell ref="J37:K37"/>
    <mergeCell ref="M37:N37"/>
    <mergeCell ref="C38:D38"/>
    <mergeCell ref="F38:G38"/>
    <mergeCell ref="H38:I38"/>
    <mergeCell ref="J38:K38"/>
    <mergeCell ref="M38:N38"/>
    <mergeCell ref="C39:D39"/>
    <mergeCell ref="F39:G39"/>
    <mergeCell ref="H39:I39"/>
    <mergeCell ref="J39:K39"/>
    <mergeCell ref="M39:N39"/>
    <mergeCell ref="C40:D40"/>
    <mergeCell ref="F40:G40"/>
    <mergeCell ref="H40:I40"/>
    <mergeCell ref="J40:K40"/>
    <mergeCell ref="M40:N40"/>
    <mergeCell ref="C41:D41"/>
    <mergeCell ref="F41:G41"/>
    <mergeCell ref="H41:I41"/>
    <mergeCell ref="J41:K41"/>
    <mergeCell ref="M41:N41"/>
    <mergeCell ref="C42:D42"/>
    <mergeCell ref="F42:G42"/>
    <mergeCell ref="H42:I42"/>
    <mergeCell ref="J42:K42"/>
    <mergeCell ref="M42:N42"/>
    <mergeCell ref="C46:D46"/>
    <mergeCell ref="F46:G46"/>
    <mergeCell ref="H46:I46"/>
    <mergeCell ref="J46:K46"/>
    <mergeCell ref="M46:N46"/>
    <mergeCell ref="C47:D47"/>
    <mergeCell ref="F47:G47"/>
    <mergeCell ref="H47:I47"/>
    <mergeCell ref="J47:K47"/>
    <mergeCell ref="M47:N47"/>
    <mergeCell ref="C48:D48"/>
    <mergeCell ref="F48:G48"/>
    <mergeCell ref="H48:I48"/>
    <mergeCell ref="J48:K48"/>
    <mergeCell ref="M48:N48"/>
    <mergeCell ref="C49:D49"/>
    <mergeCell ref="F49:G49"/>
    <mergeCell ref="H49:I49"/>
    <mergeCell ref="J49:K49"/>
    <mergeCell ref="M49:N49"/>
    <mergeCell ref="C50:D50"/>
    <mergeCell ref="F50:G50"/>
    <mergeCell ref="H50:I50"/>
    <mergeCell ref="J50:K50"/>
    <mergeCell ref="M50:N50"/>
    <mergeCell ref="B51:O51"/>
    <mergeCell ref="B53:O53"/>
    <mergeCell ref="B76:O76"/>
    <mergeCell ref="B95:O95"/>
    <mergeCell ref="B119:O119"/>
  </mergeCells>
  <conditionalFormatting sqref="H4">
    <cfRule type="cellIs" priority="2" operator="equal" aboveAverage="0" equalAverage="0" bottom="0" percent="0" rank="0" text="" dxfId="0">
      <formula>"OUT OF STOCK"</formula>
    </cfRule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"REORDER"</formula>
    </cfRule>
    <cfRule type="cellIs" priority="5" operator="equal" aboveAverage="0" equalAverage="0" bottom="0" percent="0" rank="0" text="" dxfId="3">
      <formula>"OK"</formula>
    </cfRule>
    <cfRule type="cellIs" priority="6" operator="equal" aboveAverage="0" equalAverage="0" bottom="0" percent="0" rank="0" text="" dxfId="4">
      <formula>"NO USAGE"</formula>
    </cfRule>
    <cfRule type="cellIs" priority="7" operator="equal" aboveAverage="0" equalAverage="0" bottom="0" percent="0" rank="0" text="" dxfId="4">
      <formula>"NO DATA"</formula>
    </cfRule>
    <cfRule type="cellIs" priority="8" operator="equal" aboveAverage="0" equalAverage="0" bottom="0" percent="0" rank="0" text="" dxfId="4">
      <formula>"NOT SET UP"</formula>
    </cfRule>
  </conditionalFormatting>
  <conditionalFormatting sqref="K4">
    <cfRule type="cellIs" priority="9" operator="greaterThan" aboveAverage="0" equalAverage="0" bottom="0" percent="0" rank="0" text="" dxfId="1">
      <formula>0</formula>
    </cfRule>
  </conditionalFormatting>
  <conditionalFormatting sqref="M4">
    <cfRule type="cellIs" priority="10" operator="greaterThan" aboveAverage="0" equalAverage="0" bottom="0" percent="0" rank="0" text="" dxfId="2">
      <formula>0</formula>
    </cfRule>
  </conditionalFormatting>
  <conditionalFormatting sqref="M14:M18">
    <cfRule type="cellIs" priority="11" operator="equal" aboveAverage="0" equalAverage="0" bottom="0" percent="0" rank="0" text="" dxfId="0">
      <formula>"OUT OF STOCK"</formula>
    </cfRule>
    <cfRule type="cellIs" priority="12" operator="equal" aboveAverage="0" equalAverage="0" bottom="0" percent="0" rank="0" text="" dxfId="1">
      <formula>"CRITICAL"</formula>
    </cfRule>
    <cfRule type="cellIs" priority="13" operator="equal" aboveAverage="0" equalAverage="0" bottom="0" percent="0" rank="0" text="" dxfId="2">
      <formula>"REORDER"</formula>
    </cfRule>
    <cfRule type="cellIs" priority="14" operator="equal" aboveAverage="0" equalAverage="0" bottom="0" percent="0" rank="0" text="" dxfId="3">
      <formula>"OK"</formula>
    </cfRule>
    <cfRule type="cellIs" priority="15" operator="equal" aboveAverage="0" equalAverage="0" bottom="0" percent="0" rank="0" text="" dxfId="4">
      <formula>"NO USAGE"</formula>
    </cfRule>
    <cfRule type="cellIs" priority="16" operator="equal" aboveAverage="0" equalAverage="0" bottom="0" percent="0" rank="0" text="" dxfId="4">
      <formula>"NO DATA"</formula>
    </cfRule>
    <cfRule type="cellIs" priority="17" operator="equal" aboveAverage="0" equalAverage="0" bottom="0" percent="0" rank="0" text="" dxfId="4">
      <formula>"NOT SET UP"</formula>
    </cfRule>
  </conditionalFormatting>
  <conditionalFormatting sqref="F14:F18">
    <cfRule type="dataBar" priority="18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{AB506731-8542-4D9B-9978-4DB2C95217CA}</x14:id>
        </ext>
      </extLst>
    </cfRule>
  </conditionalFormatting>
  <conditionalFormatting sqref="J14:L18">
    <cfRule type="cellIs" priority="19" operator="equal" aboveAverage="0" equalAverage="0" bottom="0" percent="0" rank="0" text="" dxfId="5">
      <formula>"NOW"</formula>
    </cfRule>
    <cfRule type="cellIs" priority="20" operator="equal" aboveAverage="0" equalAverage="0" bottom="0" percent="0" rank="0" text="" dxfId="5">
      <formula>"OUT"</formula>
    </cfRule>
  </conditionalFormatting>
  <conditionalFormatting sqref="B11:O11">
    <cfRule type="cellIs" priority="21" operator="equal" aboveAverage="0" equalAverage="0" bottom="0" percent="0" rank="0" text="" dxfId="0">
      <formula>"OUT OF STOCK"</formula>
    </cfRule>
    <cfRule type="cellIs" priority="22" operator="equal" aboveAverage="0" equalAverage="0" bottom="0" percent="0" rank="0" text="" dxfId="1">
      <formula>"CRITICAL"</formula>
    </cfRule>
    <cfRule type="cellIs" priority="23" operator="equal" aboveAverage="0" equalAverage="0" bottom="0" percent="0" rank="0" text="" dxfId="2">
      <formula>"REORDER"</formula>
    </cfRule>
    <cfRule type="cellIs" priority="24" operator="equal" aboveAverage="0" equalAverage="0" bottom="0" percent="0" rank="0" text="" dxfId="3">
      <formula>"OK"</formula>
    </cfRule>
    <cfRule type="cellIs" priority="25" operator="equal" aboveAverage="0" equalAverage="0" bottom="0" percent="0" rank="0" text="" dxfId="4">
      <formula>"NO USAGE"</formula>
    </cfRule>
    <cfRule type="cellIs" priority="26" operator="equal" aboveAverage="0" equalAverage="0" bottom="0" percent="0" rank="0" text="" dxfId="4">
      <formula>"NO DATA"</formula>
    </cfRule>
    <cfRule type="cellIs" priority="27" operator="equal" aboveAverage="0" equalAverage="0" bottom="0" percent="0" rank="0" text="" dxfId="4">
      <formula>"NOT SET UP"</formula>
    </cfRule>
  </conditionalFormatting>
  <conditionalFormatting sqref="C23:D42">
    <cfRule type="expression" priority="28" aboveAverage="0" equalAverage="0" bottom="0" percent="0" rank="0" text="" dxfId="6">
      <formula>AND($AA$14&gt;=(43-ROW()),$AB$14=(43-ROW()))</formula>
    </cfRule>
    <cfRule type="expression" priority="29" aboveAverage="0" equalAverage="0" bottom="0" percent="0" rank="0" text="" dxfId="7">
      <formula>AND($AA$14&gt;=(43-ROW()),$AC$14=(43-ROW()))</formula>
    </cfRule>
    <cfRule type="expression" priority="30" aboveAverage="0" equalAverage="0" bottom="0" percent="0" rank="0" text="" dxfId="8">
      <formula>$AA$14&gt;=(43-ROW())</formula>
    </cfRule>
    <cfRule type="expression" priority="31" aboveAverage="0" equalAverage="0" bottom="0" percent="0" rank="0" text="" dxfId="5">
      <formula>$AB$14=(43-ROW())</formula>
    </cfRule>
    <cfRule type="expression" priority="32" aboveAverage="0" equalAverage="0" bottom="0" percent="0" rank="0" text="" dxfId="9">
      <formula>$AC$14=(43-ROW())</formula>
    </cfRule>
  </conditionalFormatting>
  <conditionalFormatting sqref="F23:G42">
    <cfRule type="expression" priority="33" aboveAverage="0" equalAverage="0" bottom="0" percent="0" rank="0" text="" dxfId="10">
      <formula>AND($AA$15&gt;=(43-ROW()),$AB$15=(43-ROW()))</formula>
    </cfRule>
    <cfRule type="expression" priority="34" aboveAverage="0" equalAverage="0" bottom="0" percent="0" rank="0" text="" dxfId="11">
      <formula>AND($AA$15&gt;=(43-ROW()),$AC$15=(43-ROW()))</formula>
    </cfRule>
    <cfRule type="expression" priority="35" aboveAverage="0" equalAverage="0" bottom="0" percent="0" rank="0" text="" dxfId="12">
      <formula>$AA$15&gt;=(43-ROW())</formula>
    </cfRule>
    <cfRule type="expression" priority="36" aboveAverage="0" equalAverage="0" bottom="0" percent="0" rank="0" text="" dxfId="5">
      <formula>$AB$15=(43-ROW())</formula>
    </cfRule>
    <cfRule type="expression" priority="37" aboveAverage="0" equalAverage="0" bottom="0" percent="0" rank="0" text="" dxfId="9">
      <formula>$AC$15=(43-ROW())</formula>
    </cfRule>
  </conditionalFormatting>
  <conditionalFormatting sqref="H23:I42">
    <cfRule type="expression" priority="38" aboveAverage="0" equalAverage="0" bottom="0" percent="0" rank="0" text="" dxfId="13">
      <formula>AND($AA$16&gt;=(43-ROW()),$AB$16=(43-ROW()))</formula>
    </cfRule>
    <cfRule type="expression" priority="39" aboveAverage="0" equalAverage="0" bottom="0" percent="0" rank="0" text="" dxfId="14">
      <formula>AND($AA$16&gt;=(43-ROW()),$AC$16=(43-ROW()))</formula>
    </cfRule>
    <cfRule type="expression" priority="40" aboveAverage="0" equalAverage="0" bottom="0" percent="0" rank="0" text="" dxfId="15">
      <formula>$AA$16&gt;=(43-ROW())</formula>
    </cfRule>
    <cfRule type="expression" priority="41" aboveAverage="0" equalAverage="0" bottom="0" percent="0" rank="0" text="" dxfId="5">
      <formula>$AB$16=(43-ROW())</formula>
    </cfRule>
    <cfRule type="expression" priority="42" aboveAverage="0" equalAverage="0" bottom="0" percent="0" rank="0" text="" dxfId="9">
      <formula>$AC$16=(43-ROW())</formula>
    </cfRule>
  </conditionalFormatting>
  <conditionalFormatting sqref="J23:K42">
    <cfRule type="expression" priority="43" aboveAverage="0" equalAverage="0" bottom="0" percent="0" rank="0" text="" dxfId="16">
      <formula>AND($AA$17&gt;=(43-ROW()),$AB$17=(43-ROW()))</formula>
    </cfRule>
    <cfRule type="expression" priority="44" aboveAverage="0" equalAverage="0" bottom="0" percent="0" rank="0" text="" dxfId="17">
      <formula>AND($AA$17&gt;=(43-ROW()),$AC$17=(43-ROW()))</formula>
    </cfRule>
    <cfRule type="expression" priority="45" aboveAverage="0" equalAverage="0" bottom="0" percent="0" rank="0" text="" dxfId="18">
      <formula>$AA$17&gt;=(43-ROW())</formula>
    </cfRule>
    <cfRule type="expression" priority="46" aboveAverage="0" equalAverage="0" bottom="0" percent="0" rank="0" text="" dxfId="5">
      <formula>$AB$17=(43-ROW())</formula>
    </cfRule>
    <cfRule type="expression" priority="47" aboveAverage="0" equalAverage="0" bottom="0" percent="0" rank="0" text="" dxfId="9">
      <formula>$AC$17=(43-ROW())</formula>
    </cfRule>
  </conditionalFormatting>
  <conditionalFormatting sqref="M23:N42">
    <cfRule type="expression" priority="48" aboveAverage="0" equalAverage="0" bottom="0" percent="0" rank="0" text="" dxfId="19">
      <formula>AND($AA$18&gt;=(43-ROW()),$AB$18=(43-ROW()))</formula>
    </cfRule>
    <cfRule type="expression" priority="49" aboveAverage="0" equalAverage="0" bottom="0" percent="0" rank="0" text="" dxfId="20">
      <formula>AND($AA$18&gt;=(43-ROW()),$AC$18=(43-ROW()))</formula>
    </cfRule>
    <cfRule type="expression" priority="50" aboveAverage="0" equalAverage="0" bottom="0" percent="0" rank="0" text="" dxfId="21">
      <formula>$AA$18&gt;=(43-ROW())</formula>
    </cfRule>
    <cfRule type="expression" priority="51" aboveAverage="0" equalAverage="0" bottom="0" percent="0" rank="0" text="" dxfId="5">
      <formula>$AB$18=(43-ROW())</formula>
    </cfRule>
    <cfRule type="expression" priority="52" aboveAverage="0" equalAverage="0" bottom="0" percent="0" rank="0" text="" dxfId="9">
      <formula>$AC$18=(43-ROW())</formula>
    </cfRule>
  </conditionalFormatting>
  <conditionalFormatting sqref="C50:D50">
    <cfRule type="cellIs" priority="53" operator="equal" aboveAverage="0" equalAverage="0" bottom="0" percent="0" rank="0" text="" dxfId="0">
      <formula>"OUT OF STOCK"</formula>
    </cfRule>
    <cfRule type="cellIs" priority="54" operator="equal" aboveAverage="0" equalAverage="0" bottom="0" percent="0" rank="0" text="" dxfId="1">
      <formula>"CRITICAL"</formula>
    </cfRule>
    <cfRule type="cellIs" priority="55" operator="equal" aboveAverage="0" equalAverage="0" bottom="0" percent="0" rank="0" text="" dxfId="2">
      <formula>"REORDER"</formula>
    </cfRule>
    <cfRule type="cellIs" priority="56" operator="equal" aboveAverage="0" equalAverage="0" bottom="0" percent="0" rank="0" text="" dxfId="3">
      <formula>"OK"</formula>
    </cfRule>
    <cfRule type="cellIs" priority="57" operator="equal" aboveAverage="0" equalAverage="0" bottom="0" percent="0" rank="0" text="" dxfId="4">
      <formula>"NO USAGE"</formula>
    </cfRule>
    <cfRule type="cellIs" priority="58" operator="equal" aboveAverage="0" equalAverage="0" bottom="0" percent="0" rank="0" text="" dxfId="4">
      <formula>"NO DATA"</formula>
    </cfRule>
    <cfRule type="cellIs" priority="59" operator="equal" aboveAverage="0" equalAverage="0" bottom="0" percent="0" rank="0" text="" dxfId="4">
      <formula>"NOT SET UP"</formula>
    </cfRule>
  </conditionalFormatting>
  <conditionalFormatting sqref="F50:G50">
    <cfRule type="cellIs" priority="60" operator="equal" aboveAverage="0" equalAverage="0" bottom="0" percent="0" rank="0" text="" dxfId="0">
      <formula>"OUT OF STOCK"</formula>
    </cfRule>
    <cfRule type="cellIs" priority="61" operator="equal" aboveAverage="0" equalAverage="0" bottom="0" percent="0" rank="0" text="" dxfId="1">
      <formula>"CRITICAL"</formula>
    </cfRule>
    <cfRule type="cellIs" priority="62" operator="equal" aboveAverage="0" equalAverage="0" bottom="0" percent="0" rank="0" text="" dxfId="2">
      <formula>"REORDER"</formula>
    </cfRule>
    <cfRule type="cellIs" priority="63" operator="equal" aboveAverage="0" equalAverage="0" bottom="0" percent="0" rank="0" text="" dxfId="3">
      <formula>"OK"</formula>
    </cfRule>
    <cfRule type="cellIs" priority="64" operator="equal" aboveAverage="0" equalAverage="0" bottom="0" percent="0" rank="0" text="" dxfId="4">
      <formula>"NO USAGE"</formula>
    </cfRule>
    <cfRule type="cellIs" priority="65" operator="equal" aboveAverage="0" equalAverage="0" bottom="0" percent="0" rank="0" text="" dxfId="4">
      <formula>"NO DATA"</formula>
    </cfRule>
    <cfRule type="cellIs" priority="66" operator="equal" aboveAverage="0" equalAverage="0" bottom="0" percent="0" rank="0" text="" dxfId="4">
      <formula>"NOT SET UP"</formula>
    </cfRule>
  </conditionalFormatting>
  <conditionalFormatting sqref="H50:I50">
    <cfRule type="cellIs" priority="67" operator="equal" aboveAverage="0" equalAverage="0" bottom="0" percent="0" rank="0" text="" dxfId="0">
      <formula>"OUT OF STOCK"</formula>
    </cfRule>
    <cfRule type="cellIs" priority="68" operator="equal" aboveAverage="0" equalAverage="0" bottom="0" percent="0" rank="0" text="" dxfId="1">
      <formula>"CRITICAL"</formula>
    </cfRule>
    <cfRule type="cellIs" priority="69" operator="equal" aboveAverage="0" equalAverage="0" bottom="0" percent="0" rank="0" text="" dxfId="2">
      <formula>"REORDER"</formula>
    </cfRule>
    <cfRule type="cellIs" priority="70" operator="equal" aboveAverage="0" equalAverage="0" bottom="0" percent="0" rank="0" text="" dxfId="3">
      <formula>"OK"</formula>
    </cfRule>
    <cfRule type="cellIs" priority="71" operator="equal" aboveAverage="0" equalAverage="0" bottom="0" percent="0" rank="0" text="" dxfId="4">
      <formula>"NO USAGE"</formula>
    </cfRule>
    <cfRule type="cellIs" priority="72" operator="equal" aboveAverage="0" equalAverage="0" bottom="0" percent="0" rank="0" text="" dxfId="4">
      <formula>"NO DATA"</formula>
    </cfRule>
    <cfRule type="cellIs" priority="73" operator="equal" aboveAverage="0" equalAverage="0" bottom="0" percent="0" rank="0" text="" dxfId="4">
      <formula>"NOT SET UP"</formula>
    </cfRule>
  </conditionalFormatting>
  <conditionalFormatting sqref="J50:K50">
    <cfRule type="cellIs" priority="74" operator="equal" aboveAverage="0" equalAverage="0" bottom="0" percent="0" rank="0" text="" dxfId="0">
      <formula>"OUT OF STOCK"</formula>
    </cfRule>
    <cfRule type="cellIs" priority="75" operator="equal" aboveAverage="0" equalAverage="0" bottom="0" percent="0" rank="0" text="" dxfId="1">
      <formula>"CRITICAL"</formula>
    </cfRule>
    <cfRule type="cellIs" priority="76" operator="equal" aboveAverage="0" equalAverage="0" bottom="0" percent="0" rank="0" text="" dxfId="2">
      <formula>"REORDER"</formula>
    </cfRule>
    <cfRule type="cellIs" priority="77" operator="equal" aboveAverage="0" equalAverage="0" bottom="0" percent="0" rank="0" text="" dxfId="3">
      <formula>"OK"</formula>
    </cfRule>
    <cfRule type="cellIs" priority="78" operator="equal" aboveAverage="0" equalAverage="0" bottom="0" percent="0" rank="0" text="" dxfId="4">
      <formula>"NO USAGE"</formula>
    </cfRule>
    <cfRule type="cellIs" priority="79" operator="equal" aboveAverage="0" equalAverage="0" bottom="0" percent="0" rank="0" text="" dxfId="4">
      <formula>"NO DATA"</formula>
    </cfRule>
    <cfRule type="cellIs" priority="80" operator="equal" aboveAverage="0" equalAverage="0" bottom="0" percent="0" rank="0" text="" dxfId="4">
      <formula>"NOT SET UP"</formula>
    </cfRule>
  </conditionalFormatting>
  <conditionalFormatting sqref="M50:N50">
    <cfRule type="cellIs" priority="81" operator="equal" aboveAverage="0" equalAverage="0" bottom="0" percent="0" rank="0" text="" dxfId="0">
      <formula>"OUT OF STOCK"</formula>
    </cfRule>
    <cfRule type="cellIs" priority="82" operator="equal" aboveAverage="0" equalAverage="0" bottom="0" percent="0" rank="0" text="" dxfId="1">
      <formula>"CRITICAL"</formula>
    </cfRule>
    <cfRule type="cellIs" priority="83" operator="equal" aboveAverage="0" equalAverage="0" bottom="0" percent="0" rank="0" text="" dxfId="2">
      <formula>"REORDER"</formula>
    </cfRule>
    <cfRule type="cellIs" priority="84" operator="equal" aboveAverage="0" equalAverage="0" bottom="0" percent="0" rank="0" text="" dxfId="3">
      <formula>"OK"</formula>
    </cfRule>
    <cfRule type="cellIs" priority="85" operator="equal" aboveAverage="0" equalAverage="0" bottom="0" percent="0" rank="0" text="" dxfId="4">
      <formula>"NO USAGE"</formula>
    </cfRule>
    <cfRule type="cellIs" priority="86" operator="equal" aboveAverage="0" equalAverage="0" bottom="0" percent="0" rank="0" text="" dxfId="4">
      <formula>"NO DATA"</formula>
    </cfRule>
    <cfRule type="cellIs" priority="87" operator="equal" aboveAverage="0" equalAverage="0" bottom="0" percent="0" rank="0" text="" dxfId="4">
      <formula>"NOT SET UP"</formula>
    </cfRule>
  </conditionalFormatting>
  <conditionalFormatting sqref="C55:C74">
    <cfRule type="expression" priority="88" aboveAverage="0" equalAverage="0" bottom="0" percent="0" rank="0" text="" dxfId="1">
      <formula>COUNTIFS(SM_Site,$B55,SM_Mat,Settings!$B$11,SM_Status,"OUT OF STOCK")+COUNTIFS(SM_Site,$B55,SM_Mat,Settings!$B$11,SM_Status,"CRITICAL")&gt;0</formula>
    </cfRule>
    <cfRule type="expression" priority="89" aboveAverage="0" equalAverage="0" bottom="0" percent="0" rank="0" text="" dxfId="2">
      <formula>COUNTIFS(SM_Site,$B55,SM_Mat,Settings!$B$11,SM_Status,"REORDER")&gt;0</formula>
    </cfRule>
    <cfRule type="expression" priority="90" aboveAverage="0" equalAverage="0" bottom="0" percent="0" rank="0" text="" dxfId="3">
      <formula>COUNTIFS(SM_Site,$B55,SM_Mat,Settings!$B$11,SM_Status,"OK")&gt;0</formula>
    </cfRule>
  </conditionalFormatting>
  <conditionalFormatting sqref="D55:D74">
    <cfRule type="expression" priority="91" aboveAverage="0" equalAverage="0" bottom="0" percent="0" rank="0" text="" dxfId="1">
      <formula>COUNTIFS(SM_Site,$B55,SM_Mat,Settings!$B$12,SM_Status,"OUT OF STOCK")+COUNTIFS(SM_Site,$B55,SM_Mat,Settings!$B$12,SM_Status,"CRITICAL")&gt;0</formula>
    </cfRule>
    <cfRule type="expression" priority="92" aboveAverage="0" equalAverage="0" bottom="0" percent="0" rank="0" text="" dxfId="2">
      <formula>COUNTIFS(SM_Site,$B55,SM_Mat,Settings!$B$12,SM_Status,"REORDER")&gt;0</formula>
    </cfRule>
    <cfRule type="expression" priority="93" aboveAverage="0" equalAverage="0" bottom="0" percent="0" rank="0" text="" dxfId="3">
      <formula>COUNTIFS(SM_Site,$B55,SM_Mat,Settings!$B$12,SM_Status,"OK")&gt;0</formula>
    </cfRule>
  </conditionalFormatting>
  <conditionalFormatting sqref="E55:E74">
    <cfRule type="expression" priority="94" aboveAverage="0" equalAverage="0" bottom="0" percent="0" rank="0" text="" dxfId="1">
      <formula>COUNTIFS(SM_Site,$B55,SM_Mat,Settings!$B$13,SM_Status,"OUT OF STOCK")+COUNTIFS(SM_Site,$B55,SM_Mat,Settings!$B$13,SM_Status,"CRITICAL")&gt;0</formula>
    </cfRule>
    <cfRule type="expression" priority="95" aboveAverage="0" equalAverage="0" bottom="0" percent="0" rank="0" text="" dxfId="2">
      <formula>COUNTIFS(SM_Site,$B55,SM_Mat,Settings!$B$13,SM_Status,"REORDER")&gt;0</formula>
    </cfRule>
    <cfRule type="expression" priority="96" aboveAverage="0" equalAverage="0" bottom="0" percent="0" rank="0" text="" dxfId="3">
      <formula>COUNTIFS(SM_Site,$B55,SM_Mat,Settings!$B$13,SM_Status,"OK")&gt;0</formula>
    </cfRule>
  </conditionalFormatting>
  <conditionalFormatting sqref="F55:F74">
    <cfRule type="expression" priority="97" aboveAverage="0" equalAverage="0" bottom="0" percent="0" rank="0" text="" dxfId="1">
      <formula>COUNTIFS(SM_Site,$B55,SM_Mat,Settings!$B$14,SM_Status,"OUT OF STOCK")+COUNTIFS(SM_Site,$B55,SM_Mat,Settings!$B$14,SM_Status,"CRITICAL")&gt;0</formula>
    </cfRule>
    <cfRule type="expression" priority="98" aboveAverage="0" equalAverage="0" bottom="0" percent="0" rank="0" text="" dxfId="2">
      <formula>COUNTIFS(SM_Site,$B55,SM_Mat,Settings!$B$14,SM_Status,"REORDER")&gt;0</formula>
    </cfRule>
    <cfRule type="expression" priority="99" aboveAverage="0" equalAverage="0" bottom="0" percent="0" rank="0" text="" dxfId="3">
      <formula>COUNTIFS(SM_Site,$B55,SM_Mat,Settings!$B$14,SM_Status,"OK")&gt;0</formula>
    </cfRule>
  </conditionalFormatting>
  <conditionalFormatting sqref="G55:G74">
    <cfRule type="expression" priority="100" aboveAverage="0" equalAverage="0" bottom="0" percent="0" rank="0" text="" dxfId="1">
      <formula>COUNTIFS(SM_Site,$B55,SM_Mat,Settings!$B$15,SM_Status,"OUT OF STOCK")+COUNTIFS(SM_Site,$B55,SM_Mat,Settings!$B$15,SM_Status,"CRITICAL")&gt;0</formula>
    </cfRule>
    <cfRule type="expression" priority="101" aboveAverage="0" equalAverage="0" bottom="0" percent="0" rank="0" text="" dxfId="2">
      <formula>COUNTIFS(SM_Site,$B55,SM_Mat,Settings!$B$15,SM_Status,"REORDER")&gt;0</formula>
    </cfRule>
    <cfRule type="expression" priority="102" aboveAverage="0" equalAverage="0" bottom="0" percent="0" rank="0" text="" dxfId="3">
      <formula>COUNTIFS(SM_Site,$B55,SM_Mat,Settings!$B$15,SM_Status,"OK")&gt;0</formula>
    </cfRule>
  </conditionalFormatting>
  <conditionalFormatting sqref="H55:L74">
    <cfRule type="dataBar" priority="103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{1C817243-8C7C-4951-95EA-F3A0F7688D23}</x14:id>
        </ext>
      </extLst>
    </cfRule>
  </conditionalFormatting>
  <conditionalFormatting sqref="M55:M74">
    <cfRule type="cellIs" priority="104" operator="equal" aboveAverage="0" equalAverage="0" bottom="0" percent="0" rank="0" text="" dxfId="0">
      <formula>"OUT OF STOCK"</formula>
    </cfRule>
    <cfRule type="cellIs" priority="105" operator="equal" aboveAverage="0" equalAverage="0" bottom="0" percent="0" rank="0" text="" dxfId="1">
      <formula>"CRITICAL"</formula>
    </cfRule>
    <cfRule type="cellIs" priority="106" operator="equal" aboveAverage="0" equalAverage="0" bottom="0" percent="0" rank="0" text="" dxfId="2">
      <formula>"REORDER"</formula>
    </cfRule>
    <cfRule type="cellIs" priority="107" operator="equal" aboveAverage="0" equalAverage="0" bottom="0" percent="0" rank="0" text="" dxfId="3">
      <formula>"OK"</formula>
    </cfRule>
    <cfRule type="cellIs" priority="108" operator="equal" aboveAverage="0" equalAverage="0" bottom="0" percent="0" rank="0" text="" dxfId="4">
      <formula>"NO USAGE"</formula>
    </cfRule>
    <cfRule type="cellIs" priority="109" operator="equal" aboveAverage="0" equalAverage="0" bottom="0" percent="0" rank="0" text="" dxfId="4">
      <formula>"NO DATA"</formula>
    </cfRule>
    <cfRule type="cellIs" priority="110" operator="equal" aboveAverage="0" equalAverage="0" bottom="0" percent="0" rank="0" text="" dxfId="4">
      <formula>"NOT SET UP"</formula>
    </cfRule>
  </conditionalFormatting>
  <conditionalFormatting sqref="O55:O74">
    <cfRule type="cellIs" priority="111" operator="equal" aboveAverage="0" equalAverage="0" bottom="0" percent="0" rank="0" text="" dxfId="5">
      <formula>"OUT"</formula>
    </cfRule>
  </conditionalFormatting>
  <conditionalFormatting sqref="D112:J116">
    <cfRule type="cellIs" priority="112" operator="greaterThan" aboveAverage="0" equalAverage="0" bottom="0" percent="0" rank="0" text="" dxfId="22">
      <formula>0</formula>
    </cfRule>
  </conditionalFormatting>
  <dataValidations count="1">
    <dataValidation allowBlank="true" error="Pick a site from the list, or All Sites." errorStyle="stop" errorTitle="Not in list" operator="between" showDropDown="false" showErrorMessage="true" showInputMessage="false" sqref="C4" type="list">
      <formula1>SiteChoice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9" man="true" max="16383" min="0"/>
    <brk id="52" man="true" max="16383" min="0"/>
    <brk id="94" man="true" max="16383" min="0"/>
    <brk id="118" man="true" max="16383" min="0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506731-8542-4D9B-9978-4DB2C95217C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F14:F18</xm:sqref>
        </x14:conditionalFormatting>
        <x14:conditionalFormatting xmlns:xm="http://schemas.microsoft.com/office/excel/2006/main">
          <x14:cfRule type="dataBar" id="{1C817243-8C7C-4951-95EA-F3A0F7688D2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H55:L74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6"/>
    <col collapsed="false" customWidth="true" hidden="false" outlineLevel="0" max="13" min="13" style="0" width="34"/>
  </cols>
  <sheetData>
    <row r="1" customFormat="false" ht="21.75" hidden="false" customHeight="true" outlineLevel="0" collapsed="false">
      <c r="A1" s="59" t="s">
        <v>106</v>
      </c>
    </row>
    <row r="2" customFormat="false" ht="15" hidden="false" customHeight="false" outlineLevel="0" collapsed="false">
      <c r="A2" s="8" t="s">
        <v>107</v>
      </c>
    </row>
    <row r="3" customFormat="false" ht="15" hidden="false" customHeight="false" outlineLevel="0" collapsed="false">
      <c r="A3" s="60" t="str">
        <f aca="false">"Stock as of "&amp;TEXT(AsOfDate,"dd mmm yyyy")&amp;"   (As-of Date is set in Settings)"</f>
        <v>Stock as of 31 Oct 2026   (As-of Date is set in Settings)</v>
      </c>
    </row>
    <row r="4" customFormat="false" ht="39.75" hidden="false" customHeight="true" outlineLevel="0" collapsed="false">
      <c r="A4" s="22" t="s">
        <v>88</v>
      </c>
      <c r="B4" s="22" t="s">
        <v>108</v>
      </c>
      <c r="C4" s="22" t="s">
        <v>52</v>
      </c>
      <c r="D4" s="22" t="s">
        <v>53</v>
      </c>
      <c r="E4" s="22" t="s">
        <v>109</v>
      </c>
      <c r="F4" s="22" t="s">
        <v>110</v>
      </c>
      <c r="G4" s="22" t="s">
        <v>111</v>
      </c>
      <c r="H4" s="22" t="s">
        <v>112</v>
      </c>
      <c r="I4" s="22" t="s">
        <v>113</v>
      </c>
      <c r="J4" s="22" t="s">
        <v>114</v>
      </c>
      <c r="K4" s="22" t="s">
        <v>56</v>
      </c>
      <c r="L4" s="22" t="s">
        <v>115</v>
      </c>
      <c r="M4" s="22" t="s">
        <v>116</v>
      </c>
    </row>
    <row r="5" customFormat="false" ht="15" hidden="false" customHeight="false" outlineLevel="0" collapsed="false">
      <c r="A5" s="61" t="s">
        <v>117</v>
      </c>
      <c r="B5" s="61" t="s">
        <v>118</v>
      </c>
      <c r="C5" s="61" t="s">
        <v>119</v>
      </c>
      <c r="D5" s="61" t="s">
        <v>120</v>
      </c>
      <c r="E5" s="62" t="n">
        <v>46296</v>
      </c>
      <c r="F5" s="61" t="n">
        <v>1500</v>
      </c>
      <c r="G5" s="61" t="n">
        <v>3000</v>
      </c>
      <c r="H5" s="61" t="s">
        <v>121</v>
      </c>
      <c r="I5" s="61" t="s">
        <v>121</v>
      </c>
      <c r="J5" s="61" t="s">
        <v>121</v>
      </c>
      <c r="K5" s="61" t="s">
        <v>121</v>
      </c>
      <c r="L5" s="61"/>
      <c r="M5" s="61" t="s">
        <v>122</v>
      </c>
    </row>
    <row r="6" customFormat="false" ht="15" hidden="false" customHeight="false" outlineLevel="0" collapsed="false">
      <c r="A6" s="63" t="s">
        <v>123</v>
      </c>
      <c r="B6" s="63" t="s">
        <v>118</v>
      </c>
      <c r="C6" s="16" t="str">
        <f aca="false">IF($B6="","",IFERROR(INDEX(Mat_Short,MATCH($B6,Mat_Code,0)),"⚠ Unknown code"))</f>
        <v>Cement</v>
      </c>
      <c r="D6" s="64" t="str">
        <f aca="false">IF($B6="","",IFERROR(INDEX(Mat_Unit,MATCH($B6,Mat_Code,0)),""))</f>
        <v>bags</v>
      </c>
      <c r="E6" s="65"/>
      <c r="F6" s="66"/>
      <c r="G6" s="66"/>
      <c r="H6" s="67" t="n">
        <f aca="false">IF(OR($A6="",$B6=""),"",SUMIFS(Del_Qty,Del_Site,$A6,Del_Mat,$B6,Del_Status,"Received",Del_Date,"&gt;="&amp;N($E6),Del_Date,"&lt;="&amp;AsOfDate))</f>
        <v>0</v>
      </c>
      <c r="I6" s="67" t="n">
        <f aca="false">IF(OR($A6="",$B6=""),"",IFERROR(SUMIFS(INDEX(Con_Use,0,MATCH($B6,Mat_Code,0)),Con_Site,$A6,Con_Date,"&gt;="&amp;N($E6),Con_Date,"&lt;="&amp;AsOfDate),0))</f>
        <v>0</v>
      </c>
      <c r="J6" s="68" t="str">
        <f aca="false">IF(OR($A6="",$B6="",$F6=""),"",$F6+$H6-$I6)</f>
        <v/>
      </c>
      <c r="K6" s="69" t="str">
        <f aca="false">IF(OR($J6="",N($G6)&lt;=0),"",MAX(0,$J6)/$G6)</f>
        <v/>
      </c>
      <c r="L6" s="16" t="str">
        <f aca="false">IF(OR($A6="",$B6=""),"",IF(COUNTIFS(CI_Site,$A6,CI_Mat,$B6)&gt;1,"⚠ Duplicate site + material row",IF(ISNA(MATCH($B6,Mat_Code,0)),"⚠ Unknown material code",IF($E6="","⚠ Enter count date",IF($F6="","⚠ Enter beginning balance",IF(N($G6)&lt;=0,"⚠ Enter storage capacity",IF($E6&gt;AsOfDate,"⚠ Count date is after the As-of Date",IF($J6&lt;0,"⚠ Negative stock – check logs or recount","OK"))))))))</f>
        <v>⚠ Enter count date</v>
      </c>
      <c r="M6" s="63"/>
    </row>
    <row r="7" customFormat="false" ht="15" hidden="false" customHeight="false" outlineLevel="0" collapsed="false">
      <c r="A7" s="63" t="s">
        <v>123</v>
      </c>
      <c r="B7" s="63" t="s">
        <v>124</v>
      </c>
      <c r="C7" s="16" t="str">
        <f aca="false">IF($B7="","",IFERROR(INDEX(Mat_Short,MATCH($B7,Mat_Code,0)),"⚠ Unknown code"))</f>
        <v>Sand</v>
      </c>
      <c r="D7" s="64" t="str">
        <f aca="false">IF($B7="","",IFERROR(INDEX(Mat_Unit,MATCH($B7,Mat_Code,0)),""))</f>
        <v>m3</v>
      </c>
      <c r="E7" s="65"/>
      <c r="F7" s="66"/>
      <c r="G7" s="66"/>
      <c r="H7" s="67" t="n">
        <f aca="false">IF(OR($A7="",$B7=""),"",SUMIFS(Del_Qty,Del_Site,$A7,Del_Mat,$B7,Del_Status,"Received",Del_Date,"&gt;="&amp;N($E7),Del_Date,"&lt;="&amp;AsOfDate))</f>
        <v>0</v>
      </c>
      <c r="I7" s="67" t="n">
        <f aca="false">IF(OR($A7="",$B7=""),"",IFERROR(SUMIFS(INDEX(Con_Use,0,MATCH($B7,Mat_Code,0)),Con_Site,$A7,Con_Date,"&gt;="&amp;N($E7),Con_Date,"&lt;="&amp;AsOfDate),0))</f>
        <v>0</v>
      </c>
      <c r="J7" s="68" t="str">
        <f aca="false">IF(OR($A7="",$B7="",$F7=""),"",$F7+$H7-$I7)</f>
        <v/>
      </c>
      <c r="K7" s="69" t="str">
        <f aca="false">IF(OR($J7="",N($G7)&lt;=0),"",MAX(0,$J7)/$G7)</f>
        <v/>
      </c>
      <c r="L7" s="16" t="str">
        <f aca="false">IF(OR($A7="",$B7=""),"",IF(COUNTIFS(CI_Site,$A7,CI_Mat,$B7)&gt;1,"⚠ Duplicate site + material row",IF(ISNA(MATCH($B7,Mat_Code,0)),"⚠ Unknown material code",IF($E7="","⚠ Enter count date",IF($F7="","⚠ Enter beginning balance",IF(N($G7)&lt;=0,"⚠ Enter storage capacity",IF($E7&gt;AsOfDate,"⚠ Count date is after the As-of Date",IF($J7&lt;0,"⚠ Negative stock – check logs or recount","OK"))))))))</f>
        <v>⚠ Enter count date</v>
      </c>
      <c r="M7" s="63"/>
    </row>
    <row r="8" customFormat="false" ht="15" hidden="false" customHeight="false" outlineLevel="0" collapsed="false">
      <c r="A8" s="63" t="s">
        <v>123</v>
      </c>
      <c r="B8" s="63" t="s">
        <v>125</v>
      </c>
      <c r="C8" s="16" t="str">
        <f aca="false">IF($B8="","",IFERROR(INDEX(Mat_Short,MATCH($B8,Mat_Code,0)),"⚠ Unknown code"))</f>
        <v>Gravel 3/4"</v>
      </c>
      <c r="D8" s="64" t="str">
        <f aca="false">IF($B8="","",IFERROR(INDEX(Mat_Unit,MATCH($B8,Mat_Code,0)),""))</f>
        <v>m3</v>
      </c>
      <c r="E8" s="65"/>
      <c r="F8" s="66"/>
      <c r="G8" s="66"/>
      <c r="H8" s="67" t="n">
        <f aca="false">IF(OR($A8="",$B8=""),"",SUMIFS(Del_Qty,Del_Site,$A8,Del_Mat,$B8,Del_Status,"Received",Del_Date,"&gt;="&amp;N($E8),Del_Date,"&lt;="&amp;AsOfDate))</f>
        <v>0</v>
      </c>
      <c r="I8" s="67" t="n">
        <f aca="false">IF(OR($A8="",$B8=""),"",IFERROR(SUMIFS(INDEX(Con_Use,0,MATCH($B8,Mat_Code,0)),Con_Site,$A8,Con_Date,"&gt;="&amp;N($E8),Con_Date,"&lt;="&amp;AsOfDate),0))</f>
        <v>0</v>
      </c>
      <c r="J8" s="68" t="str">
        <f aca="false">IF(OR($A8="",$B8="",$F8=""),"",$F8+$H8-$I8)</f>
        <v/>
      </c>
      <c r="K8" s="69" t="str">
        <f aca="false">IF(OR($J8="",N($G8)&lt;=0),"",MAX(0,$J8)/$G8)</f>
        <v/>
      </c>
      <c r="L8" s="16" t="str">
        <f aca="false">IF(OR($A8="",$B8=""),"",IF(COUNTIFS(CI_Site,$A8,CI_Mat,$B8)&gt;1,"⚠ Duplicate site + material row",IF(ISNA(MATCH($B8,Mat_Code,0)),"⚠ Unknown material code",IF($E8="","⚠ Enter count date",IF($F8="","⚠ Enter beginning balance",IF(N($G8)&lt;=0,"⚠ Enter storage capacity",IF($E8&gt;AsOfDate,"⚠ Count date is after the As-of Date",IF($J8&lt;0,"⚠ Negative stock – check logs or recount","OK"))))))))</f>
        <v>⚠ Enter count date</v>
      </c>
      <c r="M8" s="63"/>
    </row>
    <row r="9" customFormat="false" ht="15" hidden="false" customHeight="false" outlineLevel="0" collapsed="false">
      <c r="A9" s="63" t="s">
        <v>123</v>
      </c>
      <c r="B9" s="63" t="s">
        <v>126</v>
      </c>
      <c r="C9" s="16" t="str">
        <f aca="false">IF($B9="","",IFERROR(INDEX(Mat_Short,MATCH($B9,Mat_Code,0)),"⚠ Unknown code"))</f>
        <v>Gravel 3/8"</v>
      </c>
      <c r="D9" s="64" t="str">
        <f aca="false">IF($B9="","",IFERROR(INDEX(Mat_Unit,MATCH($B9,Mat_Code,0)),""))</f>
        <v>m3</v>
      </c>
      <c r="E9" s="65"/>
      <c r="F9" s="66"/>
      <c r="G9" s="66"/>
      <c r="H9" s="67" t="n">
        <f aca="false">IF(OR($A9="",$B9=""),"",SUMIFS(Del_Qty,Del_Site,$A9,Del_Mat,$B9,Del_Status,"Received",Del_Date,"&gt;="&amp;N($E9),Del_Date,"&lt;="&amp;AsOfDate))</f>
        <v>0</v>
      </c>
      <c r="I9" s="67" t="n">
        <f aca="false">IF(OR($A9="",$B9=""),"",IFERROR(SUMIFS(INDEX(Con_Use,0,MATCH($B9,Mat_Code,0)),Con_Site,$A9,Con_Date,"&gt;="&amp;N($E9),Con_Date,"&lt;="&amp;AsOfDate),0))</f>
        <v>0</v>
      </c>
      <c r="J9" s="68" t="str">
        <f aca="false">IF(OR($A9="",$B9="",$F9=""),"",$F9+$H9-$I9)</f>
        <v/>
      </c>
      <c r="K9" s="69" t="str">
        <f aca="false">IF(OR($J9="",N($G9)&lt;=0),"",MAX(0,$J9)/$G9)</f>
        <v/>
      </c>
      <c r="L9" s="16" t="str">
        <f aca="false">IF(OR($A9="",$B9=""),"",IF(COUNTIFS(CI_Site,$A9,CI_Mat,$B9)&gt;1,"⚠ Duplicate site + material row",IF(ISNA(MATCH($B9,Mat_Code,0)),"⚠ Unknown material code",IF($E9="","⚠ Enter count date",IF($F9="","⚠ Enter beginning balance",IF(N($G9)&lt;=0,"⚠ Enter storage capacity",IF($E9&gt;AsOfDate,"⚠ Count date is after the As-of Date",IF($J9&lt;0,"⚠ Negative stock – check logs or recount","OK"))))))))</f>
        <v>⚠ Enter count date</v>
      </c>
      <c r="M9" s="63"/>
    </row>
    <row r="10" customFormat="false" ht="15" hidden="false" customHeight="false" outlineLevel="0" collapsed="false">
      <c r="A10" s="63" t="s">
        <v>123</v>
      </c>
      <c r="B10" s="63" t="s">
        <v>127</v>
      </c>
      <c r="C10" s="16" t="str">
        <f aca="false">IF($B10="","",IFERROR(INDEX(Mat_Short,MATCH($B10,Mat_Code,0)),"⚠ Unknown code"))</f>
        <v>Admixture</v>
      </c>
      <c r="D10" s="64" t="str">
        <f aca="false">IF($B10="","",IFERROR(INDEX(Mat_Unit,MATCH($B10,Mat_Code,0)),""))</f>
        <v>L</v>
      </c>
      <c r="E10" s="65"/>
      <c r="F10" s="66"/>
      <c r="G10" s="66"/>
      <c r="H10" s="67" t="n">
        <f aca="false">IF(OR($A10="",$B10=""),"",SUMIFS(Del_Qty,Del_Site,$A10,Del_Mat,$B10,Del_Status,"Received",Del_Date,"&gt;="&amp;N($E10),Del_Date,"&lt;="&amp;AsOfDate))</f>
        <v>0</v>
      </c>
      <c r="I10" s="67" t="n">
        <f aca="false">IF(OR($A10="",$B10=""),"",IFERROR(SUMIFS(INDEX(Con_Use,0,MATCH($B10,Mat_Code,0)),Con_Site,$A10,Con_Date,"&gt;="&amp;N($E10),Con_Date,"&lt;="&amp;AsOfDate),0))</f>
        <v>0</v>
      </c>
      <c r="J10" s="68" t="str">
        <f aca="false">IF(OR($A10="",$B10="",$F10=""),"",$F10+$H10-$I10)</f>
        <v/>
      </c>
      <c r="K10" s="69" t="str">
        <f aca="false">IF(OR($J10="",N($G10)&lt;=0),"",MAX(0,$J10)/$G10)</f>
        <v/>
      </c>
      <c r="L10" s="16" t="str">
        <f aca="false">IF(OR($A10="",$B10=""),"",IF(COUNTIFS(CI_Site,$A10,CI_Mat,$B10)&gt;1,"⚠ Duplicate site + material row",IF(ISNA(MATCH($B10,Mat_Code,0)),"⚠ Unknown material code",IF($E10="","⚠ Enter count date",IF($F10="","⚠ Enter beginning balance",IF(N($G10)&lt;=0,"⚠ Enter storage capacity",IF($E10&gt;AsOfDate,"⚠ Count date is after the As-of Date",IF($J10&lt;0,"⚠ Negative stock – check logs or recount","OK"))))))))</f>
        <v>⚠ Enter count date</v>
      </c>
      <c r="M10" s="63"/>
    </row>
    <row r="11" customFormat="false" ht="15" hidden="false" customHeight="false" outlineLevel="0" collapsed="false">
      <c r="A11" s="63" t="s">
        <v>128</v>
      </c>
      <c r="B11" s="63" t="s">
        <v>118</v>
      </c>
      <c r="C11" s="16" t="str">
        <f aca="false">IF($B11="","",IFERROR(INDEX(Mat_Short,MATCH($B11,Mat_Code,0)),"⚠ Unknown code"))</f>
        <v>Cement</v>
      </c>
      <c r="D11" s="64" t="str">
        <f aca="false">IF($B11="","",IFERROR(INDEX(Mat_Unit,MATCH($B11,Mat_Code,0)),""))</f>
        <v>bags</v>
      </c>
      <c r="E11" s="65"/>
      <c r="F11" s="66"/>
      <c r="G11" s="66"/>
      <c r="H11" s="67" t="n">
        <f aca="false">IF(OR($A11="",$B11=""),"",SUMIFS(Del_Qty,Del_Site,$A11,Del_Mat,$B11,Del_Status,"Received",Del_Date,"&gt;="&amp;N($E11),Del_Date,"&lt;="&amp;AsOfDate))</f>
        <v>0</v>
      </c>
      <c r="I11" s="67" t="n">
        <f aca="false">IF(OR($A11="",$B11=""),"",IFERROR(SUMIFS(INDEX(Con_Use,0,MATCH($B11,Mat_Code,0)),Con_Site,$A11,Con_Date,"&gt;="&amp;N($E11),Con_Date,"&lt;="&amp;AsOfDate),0))</f>
        <v>0</v>
      </c>
      <c r="J11" s="68" t="str">
        <f aca="false">IF(OR($A11="",$B11="",$F11=""),"",$F11+$H11-$I11)</f>
        <v/>
      </c>
      <c r="K11" s="69" t="str">
        <f aca="false">IF(OR($J11="",N($G11)&lt;=0),"",MAX(0,$J11)/$G11)</f>
        <v/>
      </c>
      <c r="L11" s="16" t="str">
        <f aca="false">IF(OR($A11="",$B11=""),"",IF(COUNTIFS(CI_Site,$A11,CI_Mat,$B11)&gt;1,"⚠ Duplicate site + material row",IF(ISNA(MATCH($B11,Mat_Code,0)),"⚠ Unknown material code",IF($E11="","⚠ Enter count date",IF($F11="","⚠ Enter beginning balance",IF(N($G11)&lt;=0,"⚠ Enter storage capacity",IF($E11&gt;AsOfDate,"⚠ Count date is after the As-of Date",IF($J11&lt;0,"⚠ Negative stock – check logs or recount","OK"))))))))</f>
        <v>⚠ Enter count date</v>
      </c>
      <c r="M11" s="63"/>
    </row>
    <row r="12" customFormat="false" ht="15" hidden="false" customHeight="false" outlineLevel="0" collapsed="false">
      <c r="A12" s="63" t="s">
        <v>128</v>
      </c>
      <c r="B12" s="63" t="s">
        <v>124</v>
      </c>
      <c r="C12" s="16" t="str">
        <f aca="false">IF($B12="","",IFERROR(INDEX(Mat_Short,MATCH($B12,Mat_Code,0)),"⚠ Unknown code"))</f>
        <v>Sand</v>
      </c>
      <c r="D12" s="64" t="str">
        <f aca="false">IF($B12="","",IFERROR(INDEX(Mat_Unit,MATCH($B12,Mat_Code,0)),""))</f>
        <v>m3</v>
      </c>
      <c r="E12" s="65"/>
      <c r="F12" s="66"/>
      <c r="G12" s="66"/>
      <c r="H12" s="67" t="n">
        <f aca="false">IF(OR($A12="",$B12=""),"",SUMIFS(Del_Qty,Del_Site,$A12,Del_Mat,$B12,Del_Status,"Received",Del_Date,"&gt;="&amp;N($E12),Del_Date,"&lt;="&amp;AsOfDate))</f>
        <v>0</v>
      </c>
      <c r="I12" s="67" t="n">
        <f aca="false">IF(OR($A12="",$B12=""),"",IFERROR(SUMIFS(INDEX(Con_Use,0,MATCH($B12,Mat_Code,0)),Con_Site,$A12,Con_Date,"&gt;="&amp;N($E12),Con_Date,"&lt;="&amp;AsOfDate),0))</f>
        <v>0</v>
      </c>
      <c r="J12" s="68" t="str">
        <f aca="false">IF(OR($A12="",$B12="",$F12=""),"",$F12+$H12-$I12)</f>
        <v/>
      </c>
      <c r="K12" s="69" t="str">
        <f aca="false">IF(OR($J12="",N($G12)&lt;=0),"",MAX(0,$J12)/$G12)</f>
        <v/>
      </c>
      <c r="L12" s="16" t="str">
        <f aca="false">IF(OR($A12="",$B12=""),"",IF(COUNTIFS(CI_Site,$A12,CI_Mat,$B12)&gt;1,"⚠ Duplicate site + material row",IF(ISNA(MATCH($B12,Mat_Code,0)),"⚠ Unknown material code",IF($E12="","⚠ Enter count date",IF($F12="","⚠ Enter beginning balance",IF(N($G12)&lt;=0,"⚠ Enter storage capacity",IF($E12&gt;AsOfDate,"⚠ Count date is after the As-of Date",IF($J12&lt;0,"⚠ Negative stock – check logs or recount","OK"))))))))</f>
        <v>⚠ Enter count date</v>
      </c>
      <c r="M12" s="63"/>
    </row>
    <row r="13" customFormat="false" ht="15" hidden="false" customHeight="false" outlineLevel="0" collapsed="false">
      <c r="A13" s="63" t="s">
        <v>128</v>
      </c>
      <c r="B13" s="63" t="s">
        <v>125</v>
      </c>
      <c r="C13" s="16" t="str">
        <f aca="false">IF($B13="","",IFERROR(INDEX(Mat_Short,MATCH($B13,Mat_Code,0)),"⚠ Unknown code"))</f>
        <v>Gravel 3/4"</v>
      </c>
      <c r="D13" s="64" t="str">
        <f aca="false">IF($B13="","",IFERROR(INDEX(Mat_Unit,MATCH($B13,Mat_Code,0)),""))</f>
        <v>m3</v>
      </c>
      <c r="E13" s="65"/>
      <c r="F13" s="66"/>
      <c r="G13" s="66"/>
      <c r="H13" s="67" t="n">
        <f aca="false">IF(OR($A13="",$B13=""),"",SUMIFS(Del_Qty,Del_Site,$A13,Del_Mat,$B13,Del_Status,"Received",Del_Date,"&gt;="&amp;N($E13),Del_Date,"&lt;="&amp;AsOfDate))</f>
        <v>0</v>
      </c>
      <c r="I13" s="67" t="n">
        <f aca="false">IF(OR($A13="",$B13=""),"",IFERROR(SUMIFS(INDEX(Con_Use,0,MATCH($B13,Mat_Code,0)),Con_Site,$A13,Con_Date,"&gt;="&amp;N($E13),Con_Date,"&lt;="&amp;AsOfDate),0))</f>
        <v>0</v>
      </c>
      <c r="J13" s="68" t="str">
        <f aca="false">IF(OR($A13="",$B13="",$F13=""),"",$F13+$H13-$I13)</f>
        <v/>
      </c>
      <c r="K13" s="69" t="str">
        <f aca="false">IF(OR($J13="",N($G13)&lt;=0),"",MAX(0,$J13)/$G13)</f>
        <v/>
      </c>
      <c r="L13" s="16" t="str">
        <f aca="false">IF(OR($A13="",$B13=""),"",IF(COUNTIFS(CI_Site,$A13,CI_Mat,$B13)&gt;1,"⚠ Duplicate site + material row",IF(ISNA(MATCH($B13,Mat_Code,0)),"⚠ Unknown material code",IF($E13="","⚠ Enter count date",IF($F13="","⚠ Enter beginning balance",IF(N($G13)&lt;=0,"⚠ Enter storage capacity",IF($E13&gt;AsOfDate,"⚠ Count date is after the As-of Date",IF($J13&lt;0,"⚠ Negative stock – check logs or recount","OK"))))))))</f>
        <v>⚠ Enter count date</v>
      </c>
      <c r="M13" s="63"/>
    </row>
    <row r="14" customFormat="false" ht="15" hidden="false" customHeight="false" outlineLevel="0" collapsed="false">
      <c r="A14" s="63" t="s">
        <v>128</v>
      </c>
      <c r="B14" s="63" t="s">
        <v>126</v>
      </c>
      <c r="C14" s="16" t="str">
        <f aca="false">IF($B14="","",IFERROR(INDEX(Mat_Short,MATCH($B14,Mat_Code,0)),"⚠ Unknown code"))</f>
        <v>Gravel 3/8"</v>
      </c>
      <c r="D14" s="64" t="str">
        <f aca="false">IF($B14="","",IFERROR(INDEX(Mat_Unit,MATCH($B14,Mat_Code,0)),""))</f>
        <v>m3</v>
      </c>
      <c r="E14" s="65"/>
      <c r="F14" s="66"/>
      <c r="G14" s="66"/>
      <c r="H14" s="67" t="n">
        <f aca="false">IF(OR($A14="",$B14=""),"",SUMIFS(Del_Qty,Del_Site,$A14,Del_Mat,$B14,Del_Status,"Received",Del_Date,"&gt;="&amp;N($E14),Del_Date,"&lt;="&amp;AsOfDate))</f>
        <v>0</v>
      </c>
      <c r="I14" s="67" t="n">
        <f aca="false">IF(OR($A14="",$B14=""),"",IFERROR(SUMIFS(INDEX(Con_Use,0,MATCH($B14,Mat_Code,0)),Con_Site,$A14,Con_Date,"&gt;="&amp;N($E14),Con_Date,"&lt;="&amp;AsOfDate),0))</f>
        <v>0</v>
      </c>
      <c r="J14" s="68" t="str">
        <f aca="false">IF(OR($A14="",$B14="",$F14=""),"",$F14+$H14-$I14)</f>
        <v/>
      </c>
      <c r="K14" s="69" t="str">
        <f aca="false">IF(OR($J14="",N($G14)&lt;=0),"",MAX(0,$J14)/$G14)</f>
        <v/>
      </c>
      <c r="L14" s="16" t="str">
        <f aca="false">IF(OR($A14="",$B14=""),"",IF(COUNTIFS(CI_Site,$A14,CI_Mat,$B14)&gt;1,"⚠ Duplicate site + material row",IF(ISNA(MATCH($B14,Mat_Code,0)),"⚠ Unknown material code",IF($E14="","⚠ Enter count date",IF($F14="","⚠ Enter beginning balance",IF(N($G14)&lt;=0,"⚠ Enter storage capacity",IF($E14&gt;AsOfDate,"⚠ Count date is after the As-of Date",IF($J14&lt;0,"⚠ Negative stock – check logs or recount","OK"))))))))</f>
        <v>⚠ Enter count date</v>
      </c>
      <c r="M14" s="63"/>
    </row>
    <row r="15" customFormat="false" ht="15" hidden="false" customHeight="false" outlineLevel="0" collapsed="false">
      <c r="A15" s="63" t="s">
        <v>128</v>
      </c>
      <c r="B15" s="63" t="s">
        <v>127</v>
      </c>
      <c r="C15" s="16" t="str">
        <f aca="false">IF($B15="","",IFERROR(INDEX(Mat_Short,MATCH($B15,Mat_Code,0)),"⚠ Unknown code"))</f>
        <v>Admixture</v>
      </c>
      <c r="D15" s="64" t="str">
        <f aca="false">IF($B15="","",IFERROR(INDEX(Mat_Unit,MATCH($B15,Mat_Code,0)),""))</f>
        <v>L</v>
      </c>
      <c r="E15" s="65"/>
      <c r="F15" s="66"/>
      <c r="G15" s="66"/>
      <c r="H15" s="67" t="n">
        <f aca="false">IF(OR($A15="",$B15=""),"",SUMIFS(Del_Qty,Del_Site,$A15,Del_Mat,$B15,Del_Status,"Received",Del_Date,"&gt;="&amp;N($E15),Del_Date,"&lt;="&amp;AsOfDate))</f>
        <v>0</v>
      </c>
      <c r="I15" s="67" t="n">
        <f aca="false">IF(OR($A15="",$B15=""),"",IFERROR(SUMIFS(INDEX(Con_Use,0,MATCH($B15,Mat_Code,0)),Con_Site,$A15,Con_Date,"&gt;="&amp;N($E15),Con_Date,"&lt;="&amp;AsOfDate),0))</f>
        <v>0</v>
      </c>
      <c r="J15" s="68" t="str">
        <f aca="false">IF(OR($A15="",$B15="",$F15=""),"",$F15+$H15-$I15)</f>
        <v/>
      </c>
      <c r="K15" s="69" t="str">
        <f aca="false">IF(OR($J15="",N($G15)&lt;=0),"",MAX(0,$J15)/$G15)</f>
        <v/>
      </c>
      <c r="L15" s="16" t="str">
        <f aca="false">IF(OR($A15="",$B15=""),"",IF(COUNTIFS(CI_Site,$A15,CI_Mat,$B15)&gt;1,"⚠ Duplicate site + material row",IF(ISNA(MATCH($B15,Mat_Code,0)),"⚠ Unknown material code",IF($E15="","⚠ Enter count date",IF($F15="","⚠ Enter beginning balance",IF(N($G15)&lt;=0,"⚠ Enter storage capacity",IF($E15&gt;AsOfDate,"⚠ Count date is after the As-of Date",IF($J15&lt;0,"⚠ Negative stock – check logs or recount","OK"))))))))</f>
        <v>⚠ Enter count date</v>
      </c>
      <c r="M15" s="63"/>
    </row>
    <row r="16" customFormat="false" ht="15" hidden="false" customHeight="false" outlineLevel="0" collapsed="false">
      <c r="A16" s="63" t="s">
        <v>129</v>
      </c>
      <c r="B16" s="63" t="s">
        <v>118</v>
      </c>
      <c r="C16" s="16" t="str">
        <f aca="false">IF($B16="","",IFERROR(INDEX(Mat_Short,MATCH($B16,Mat_Code,0)),"⚠ Unknown code"))</f>
        <v>Cement</v>
      </c>
      <c r="D16" s="64" t="str">
        <f aca="false">IF($B16="","",IFERROR(INDEX(Mat_Unit,MATCH($B16,Mat_Code,0)),""))</f>
        <v>bags</v>
      </c>
      <c r="E16" s="65"/>
      <c r="F16" s="66"/>
      <c r="G16" s="66"/>
      <c r="H16" s="67" t="n">
        <f aca="false">IF(OR($A16="",$B16=""),"",SUMIFS(Del_Qty,Del_Site,$A16,Del_Mat,$B16,Del_Status,"Received",Del_Date,"&gt;="&amp;N($E16),Del_Date,"&lt;="&amp;AsOfDate))</f>
        <v>0</v>
      </c>
      <c r="I16" s="67" t="n">
        <f aca="false">IF(OR($A16="",$B16=""),"",IFERROR(SUMIFS(INDEX(Con_Use,0,MATCH($B16,Mat_Code,0)),Con_Site,$A16,Con_Date,"&gt;="&amp;N($E16),Con_Date,"&lt;="&amp;AsOfDate),0))</f>
        <v>0</v>
      </c>
      <c r="J16" s="68" t="str">
        <f aca="false">IF(OR($A16="",$B16="",$F16=""),"",$F16+$H16-$I16)</f>
        <v/>
      </c>
      <c r="K16" s="69" t="str">
        <f aca="false">IF(OR($J16="",N($G16)&lt;=0),"",MAX(0,$J16)/$G16)</f>
        <v/>
      </c>
      <c r="L16" s="16" t="str">
        <f aca="false">IF(OR($A16="",$B16=""),"",IF(COUNTIFS(CI_Site,$A16,CI_Mat,$B16)&gt;1,"⚠ Duplicate site + material row",IF(ISNA(MATCH($B16,Mat_Code,0)),"⚠ Unknown material code",IF($E16="","⚠ Enter count date",IF($F16="","⚠ Enter beginning balance",IF(N($G16)&lt;=0,"⚠ Enter storage capacity",IF($E16&gt;AsOfDate,"⚠ Count date is after the As-of Date",IF($J16&lt;0,"⚠ Negative stock – check logs or recount","OK"))))))))</f>
        <v>⚠ Enter count date</v>
      </c>
      <c r="M16" s="63"/>
    </row>
    <row r="17" customFormat="false" ht="15" hidden="false" customHeight="false" outlineLevel="0" collapsed="false">
      <c r="A17" s="63" t="s">
        <v>129</v>
      </c>
      <c r="B17" s="63" t="s">
        <v>124</v>
      </c>
      <c r="C17" s="16" t="str">
        <f aca="false">IF($B17="","",IFERROR(INDEX(Mat_Short,MATCH($B17,Mat_Code,0)),"⚠ Unknown code"))</f>
        <v>Sand</v>
      </c>
      <c r="D17" s="64" t="str">
        <f aca="false">IF($B17="","",IFERROR(INDEX(Mat_Unit,MATCH($B17,Mat_Code,0)),""))</f>
        <v>m3</v>
      </c>
      <c r="E17" s="65"/>
      <c r="F17" s="66"/>
      <c r="G17" s="66"/>
      <c r="H17" s="67" t="n">
        <f aca="false">IF(OR($A17="",$B17=""),"",SUMIFS(Del_Qty,Del_Site,$A17,Del_Mat,$B17,Del_Status,"Received",Del_Date,"&gt;="&amp;N($E17),Del_Date,"&lt;="&amp;AsOfDate))</f>
        <v>0</v>
      </c>
      <c r="I17" s="67" t="n">
        <f aca="false">IF(OR($A17="",$B17=""),"",IFERROR(SUMIFS(INDEX(Con_Use,0,MATCH($B17,Mat_Code,0)),Con_Site,$A17,Con_Date,"&gt;="&amp;N($E17),Con_Date,"&lt;="&amp;AsOfDate),0))</f>
        <v>0</v>
      </c>
      <c r="J17" s="68" t="str">
        <f aca="false">IF(OR($A17="",$B17="",$F17=""),"",$F17+$H17-$I17)</f>
        <v/>
      </c>
      <c r="K17" s="69" t="str">
        <f aca="false">IF(OR($J17="",N($G17)&lt;=0),"",MAX(0,$J17)/$G17)</f>
        <v/>
      </c>
      <c r="L17" s="16" t="str">
        <f aca="false">IF(OR($A17="",$B17=""),"",IF(COUNTIFS(CI_Site,$A17,CI_Mat,$B17)&gt;1,"⚠ Duplicate site + material row",IF(ISNA(MATCH($B17,Mat_Code,0)),"⚠ Unknown material code",IF($E17="","⚠ Enter count date",IF($F17="","⚠ Enter beginning balance",IF(N($G17)&lt;=0,"⚠ Enter storage capacity",IF($E17&gt;AsOfDate,"⚠ Count date is after the As-of Date",IF($J17&lt;0,"⚠ Negative stock – check logs or recount","OK"))))))))</f>
        <v>⚠ Enter count date</v>
      </c>
      <c r="M17" s="63"/>
    </row>
    <row r="18" customFormat="false" ht="15" hidden="false" customHeight="false" outlineLevel="0" collapsed="false">
      <c r="A18" s="63" t="s">
        <v>129</v>
      </c>
      <c r="B18" s="63" t="s">
        <v>125</v>
      </c>
      <c r="C18" s="16" t="str">
        <f aca="false">IF($B18="","",IFERROR(INDEX(Mat_Short,MATCH($B18,Mat_Code,0)),"⚠ Unknown code"))</f>
        <v>Gravel 3/4"</v>
      </c>
      <c r="D18" s="64" t="str">
        <f aca="false">IF($B18="","",IFERROR(INDEX(Mat_Unit,MATCH($B18,Mat_Code,0)),""))</f>
        <v>m3</v>
      </c>
      <c r="E18" s="65"/>
      <c r="F18" s="66"/>
      <c r="G18" s="66"/>
      <c r="H18" s="67" t="n">
        <f aca="false">IF(OR($A18="",$B18=""),"",SUMIFS(Del_Qty,Del_Site,$A18,Del_Mat,$B18,Del_Status,"Received",Del_Date,"&gt;="&amp;N($E18),Del_Date,"&lt;="&amp;AsOfDate))</f>
        <v>0</v>
      </c>
      <c r="I18" s="67" t="n">
        <f aca="false">IF(OR($A18="",$B18=""),"",IFERROR(SUMIFS(INDEX(Con_Use,0,MATCH($B18,Mat_Code,0)),Con_Site,$A18,Con_Date,"&gt;="&amp;N($E18),Con_Date,"&lt;="&amp;AsOfDate),0))</f>
        <v>0</v>
      </c>
      <c r="J18" s="68" t="str">
        <f aca="false">IF(OR($A18="",$B18="",$F18=""),"",$F18+$H18-$I18)</f>
        <v/>
      </c>
      <c r="K18" s="69" t="str">
        <f aca="false">IF(OR($J18="",N($G18)&lt;=0),"",MAX(0,$J18)/$G18)</f>
        <v/>
      </c>
      <c r="L18" s="16" t="str">
        <f aca="false">IF(OR($A18="",$B18=""),"",IF(COUNTIFS(CI_Site,$A18,CI_Mat,$B18)&gt;1,"⚠ Duplicate site + material row",IF(ISNA(MATCH($B18,Mat_Code,0)),"⚠ Unknown material code",IF($E18="","⚠ Enter count date",IF($F18="","⚠ Enter beginning balance",IF(N($G18)&lt;=0,"⚠ Enter storage capacity",IF($E18&gt;AsOfDate,"⚠ Count date is after the As-of Date",IF($J18&lt;0,"⚠ Negative stock – check logs or recount","OK"))))))))</f>
        <v>⚠ Enter count date</v>
      </c>
      <c r="M18" s="63"/>
    </row>
    <row r="19" customFormat="false" ht="15" hidden="false" customHeight="false" outlineLevel="0" collapsed="false">
      <c r="A19" s="63" t="s">
        <v>129</v>
      </c>
      <c r="B19" s="63" t="s">
        <v>126</v>
      </c>
      <c r="C19" s="16" t="str">
        <f aca="false">IF($B19="","",IFERROR(INDEX(Mat_Short,MATCH($B19,Mat_Code,0)),"⚠ Unknown code"))</f>
        <v>Gravel 3/8"</v>
      </c>
      <c r="D19" s="64" t="str">
        <f aca="false">IF($B19="","",IFERROR(INDEX(Mat_Unit,MATCH($B19,Mat_Code,0)),""))</f>
        <v>m3</v>
      </c>
      <c r="E19" s="65"/>
      <c r="F19" s="66"/>
      <c r="G19" s="66"/>
      <c r="H19" s="67" t="n">
        <f aca="false">IF(OR($A19="",$B19=""),"",SUMIFS(Del_Qty,Del_Site,$A19,Del_Mat,$B19,Del_Status,"Received",Del_Date,"&gt;="&amp;N($E19),Del_Date,"&lt;="&amp;AsOfDate))</f>
        <v>0</v>
      </c>
      <c r="I19" s="67" t="n">
        <f aca="false">IF(OR($A19="",$B19=""),"",IFERROR(SUMIFS(INDEX(Con_Use,0,MATCH($B19,Mat_Code,0)),Con_Site,$A19,Con_Date,"&gt;="&amp;N($E19),Con_Date,"&lt;="&amp;AsOfDate),0))</f>
        <v>0</v>
      </c>
      <c r="J19" s="68" t="str">
        <f aca="false">IF(OR($A19="",$B19="",$F19=""),"",$F19+$H19-$I19)</f>
        <v/>
      </c>
      <c r="K19" s="69" t="str">
        <f aca="false">IF(OR($J19="",N($G19)&lt;=0),"",MAX(0,$J19)/$G19)</f>
        <v/>
      </c>
      <c r="L19" s="16" t="str">
        <f aca="false">IF(OR($A19="",$B19=""),"",IF(COUNTIFS(CI_Site,$A19,CI_Mat,$B19)&gt;1,"⚠ Duplicate site + material row",IF(ISNA(MATCH($B19,Mat_Code,0)),"⚠ Unknown material code",IF($E19="","⚠ Enter count date",IF($F19="","⚠ Enter beginning balance",IF(N($G19)&lt;=0,"⚠ Enter storage capacity",IF($E19&gt;AsOfDate,"⚠ Count date is after the As-of Date",IF($J19&lt;0,"⚠ Negative stock – check logs or recount","OK"))))))))</f>
        <v>⚠ Enter count date</v>
      </c>
      <c r="M19" s="63"/>
    </row>
    <row r="20" customFormat="false" ht="15" hidden="false" customHeight="false" outlineLevel="0" collapsed="false">
      <c r="A20" s="63" t="s">
        <v>129</v>
      </c>
      <c r="B20" s="63" t="s">
        <v>127</v>
      </c>
      <c r="C20" s="16" t="str">
        <f aca="false">IF($B20="","",IFERROR(INDEX(Mat_Short,MATCH($B20,Mat_Code,0)),"⚠ Unknown code"))</f>
        <v>Admixture</v>
      </c>
      <c r="D20" s="64" t="str">
        <f aca="false">IF($B20="","",IFERROR(INDEX(Mat_Unit,MATCH($B20,Mat_Code,0)),""))</f>
        <v>L</v>
      </c>
      <c r="E20" s="65"/>
      <c r="F20" s="66"/>
      <c r="G20" s="66"/>
      <c r="H20" s="67" t="n">
        <f aca="false">IF(OR($A20="",$B20=""),"",SUMIFS(Del_Qty,Del_Site,$A20,Del_Mat,$B20,Del_Status,"Received",Del_Date,"&gt;="&amp;N($E20),Del_Date,"&lt;="&amp;AsOfDate))</f>
        <v>0</v>
      </c>
      <c r="I20" s="67" t="n">
        <f aca="false">IF(OR($A20="",$B20=""),"",IFERROR(SUMIFS(INDEX(Con_Use,0,MATCH($B20,Mat_Code,0)),Con_Site,$A20,Con_Date,"&gt;="&amp;N($E20),Con_Date,"&lt;="&amp;AsOfDate),0))</f>
        <v>0</v>
      </c>
      <c r="J20" s="68" t="str">
        <f aca="false">IF(OR($A20="",$B20="",$F20=""),"",$F20+$H20-$I20)</f>
        <v/>
      </c>
      <c r="K20" s="69" t="str">
        <f aca="false">IF(OR($J20="",N($G20)&lt;=0),"",MAX(0,$J20)/$G20)</f>
        <v/>
      </c>
      <c r="L20" s="16" t="str">
        <f aca="false">IF(OR($A20="",$B20=""),"",IF(COUNTIFS(CI_Site,$A20,CI_Mat,$B20)&gt;1,"⚠ Duplicate site + material row",IF(ISNA(MATCH($B20,Mat_Code,0)),"⚠ Unknown material code",IF($E20="","⚠ Enter count date",IF($F20="","⚠ Enter beginning balance",IF(N($G20)&lt;=0,"⚠ Enter storage capacity",IF($E20&gt;AsOfDate,"⚠ Count date is after the As-of Date",IF($J20&lt;0,"⚠ Negative stock – check logs or recount","OK"))))))))</f>
        <v>⚠ Enter count date</v>
      </c>
      <c r="M20" s="63"/>
    </row>
    <row r="21" customFormat="false" ht="15" hidden="false" customHeight="false" outlineLevel="0" collapsed="false">
      <c r="A21" s="63" t="s">
        <v>130</v>
      </c>
      <c r="B21" s="63" t="s">
        <v>118</v>
      </c>
      <c r="C21" s="16" t="str">
        <f aca="false">IF($B21="","",IFERROR(INDEX(Mat_Short,MATCH($B21,Mat_Code,0)),"⚠ Unknown code"))</f>
        <v>Cement</v>
      </c>
      <c r="D21" s="64" t="str">
        <f aca="false">IF($B21="","",IFERROR(INDEX(Mat_Unit,MATCH($B21,Mat_Code,0)),""))</f>
        <v>bags</v>
      </c>
      <c r="E21" s="65"/>
      <c r="F21" s="66"/>
      <c r="G21" s="66"/>
      <c r="H21" s="67" t="n">
        <f aca="false">IF(OR($A21="",$B21=""),"",SUMIFS(Del_Qty,Del_Site,$A21,Del_Mat,$B21,Del_Status,"Received",Del_Date,"&gt;="&amp;N($E21),Del_Date,"&lt;="&amp;AsOfDate))</f>
        <v>0</v>
      </c>
      <c r="I21" s="67" t="n">
        <f aca="false">IF(OR($A21="",$B21=""),"",IFERROR(SUMIFS(INDEX(Con_Use,0,MATCH($B21,Mat_Code,0)),Con_Site,$A21,Con_Date,"&gt;="&amp;N($E21),Con_Date,"&lt;="&amp;AsOfDate),0))</f>
        <v>0</v>
      </c>
      <c r="J21" s="68" t="str">
        <f aca="false">IF(OR($A21="",$B21="",$F21=""),"",$F21+$H21-$I21)</f>
        <v/>
      </c>
      <c r="K21" s="69" t="str">
        <f aca="false">IF(OR($J21="",N($G21)&lt;=0),"",MAX(0,$J21)/$G21)</f>
        <v/>
      </c>
      <c r="L21" s="16" t="str">
        <f aca="false">IF(OR($A21="",$B21=""),"",IF(COUNTIFS(CI_Site,$A21,CI_Mat,$B21)&gt;1,"⚠ Duplicate site + material row",IF(ISNA(MATCH($B21,Mat_Code,0)),"⚠ Unknown material code",IF($E21="","⚠ Enter count date",IF($F21="","⚠ Enter beginning balance",IF(N($G21)&lt;=0,"⚠ Enter storage capacity",IF($E21&gt;AsOfDate,"⚠ Count date is after the As-of Date",IF($J21&lt;0,"⚠ Negative stock – check logs or recount","OK"))))))))</f>
        <v>⚠ Enter count date</v>
      </c>
      <c r="M21" s="63"/>
    </row>
    <row r="22" customFormat="false" ht="15" hidden="false" customHeight="false" outlineLevel="0" collapsed="false">
      <c r="A22" s="63" t="s">
        <v>130</v>
      </c>
      <c r="B22" s="63" t="s">
        <v>124</v>
      </c>
      <c r="C22" s="16" t="str">
        <f aca="false">IF($B22="","",IFERROR(INDEX(Mat_Short,MATCH($B22,Mat_Code,0)),"⚠ Unknown code"))</f>
        <v>Sand</v>
      </c>
      <c r="D22" s="64" t="str">
        <f aca="false">IF($B22="","",IFERROR(INDEX(Mat_Unit,MATCH($B22,Mat_Code,0)),""))</f>
        <v>m3</v>
      </c>
      <c r="E22" s="65"/>
      <c r="F22" s="66"/>
      <c r="G22" s="66"/>
      <c r="H22" s="67" t="n">
        <f aca="false">IF(OR($A22="",$B22=""),"",SUMIFS(Del_Qty,Del_Site,$A22,Del_Mat,$B22,Del_Status,"Received",Del_Date,"&gt;="&amp;N($E22),Del_Date,"&lt;="&amp;AsOfDate))</f>
        <v>0</v>
      </c>
      <c r="I22" s="67" t="n">
        <f aca="false">IF(OR($A22="",$B22=""),"",IFERROR(SUMIFS(INDEX(Con_Use,0,MATCH($B22,Mat_Code,0)),Con_Site,$A22,Con_Date,"&gt;="&amp;N($E22),Con_Date,"&lt;="&amp;AsOfDate),0))</f>
        <v>0</v>
      </c>
      <c r="J22" s="68" t="str">
        <f aca="false">IF(OR($A22="",$B22="",$F22=""),"",$F22+$H22-$I22)</f>
        <v/>
      </c>
      <c r="K22" s="69" t="str">
        <f aca="false">IF(OR($J22="",N($G22)&lt;=0),"",MAX(0,$J22)/$G22)</f>
        <v/>
      </c>
      <c r="L22" s="16" t="str">
        <f aca="false">IF(OR($A22="",$B22=""),"",IF(COUNTIFS(CI_Site,$A22,CI_Mat,$B22)&gt;1,"⚠ Duplicate site + material row",IF(ISNA(MATCH($B22,Mat_Code,0)),"⚠ Unknown material code",IF($E22="","⚠ Enter count date",IF($F22="","⚠ Enter beginning balance",IF(N($G22)&lt;=0,"⚠ Enter storage capacity",IF($E22&gt;AsOfDate,"⚠ Count date is after the As-of Date",IF($J22&lt;0,"⚠ Negative stock – check logs or recount","OK"))))))))</f>
        <v>⚠ Enter count date</v>
      </c>
      <c r="M22" s="63"/>
    </row>
    <row r="23" customFormat="false" ht="15" hidden="false" customHeight="false" outlineLevel="0" collapsed="false">
      <c r="A23" s="63" t="s">
        <v>130</v>
      </c>
      <c r="B23" s="63" t="s">
        <v>125</v>
      </c>
      <c r="C23" s="16" t="str">
        <f aca="false">IF($B23="","",IFERROR(INDEX(Mat_Short,MATCH($B23,Mat_Code,0)),"⚠ Unknown code"))</f>
        <v>Gravel 3/4"</v>
      </c>
      <c r="D23" s="64" t="str">
        <f aca="false">IF($B23="","",IFERROR(INDEX(Mat_Unit,MATCH($B23,Mat_Code,0)),""))</f>
        <v>m3</v>
      </c>
      <c r="E23" s="65"/>
      <c r="F23" s="66"/>
      <c r="G23" s="66"/>
      <c r="H23" s="67" t="n">
        <f aca="false">IF(OR($A23="",$B23=""),"",SUMIFS(Del_Qty,Del_Site,$A23,Del_Mat,$B23,Del_Status,"Received",Del_Date,"&gt;="&amp;N($E23),Del_Date,"&lt;="&amp;AsOfDate))</f>
        <v>0</v>
      </c>
      <c r="I23" s="67" t="n">
        <f aca="false">IF(OR($A23="",$B23=""),"",IFERROR(SUMIFS(INDEX(Con_Use,0,MATCH($B23,Mat_Code,0)),Con_Site,$A23,Con_Date,"&gt;="&amp;N($E23),Con_Date,"&lt;="&amp;AsOfDate),0))</f>
        <v>0</v>
      </c>
      <c r="J23" s="68" t="str">
        <f aca="false">IF(OR($A23="",$B23="",$F23=""),"",$F23+$H23-$I23)</f>
        <v/>
      </c>
      <c r="K23" s="69" t="str">
        <f aca="false">IF(OR($J23="",N($G23)&lt;=0),"",MAX(0,$J23)/$G23)</f>
        <v/>
      </c>
      <c r="L23" s="16" t="str">
        <f aca="false">IF(OR($A23="",$B23=""),"",IF(COUNTIFS(CI_Site,$A23,CI_Mat,$B23)&gt;1,"⚠ Duplicate site + material row",IF(ISNA(MATCH($B23,Mat_Code,0)),"⚠ Unknown material code",IF($E23="","⚠ Enter count date",IF($F23="","⚠ Enter beginning balance",IF(N($G23)&lt;=0,"⚠ Enter storage capacity",IF($E23&gt;AsOfDate,"⚠ Count date is after the As-of Date",IF($J23&lt;0,"⚠ Negative stock – check logs or recount","OK"))))))))</f>
        <v>⚠ Enter count date</v>
      </c>
      <c r="M23" s="63"/>
    </row>
    <row r="24" customFormat="false" ht="15" hidden="false" customHeight="false" outlineLevel="0" collapsed="false">
      <c r="A24" s="63" t="s">
        <v>130</v>
      </c>
      <c r="B24" s="63" t="s">
        <v>126</v>
      </c>
      <c r="C24" s="16" t="str">
        <f aca="false">IF($B24="","",IFERROR(INDEX(Mat_Short,MATCH($B24,Mat_Code,0)),"⚠ Unknown code"))</f>
        <v>Gravel 3/8"</v>
      </c>
      <c r="D24" s="64" t="str">
        <f aca="false">IF($B24="","",IFERROR(INDEX(Mat_Unit,MATCH($B24,Mat_Code,0)),""))</f>
        <v>m3</v>
      </c>
      <c r="E24" s="65"/>
      <c r="F24" s="66"/>
      <c r="G24" s="66"/>
      <c r="H24" s="67" t="n">
        <f aca="false">IF(OR($A24="",$B24=""),"",SUMIFS(Del_Qty,Del_Site,$A24,Del_Mat,$B24,Del_Status,"Received",Del_Date,"&gt;="&amp;N($E24),Del_Date,"&lt;="&amp;AsOfDate))</f>
        <v>0</v>
      </c>
      <c r="I24" s="67" t="n">
        <f aca="false">IF(OR($A24="",$B24=""),"",IFERROR(SUMIFS(INDEX(Con_Use,0,MATCH($B24,Mat_Code,0)),Con_Site,$A24,Con_Date,"&gt;="&amp;N($E24),Con_Date,"&lt;="&amp;AsOfDate),0))</f>
        <v>0</v>
      </c>
      <c r="J24" s="68" t="str">
        <f aca="false">IF(OR($A24="",$B24="",$F24=""),"",$F24+$H24-$I24)</f>
        <v/>
      </c>
      <c r="K24" s="69" t="str">
        <f aca="false">IF(OR($J24="",N($G24)&lt;=0),"",MAX(0,$J24)/$G24)</f>
        <v/>
      </c>
      <c r="L24" s="16" t="str">
        <f aca="false">IF(OR($A24="",$B24=""),"",IF(COUNTIFS(CI_Site,$A24,CI_Mat,$B24)&gt;1,"⚠ Duplicate site + material row",IF(ISNA(MATCH($B24,Mat_Code,0)),"⚠ Unknown material code",IF($E24="","⚠ Enter count date",IF($F24="","⚠ Enter beginning balance",IF(N($G24)&lt;=0,"⚠ Enter storage capacity",IF($E24&gt;AsOfDate,"⚠ Count date is after the As-of Date",IF($J24&lt;0,"⚠ Negative stock – check logs or recount","OK"))))))))</f>
        <v>⚠ Enter count date</v>
      </c>
      <c r="M24" s="63"/>
    </row>
    <row r="25" customFormat="false" ht="15" hidden="false" customHeight="false" outlineLevel="0" collapsed="false">
      <c r="A25" s="63" t="s">
        <v>130</v>
      </c>
      <c r="B25" s="63" t="s">
        <v>127</v>
      </c>
      <c r="C25" s="16" t="str">
        <f aca="false">IF($B25="","",IFERROR(INDEX(Mat_Short,MATCH($B25,Mat_Code,0)),"⚠ Unknown code"))</f>
        <v>Admixture</v>
      </c>
      <c r="D25" s="64" t="str">
        <f aca="false">IF($B25="","",IFERROR(INDEX(Mat_Unit,MATCH($B25,Mat_Code,0)),""))</f>
        <v>L</v>
      </c>
      <c r="E25" s="65"/>
      <c r="F25" s="66"/>
      <c r="G25" s="66"/>
      <c r="H25" s="67" t="n">
        <f aca="false">IF(OR($A25="",$B25=""),"",SUMIFS(Del_Qty,Del_Site,$A25,Del_Mat,$B25,Del_Status,"Received",Del_Date,"&gt;="&amp;N($E25),Del_Date,"&lt;="&amp;AsOfDate))</f>
        <v>0</v>
      </c>
      <c r="I25" s="67" t="n">
        <f aca="false">IF(OR($A25="",$B25=""),"",IFERROR(SUMIFS(INDEX(Con_Use,0,MATCH($B25,Mat_Code,0)),Con_Site,$A25,Con_Date,"&gt;="&amp;N($E25),Con_Date,"&lt;="&amp;AsOfDate),0))</f>
        <v>0</v>
      </c>
      <c r="J25" s="68" t="str">
        <f aca="false">IF(OR($A25="",$B25="",$F25=""),"",$F25+$H25-$I25)</f>
        <v/>
      </c>
      <c r="K25" s="69" t="str">
        <f aca="false">IF(OR($J25="",N($G25)&lt;=0),"",MAX(0,$J25)/$G25)</f>
        <v/>
      </c>
      <c r="L25" s="16" t="str">
        <f aca="false">IF(OR($A25="",$B25=""),"",IF(COUNTIFS(CI_Site,$A25,CI_Mat,$B25)&gt;1,"⚠ Duplicate site + material row",IF(ISNA(MATCH($B25,Mat_Code,0)),"⚠ Unknown material code",IF($E25="","⚠ Enter count date",IF($F25="","⚠ Enter beginning balance",IF(N($G25)&lt;=0,"⚠ Enter storage capacity",IF($E25&gt;AsOfDate,"⚠ Count date is after the As-of Date",IF($J25&lt;0,"⚠ Negative stock – check logs or recount","OK"))))))))</f>
        <v>⚠ Enter count date</v>
      </c>
      <c r="M25" s="63"/>
    </row>
    <row r="26" customFormat="false" ht="15" hidden="false" customHeight="false" outlineLevel="0" collapsed="false">
      <c r="A26" s="63" t="s">
        <v>131</v>
      </c>
      <c r="B26" s="63" t="s">
        <v>118</v>
      </c>
      <c r="C26" s="16" t="str">
        <f aca="false">IF($B26="","",IFERROR(INDEX(Mat_Short,MATCH($B26,Mat_Code,0)),"⚠ Unknown code"))</f>
        <v>Cement</v>
      </c>
      <c r="D26" s="64" t="str">
        <f aca="false">IF($B26="","",IFERROR(INDEX(Mat_Unit,MATCH($B26,Mat_Code,0)),""))</f>
        <v>bags</v>
      </c>
      <c r="E26" s="65"/>
      <c r="F26" s="66"/>
      <c r="G26" s="66"/>
      <c r="H26" s="67" t="n">
        <f aca="false">IF(OR($A26="",$B26=""),"",SUMIFS(Del_Qty,Del_Site,$A26,Del_Mat,$B26,Del_Status,"Received",Del_Date,"&gt;="&amp;N($E26),Del_Date,"&lt;="&amp;AsOfDate))</f>
        <v>0</v>
      </c>
      <c r="I26" s="67" t="n">
        <f aca="false">IF(OR($A26="",$B26=""),"",IFERROR(SUMIFS(INDEX(Con_Use,0,MATCH($B26,Mat_Code,0)),Con_Site,$A26,Con_Date,"&gt;="&amp;N($E26),Con_Date,"&lt;="&amp;AsOfDate),0))</f>
        <v>0</v>
      </c>
      <c r="J26" s="68" t="str">
        <f aca="false">IF(OR($A26="",$B26="",$F26=""),"",$F26+$H26-$I26)</f>
        <v/>
      </c>
      <c r="K26" s="69" t="str">
        <f aca="false">IF(OR($J26="",N($G26)&lt;=0),"",MAX(0,$J26)/$G26)</f>
        <v/>
      </c>
      <c r="L26" s="16" t="str">
        <f aca="false">IF(OR($A26="",$B26=""),"",IF(COUNTIFS(CI_Site,$A26,CI_Mat,$B26)&gt;1,"⚠ Duplicate site + material row",IF(ISNA(MATCH($B26,Mat_Code,0)),"⚠ Unknown material code",IF($E26="","⚠ Enter count date",IF($F26="","⚠ Enter beginning balance",IF(N($G26)&lt;=0,"⚠ Enter storage capacity",IF($E26&gt;AsOfDate,"⚠ Count date is after the As-of Date",IF($J26&lt;0,"⚠ Negative stock – check logs or recount","OK"))))))))</f>
        <v>⚠ Enter count date</v>
      </c>
      <c r="M26" s="63"/>
    </row>
    <row r="27" customFormat="false" ht="15" hidden="false" customHeight="false" outlineLevel="0" collapsed="false">
      <c r="A27" s="63" t="s">
        <v>131</v>
      </c>
      <c r="B27" s="63" t="s">
        <v>124</v>
      </c>
      <c r="C27" s="16" t="str">
        <f aca="false">IF($B27="","",IFERROR(INDEX(Mat_Short,MATCH($B27,Mat_Code,0)),"⚠ Unknown code"))</f>
        <v>Sand</v>
      </c>
      <c r="D27" s="64" t="str">
        <f aca="false">IF($B27="","",IFERROR(INDEX(Mat_Unit,MATCH($B27,Mat_Code,0)),""))</f>
        <v>m3</v>
      </c>
      <c r="E27" s="65"/>
      <c r="F27" s="66"/>
      <c r="G27" s="66"/>
      <c r="H27" s="67" t="n">
        <f aca="false">IF(OR($A27="",$B27=""),"",SUMIFS(Del_Qty,Del_Site,$A27,Del_Mat,$B27,Del_Status,"Received",Del_Date,"&gt;="&amp;N($E27),Del_Date,"&lt;="&amp;AsOfDate))</f>
        <v>0</v>
      </c>
      <c r="I27" s="67" t="n">
        <f aca="false">IF(OR($A27="",$B27=""),"",IFERROR(SUMIFS(INDEX(Con_Use,0,MATCH($B27,Mat_Code,0)),Con_Site,$A27,Con_Date,"&gt;="&amp;N($E27),Con_Date,"&lt;="&amp;AsOfDate),0))</f>
        <v>0</v>
      </c>
      <c r="J27" s="68" t="str">
        <f aca="false">IF(OR($A27="",$B27="",$F27=""),"",$F27+$H27-$I27)</f>
        <v/>
      </c>
      <c r="K27" s="69" t="str">
        <f aca="false">IF(OR($J27="",N($G27)&lt;=0),"",MAX(0,$J27)/$G27)</f>
        <v/>
      </c>
      <c r="L27" s="16" t="str">
        <f aca="false">IF(OR($A27="",$B27=""),"",IF(COUNTIFS(CI_Site,$A27,CI_Mat,$B27)&gt;1,"⚠ Duplicate site + material row",IF(ISNA(MATCH($B27,Mat_Code,0)),"⚠ Unknown material code",IF($E27="","⚠ Enter count date",IF($F27="","⚠ Enter beginning balance",IF(N($G27)&lt;=0,"⚠ Enter storage capacity",IF($E27&gt;AsOfDate,"⚠ Count date is after the As-of Date",IF($J27&lt;0,"⚠ Negative stock – check logs or recount","OK"))))))))</f>
        <v>⚠ Enter count date</v>
      </c>
      <c r="M27" s="63"/>
    </row>
    <row r="28" customFormat="false" ht="15" hidden="false" customHeight="false" outlineLevel="0" collapsed="false">
      <c r="A28" s="63" t="s">
        <v>131</v>
      </c>
      <c r="B28" s="63" t="s">
        <v>125</v>
      </c>
      <c r="C28" s="16" t="str">
        <f aca="false">IF($B28="","",IFERROR(INDEX(Mat_Short,MATCH($B28,Mat_Code,0)),"⚠ Unknown code"))</f>
        <v>Gravel 3/4"</v>
      </c>
      <c r="D28" s="64" t="str">
        <f aca="false">IF($B28="","",IFERROR(INDEX(Mat_Unit,MATCH($B28,Mat_Code,0)),""))</f>
        <v>m3</v>
      </c>
      <c r="E28" s="65"/>
      <c r="F28" s="66"/>
      <c r="G28" s="66"/>
      <c r="H28" s="67" t="n">
        <f aca="false">IF(OR($A28="",$B28=""),"",SUMIFS(Del_Qty,Del_Site,$A28,Del_Mat,$B28,Del_Status,"Received",Del_Date,"&gt;="&amp;N($E28),Del_Date,"&lt;="&amp;AsOfDate))</f>
        <v>0</v>
      </c>
      <c r="I28" s="67" t="n">
        <f aca="false">IF(OR($A28="",$B28=""),"",IFERROR(SUMIFS(INDEX(Con_Use,0,MATCH($B28,Mat_Code,0)),Con_Site,$A28,Con_Date,"&gt;="&amp;N($E28),Con_Date,"&lt;="&amp;AsOfDate),0))</f>
        <v>0</v>
      </c>
      <c r="J28" s="68" t="str">
        <f aca="false">IF(OR($A28="",$B28="",$F28=""),"",$F28+$H28-$I28)</f>
        <v/>
      </c>
      <c r="K28" s="69" t="str">
        <f aca="false">IF(OR($J28="",N($G28)&lt;=0),"",MAX(0,$J28)/$G28)</f>
        <v/>
      </c>
      <c r="L28" s="16" t="str">
        <f aca="false">IF(OR($A28="",$B28=""),"",IF(COUNTIFS(CI_Site,$A28,CI_Mat,$B28)&gt;1,"⚠ Duplicate site + material row",IF(ISNA(MATCH($B28,Mat_Code,0)),"⚠ Unknown material code",IF($E28="","⚠ Enter count date",IF($F28="","⚠ Enter beginning balance",IF(N($G28)&lt;=0,"⚠ Enter storage capacity",IF($E28&gt;AsOfDate,"⚠ Count date is after the As-of Date",IF($J28&lt;0,"⚠ Negative stock – check logs or recount","OK"))))))))</f>
        <v>⚠ Enter count date</v>
      </c>
      <c r="M28" s="63"/>
    </row>
    <row r="29" customFormat="false" ht="15" hidden="false" customHeight="false" outlineLevel="0" collapsed="false">
      <c r="A29" s="63" t="s">
        <v>131</v>
      </c>
      <c r="B29" s="63" t="s">
        <v>126</v>
      </c>
      <c r="C29" s="16" t="str">
        <f aca="false">IF($B29="","",IFERROR(INDEX(Mat_Short,MATCH($B29,Mat_Code,0)),"⚠ Unknown code"))</f>
        <v>Gravel 3/8"</v>
      </c>
      <c r="D29" s="64" t="str">
        <f aca="false">IF($B29="","",IFERROR(INDEX(Mat_Unit,MATCH($B29,Mat_Code,0)),""))</f>
        <v>m3</v>
      </c>
      <c r="E29" s="65"/>
      <c r="F29" s="66"/>
      <c r="G29" s="66"/>
      <c r="H29" s="67" t="n">
        <f aca="false">IF(OR($A29="",$B29=""),"",SUMIFS(Del_Qty,Del_Site,$A29,Del_Mat,$B29,Del_Status,"Received",Del_Date,"&gt;="&amp;N($E29),Del_Date,"&lt;="&amp;AsOfDate))</f>
        <v>0</v>
      </c>
      <c r="I29" s="67" t="n">
        <f aca="false">IF(OR($A29="",$B29=""),"",IFERROR(SUMIFS(INDEX(Con_Use,0,MATCH($B29,Mat_Code,0)),Con_Site,$A29,Con_Date,"&gt;="&amp;N($E29),Con_Date,"&lt;="&amp;AsOfDate),0))</f>
        <v>0</v>
      </c>
      <c r="J29" s="68" t="str">
        <f aca="false">IF(OR($A29="",$B29="",$F29=""),"",$F29+$H29-$I29)</f>
        <v/>
      </c>
      <c r="K29" s="69" t="str">
        <f aca="false">IF(OR($J29="",N($G29)&lt;=0),"",MAX(0,$J29)/$G29)</f>
        <v/>
      </c>
      <c r="L29" s="16" t="str">
        <f aca="false">IF(OR($A29="",$B29=""),"",IF(COUNTIFS(CI_Site,$A29,CI_Mat,$B29)&gt;1,"⚠ Duplicate site + material row",IF(ISNA(MATCH($B29,Mat_Code,0)),"⚠ Unknown material code",IF($E29="","⚠ Enter count date",IF($F29="","⚠ Enter beginning balance",IF(N($G29)&lt;=0,"⚠ Enter storage capacity",IF($E29&gt;AsOfDate,"⚠ Count date is after the As-of Date",IF($J29&lt;0,"⚠ Negative stock – check logs or recount","OK"))))))))</f>
        <v>⚠ Enter count date</v>
      </c>
      <c r="M29" s="63"/>
    </row>
    <row r="30" customFormat="false" ht="15" hidden="false" customHeight="false" outlineLevel="0" collapsed="false">
      <c r="A30" s="63" t="s">
        <v>131</v>
      </c>
      <c r="B30" s="63" t="s">
        <v>127</v>
      </c>
      <c r="C30" s="16" t="str">
        <f aca="false">IF($B30="","",IFERROR(INDEX(Mat_Short,MATCH($B30,Mat_Code,0)),"⚠ Unknown code"))</f>
        <v>Admixture</v>
      </c>
      <c r="D30" s="64" t="str">
        <f aca="false">IF($B30="","",IFERROR(INDEX(Mat_Unit,MATCH($B30,Mat_Code,0)),""))</f>
        <v>L</v>
      </c>
      <c r="E30" s="65"/>
      <c r="F30" s="66"/>
      <c r="G30" s="66"/>
      <c r="H30" s="67" t="n">
        <f aca="false">IF(OR($A30="",$B30=""),"",SUMIFS(Del_Qty,Del_Site,$A30,Del_Mat,$B30,Del_Status,"Received",Del_Date,"&gt;="&amp;N($E30),Del_Date,"&lt;="&amp;AsOfDate))</f>
        <v>0</v>
      </c>
      <c r="I30" s="67" t="n">
        <f aca="false">IF(OR($A30="",$B30=""),"",IFERROR(SUMIFS(INDEX(Con_Use,0,MATCH($B30,Mat_Code,0)),Con_Site,$A30,Con_Date,"&gt;="&amp;N($E30),Con_Date,"&lt;="&amp;AsOfDate),0))</f>
        <v>0</v>
      </c>
      <c r="J30" s="68" t="str">
        <f aca="false">IF(OR($A30="",$B30="",$F30=""),"",$F30+$H30-$I30)</f>
        <v/>
      </c>
      <c r="K30" s="69" t="str">
        <f aca="false">IF(OR($J30="",N($G30)&lt;=0),"",MAX(0,$J30)/$G30)</f>
        <v/>
      </c>
      <c r="L30" s="16" t="str">
        <f aca="false">IF(OR($A30="",$B30=""),"",IF(COUNTIFS(CI_Site,$A30,CI_Mat,$B30)&gt;1,"⚠ Duplicate site + material row",IF(ISNA(MATCH($B30,Mat_Code,0)),"⚠ Unknown material code",IF($E30="","⚠ Enter count date",IF($F30="","⚠ Enter beginning balance",IF(N($G30)&lt;=0,"⚠ Enter storage capacity",IF($E30&gt;AsOfDate,"⚠ Count date is after the As-of Date",IF($J30&lt;0,"⚠ Negative stock – check logs or recount","OK"))))))))</f>
        <v>⚠ Enter count date</v>
      </c>
      <c r="M30" s="63"/>
    </row>
    <row r="31" customFormat="false" ht="15" hidden="false" customHeight="false" outlineLevel="0" collapsed="false">
      <c r="A31" s="63" t="s">
        <v>132</v>
      </c>
      <c r="B31" s="63" t="s">
        <v>118</v>
      </c>
      <c r="C31" s="16" t="str">
        <f aca="false">IF($B31="","",IFERROR(INDEX(Mat_Short,MATCH($B31,Mat_Code,0)),"⚠ Unknown code"))</f>
        <v>Cement</v>
      </c>
      <c r="D31" s="64" t="str">
        <f aca="false">IF($B31="","",IFERROR(INDEX(Mat_Unit,MATCH($B31,Mat_Code,0)),""))</f>
        <v>bags</v>
      </c>
      <c r="E31" s="65"/>
      <c r="F31" s="66"/>
      <c r="G31" s="66"/>
      <c r="H31" s="67" t="n">
        <f aca="false">IF(OR($A31="",$B31=""),"",SUMIFS(Del_Qty,Del_Site,$A31,Del_Mat,$B31,Del_Status,"Received",Del_Date,"&gt;="&amp;N($E31),Del_Date,"&lt;="&amp;AsOfDate))</f>
        <v>0</v>
      </c>
      <c r="I31" s="67" t="n">
        <f aca="false">IF(OR($A31="",$B31=""),"",IFERROR(SUMIFS(INDEX(Con_Use,0,MATCH($B31,Mat_Code,0)),Con_Site,$A31,Con_Date,"&gt;="&amp;N($E31),Con_Date,"&lt;="&amp;AsOfDate),0))</f>
        <v>0</v>
      </c>
      <c r="J31" s="68" t="str">
        <f aca="false">IF(OR($A31="",$B31="",$F31=""),"",$F31+$H31-$I31)</f>
        <v/>
      </c>
      <c r="K31" s="69" t="str">
        <f aca="false">IF(OR($J31="",N($G31)&lt;=0),"",MAX(0,$J31)/$G31)</f>
        <v/>
      </c>
      <c r="L31" s="16" t="str">
        <f aca="false">IF(OR($A31="",$B31=""),"",IF(COUNTIFS(CI_Site,$A31,CI_Mat,$B31)&gt;1,"⚠ Duplicate site + material row",IF(ISNA(MATCH($B31,Mat_Code,0)),"⚠ Unknown material code",IF($E31="","⚠ Enter count date",IF($F31="","⚠ Enter beginning balance",IF(N($G31)&lt;=0,"⚠ Enter storage capacity",IF($E31&gt;AsOfDate,"⚠ Count date is after the As-of Date",IF($J31&lt;0,"⚠ Negative stock – check logs or recount","OK"))))))))</f>
        <v>⚠ Enter count date</v>
      </c>
      <c r="M31" s="63"/>
    </row>
    <row r="32" customFormat="false" ht="15" hidden="false" customHeight="false" outlineLevel="0" collapsed="false">
      <c r="A32" s="63" t="s">
        <v>132</v>
      </c>
      <c r="B32" s="63" t="s">
        <v>124</v>
      </c>
      <c r="C32" s="16" t="str">
        <f aca="false">IF($B32="","",IFERROR(INDEX(Mat_Short,MATCH($B32,Mat_Code,0)),"⚠ Unknown code"))</f>
        <v>Sand</v>
      </c>
      <c r="D32" s="64" t="str">
        <f aca="false">IF($B32="","",IFERROR(INDEX(Mat_Unit,MATCH($B32,Mat_Code,0)),""))</f>
        <v>m3</v>
      </c>
      <c r="E32" s="65"/>
      <c r="F32" s="66"/>
      <c r="G32" s="66"/>
      <c r="H32" s="67" t="n">
        <f aca="false">IF(OR($A32="",$B32=""),"",SUMIFS(Del_Qty,Del_Site,$A32,Del_Mat,$B32,Del_Status,"Received",Del_Date,"&gt;="&amp;N($E32),Del_Date,"&lt;="&amp;AsOfDate))</f>
        <v>0</v>
      </c>
      <c r="I32" s="67" t="n">
        <f aca="false">IF(OR($A32="",$B32=""),"",IFERROR(SUMIFS(INDEX(Con_Use,0,MATCH($B32,Mat_Code,0)),Con_Site,$A32,Con_Date,"&gt;="&amp;N($E32),Con_Date,"&lt;="&amp;AsOfDate),0))</f>
        <v>0</v>
      </c>
      <c r="J32" s="68" t="str">
        <f aca="false">IF(OR($A32="",$B32="",$F32=""),"",$F32+$H32-$I32)</f>
        <v/>
      </c>
      <c r="K32" s="69" t="str">
        <f aca="false">IF(OR($J32="",N($G32)&lt;=0),"",MAX(0,$J32)/$G32)</f>
        <v/>
      </c>
      <c r="L32" s="16" t="str">
        <f aca="false">IF(OR($A32="",$B32=""),"",IF(COUNTIFS(CI_Site,$A32,CI_Mat,$B32)&gt;1,"⚠ Duplicate site + material row",IF(ISNA(MATCH($B32,Mat_Code,0)),"⚠ Unknown material code",IF($E32="","⚠ Enter count date",IF($F32="","⚠ Enter beginning balance",IF(N($G32)&lt;=0,"⚠ Enter storage capacity",IF($E32&gt;AsOfDate,"⚠ Count date is after the As-of Date",IF($J32&lt;0,"⚠ Negative stock – check logs or recount","OK"))))))))</f>
        <v>⚠ Enter count date</v>
      </c>
      <c r="M32" s="63"/>
    </row>
    <row r="33" customFormat="false" ht="15" hidden="false" customHeight="false" outlineLevel="0" collapsed="false">
      <c r="A33" s="63" t="s">
        <v>132</v>
      </c>
      <c r="B33" s="63" t="s">
        <v>125</v>
      </c>
      <c r="C33" s="16" t="str">
        <f aca="false">IF($B33="","",IFERROR(INDEX(Mat_Short,MATCH($B33,Mat_Code,0)),"⚠ Unknown code"))</f>
        <v>Gravel 3/4"</v>
      </c>
      <c r="D33" s="64" t="str">
        <f aca="false">IF($B33="","",IFERROR(INDEX(Mat_Unit,MATCH($B33,Mat_Code,0)),""))</f>
        <v>m3</v>
      </c>
      <c r="E33" s="65"/>
      <c r="F33" s="66"/>
      <c r="G33" s="66"/>
      <c r="H33" s="67" t="n">
        <f aca="false">IF(OR($A33="",$B33=""),"",SUMIFS(Del_Qty,Del_Site,$A33,Del_Mat,$B33,Del_Status,"Received",Del_Date,"&gt;="&amp;N($E33),Del_Date,"&lt;="&amp;AsOfDate))</f>
        <v>0</v>
      </c>
      <c r="I33" s="67" t="n">
        <f aca="false">IF(OR($A33="",$B33=""),"",IFERROR(SUMIFS(INDEX(Con_Use,0,MATCH($B33,Mat_Code,0)),Con_Site,$A33,Con_Date,"&gt;="&amp;N($E33),Con_Date,"&lt;="&amp;AsOfDate),0))</f>
        <v>0</v>
      </c>
      <c r="J33" s="68" t="str">
        <f aca="false">IF(OR($A33="",$B33="",$F33=""),"",$F33+$H33-$I33)</f>
        <v/>
      </c>
      <c r="K33" s="69" t="str">
        <f aca="false">IF(OR($J33="",N($G33)&lt;=0),"",MAX(0,$J33)/$G33)</f>
        <v/>
      </c>
      <c r="L33" s="16" t="str">
        <f aca="false">IF(OR($A33="",$B33=""),"",IF(COUNTIFS(CI_Site,$A33,CI_Mat,$B33)&gt;1,"⚠ Duplicate site + material row",IF(ISNA(MATCH($B33,Mat_Code,0)),"⚠ Unknown material code",IF($E33="","⚠ Enter count date",IF($F33="","⚠ Enter beginning balance",IF(N($G33)&lt;=0,"⚠ Enter storage capacity",IF($E33&gt;AsOfDate,"⚠ Count date is after the As-of Date",IF($J33&lt;0,"⚠ Negative stock – check logs or recount","OK"))))))))</f>
        <v>⚠ Enter count date</v>
      </c>
      <c r="M33" s="63"/>
    </row>
    <row r="34" customFormat="false" ht="15" hidden="false" customHeight="false" outlineLevel="0" collapsed="false">
      <c r="A34" s="63" t="s">
        <v>132</v>
      </c>
      <c r="B34" s="63" t="s">
        <v>126</v>
      </c>
      <c r="C34" s="16" t="str">
        <f aca="false">IF($B34="","",IFERROR(INDEX(Mat_Short,MATCH($B34,Mat_Code,0)),"⚠ Unknown code"))</f>
        <v>Gravel 3/8"</v>
      </c>
      <c r="D34" s="64" t="str">
        <f aca="false">IF($B34="","",IFERROR(INDEX(Mat_Unit,MATCH($B34,Mat_Code,0)),""))</f>
        <v>m3</v>
      </c>
      <c r="E34" s="65"/>
      <c r="F34" s="66"/>
      <c r="G34" s="66"/>
      <c r="H34" s="67" t="n">
        <f aca="false">IF(OR($A34="",$B34=""),"",SUMIFS(Del_Qty,Del_Site,$A34,Del_Mat,$B34,Del_Status,"Received",Del_Date,"&gt;="&amp;N($E34),Del_Date,"&lt;="&amp;AsOfDate))</f>
        <v>0</v>
      </c>
      <c r="I34" s="67" t="n">
        <f aca="false">IF(OR($A34="",$B34=""),"",IFERROR(SUMIFS(INDEX(Con_Use,0,MATCH($B34,Mat_Code,0)),Con_Site,$A34,Con_Date,"&gt;="&amp;N($E34),Con_Date,"&lt;="&amp;AsOfDate),0))</f>
        <v>0</v>
      </c>
      <c r="J34" s="68" t="str">
        <f aca="false">IF(OR($A34="",$B34="",$F34=""),"",$F34+$H34-$I34)</f>
        <v/>
      </c>
      <c r="K34" s="69" t="str">
        <f aca="false">IF(OR($J34="",N($G34)&lt;=0),"",MAX(0,$J34)/$G34)</f>
        <v/>
      </c>
      <c r="L34" s="16" t="str">
        <f aca="false">IF(OR($A34="",$B34=""),"",IF(COUNTIFS(CI_Site,$A34,CI_Mat,$B34)&gt;1,"⚠ Duplicate site + material row",IF(ISNA(MATCH($B34,Mat_Code,0)),"⚠ Unknown material code",IF($E34="","⚠ Enter count date",IF($F34="","⚠ Enter beginning balance",IF(N($G34)&lt;=0,"⚠ Enter storage capacity",IF($E34&gt;AsOfDate,"⚠ Count date is after the As-of Date",IF($J34&lt;0,"⚠ Negative stock – check logs or recount","OK"))))))))</f>
        <v>⚠ Enter count date</v>
      </c>
      <c r="M34" s="63"/>
    </row>
    <row r="35" customFormat="false" ht="15" hidden="false" customHeight="false" outlineLevel="0" collapsed="false">
      <c r="A35" s="63" t="s">
        <v>132</v>
      </c>
      <c r="B35" s="63" t="s">
        <v>127</v>
      </c>
      <c r="C35" s="16" t="str">
        <f aca="false">IF($B35="","",IFERROR(INDEX(Mat_Short,MATCH($B35,Mat_Code,0)),"⚠ Unknown code"))</f>
        <v>Admixture</v>
      </c>
      <c r="D35" s="64" t="str">
        <f aca="false">IF($B35="","",IFERROR(INDEX(Mat_Unit,MATCH($B35,Mat_Code,0)),""))</f>
        <v>L</v>
      </c>
      <c r="E35" s="65"/>
      <c r="F35" s="66"/>
      <c r="G35" s="66"/>
      <c r="H35" s="67" t="n">
        <f aca="false">IF(OR($A35="",$B35=""),"",SUMIFS(Del_Qty,Del_Site,$A35,Del_Mat,$B35,Del_Status,"Received",Del_Date,"&gt;="&amp;N($E35),Del_Date,"&lt;="&amp;AsOfDate))</f>
        <v>0</v>
      </c>
      <c r="I35" s="67" t="n">
        <f aca="false">IF(OR($A35="",$B35=""),"",IFERROR(SUMIFS(INDEX(Con_Use,0,MATCH($B35,Mat_Code,0)),Con_Site,$A35,Con_Date,"&gt;="&amp;N($E35),Con_Date,"&lt;="&amp;AsOfDate),0))</f>
        <v>0</v>
      </c>
      <c r="J35" s="68" t="str">
        <f aca="false">IF(OR($A35="",$B35="",$F35=""),"",$F35+$H35-$I35)</f>
        <v/>
      </c>
      <c r="K35" s="69" t="str">
        <f aca="false">IF(OR($J35="",N($G35)&lt;=0),"",MAX(0,$J35)/$G35)</f>
        <v/>
      </c>
      <c r="L35" s="16" t="str">
        <f aca="false">IF(OR($A35="",$B35=""),"",IF(COUNTIFS(CI_Site,$A35,CI_Mat,$B35)&gt;1,"⚠ Duplicate site + material row",IF(ISNA(MATCH($B35,Mat_Code,0)),"⚠ Unknown material code",IF($E35="","⚠ Enter count date",IF($F35="","⚠ Enter beginning balance",IF(N($G35)&lt;=0,"⚠ Enter storage capacity",IF($E35&gt;AsOfDate,"⚠ Count date is after the As-of Date",IF($J35&lt;0,"⚠ Negative stock – check logs or recount","OK"))))))))</f>
        <v>⚠ Enter count date</v>
      </c>
      <c r="M35" s="63"/>
    </row>
    <row r="36" customFormat="false" ht="15" hidden="false" customHeight="false" outlineLevel="0" collapsed="false">
      <c r="A36" s="63" t="s">
        <v>133</v>
      </c>
      <c r="B36" s="63" t="s">
        <v>118</v>
      </c>
      <c r="C36" s="16" t="str">
        <f aca="false">IF($B36="","",IFERROR(INDEX(Mat_Short,MATCH($B36,Mat_Code,0)),"⚠ Unknown code"))</f>
        <v>Cement</v>
      </c>
      <c r="D36" s="64" t="str">
        <f aca="false">IF($B36="","",IFERROR(INDEX(Mat_Unit,MATCH($B36,Mat_Code,0)),""))</f>
        <v>bags</v>
      </c>
      <c r="E36" s="65"/>
      <c r="F36" s="66"/>
      <c r="G36" s="66"/>
      <c r="H36" s="67" t="n">
        <f aca="false">IF(OR($A36="",$B36=""),"",SUMIFS(Del_Qty,Del_Site,$A36,Del_Mat,$B36,Del_Status,"Received",Del_Date,"&gt;="&amp;N($E36),Del_Date,"&lt;="&amp;AsOfDate))</f>
        <v>0</v>
      </c>
      <c r="I36" s="67" t="n">
        <f aca="false">IF(OR($A36="",$B36=""),"",IFERROR(SUMIFS(INDEX(Con_Use,0,MATCH($B36,Mat_Code,0)),Con_Site,$A36,Con_Date,"&gt;="&amp;N($E36),Con_Date,"&lt;="&amp;AsOfDate),0))</f>
        <v>0</v>
      </c>
      <c r="J36" s="68" t="str">
        <f aca="false">IF(OR($A36="",$B36="",$F36=""),"",$F36+$H36-$I36)</f>
        <v/>
      </c>
      <c r="K36" s="69" t="str">
        <f aca="false">IF(OR($J36="",N($G36)&lt;=0),"",MAX(0,$J36)/$G36)</f>
        <v/>
      </c>
      <c r="L36" s="16" t="str">
        <f aca="false">IF(OR($A36="",$B36=""),"",IF(COUNTIFS(CI_Site,$A36,CI_Mat,$B36)&gt;1,"⚠ Duplicate site + material row",IF(ISNA(MATCH($B36,Mat_Code,0)),"⚠ Unknown material code",IF($E36="","⚠ Enter count date",IF($F36="","⚠ Enter beginning balance",IF(N($G36)&lt;=0,"⚠ Enter storage capacity",IF($E36&gt;AsOfDate,"⚠ Count date is after the As-of Date",IF($J36&lt;0,"⚠ Negative stock – check logs or recount","OK"))))))))</f>
        <v>⚠ Enter count date</v>
      </c>
      <c r="M36" s="63"/>
    </row>
    <row r="37" customFormat="false" ht="15" hidden="false" customHeight="false" outlineLevel="0" collapsed="false">
      <c r="A37" s="63" t="s">
        <v>133</v>
      </c>
      <c r="B37" s="63" t="s">
        <v>124</v>
      </c>
      <c r="C37" s="16" t="str">
        <f aca="false">IF($B37="","",IFERROR(INDEX(Mat_Short,MATCH($B37,Mat_Code,0)),"⚠ Unknown code"))</f>
        <v>Sand</v>
      </c>
      <c r="D37" s="64" t="str">
        <f aca="false">IF($B37="","",IFERROR(INDEX(Mat_Unit,MATCH($B37,Mat_Code,0)),""))</f>
        <v>m3</v>
      </c>
      <c r="E37" s="65"/>
      <c r="F37" s="66"/>
      <c r="G37" s="66"/>
      <c r="H37" s="67" t="n">
        <f aca="false">IF(OR($A37="",$B37=""),"",SUMIFS(Del_Qty,Del_Site,$A37,Del_Mat,$B37,Del_Status,"Received",Del_Date,"&gt;="&amp;N($E37),Del_Date,"&lt;="&amp;AsOfDate))</f>
        <v>0</v>
      </c>
      <c r="I37" s="67" t="n">
        <f aca="false">IF(OR($A37="",$B37=""),"",IFERROR(SUMIFS(INDEX(Con_Use,0,MATCH($B37,Mat_Code,0)),Con_Site,$A37,Con_Date,"&gt;="&amp;N($E37),Con_Date,"&lt;="&amp;AsOfDate),0))</f>
        <v>0</v>
      </c>
      <c r="J37" s="68" t="str">
        <f aca="false">IF(OR($A37="",$B37="",$F37=""),"",$F37+$H37-$I37)</f>
        <v/>
      </c>
      <c r="K37" s="69" t="str">
        <f aca="false">IF(OR($J37="",N($G37)&lt;=0),"",MAX(0,$J37)/$G37)</f>
        <v/>
      </c>
      <c r="L37" s="16" t="str">
        <f aca="false">IF(OR($A37="",$B37=""),"",IF(COUNTIFS(CI_Site,$A37,CI_Mat,$B37)&gt;1,"⚠ Duplicate site + material row",IF(ISNA(MATCH($B37,Mat_Code,0)),"⚠ Unknown material code",IF($E37="","⚠ Enter count date",IF($F37="","⚠ Enter beginning balance",IF(N($G37)&lt;=0,"⚠ Enter storage capacity",IF($E37&gt;AsOfDate,"⚠ Count date is after the As-of Date",IF($J37&lt;0,"⚠ Negative stock – check logs or recount","OK"))))))))</f>
        <v>⚠ Enter count date</v>
      </c>
      <c r="M37" s="63"/>
    </row>
    <row r="38" customFormat="false" ht="15" hidden="false" customHeight="false" outlineLevel="0" collapsed="false">
      <c r="A38" s="63" t="s">
        <v>133</v>
      </c>
      <c r="B38" s="63" t="s">
        <v>125</v>
      </c>
      <c r="C38" s="16" t="str">
        <f aca="false">IF($B38="","",IFERROR(INDEX(Mat_Short,MATCH($B38,Mat_Code,0)),"⚠ Unknown code"))</f>
        <v>Gravel 3/4"</v>
      </c>
      <c r="D38" s="64" t="str">
        <f aca="false">IF($B38="","",IFERROR(INDEX(Mat_Unit,MATCH($B38,Mat_Code,0)),""))</f>
        <v>m3</v>
      </c>
      <c r="E38" s="65"/>
      <c r="F38" s="66"/>
      <c r="G38" s="66"/>
      <c r="H38" s="67" t="n">
        <f aca="false">IF(OR($A38="",$B38=""),"",SUMIFS(Del_Qty,Del_Site,$A38,Del_Mat,$B38,Del_Status,"Received",Del_Date,"&gt;="&amp;N($E38),Del_Date,"&lt;="&amp;AsOfDate))</f>
        <v>0</v>
      </c>
      <c r="I38" s="67" t="n">
        <f aca="false">IF(OR($A38="",$B38=""),"",IFERROR(SUMIFS(INDEX(Con_Use,0,MATCH($B38,Mat_Code,0)),Con_Site,$A38,Con_Date,"&gt;="&amp;N($E38),Con_Date,"&lt;="&amp;AsOfDate),0))</f>
        <v>0</v>
      </c>
      <c r="J38" s="68" t="str">
        <f aca="false">IF(OR($A38="",$B38="",$F38=""),"",$F38+$H38-$I38)</f>
        <v/>
      </c>
      <c r="K38" s="69" t="str">
        <f aca="false">IF(OR($J38="",N($G38)&lt;=0),"",MAX(0,$J38)/$G38)</f>
        <v/>
      </c>
      <c r="L38" s="16" t="str">
        <f aca="false">IF(OR($A38="",$B38=""),"",IF(COUNTIFS(CI_Site,$A38,CI_Mat,$B38)&gt;1,"⚠ Duplicate site + material row",IF(ISNA(MATCH($B38,Mat_Code,0)),"⚠ Unknown material code",IF($E38="","⚠ Enter count date",IF($F38="","⚠ Enter beginning balance",IF(N($G38)&lt;=0,"⚠ Enter storage capacity",IF($E38&gt;AsOfDate,"⚠ Count date is after the As-of Date",IF($J38&lt;0,"⚠ Negative stock – check logs or recount","OK"))))))))</f>
        <v>⚠ Enter count date</v>
      </c>
      <c r="M38" s="63"/>
    </row>
    <row r="39" customFormat="false" ht="15" hidden="false" customHeight="false" outlineLevel="0" collapsed="false">
      <c r="A39" s="63" t="s">
        <v>133</v>
      </c>
      <c r="B39" s="63" t="s">
        <v>126</v>
      </c>
      <c r="C39" s="16" t="str">
        <f aca="false">IF($B39="","",IFERROR(INDEX(Mat_Short,MATCH($B39,Mat_Code,0)),"⚠ Unknown code"))</f>
        <v>Gravel 3/8"</v>
      </c>
      <c r="D39" s="64" t="str">
        <f aca="false">IF($B39="","",IFERROR(INDEX(Mat_Unit,MATCH($B39,Mat_Code,0)),""))</f>
        <v>m3</v>
      </c>
      <c r="E39" s="65"/>
      <c r="F39" s="66"/>
      <c r="G39" s="66"/>
      <c r="H39" s="67" t="n">
        <f aca="false">IF(OR($A39="",$B39=""),"",SUMIFS(Del_Qty,Del_Site,$A39,Del_Mat,$B39,Del_Status,"Received",Del_Date,"&gt;="&amp;N($E39),Del_Date,"&lt;="&amp;AsOfDate))</f>
        <v>0</v>
      </c>
      <c r="I39" s="67" t="n">
        <f aca="false">IF(OR($A39="",$B39=""),"",IFERROR(SUMIFS(INDEX(Con_Use,0,MATCH($B39,Mat_Code,0)),Con_Site,$A39,Con_Date,"&gt;="&amp;N($E39),Con_Date,"&lt;="&amp;AsOfDate),0))</f>
        <v>0</v>
      </c>
      <c r="J39" s="68" t="str">
        <f aca="false">IF(OR($A39="",$B39="",$F39=""),"",$F39+$H39-$I39)</f>
        <v/>
      </c>
      <c r="K39" s="69" t="str">
        <f aca="false">IF(OR($J39="",N($G39)&lt;=0),"",MAX(0,$J39)/$G39)</f>
        <v/>
      </c>
      <c r="L39" s="16" t="str">
        <f aca="false">IF(OR($A39="",$B39=""),"",IF(COUNTIFS(CI_Site,$A39,CI_Mat,$B39)&gt;1,"⚠ Duplicate site + material row",IF(ISNA(MATCH($B39,Mat_Code,0)),"⚠ Unknown material code",IF($E39="","⚠ Enter count date",IF($F39="","⚠ Enter beginning balance",IF(N($G39)&lt;=0,"⚠ Enter storage capacity",IF($E39&gt;AsOfDate,"⚠ Count date is after the As-of Date",IF($J39&lt;0,"⚠ Negative stock – check logs or recount","OK"))))))))</f>
        <v>⚠ Enter count date</v>
      </c>
      <c r="M39" s="63"/>
    </row>
    <row r="40" customFormat="false" ht="15" hidden="false" customHeight="false" outlineLevel="0" collapsed="false">
      <c r="A40" s="63" t="s">
        <v>133</v>
      </c>
      <c r="B40" s="63" t="s">
        <v>127</v>
      </c>
      <c r="C40" s="16" t="str">
        <f aca="false">IF($B40="","",IFERROR(INDEX(Mat_Short,MATCH($B40,Mat_Code,0)),"⚠ Unknown code"))</f>
        <v>Admixture</v>
      </c>
      <c r="D40" s="64" t="str">
        <f aca="false">IF($B40="","",IFERROR(INDEX(Mat_Unit,MATCH($B40,Mat_Code,0)),""))</f>
        <v>L</v>
      </c>
      <c r="E40" s="65"/>
      <c r="F40" s="66"/>
      <c r="G40" s="66"/>
      <c r="H40" s="67" t="n">
        <f aca="false">IF(OR($A40="",$B40=""),"",SUMIFS(Del_Qty,Del_Site,$A40,Del_Mat,$B40,Del_Status,"Received",Del_Date,"&gt;="&amp;N($E40),Del_Date,"&lt;="&amp;AsOfDate))</f>
        <v>0</v>
      </c>
      <c r="I40" s="67" t="n">
        <f aca="false">IF(OR($A40="",$B40=""),"",IFERROR(SUMIFS(INDEX(Con_Use,0,MATCH($B40,Mat_Code,0)),Con_Site,$A40,Con_Date,"&gt;="&amp;N($E40),Con_Date,"&lt;="&amp;AsOfDate),0))</f>
        <v>0</v>
      </c>
      <c r="J40" s="68" t="str">
        <f aca="false">IF(OR($A40="",$B40="",$F40=""),"",$F40+$H40-$I40)</f>
        <v/>
      </c>
      <c r="K40" s="69" t="str">
        <f aca="false">IF(OR($J40="",N($G40)&lt;=0),"",MAX(0,$J40)/$G40)</f>
        <v/>
      </c>
      <c r="L40" s="16" t="str">
        <f aca="false">IF(OR($A40="",$B40=""),"",IF(COUNTIFS(CI_Site,$A40,CI_Mat,$B40)&gt;1,"⚠ Duplicate site + material row",IF(ISNA(MATCH($B40,Mat_Code,0)),"⚠ Unknown material code",IF($E40="","⚠ Enter count date",IF($F40="","⚠ Enter beginning balance",IF(N($G40)&lt;=0,"⚠ Enter storage capacity",IF($E40&gt;AsOfDate,"⚠ Count date is after the As-of Date",IF($J40&lt;0,"⚠ Negative stock – check logs or recount","OK"))))))))</f>
        <v>⚠ Enter count date</v>
      </c>
      <c r="M40" s="63"/>
    </row>
    <row r="41" customFormat="false" ht="15" hidden="false" customHeight="false" outlineLevel="0" collapsed="false">
      <c r="A41" s="63" t="s">
        <v>134</v>
      </c>
      <c r="B41" s="63" t="s">
        <v>118</v>
      </c>
      <c r="C41" s="16" t="str">
        <f aca="false">IF($B41="","",IFERROR(INDEX(Mat_Short,MATCH($B41,Mat_Code,0)),"⚠ Unknown code"))</f>
        <v>Cement</v>
      </c>
      <c r="D41" s="64" t="str">
        <f aca="false">IF($B41="","",IFERROR(INDEX(Mat_Unit,MATCH($B41,Mat_Code,0)),""))</f>
        <v>bags</v>
      </c>
      <c r="E41" s="65"/>
      <c r="F41" s="66"/>
      <c r="G41" s="66"/>
      <c r="H41" s="67" t="n">
        <f aca="false">IF(OR($A41="",$B41=""),"",SUMIFS(Del_Qty,Del_Site,$A41,Del_Mat,$B41,Del_Status,"Received",Del_Date,"&gt;="&amp;N($E41),Del_Date,"&lt;="&amp;AsOfDate))</f>
        <v>0</v>
      </c>
      <c r="I41" s="67" t="n">
        <f aca="false">IF(OR($A41="",$B41=""),"",IFERROR(SUMIFS(INDEX(Con_Use,0,MATCH($B41,Mat_Code,0)),Con_Site,$A41,Con_Date,"&gt;="&amp;N($E41),Con_Date,"&lt;="&amp;AsOfDate),0))</f>
        <v>0</v>
      </c>
      <c r="J41" s="68" t="str">
        <f aca="false">IF(OR($A41="",$B41="",$F41=""),"",$F41+$H41-$I41)</f>
        <v/>
      </c>
      <c r="K41" s="69" t="str">
        <f aca="false">IF(OR($J41="",N($G41)&lt;=0),"",MAX(0,$J41)/$G41)</f>
        <v/>
      </c>
      <c r="L41" s="16" t="str">
        <f aca="false">IF(OR($A41="",$B41=""),"",IF(COUNTIFS(CI_Site,$A41,CI_Mat,$B41)&gt;1,"⚠ Duplicate site + material row",IF(ISNA(MATCH($B41,Mat_Code,0)),"⚠ Unknown material code",IF($E41="","⚠ Enter count date",IF($F41="","⚠ Enter beginning balance",IF(N($G41)&lt;=0,"⚠ Enter storage capacity",IF($E41&gt;AsOfDate,"⚠ Count date is after the As-of Date",IF($J41&lt;0,"⚠ Negative stock – check logs or recount","OK"))))))))</f>
        <v>⚠ Enter count date</v>
      </c>
      <c r="M41" s="63"/>
    </row>
    <row r="42" customFormat="false" ht="15" hidden="false" customHeight="false" outlineLevel="0" collapsed="false">
      <c r="A42" s="63" t="s">
        <v>134</v>
      </c>
      <c r="B42" s="63" t="s">
        <v>124</v>
      </c>
      <c r="C42" s="16" t="str">
        <f aca="false">IF($B42="","",IFERROR(INDEX(Mat_Short,MATCH($B42,Mat_Code,0)),"⚠ Unknown code"))</f>
        <v>Sand</v>
      </c>
      <c r="D42" s="64" t="str">
        <f aca="false">IF($B42="","",IFERROR(INDEX(Mat_Unit,MATCH($B42,Mat_Code,0)),""))</f>
        <v>m3</v>
      </c>
      <c r="E42" s="65"/>
      <c r="F42" s="66"/>
      <c r="G42" s="66"/>
      <c r="H42" s="67" t="n">
        <f aca="false">IF(OR($A42="",$B42=""),"",SUMIFS(Del_Qty,Del_Site,$A42,Del_Mat,$B42,Del_Status,"Received",Del_Date,"&gt;="&amp;N($E42),Del_Date,"&lt;="&amp;AsOfDate))</f>
        <v>0</v>
      </c>
      <c r="I42" s="67" t="n">
        <f aca="false">IF(OR($A42="",$B42=""),"",IFERROR(SUMIFS(INDEX(Con_Use,0,MATCH($B42,Mat_Code,0)),Con_Site,$A42,Con_Date,"&gt;="&amp;N($E42),Con_Date,"&lt;="&amp;AsOfDate),0))</f>
        <v>0</v>
      </c>
      <c r="J42" s="68" t="str">
        <f aca="false">IF(OR($A42="",$B42="",$F42=""),"",$F42+$H42-$I42)</f>
        <v/>
      </c>
      <c r="K42" s="69" t="str">
        <f aca="false">IF(OR($J42="",N($G42)&lt;=0),"",MAX(0,$J42)/$G42)</f>
        <v/>
      </c>
      <c r="L42" s="16" t="str">
        <f aca="false">IF(OR($A42="",$B42=""),"",IF(COUNTIFS(CI_Site,$A42,CI_Mat,$B42)&gt;1,"⚠ Duplicate site + material row",IF(ISNA(MATCH($B42,Mat_Code,0)),"⚠ Unknown material code",IF($E42="","⚠ Enter count date",IF($F42="","⚠ Enter beginning balance",IF(N($G42)&lt;=0,"⚠ Enter storage capacity",IF($E42&gt;AsOfDate,"⚠ Count date is after the As-of Date",IF($J42&lt;0,"⚠ Negative stock – check logs or recount","OK"))))))))</f>
        <v>⚠ Enter count date</v>
      </c>
      <c r="M42" s="63"/>
    </row>
    <row r="43" customFormat="false" ht="15" hidden="false" customHeight="false" outlineLevel="0" collapsed="false">
      <c r="A43" s="63" t="s">
        <v>134</v>
      </c>
      <c r="B43" s="63" t="s">
        <v>125</v>
      </c>
      <c r="C43" s="16" t="str">
        <f aca="false">IF($B43="","",IFERROR(INDEX(Mat_Short,MATCH($B43,Mat_Code,0)),"⚠ Unknown code"))</f>
        <v>Gravel 3/4"</v>
      </c>
      <c r="D43" s="64" t="str">
        <f aca="false">IF($B43="","",IFERROR(INDEX(Mat_Unit,MATCH($B43,Mat_Code,0)),""))</f>
        <v>m3</v>
      </c>
      <c r="E43" s="65"/>
      <c r="F43" s="66"/>
      <c r="G43" s="66"/>
      <c r="H43" s="67" t="n">
        <f aca="false">IF(OR($A43="",$B43=""),"",SUMIFS(Del_Qty,Del_Site,$A43,Del_Mat,$B43,Del_Status,"Received",Del_Date,"&gt;="&amp;N($E43),Del_Date,"&lt;="&amp;AsOfDate))</f>
        <v>0</v>
      </c>
      <c r="I43" s="67" t="n">
        <f aca="false">IF(OR($A43="",$B43=""),"",IFERROR(SUMIFS(INDEX(Con_Use,0,MATCH($B43,Mat_Code,0)),Con_Site,$A43,Con_Date,"&gt;="&amp;N($E43),Con_Date,"&lt;="&amp;AsOfDate),0))</f>
        <v>0</v>
      </c>
      <c r="J43" s="68" t="str">
        <f aca="false">IF(OR($A43="",$B43="",$F43=""),"",$F43+$H43-$I43)</f>
        <v/>
      </c>
      <c r="K43" s="69" t="str">
        <f aca="false">IF(OR($J43="",N($G43)&lt;=0),"",MAX(0,$J43)/$G43)</f>
        <v/>
      </c>
      <c r="L43" s="16" t="str">
        <f aca="false">IF(OR($A43="",$B43=""),"",IF(COUNTIFS(CI_Site,$A43,CI_Mat,$B43)&gt;1,"⚠ Duplicate site + material row",IF(ISNA(MATCH($B43,Mat_Code,0)),"⚠ Unknown material code",IF($E43="","⚠ Enter count date",IF($F43="","⚠ Enter beginning balance",IF(N($G43)&lt;=0,"⚠ Enter storage capacity",IF($E43&gt;AsOfDate,"⚠ Count date is after the As-of Date",IF($J43&lt;0,"⚠ Negative stock – check logs or recount","OK"))))))))</f>
        <v>⚠ Enter count date</v>
      </c>
      <c r="M43" s="63"/>
    </row>
    <row r="44" customFormat="false" ht="15" hidden="false" customHeight="false" outlineLevel="0" collapsed="false">
      <c r="A44" s="63" t="s">
        <v>134</v>
      </c>
      <c r="B44" s="63" t="s">
        <v>126</v>
      </c>
      <c r="C44" s="16" t="str">
        <f aca="false">IF($B44="","",IFERROR(INDEX(Mat_Short,MATCH($B44,Mat_Code,0)),"⚠ Unknown code"))</f>
        <v>Gravel 3/8"</v>
      </c>
      <c r="D44" s="64" t="str">
        <f aca="false">IF($B44="","",IFERROR(INDEX(Mat_Unit,MATCH($B44,Mat_Code,0)),""))</f>
        <v>m3</v>
      </c>
      <c r="E44" s="65"/>
      <c r="F44" s="66"/>
      <c r="G44" s="66"/>
      <c r="H44" s="67" t="n">
        <f aca="false">IF(OR($A44="",$B44=""),"",SUMIFS(Del_Qty,Del_Site,$A44,Del_Mat,$B44,Del_Status,"Received",Del_Date,"&gt;="&amp;N($E44),Del_Date,"&lt;="&amp;AsOfDate))</f>
        <v>0</v>
      </c>
      <c r="I44" s="67" t="n">
        <f aca="false">IF(OR($A44="",$B44=""),"",IFERROR(SUMIFS(INDEX(Con_Use,0,MATCH($B44,Mat_Code,0)),Con_Site,$A44,Con_Date,"&gt;="&amp;N($E44),Con_Date,"&lt;="&amp;AsOfDate),0))</f>
        <v>0</v>
      </c>
      <c r="J44" s="68" t="str">
        <f aca="false">IF(OR($A44="",$B44="",$F44=""),"",$F44+$H44-$I44)</f>
        <v/>
      </c>
      <c r="K44" s="69" t="str">
        <f aca="false">IF(OR($J44="",N($G44)&lt;=0),"",MAX(0,$J44)/$G44)</f>
        <v/>
      </c>
      <c r="L44" s="16" t="str">
        <f aca="false">IF(OR($A44="",$B44=""),"",IF(COUNTIFS(CI_Site,$A44,CI_Mat,$B44)&gt;1,"⚠ Duplicate site + material row",IF(ISNA(MATCH($B44,Mat_Code,0)),"⚠ Unknown material code",IF($E44="","⚠ Enter count date",IF($F44="","⚠ Enter beginning balance",IF(N($G44)&lt;=0,"⚠ Enter storage capacity",IF($E44&gt;AsOfDate,"⚠ Count date is after the As-of Date",IF($J44&lt;0,"⚠ Negative stock – check logs or recount","OK"))))))))</f>
        <v>⚠ Enter count date</v>
      </c>
      <c r="M44" s="63"/>
    </row>
    <row r="45" customFormat="false" ht="15" hidden="false" customHeight="false" outlineLevel="0" collapsed="false">
      <c r="A45" s="63" t="s">
        <v>134</v>
      </c>
      <c r="B45" s="63" t="s">
        <v>127</v>
      </c>
      <c r="C45" s="16" t="str">
        <f aca="false">IF($B45="","",IFERROR(INDEX(Mat_Short,MATCH($B45,Mat_Code,0)),"⚠ Unknown code"))</f>
        <v>Admixture</v>
      </c>
      <c r="D45" s="64" t="str">
        <f aca="false">IF($B45="","",IFERROR(INDEX(Mat_Unit,MATCH($B45,Mat_Code,0)),""))</f>
        <v>L</v>
      </c>
      <c r="E45" s="65"/>
      <c r="F45" s="66"/>
      <c r="G45" s="66"/>
      <c r="H45" s="67" t="n">
        <f aca="false">IF(OR($A45="",$B45=""),"",SUMIFS(Del_Qty,Del_Site,$A45,Del_Mat,$B45,Del_Status,"Received",Del_Date,"&gt;="&amp;N($E45),Del_Date,"&lt;="&amp;AsOfDate))</f>
        <v>0</v>
      </c>
      <c r="I45" s="67" t="n">
        <f aca="false">IF(OR($A45="",$B45=""),"",IFERROR(SUMIFS(INDEX(Con_Use,0,MATCH($B45,Mat_Code,0)),Con_Site,$A45,Con_Date,"&gt;="&amp;N($E45),Con_Date,"&lt;="&amp;AsOfDate),0))</f>
        <v>0</v>
      </c>
      <c r="J45" s="68" t="str">
        <f aca="false">IF(OR($A45="",$B45="",$F45=""),"",$F45+$H45-$I45)</f>
        <v/>
      </c>
      <c r="K45" s="69" t="str">
        <f aca="false">IF(OR($J45="",N($G45)&lt;=0),"",MAX(0,$J45)/$G45)</f>
        <v/>
      </c>
      <c r="L45" s="16" t="str">
        <f aca="false">IF(OR($A45="",$B45=""),"",IF(COUNTIFS(CI_Site,$A45,CI_Mat,$B45)&gt;1,"⚠ Duplicate site + material row",IF(ISNA(MATCH($B45,Mat_Code,0)),"⚠ Unknown material code",IF($E45="","⚠ Enter count date",IF($F45="","⚠ Enter beginning balance",IF(N($G45)&lt;=0,"⚠ Enter storage capacity",IF($E45&gt;AsOfDate,"⚠ Count date is after the As-of Date",IF($J45&lt;0,"⚠ Negative stock – check logs or recount","OK"))))))))</f>
        <v>⚠ Enter count date</v>
      </c>
      <c r="M45" s="63"/>
    </row>
    <row r="46" customFormat="false" ht="15" hidden="false" customHeight="false" outlineLevel="0" collapsed="false">
      <c r="A46" s="63"/>
      <c r="B46" s="63"/>
      <c r="C46" s="16" t="str">
        <f aca="false">IF($B46="","",IFERROR(INDEX(Mat_Short,MATCH($B46,Mat_Code,0)),"⚠ Unknown code"))</f>
        <v/>
      </c>
      <c r="D46" s="64" t="str">
        <f aca="false">IF($B46="","",IFERROR(INDEX(Mat_Unit,MATCH($B46,Mat_Code,0)),""))</f>
        <v/>
      </c>
      <c r="E46" s="65"/>
      <c r="F46" s="66"/>
      <c r="G46" s="66"/>
      <c r="H46" s="67" t="str">
        <f aca="false">IF(OR($A46="",$B46=""),"",SUMIFS(Del_Qty,Del_Site,$A46,Del_Mat,$B46,Del_Status,"Received",Del_Date,"&gt;="&amp;N($E46),Del_Date,"&lt;="&amp;AsOfDate))</f>
        <v/>
      </c>
      <c r="I46" s="67" t="str">
        <f aca="false">IF(OR($A46="",$B46=""),"",IFERROR(SUMIFS(INDEX(Con_Use,0,MATCH($B46,Mat_Code,0)),Con_Site,$A46,Con_Date,"&gt;="&amp;N($E46),Con_Date,"&lt;="&amp;AsOfDate),0))</f>
        <v/>
      </c>
      <c r="J46" s="68" t="str">
        <f aca="false">IF(OR($A46="",$B46="",$F46=""),"",$F46+$H46-$I46)</f>
        <v/>
      </c>
      <c r="K46" s="69" t="str">
        <f aca="false">IF(OR($J46="",N($G46)&lt;=0),"",MAX(0,$J46)/$G46)</f>
        <v/>
      </c>
      <c r="L46" s="16" t="str">
        <f aca="false">IF(OR($A46="",$B46=""),"",IF(COUNTIFS(CI_Site,$A46,CI_Mat,$B46)&gt;1,"⚠ Duplicate site + material row",IF(ISNA(MATCH($B46,Mat_Code,0)),"⚠ Unknown material code",IF($E46="","⚠ Enter count date",IF($F46="","⚠ Enter beginning balance",IF(N($G46)&lt;=0,"⚠ Enter storage capacity",IF($E46&gt;AsOfDate,"⚠ Count date is after the As-of Date",IF($J46&lt;0,"⚠ Negative stock – check logs or recount","OK"))))))))</f>
        <v/>
      </c>
      <c r="M46" s="63"/>
    </row>
    <row r="47" customFormat="false" ht="15" hidden="false" customHeight="false" outlineLevel="0" collapsed="false">
      <c r="A47" s="63"/>
      <c r="B47" s="63"/>
      <c r="C47" s="16" t="str">
        <f aca="false">IF($B47="","",IFERROR(INDEX(Mat_Short,MATCH($B47,Mat_Code,0)),"⚠ Unknown code"))</f>
        <v/>
      </c>
      <c r="D47" s="64" t="str">
        <f aca="false">IF($B47="","",IFERROR(INDEX(Mat_Unit,MATCH($B47,Mat_Code,0)),""))</f>
        <v/>
      </c>
      <c r="E47" s="65"/>
      <c r="F47" s="66"/>
      <c r="G47" s="66"/>
      <c r="H47" s="67" t="str">
        <f aca="false">IF(OR($A47="",$B47=""),"",SUMIFS(Del_Qty,Del_Site,$A47,Del_Mat,$B47,Del_Status,"Received",Del_Date,"&gt;="&amp;N($E47),Del_Date,"&lt;="&amp;AsOfDate))</f>
        <v/>
      </c>
      <c r="I47" s="67" t="str">
        <f aca="false">IF(OR($A47="",$B47=""),"",IFERROR(SUMIFS(INDEX(Con_Use,0,MATCH($B47,Mat_Code,0)),Con_Site,$A47,Con_Date,"&gt;="&amp;N($E47),Con_Date,"&lt;="&amp;AsOfDate),0))</f>
        <v/>
      </c>
      <c r="J47" s="68" t="str">
        <f aca="false">IF(OR($A47="",$B47="",$F47=""),"",$F47+$H47-$I47)</f>
        <v/>
      </c>
      <c r="K47" s="69" t="str">
        <f aca="false">IF(OR($J47="",N($G47)&lt;=0),"",MAX(0,$J47)/$G47)</f>
        <v/>
      </c>
      <c r="L47" s="16" t="str">
        <f aca="false">IF(OR($A47="",$B47=""),"",IF(COUNTIFS(CI_Site,$A47,CI_Mat,$B47)&gt;1,"⚠ Duplicate site + material row",IF(ISNA(MATCH($B47,Mat_Code,0)),"⚠ Unknown material code",IF($E47="","⚠ Enter count date",IF($F47="","⚠ Enter beginning balance",IF(N($G47)&lt;=0,"⚠ Enter storage capacity",IF($E47&gt;AsOfDate,"⚠ Count date is after the As-of Date",IF($J47&lt;0,"⚠ Negative stock – check logs or recount","OK"))))))))</f>
        <v/>
      </c>
      <c r="M47" s="63"/>
    </row>
    <row r="48" customFormat="false" ht="15" hidden="false" customHeight="false" outlineLevel="0" collapsed="false">
      <c r="A48" s="63"/>
      <c r="B48" s="63"/>
      <c r="C48" s="16" t="str">
        <f aca="false">IF($B48="","",IFERROR(INDEX(Mat_Short,MATCH($B48,Mat_Code,0)),"⚠ Unknown code"))</f>
        <v/>
      </c>
      <c r="D48" s="64" t="str">
        <f aca="false">IF($B48="","",IFERROR(INDEX(Mat_Unit,MATCH($B48,Mat_Code,0)),""))</f>
        <v/>
      </c>
      <c r="E48" s="65"/>
      <c r="F48" s="66"/>
      <c r="G48" s="66"/>
      <c r="H48" s="67" t="str">
        <f aca="false">IF(OR($A48="",$B48=""),"",SUMIFS(Del_Qty,Del_Site,$A48,Del_Mat,$B48,Del_Status,"Received",Del_Date,"&gt;="&amp;N($E48),Del_Date,"&lt;="&amp;AsOfDate))</f>
        <v/>
      </c>
      <c r="I48" s="67" t="str">
        <f aca="false">IF(OR($A48="",$B48=""),"",IFERROR(SUMIFS(INDEX(Con_Use,0,MATCH($B48,Mat_Code,0)),Con_Site,$A48,Con_Date,"&gt;="&amp;N($E48),Con_Date,"&lt;="&amp;AsOfDate),0))</f>
        <v/>
      </c>
      <c r="J48" s="68" t="str">
        <f aca="false">IF(OR($A48="",$B48="",$F48=""),"",$F48+$H48-$I48)</f>
        <v/>
      </c>
      <c r="K48" s="69" t="str">
        <f aca="false">IF(OR($J48="",N($G48)&lt;=0),"",MAX(0,$J48)/$G48)</f>
        <v/>
      </c>
      <c r="L48" s="16" t="str">
        <f aca="false">IF(OR($A48="",$B48=""),"",IF(COUNTIFS(CI_Site,$A48,CI_Mat,$B48)&gt;1,"⚠ Duplicate site + material row",IF(ISNA(MATCH($B48,Mat_Code,0)),"⚠ Unknown material code",IF($E48="","⚠ Enter count date",IF($F48="","⚠ Enter beginning balance",IF(N($G48)&lt;=0,"⚠ Enter storage capacity",IF($E48&gt;AsOfDate,"⚠ Count date is after the As-of Date",IF($J48&lt;0,"⚠ Negative stock – check logs or recount","OK"))))))))</f>
        <v/>
      </c>
      <c r="M48" s="63"/>
    </row>
    <row r="49" customFormat="false" ht="15" hidden="false" customHeight="false" outlineLevel="0" collapsed="false">
      <c r="A49" s="63"/>
      <c r="B49" s="63"/>
      <c r="C49" s="16" t="str">
        <f aca="false">IF($B49="","",IFERROR(INDEX(Mat_Short,MATCH($B49,Mat_Code,0)),"⚠ Unknown code"))</f>
        <v/>
      </c>
      <c r="D49" s="64" t="str">
        <f aca="false">IF($B49="","",IFERROR(INDEX(Mat_Unit,MATCH($B49,Mat_Code,0)),""))</f>
        <v/>
      </c>
      <c r="E49" s="65"/>
      <c r="F49" s="66"/>
      <c r="G49" s="66"/>
      <c r="H49" s="67" t="str">
        <f aca="false">IF(OR($A49="",$B49=""),"",SUMIFS(Del_Qty,Del_Site,$A49,Del_Mat,$B49,Del_Status,"Received",Del_Date,"&gt;="&amp;N($E49),Del_Date,"&lt;="&amp;AsOfDate))</f>
        <v/>
      </c>
      <c r="I49" s="67" t="str">
        <f aca="false">IF(OR($A49="",$B49=""),"",IFERROR(SUMIFS(INDEX(Con_Use,0,MATCH($B49,Mat_Code,0)),Con_Site,$A49,Con_Date,"&gt;="&amp;N($E49),Con_Date,"&lt;="&amp;AsOfDate),0))</f>
        <v/>
      </c>
      <c r="J49" s="68" t="str">
        <f aca="false">IF(OR($A49="",$B49="",$F49=""),"",$F49+$H49-$I49)</f>
        <v/>
      </c>
      <c r="K49" s="69" t="str">
        <f aca="false">IF(OR($J49="",N($G49)&lt;=0),"",MAX(0,$J49)/$G49)</f>
        <v/>
      </c>
      <c r="L49" s="16" t="str">
        <f aca="false">IF(OR($A49="",$B49=""),"",IF(COUNTIFS(CI_Site,$A49,CI_Mat,$B49)&gt;1,"⚠ Duplicate site + material row",IF(ISNA(MATCH($B49,Mat_Code,0)),"⚠ Unknown material code",IF($E49="","⚠ Enter count date",IF($F49="","⚠ Enter beginning balance",IF(N($G49)&lt;=0,"⚠ Enter storage capacity",IF($E49&gt;AsOfDate,"⚠ Count date is after the As-of Date",IF($J49&lt;0,"⚠ Negative stock – check logs or recount","OK"))))))))</f>
        <v/>
      </c>
      <c r="M49" s="63"/>
    </row>
    <row r="50" customFormat="false" ht="15" hidden="false" customHeight="false" outlineLevel="0" collapsed="false">
      <c r="A50" s="63"/>
      <c r="B50" s="63"/>
      <c r="C50" s="16" t="str">
        <f aca="false">IF($B50="","",IFERROR(INDEX(Mat_Short,MATCH($B50,Mat_Code,0)),"⚠ Unknown code"))</f>
        <v/>
      </c>
      <c r="D50" s="64" t="str">
        <f aca="false">IF($B50="","",IFERROR(INDEX(Mat_Unit,MATCH($B50,Mat_Code,0)),""))</f>
        <v/>
      </c>
      <c r="E50" s="65"/>
      <c r="F50" s="66"/>
      <c r="G50" s="66"/>
      <c r="H50" s="67" t="str">
        <f aca="false">IF(OR($A50="",$B50=""),"",SUMIFS(Del_Qty,Del_Site,$A50,Del_Mat,$B50,Del_Status,"Received",Del_Date,"&gt;="&amp;N($E50),Del_Date,"&lt;="&amp;AsOfDate))</f>
        <v/>
      </c>
      <c r="I50" s="67" t="str">
        <f aca="false">IF(OR($A50="",$B50=""),"",IFERROR(SUMIFS(INDEX(Con_Use,0,MATCH($B50,Mat_Code,0)),Con_Site,$A50,Con_Date,"&gt;="&amp;N($E50),Con_Date,"&lt;="&amp;AsOfDate),0))</f>
        <v/>
      </c>
      <c r="J50" s="68" t="str">
        <f aca="false">IF(OR($A50="",$B50="",$F50=""),"",$F50+$H50-$I50)</f>
        <v/>
      </c>
      <c r="K50" s="69" t="str">
        <f aca="false">IF(OR($J50="",N($G50)&lt;=0),"",MAX(0,$J50)/$G50)</f>
        <v/>
      </c>
      <c r="L50" s="16" t="str">
        <f aca="false">IF(OR($A50="",$B50=""),"",IF(COUNTIFS(CI_Site,$A50,CI_Mat,$B50)&gt;1,"⚠ Duplicate site + material row",IF(ISNA(MATCH($B50,Mat_Code,0)),"⚠ Unknown material code",IF($E50="","⚠ Enter count date",IF($F50="","⚠ Enter beginning balance",IF(N($G50)&lt;=0,"⚠ Enter storage capacity",IF($E50&gt;AsOfDate,"⚠ Count date is after the As-of Date",IF($J50&lt;0,"⚠ Negative stock – check logs or recount","OK"))))))))</f>
        <v/>
      </c>
      <c r="M50" s="63"/>
    </row>
    <row r="51" customFormat="false" ht="15" hidden="false" customHeight="false" outlineLevel="0" collapsed="false">
      <c r="A51" s="63"/>
      <c r="B51" s="63"/>
      <c r="C51" s="16" t="str">
        <f aca="false">IF($B51="","",IFERROR(INDEX(Mat_Short,MATCH($B51,Mat_Code,0)),"⚠ Unknown code"))</f>
        <v/>
      </c>
      <c r="D51" s="64" t="str">
        <f aca="false">IF($B51="","",IFERROR(INDEX(Mat_Unit,MATCH($B51,Mat_Code,0)),""))</f>
        <v/>
      </c>
      <c r="E51" s="65"/>
      <c r="F51" s="66"/>
      <c r="G51" s="66"/>
      <c r="H51" s="67" t="str">
        <f aca="false">IF(OR($A51="",$B51=""),"",SUMIFS(Del_Qty,Del_Site,$A51,Del_Mat,$B51,Del_Status,"Received",Del_Date,"&gt;="&amp;N($E51),Del_Date,"&lt;="&amp;AsOfDate))</f>
        <v/>
      </c>
      <c r="I51" s="67" t="str">
        <f aca="false">IF(OR($A51="",$B51=""),"",IFERROR(SUMIFS(INDEX(Con_Use,0,MATCH($B51,Mat_Code,0)),Con_Site,$A51,Con_Date,"&gt;="&amp;N($E51),Con_Date,"&lt;="&amp;AsOfDate),0))</f>
        <v/>
      </c>
      <c r="J51" s="68" t="str">
        <f aca="false">IF(OR($A51="",$B51="",$F51=""),"",$F51+$H51-$I51)</f>
        <v/>
      </c>
      <c r="K51" s="69" t="str">
        <f aca="false">IF(OR($J51="",N($G51)&lt;=0),"",MAX(0,$J51)/$G51)</f>
        <v/>
      </c>
      <c r="L51" s="16" t="str">
        <f aca="false">IF(OR($A51="",$B51=""),"",IF(COUNTIFS(CI_Site,$A51,CI_Mat,$B51)&gt;1,"⚠ Duplicate site + material row",IF(ISNA(MATCH($B51,Mat_Code,0)),"⚠ Unknown material code",IF($E51="","⚠ Enter count date",IF($F51="","⚠ Enter beginning balance",IF(N($G51)&lt;=0,"⚠ Enter storage capacity",IF($E51&gt;AsOfDate,"⚠ Count date is after the As-of Date",IF($J51&lt;0,"⚠ Negative stock – check logs or recount","OK"))))))))</f>
        <v/>
      </c>
      <c r="M51" s="63"/>
    </row>
    <row r="52" customFormat="false" ht="15" hidden="false" customHeight="false" outlineLevel="0" collapsed="false">
      <c r="A52" s="63"/>
      <c r="B52" s="63"/>
      <c r="C52" s="16" t="str">
        <f aca="false">IF($B52="","",IFERROR(INDEX(Mat_Short,MATCH($B52,Mat_Code,0)),"⚠ Unknown code"))</f>
        <v/>
      </c>
      <c r="D52" s="64" t="str">
        <f aca="false">IF($B52="","",IFERROR(INDEX(Mat_Unit,MATCH($B52,Mat_Code,0)),""))</f>
        <v/>
      </c>
      <c r="E52" s="65"/>
      <c r="F52" s="66"/>
      <c r="G52" s="66"/>
      <c r="H52" s="67" t="str">
        <f aca="false">IF(OR($A52="",$B52=""),"",SUMIFS(Del_Qty,Del_Site,$A52,Del_Mat,$B52,Del_Status,"Received",Del_Date,"&gt;="&amp;N($E52),Del_Date,"&lt;="&amp;AsOfDate))</f>
        <v/>
      </c>
      <c r="I52" s="67" t="str">
        <f aca="false">IF(OR($A52="",$B52=""),"",IFERROR(SUMIFS(INDEX(Con_Use,0,MATCH($B52,Mat_Code,0)),Con_Site,$A52,Con_Date,"&gt;="&amp;N($E52),Con_Date,"&lt;="&amp;AsOfDate),0))</f>
        <v/>
      </c>
      <c r="J52" s="68" t="str">
        <f aca="false">IF(OR($A52="",$B52="",$F52=""),"",$F52+$H52-$I52)</f>
        <v/>
      </c>
      <c r="K52" s="69" t="str">
        <f aca="false">IF(OR($J52="",N($G52)&lt;=0),"",MAX(0,$J52)/$G52)</f>
        <v/>
      </c>
      <c r="L52" s="16" t="str">
        <f aca="false">IF(OR($A52="",$B52=""),"",IF(COUNTIFS(CI_Site,$A52,CI_Mat,$B52)&gt;1,"⚠ Duplicate site + material row",IF(ISNA(MATCH($B52,Mat_Code,0)),"⚠ Unknown material code",IF($E52="","⚠ Enter count date",IF($F52="","⚠ Enter beginning balance",IF(N($G52)&lt;=0,"⚠ Enter storage capacity",IF($E52&gt;AsOfDate,"⚠ Count date is after the As-of Date",IF($J52&lt;0,"⚠ Negative stock – check logs or recount","OK"))))))))</f>
        <v/>
      </c>
      <c r="M52" s="63"/>
    </row>
    <row r="53" customFormat="false" ht="15" hidden="false" customHeight="false" outlineLevel="0" collapsed="false">
      <c r="A53" s="63"/>
      <c r="B53" s="63"/>
      <c r="C53" s="16" t="str">
        <f aca="false">IF($B53="","",IFERROR(INDEX(Mat_Short,MATCH($B53,Mat_Code,0)),"⚠ Unknown code"))</f>
        <v/>
      </c>
      <c r="D53" s="64" t="str">
        <f aca="false">IF($B53="","",IFERROR(INDEX(Mat_Unit,MATCH($B53,Mat_Code,0)),""))</f>
        <v/>
      </c>
      <c r="E53" s="65"/>
      <c r="F53" s="66"/>
      <c r="G53" s="66"/>
      <c r="H53" s="67" t="str">
        <f aca="false">IF(OR($A53="",$B53=""),"",SUMIFS(Del_Qty,Del_Site,$A53,Del_Mat,$B53,Del_Status,"Received",Del_Date,"&gt;="&amp;N($E53),Del_Date,"&lt;="&amp;AsOfDate))</f>
        <v/>
      </c>
      <c r="I53" s="67" t="str">
        <f aca="false">IF(OR($A53="",$B53=""),"",IFERROR(SUMIFS(INDEX(Con_Use,0,MATCH($B53,Mat_Code,0)),Con_Site,$A53,Con_Date,"&gt;="&amp;N($E53),Con_Date,"&lt;="&amp;AsOfDate),0))</f>
        <v/>
      </c>
      <c r="J53" s="68" t="str">
        <f aca="false">IF(OR($A53="",$B53="",$F53=""),"",$F53+$H53-$I53)</f>
        <v/>
      </c>
      <c r="K53" s="69" t="str">
        <f aca="false">IF(OR($J53="",N($G53)&lt;=0),"",MAX(0,$J53)/$G53)</f>
        <v/>
      </c>
      <c r="L53" s="16" t="str">
        <f aca="false">IF(OR($A53="",$B53=""),"",IF(COUNTIFS(CI_Site,$A53,CI_Mat,$B53)&gt;1,"⚠ Duplicate site + material row",IF(ISNA(MATCH($B53,Mat_Code,0)),"⚠ Unknown material code",IF($E53="","⚠ Enter count date",IF($F53="","⚠ Enter beginning balance",IF(N($G53)&lt;=0,"⚠ Enter storage capacity",IF($E53&gt;AsOfDate,"⚠ Count date is after the As-of Date",IF($J53&lt;0,"⚠ Negative stock – check logs or recount","OK"))))))))</f>
        <v/>
      </c>
      <c r="M53" s="63"/>
    </row>
    <row r="54" customFormat="false" ht="15" hidden="false" customHeight="false" outlineLevel="0" collapsed="false">
      <c r="A54" s="63"/>
      <c r="B54" s="63"/>
      <c r="C54" s="16" t="str">
        <f aca="false">IF($B54="","",IFERROR(INDEX(Mat_Short,MATCH($B54,Mat_Code,0)),"⚠ Unknown code"))</f>
        <v/>
      </c>
      <c r="D54" s="64" t="str">
        <f aca="false">IF($B54="","",IFERROR(INDEX(Mat_Unit,MATCH($B54,Mat_Code,0)),""))</f>
        <v/>
      </c>
      <c r="E54" s="65"/>
      <c r="F54" s="66"/>
      <c r="G54" s="66"/>
      <c r="H54" s="67" t="str">
        <f aca="false">IF(OR($A54="",$B54=""),"",SUMIFS(Del_Qty,Del_Site,$A54,Del_Mat,$B54,Del_Status,"Received",Del_Date,"&gt;="&amp;N($E54),Del_Date,"&lt;="&amp;AsOfDate))</f>
        <v/>
      </c>
      <c r="I54" s="67" t="str">
        <f aca="false">IF(OR($A54="",$B54=""),"",IFERROR(SUMIFS(INDEX(Con_Use,0,MATCH($B54,Mat_Code,0)),Con_Site,$A54,Con_Date,"&gt;="&amp;N($E54),Con_Date,"&lt;="&amp;AsOfDate),0))</f>
        <v/>
      </c>
      <c r="J54" s="68" t="str">
        <f aca="false">IF(OR($A54="",$B54="",$F54=""),"",$F54+$H54-$I54)</f>
        <v/>
      </c>
      <c r="K54" s="69" t="str">
        <f aca="false">IF(OR($J54="",N($G54)&lt;=0),"",MAX(0,$J54)/$G54)</f>
        <v/>
      </c>
      <c r="L54" s="16" t="str">
        <f aca="false">IF(OR($A54="",$B54=""),"",IF(COUNTIFS(CI_Site,$A54,CI_Mat,$B54)&gt;1,"⚠ Duplicate site + material row",IF(ISNA(MATCH($B54,Mat_Code,0)),"⚠ Unknown material code",IF($E54="","⚠ Enter count date",IF($F54="","⚠ Enter beginning balance",IF(N($G54)&lt;=0,"⚠ Enter storage capacity",IF($E54&gt;AsOfDate,"⚠ Count date is after the As-of Date",IF($J54&lt;0,"⚠ Negative stock – check logs or recount","OK"))))))))</f>
        <v/>
      </c>
      <c r="M54" s="63"/>
    </row>
    <row r="55" customFormat="false" ht="15" hidden="false" customHeight="false" outlineLevel="0" collapsed="false">
      <c r="A55" s="63"/>
      <c r="B55" s="63"/>
      <c r="C55" s="16" t="str">
        <f aca="false">IF($B55="","",IFERROR(INDEX(Mat_Short,MATCH($B55,Mat_Code,0)),"⚠ Unknown code"))</f>
        <v/>
      </c>
      <c r="D55" s="64" t="str">
        <f aca="false">IF($B55="","",IFERROR(INDEX(Mat_Unit,MATCH($B55,Mat_Code,0)),""))</f>
        <v/>
      </c>
      <c r="E55" s="65"/>
      <c r="F55" s="66"/>
      <c r="G55" s="66"/>
      <c r="H55" s="67" t="str">
        <f aca="false">IF(OR($A55="",$B55=""),"",SUMIFS(Del_Qty,Del_Site,$A55,Del_Mat,$B55,Del_Status,"Received",Del_Date,"&gt;="&amp;N($E55),Del_Date,"&lt;="&amp;AsOfDate))</f>
        <v/>
      </c>
      <c r="I55" s="67" t="str">
        <f aca="false">IF(OR($A55="",$B55=""),"",IFERROR(SUMIFS(INDEX(Con_Use,0,MATCH($B55,Mat_Code,0)),Con_Site,$A55,Con_Date,"&gt;="&amp;N($E55),Con_Date,"&lt;="&amp;AsOfDate),0))</f>
        <v/>
      </c>
      <c r="J55" s="68" t="str">
        <f aca="false">IF(OR($A55="",$B55="",$F55=""),"",$F55+$H55-$I55)</f>
        <v/>
      </c>
      <c r="K55" s="69" t="str">
        <f aca="false">IF(OR($J55="",N($G55)&lt;=0),"",MAX(0,$J55)/$G55)</f>
        <v/>
      </c>
      <c r="L55" s="16" t="str">
        <f aca="false">IF(OR($A55="",$B55=""),"",IF(COUNTIFS(CI_Site,$A55,CI_Mat,$B55)&gt;1,"⚠ Duplicate site + material row",IF(ISNA(MATCH($B55,Mat_Code,0)),"⚠ Unknown material code",IF($E55="","⚠ Enter count date",IF($F55="","⚠ Enter beginning balance",IF(N($G55)&lt;=0,"⚠ Enter storage capacity",IF($E55&gt;AsOfDate,"⚠ Count date is after the As-of Date",IF($J55&lt;0,"⚠ Negative stock – check logs or recount","OK"))))))))</f>
        <v/>
      </c>
      <c r="M55" s="63"/>
    </row>
    <row r="56" customFormat="false" ht="15" hidden="false" customHeight="false" outlineLevel="0" collapsed="false">
      <c r="A56" s="63"/>
      <c r="B56" s="63"/>
      <c r="C56" s="16" t="str">
        <f aca="false">IF($B56="","",IFERROR(INDEX(Mat_Short,MATCH($B56,Mat_Code,0)),"⚠ Unknown code"))</f>
        <v/>
      </c>
      <c r="D56" s="64" t="str">
        <f aca="false">IF($B56="","",IFERROR(INDEX(Mat_Unit,MATCH($B56,Mat_Code,0)),""))</f>
        <v/>
      </c>
      <c r="E56" s="65"/>
      <c r="F56" s="66"/>
      <c r="G56" s="66"/>
      <c r="H56" s="67" t="str">
        <f aca="false">IF(OR($A56="",$B56=""),"",SUMIFS(Del_Qty,Del_Site,$A56,Del_Mat,$B56,Del_Status,"Received",Del_Date,"&gt;="&amp;N($E56),Del_Date,"&lt;="&amp;AsOfDate))</f>
        <v/>
      </c>
      <c r="I56" s="67" t="str">
        <f aca="false">IF(OR($A56="",$B56=""),"",IFERROR(SUMIFS(INDEX(Con_Use,0,MATCH($B56,Mat_Code,0)),Con_Site,$A56,Con_Date,"&gt;="&amp;N($E56),Con_Date,"&lt;="&amp;AsOfDate),0))</f>
        <v/>
      </c>
      <c r="J56" s="68" t="str">
        <f aca="false">IF(OR($A56="",$B56="",$F56=""),"",$F56+$H56-$I56)</f>
        <v/>
      </c>
      <c r="K56" s="69" t="str">
        <f aca="false">IF(OR($J56="",N($G56)&lt;=0),"",MAX(0,$J56)/$G56)</f>
        <v/>
      </c>
      <c r="L56" s="16" t="str">
        <f aca="false">IF(OR($A56="",$B56=""),"",IF(COUNTIFS(CI_Site,$A56,CI_Mat,$B56)&gt;1,"⚠ Duplicate site + material row",IF(ISNA(MATCH($B56,Mat_Code,0)),"⚠ Unknown material code",IF($E56="","⚠ Enter count date",IF($F56="","⚠ Enter beginning balance",IF(N($G56)&lt;=0,"⚠ Enter storage capacity",IF($E56&gt;AsOfDate,"⚠ Count date is after the As-of Date",IF($J56&lt;0,"⚠ Negative stock – check logs or recount","OK"))))))))</f>
        <v/>
      </c>
      <c r="M56" s="63"/>
    </row>
    <row r="57" customFormat="false" ht="15" hidden="false" customHeight="false" outlineLevel="0" collapsed="false">
      <c r="A57" s="63"/>
      <c r="B57" s="63"/>
      <c r="C57" s="16" t="str">
        <f aca="false">IF($B57="","",IFERROR(INDEX(Mat_Short,MATCH($B57,Mat_Code,0)),"⚠ Unknown code"))</f>
        <v/>
      </c>
      <c r="D57" s="64" t="str">
        <f aca="false">IF($B57="","",IFERROR(INDEX(Mat_Unit,MATCH($B57,Mat_Code,0)),""))</f>
        <v/>
      </c>
      <c r="E57" s="65"/>
      <c r="F57" s="66"/>
      <c r="G57" s="66"/>
      <c r="H57" s="67" t="str">
        <f aca="false">IF(OR($A57="",$B57=""),"",SUMIFS(Del_Qty,Del_Site,$A57,Del_Mat,$B57,Del_Status,"Received",Del_Date,"&gt;="&amp;N($E57),Del_Date,"&lt;="&amp;AsOfDate))</f>
        <v/>
      </c>
      <c r="I57" s="67" t="str">
        <f aca="false">IF(OR($A57="",$B57=""),"",IFERROR(SUMIFS(INDEX(Con_Use,0,MATCH($B57,Mat_Code,0)),Con_Site,$A57,Con_Date,"&gt;="&amp;N($E57),Con_Date,"&lt;="&amp;AsOfDate),0))</f>
        <v/>
      </c>
      <c r="J57" s="68" t="str">
        <f aca="false">IF(OR($A57="",$B57="",$F57=""),"",$F57+$H57-$I57)</f>
        <v/>
      </c>
      <c r="K57" s="69" t="str">
        <f aca="false">IF(OR($J57="",N($G57)&lt;=0),"",MAX(0,$J57)/$G57)</f>
        <v/>
      </c>
      <c r="L57" s="16" t="str">
        <f aca="false">IF(OR($A57="",$B57=""),"",IF(COUNTIFS(CI_Site,$A57,CI_Mat,$B57)&gt;1,"⚠ Duplicate site + material row",IF(ISNA(MATCH($B57,Mat_Code,0)),"⚠ Unknown material code",IF($E57="","⚠ Enter count date",IF($F57="","⚠ Enter beginning balance",IF(N($G57)&lt;=0,"⚠ Enter storage capacity",IF($E57&gt;AsOfDate,"⚠ Count date is after the As-of Date",IF($J57&lt;0,"⚠ Negative stock – check logs or recount","OK"))))))))</f>
        <v/>
      </c>
      <c r="M57" s="63"/>
    </row>
    <row r="58" customFormat="false" ht="15" hidden="false" customHeight="false" outlineLevel="0" collapsed="false">
      <c r="A58" s="63"/>
      <c r="B58" s="63"/>
      <c r="C58" s="16" t="str">
        <f aca="false">IF($B58="","",IFERROR(INDEX(Mat_Short,MATCH($B58,Mat_Code,0)),"⚠ Unknown code"))</f>
        <v/>
      </c>
      <c r="D58" s="64" t="str">
        <f aca="false">IF($B58="","",IFERROR(INDEX(Mat_Unit,MATCH($B58,Mat_Code,0)),""))</f>
        <v/>
      </c>
      <c r="E58" s="65"/>
      <c r="F58" s="66"/>
      <c r="G58" s="66"/>
      <c r="H58" s="67" t="str">
        <f aca="false">IF(OR($A58="",$B58=""),"",SUMIFS(Del_Qty,Del_Site,$A58,Del_Mat,$B58,Del_Status,"Received",Del_Date,"&gt;="&amp;N($E58),Del_Date,"&lt;="&amp;AsOfDate))</f>
        <v/>
      </c>
      <c r="I58" s="67" t="str">
        <f aca="false">IF(OR($A58="",$B58=""),"",IFERROR(SUMIFS(INDEX(Con_Use,0,MATCH($B58,Mat_Code,0)),Con_Site,$A58,Con_Date,"&gt;="&amp;N($E58),Con_Date,"&lt;="&amp;AsOfDate),0))</f>
        <v/>
      </c>
      <c r="J58" s="68" t="str">
        <f aca="false">IF(OR($A58="",$B58="",$F58=""),"",$F58+$H58-$I58)</f>
        <v/>
      </c>
      <c r="K58" s="69" t="str">
        <f aca="false">IF(OR($J58="",N($G58)&lt;=0),"",MAX(0,$J58)/$G58)</f>
        <v/>
      </c>
      <c r="L58" s="16" t="str">
        <f aca="false">IF(OR($A58="",$B58=""),"",IF(COUNTIFS(CI_Site,$A58,CI_Mat,$B58)&gt;1,"⚠ Duplicate site + material row",IF(ISNA(MATCH($B58,Mat_Code,0)),"⚠ Unknown material code",IF($E58="","⚠ Enter count date",IF($F58="","⚠ Enter beginning balance",IF(N($G58)&lt;=0,"⚠ Enter storage capacity",IF($E58&gt;AsOfDate,"⚠ Count date is after the As-of Date",IF($J58&lt;0,"⚠ Negative stock – check logs or recount","OK"))))))))</f>
        <v/>
      </c>
      <c r="M58" s="63"/>
    </row>
    <row r="59" customFormat="false" ht="15" hidden="false" customHeight="false" outlineLevel="0" collapsed="false">
      <c r="A59" s="63"/>
      <c r="B59" s="63"/>
      <c r="C59" s="16" t="str">
        <f aca="false">IF($B59="","",IFERROR(INDEX(Mat_Short,MATCH($B59,Mat_Code,0)),"⚠ Unknown code"))</f>
        <v/>
      </c>
      <c r="D59" s="64" t="str">
        <f aca="false">IF($B59="","",IFERROR(INDEX(Mat_Unit,MATCH($B59,Mat_Code,0)),""))</f>
        <v/>
      </c>
      <c r="E59" s="65"/>
      <c r="F59" s="66"/>
      <c r="G59" s="66"/>
      <c r="H59" s="67" t="str">
        <f aca="false">IF(OR($A59="",$B59=""),"",SUMIFS(Del_Qty,Del_Site,$A59,Del_Mat,$B59,Del_Status,"Received",Del_Date,"&gt;="&amp;N($E59),Del_Date,"&lt;="&amp;AsOfDate))</f>
        <v/>
      </c>
      <c r="I59" s="67" t="str">
        <f aca="false">IF(OR($A59="",$B59=""),"",IFERROR(SUMIFS(INDEX(Con_Use,0,MATCH($B59,Mat_Code,0)),Con_Site,$A59,Con_Date,"&gt;="&amp;N($E59),Con_Date,"&lt;="&amp;AsOfDate),0))</f>
        <v/>
      </c>
      <c r="J59" s="68" t="str">
        <f aca="false">IF(OR($A59="",$B59="",$F59=""),"",$F59+$H59-$I59)</f>
        <v/>
      </c>
      <c r="K59" s="69" t="str">
        <f aca="false">IF(OR($J59="",N($G59)&lt;=0),"",MAX(0,$J59)/$G59)</f>
        <v/>
      </c>
      <c r="L59" s="16" t="str">
        <f aca="false">IF(OR($A59="",$B59=""),"",IF(COUNTIFS(CI_Site,$A59,CI_Mat,$B59)&gt;1,"⚠ Duplicate site + material row",IF(ISNA(MATCH($B59,Mat_Code,0)),"⚠ Unknown material code",IF($E59="","⚠ Enter count date",IF($F59="","⚠ Enter beginning balance",IF(N($G59)&lt;=0,"⚠ Enter storage capacity",IF($E59&gt;AsOfDate,"⚠ Count date is after the As-of Date",IF($J59&lt;0,"⚠ Negative stock – check logs or recount","OK"))))))))</f>
        <v/>
      </c>
      <c r="M59" s="63"/>
    </row>
    <row r="60" customFormat="false" ht="15" hidden="false" customHeight="false" outlineLevel="0" collapsed="false">
      <c r="A60" s="63"/>
      <c r="B60" s="63"/>
      <c r="C60" s="16" t="str">
        <f aca="false">IF($B60="","",IFERROR(INDEX(Mat_Short,MATCH($B60,Mat_Code,0)),"⚠ Unknown code"))</f>
        <v/>
      </c>
      <c r="D60" s="64" t="str">
        <f aca="false">IF($B60="","",IFERROR(INDEX(Mat_Unit,MATCH($B60,Mat_Code,0)),""))</f>
        <v/>
      </c>
      <c r="E60" s="65"/>
      <c r="F60" s="66"/>
      <c r="G60" s="66"/>
      <c r="H60" s="67" t="str">
        <f aca="false">IF(OR($A60="",$B60=""),"",SUMIFS(Del_Qty,Del_Site,$A60,Del_Mat,$B60,Del_Status,"Received",Del_Date,"&gt;="&amp;N($E60),Del_Date,"&lt;="&amp;AsOfDate))</f>
        <v/>
      </c>
      <c r="I60" s="67" t="str">
        <f aca="false">IF(OR($A60="",$B60=""),"",IFERROR(SUMIFS(INDEX(Con_Use,0,MATCH($B60,Mat_Code,0)),Con_Site,$A60,Con_Date,"&gt;="&amp;N($E60),Con_Date,"&lt;="&amp;AsOfDate),0))</f>
        <v/>
      </c>
      <c r="J60" s="68" t="str">
        <f aca="false">IF(OR($A60="",$B60="",$F60=""),"",$F60+$H60-$I60)</f>
        <v/>
      </c>
      <c r="K60" s="69" t="str">
        <f aca="false">IF(OR($J60="",N($G60)&lt;=0),"",MAX(0,$J60)/$G60)</f>
        <v/>
      </c>
      <c r="L60" s="16" t="str">
        <f aca="false">IF(OR($A60="",$B60=""),"",IF(COUNTIFS(CI_Site,$A60,CI_Mat,$B60)&gt;1,"⚠ Duplicate site + material row",IF(ISNA(MATCH($B60,Mat_Code,0)),"⚠ Unknown material code",IF($E60="","⚠ Enter count date",IF($F60="","⚠ Enter beginning balance",IF(N($G60)&lt;=0,"⚠ Enter storage capacity",IF($E60&gt;AsOfDate,"⚠ Count date is after the As-of Date",IF($J60&lt;0,"⚠ Negative stock – check logs or recount","OK"))))))))</f>
        <v/>
      </c>
      <c r="M60" s="63"/>
    </row>
    <row r="61" customFormat="false" ht="15" hidden="false" customHeight="false" outlineLevel="0" collapsed="false">
      <c r="A61" s="63"/>
      <c r="B61" s="63"/>
      <c r="C61" s="16" t="str">
        <f aca="false">IF($B61="","",IFERROR(INDEX(Mat_Short,MATCH($B61,Mat_Code,0)),"⚠ Unknown code"))</f>
        <v/>
      </c>
      <c r="D61" s="64" t="str">
        <f aca="false">IF($B61="","",IFERROR(INDEX(Mat_Unit,MATCH($B61,Mat_Code,0)),""))</f>
        <v/>
      </c>
      <c r="E61" s="65"/>
      <c r="F61" s="66"/>
      <c r="G61" s="66"/>
      <c r="H61" s="67" t="str">
        <f aca="false">IF(OR($A61="",$B61=""),"",SUMIFS(Del_Qty,Del_Site,$A61,Del_Mat,$B61,Del_Status,"Received",Del_Date,"&gt;="&amp;N($E61),Del_Date,"&lt;="&amp;AsOfDate))</f>
        <v/>
      </c>
      <c r="I61" s="67" t="str">
        <f aca="false">IF(OR($A61="",$B61=""),"",IFERROR(SUMIFS(INDEX(Con_Use,0,MATCH($B61,Mat_Code,0)),Con_Site,$A61,Con_Date,"&gt;="&amp;N($E61),Con_Date,"&lt;="&amp;AsOfDate),0))</f>
        <v/>
      </c>
      <c r="J61" s="68" t="str">
        <f aca="false">IF(OR($A61="",$B61="",$F61=""),"",$F61+$H61-$I61)</f>
        <v/>
      </c>
      <c r="K61" s="69" t="str">
        <f aca="false">IF(OR($J61="",N($G61)&lt;=0),"",MAX(0,$J61)/$G61)</f>
        <v/>
      </c>
      <c r="L61" s="16" t="str">
        <f aca="false">IF(OR($A61="",$B61=""),"",IF(COUNTIFS(CI_Site,$A61,CI_Mat,$B61)&gt;1,"⚠ Duplicate site + material row",IF(ISNA(MATCH($B61,Mat_Code,0)),"⚠ Unknown material code",IF($E61="","⚠ Enter count date",IF($F61="","⚠ Enter beginning balance",IF(N($G61)&lt;=0,"⚠ Enter storage capacity",IF($E61&gt;AsOfDate,"⚠ Count date is after the As-of Date",IF($J61&lt;0,"⚠ Negative stock – check logs or recount","OK"))))))))</f>
        <v/>
      </c>
      <c r="M61" s="63"/>
    </row>
    <row r="62" customFormat="false" ht="15" hidden="false" customHeight="false" outlineLevel="0" collapsed="false">
      <c r="A62" s="63"/>
      <c r="B62" s="63"/>
      <c r="C62" s="16" t="str">
        <f aca="false">IF($B62="","",IFERROR(INDEX(Mat_Short,MATCH($B62,Mat_Code,0)),"⚠ Unknown code"))</f>
        <v/>
      </c>
      <c r="D62" s="64" t="str">
        <f aca="false">IF($B62="","",IFERROR(INDEX(Mat_Unit,MATCH($B62,Mat_Code,0)),""))</f>
        <v/>
      </c>
      <c r="E62" s="65"/>
      <c r="F62" s="66"/>
      <c r="G62" s="66"/>
      <c r="H62" s="67" t="str">
        <f aca="false">IF(OR($A62="",$B62=""),"",SUMIFS(Del_Qty,Del_Site,$A62,Del_Mat,$B62,Del_Status,"Received",Del_Date,"&gt;="&amp;N($E62),Del_Date,"&lt;="&amp;AsOfDate))</f>
        <v/>
      </c>
      <c r="I62" s="67" t="str">
        <f aca="false">IF(OR($A62="",$B62=""),"",IFERROR(SUMIFS(INDEX(Con_Use,0,MATCH($B62,Mat_Code,0)),Con_Site,$A62,Con_Date,"&gt;="&amp;N($E62),Con_Date,"&lt;="&amp;AsOfDate),0))</f>
        <v/>
      </c>
      <c r="J62" s="68" t="str">
        <f aca="false">IF(OR($A62="",$B62="",$F62=""),"",$F62+$H62-$I62)</f>
        <v/>
      </c>
      <c r="K62" s="69" t="str">
        <f aca="false">IF(OR($J62="",N($G62)&lt;=0),"",MAX(0,$J62)/$G62)</f>
        <v/>
      </c>
      <c r="L62" s="16" t="str">
        <f aca="false">IF(OR($A62="",$B62=""),"",IF(COUNTIFS(CI_Site,$A62,CI_Mat,$B62)&gt;1,"⚠ Duplicate site + material row",IF(ISNA(MATCH($B62,Mat_Code,0)),"⚠ Unknown material code",IF($E62="","⚠ Enter count date",IF($F62="","⚠ Enter beginning balance",IF(N($G62)&lt;=0,"⚠ Enter storage capacity",IF($E62&gt;AsOfDate,"⚠ Count date is after the As-of Date",IF($J62&lt;0,"⚠ Negative stock – check logs or recount","OK"))))))))</f>
        <v/>
      </c>
      <c r="M62" s="63"/>
    </row>
    <row r="63" customFormat="false" ht="15" hidden="false" customHeight="false" outlineLevel="0" collapsed="false">
      <c r="A63" s="63"/>
      <c r="B63" s="63"/>
      <c r="C63" s="16" t="str">
        <f aca="false">IF($B63="","",IFERROR(INDEX(Mat_Short,MATCH($B63,Mat_Code,0)),"⚠ Unknown code"))</f>
        <v/>
      </c>
      <c r="D63" s="64" t="str">
        <f aca="false">IF($B63="","",IFERROR(INDEX(Mat_Unit,MATCH($B63,Mat_Code,0)),""))</f>
        <v/>
      </c>
      <c r="E63" s="65"/>
      <c r="F63" s="66"/>
      <c r="G63" s="66"/>
      <c r="H63" s="67" t="str">
        <f aca="false">IF(OR($A63="",$B63=""),"",SUMIFS(Del_Qty,Del_Site,$A63,Del_Mat,$B63,Del_Status,"Received",Del_Date,"&gt;="&amp;N($E63),Del_Date,"&lt;="&amp;AsOfDate))</f>
        <v/>
      </c>
      <c r="I63" s="67" t="str">
        <f aca="false">IF(OR($A63="",$B63=""),"",IFERROR(SUMIFS(INDEX(Con_Use,0,MATCH($B63,Mat_Code,0)),Con_Site,$A63,Con_Date,"&gt;="&amp;N($E63),Con_Date,"&lt;="&amp;AsOfDate),0))</f>
        <v/>
      </c>
      <c r="J63" s="68" t="str">
        <f aca="false">IF(OR($A63="",$B63="",$F63=""),"",$F63+$H63-$I63)</f>
        <v/>
      </c>
      <c r="K63" s="69" t="str">
        <f aca="false">IF(OR($J63="",N($G63)&lt;=0),"",MAX(0,$J63)/$G63)</f>
        <v/>
      </c>
      <c r="L63" s="16" t="str">
        <f aca="false">IF(OR($A63="",$B63=""),"",IF(COUNTIFS(CI_Site,$A63,CI_Mat,$B63)&gt;1,"⚠ Duplicate site + material row",IF(ISNA(MATCH($B63,Mat_Code,0)),"⚠ Unknown material code",IF($E63="","⚠ Enter count date",IF($F63="","⚠ Enter beginning balance",IF(N($G63)&lt;=0,"⚠ Enter storage capacity",IF($E63&gt;AsOfDate,"⚠ Count date is after the As-of Date",IF($J63&lt;0,"⚠ Negative stock – check logs or recount","OK"))))))))</f>
        <v/>
      </c>
      <c r="M63" s="63"/>
    </row>
    <row r="64" customFormat="false" ht="15" hidden="false" customHeight="false" outlineLevel="0" collapsed="false">
      <c r="A64" s="63"/>
      <c r="B64" s="63"/>
      <c r="C64" s="16" t="str">
        <f aca="false">IF($B64="","",IFERROR(INDEX(Mat_Short,MATCH($B64,Mat_Code,0)),"⚠ Unknown code"))</f>
        <v/>
      </c>
      <c r="D64" s="64" t="str">
        <f aca="false">IF($B64="","",IFERROR(INDEX(Mat_Unit,MATCH($B64,Mat_Code,0)),""))</f>
        <v/>
      </c>
      <c r="E64" s="65"/>
      <c r="F64" s="66"/>
      <c r="G64" s="66"/>
      <c r="H64" s="67" t="str">
        <f aca="false">IF(OR($A64="",$B64=""),"",SUMIFS(Del_Qty,Del_Site,$A64,Del_Mat,$B64,Del_Status,"Received",Del_Date,"&gt;="&amp;N($E64),Del_Date,"&lt;="&amp;AsOfDate))</f>
        <v/>
      </c>
      <c r="I64" s="67" t="str">
        <f aca="false">IF(OR($A64="",$B64=""),"",IFERROR(SUMIFS(INDEX(Con_Use,0,MATCH($B64,Mat_Code,0)),Con_Site,$A64,Con_Date,"&gt;="&amp;N($E64),Con_Date,"&lt;="&amp;AsOfDate),0))</f>
        <v/>
      </c>
      <c r="J64" s="68" t="str">
        <f aca="false">IF(OR($A64="",$B64="",$F64=""),"",$F64+$H64-$I64)</f>
        <v/>
      </c>
      <c r="K64" s="69" t="str">
        <f aca="false">IF(OR($J64="",N($G64)&lt;=0),"",MAX(0,$J64)/$G64)</f>
        <v/>
      </c>
      <c r="L64" s="16" t="str">
        <f aca="false">IF(OR($A64="",$B64=""),"",IF(COUNTIFS(CI_Site,$A64,CI_Mat,$B64)&gt;1,"⚠ Duplicate site + material row",IF(ISNA(MATCH($B64,Mat_Code,0)),"⚠ Unknown material code",IF($E64="","⚠ Enter count date",IF($F64="","⚠ Enter beginning balance",IF(N($G64)&lt;=0,"⚠ Enter storage capacity",IF($E64&gt;AsOfDate,"⚠ Count date is after the As-of Date",IF($J64&lt;0,"⚠ Negative stock – check logs or recount","OK"))))))))</f>
        <v/>
      </c>
      <c r="M64" s="63"/>
    </row>
    <row r="65" customFormat="false" ht="15" hidden="false" customHeight="false" outlineLevel="0" collapsed="false">
      <c r="A65" s="63"/>
      <c r="B65" s="63"/>
      <c r="C65" s="16" t="str">
        <f aca="false">IF($B65="","",IFERROR(INDEX(Mat_Short,MATCH($B65,Mat_Code,0)),"⚠ Unknown code"))</f>
        <v/>
      </c>
      <c r="D65" s="64" t="str">
        <f aca="false">IF($B65="","",IFERROR(INDEX(Mat_Unit,MATCH($B65,Mat_Code,0)),""))</f>
        <v/>
      </c>
      <c r="E65" s="65"/>
      <c r="F65" s="66"/>
      <c r="G65" s="66"/>
      <c r="H65" s="67" t="str">
        <f aca="false">IF(OR($A65="",$B65=""),"",SUMIFS(Del_Qty,Del_Site,$A65,Del_Mat,$B65,Del_Status,"Received",Del_Date,"&gt;="&amp;N($E65),Del_Date,"&lt;="&amp;AsOfDate))</f>
        <v/>
      </c>
      <c r="I65" s="67" t="str">
        <f aca="false">IF(OR($A65="",$B65=""),"",IFERROR(SUMIFS(INDEX(Con_Use,0,MATCH($B65,Mat_Code,0)),Con_Site,$A65,Con_Date,"&gt;="&amp;N($E65),Con_Date,"&lt;="&amp;AsOfDate),0))</f>
        <v/>
      </c>
      <c r="J65" s="68" t="str">
        <f aca="false">IF(OR($A65="",$B65="",$F65=""),"",$F65+$H65-$I65)</f>
        <v/>
      </c>
      <c r="K65" s="69" t="str">
        <f aca="false">IF(OR($J65="",N($G65)&lt;=0),"",MAX(0,$J65)/$G65)</f>
        <v/>
      </c>
      <c r="L65" s="16" t="str">
        <f aca="false">IF(OR($A65="",$B65=""),"",IF(COUNTIFS(CI_Site,$A65,CI_Mat,$B65)&gt;1,"⚠ Duplicate site + material row",IF(ISNA(MATCH($B65,Mat_Code,0)),"⚠ Unknown material code",IF($E65="","⚠ Enter count date",IF($F65="","⚠ Enter beginning balance",IF(N($G65)&lt;=0,"⚠ Enter storage capacity",IF($E65&gt;AsOfDate,"⚠ Count date is after the As-of Date",IF($J65&lt;0,"⚠ Negative stock – check logs or recount","OK"))))))))</f>
        <v/>
      </c>
      <c r="M65" s="63"/>
    </row>
    <row r="66" customFormat="false" ht="15" hidden="false" customHeight="false" outlineLevel="0" collapsed="false">
      <c r="A66" s="63"/>
      <c r="B66" s="63"/>
      <c r="C66" s="16" t="str">
        <f aca="false">IF($B66="","",IFERROR(INDEX(Mat_Short,MATCH($B66,Mat_Code,0)),"⚠ Unknown code"))</f>
        <v/>
      </c>
      <c r="D66" s="64" t="str">
        <f aca="false">IF($B66="","",IFERROR(INDEX(Mat_Unit,MATCH($B66,Mat_Code,0)),""))</f>
        <v/>
      </c>
      <c r="E66" s="65"/>
      <c r="F66" s="66"/>
      <c r="G66" s="66"/>
      <c r="H66" s="67" t="str">
        <f aca="false">IF(OR($A66="",$B66=""),"",SUMIFS(Del_Qty,Del_Site,$A66,Del_Mat,$B66,Del_Status,"Received",Del_Date,"&gt;="&amp;N($E66),Del_Date,"&lt;="&amp;AsOfDate))</f>
        <v/>
      </c>
      <c r="I66" s="67" t="str">
        <f aca="false">IF(OR($A66="",$B66=""),"",IFERROR(SUMIFS(INDEX(Con_Use,0,MATCH($B66,Mat_Code,0)),Con_Site,$A66,Con_Date,"&gt;="&amp;N($E66),Con_Date,"&lt;="&amp;AsOfDate),0))</f>
        <v/>
      </c>
      <c r="J66" s="68" t="str">
        <f aca="false">IF(OR($A66="",$B66="",$F66=""),"",$F66+$H66-$I66)</f>
        <v/>
      </c>
      <c r="K66" s="69" t="str">
        <f aca="false">IF(OR($J66="",N($G66)&lt;=0),"",MAX(0,$J66)/$G66)</f>
        <v/>
      </c>
      <c r="L66" s="16" t="str">
        <f aca="false">IF(OR($A66="",$B66=""),"",IF(COUNTIFS(CI_Site,$A66,CI_Mat,$B66)&gt;1,"⚠ Duplicate site + material row",IF(ISNA(MATCH($B66,Mat_Code,0)),"⚠ Unknown material code",IF($E66="","⚠ Enter count date",IF($F66="","⚠ Enter beginning balance",IF(N($G66)&lt;=0,"⚠ Enter storage capacity",IF($E66&gt;AsOfDate,"⚠ Count date is after the As-of Date",IF($J66&lt;0,"⚠ Negative stock – check logs or recount","OK"))))))))</f>
        <v/>
      </c>
      <c r="M66" s="63"/>
    </row>
    <row r="67" customFormat="false" ht="15" hidden="false" customHeight="false" outlineLevel="0" collapsed="false">
      <c r="A67" s="63"/>
      <c r="B67" s="63"/>
      <c r="C67" s="16" t="str">
        <f aca="false">IF($B67="","",IFERROR(INDEX(Mat_Short,MATCH($B67,Mat_Code,0)),"⚠ Unknown code"))</f>
        <v/>
      </c>
      <c r="D67" s="64" t="str">
        <f aca="false">IF($B67="","",IFERROR(INDEX(Mat_Unit,MATCH($B67,Mat_Code,0)),""))</f>
        <v/>
      </c>
      <c r="E67" s="65"/>
      <c r="F67" s="66"/>
      <c r="G67" s="66"/>
      <c r="H67" s="67" t="str">
        <f aca="false">IF(OR($A67="",$B67=""),"",SUMIFS(Del_Qty,Del_Site,$A67,Del_Mat,$B67,Del_Status,"Received",Del_Date,"&gt;="&amp;N($E67),Del_Date,"&lt;="&amp;AsOfDate))</f>
        <v/>
      </c>
      <c r="I67" s="67" t="str">
        <f aca="false">IF(OR($A67="",$B67=""),"",IFERROR(SUMIFS(INDEX(Con_Use,0,MATCH($B67,Mat_Code,0)),Con_Site,$A67,Con_Date,"&gt;="&amp;N($E67),Con_Date,"&lt;="&amp;AsOfDate),0))</f>
        <v/>
      </c>
      <c r="J67" s="68" t="str">
        <f aca="false">IF(OR($A67="",$B67="",$F67=""),"",$F67+$H67-$I67)</f>
        <v/>
      </c>
      <c r="K67" s="69" t="str">
        <f aca="false">IF(OR($J67="",N($G67)&lt;=0),"",MAX(0,$J67)/$G67)</f>
        <v/>
      </c>
      <c r="L67" s="16" t="str">
        <f aca="false">IF(OR($A67="",$B67=""),"",IF(COUNTIFS(CI_Site,$A67,CI_Mat,$B67)&gt;1,"⚠ Duplicate site + material row",IF(ISNA(MATCH($B67,Mat_Code,0)),"⚠ Unknown material code",IF($E67="","⚠ Enter count date",IF($F67="","⚠ Enter beginning balance",IF(N($G67)&lt;=0,"⚠ Enter storage capacity",IF($E67&gt;AsOfDate,"⚠ Count date is after the As-of Date",IF($J67&lt;0,"⚠ Negative stock – check logs or recount","OK"))))))))</f>
        <v/>
      </c>
      <c r="M67" s="63"/>
    </row>
    <row r="68" customFormat="false" ht="15" hidden="false" customHeight="false" outlineLevel="0" collapsed="false">
      <c r="A68" s="63"/>
      <c r="B68" s="63"/>
      <c r="C68" s="16" t="str">
        <f aca="false">IF($B68="","",IFERROR(INDEX(Mat_Short,MATCH($B68,Mat_Code,0)),"⚠ Unknown code"))</f>
        <v/>
      </c>
      <c r="D68" s="64" t="str">
        <f aca="false">IF($B68="","",IFERROR(INDEX(Mat_Unit,MATCH($B68,Mat_Code,0)),""))</f>
        <v/>
      </c>
      <c r="E68" s="65"/>
      <c r="F68" s="66"/>
      <c r="G68" s="66"/>
      <c r="H68" s="67" t="str">
        <f aca="false">IF(OR($A68="",$B68=""),"",SUMIFS(Del_Qty,Del_Site,$A68,Del_Mat,$B68,Del_Status,"Received",Del_Date,"&gt;="&amp;N($E68),Del_Date,"&lt;="&amp;AsOfDate))</f>
        <v/>
      </c>
      <c r="I68" s="67" t="str">
        <f aca="false">IF(OR($A68="",$B68=""),"",IFERROR(SUMIFS(INDEX(Con_Use,0,MATCH($B68,Mat_Code,0)),Con_Site,$A68,Con_Date,"&gt;="&amp;N($E68),Con_Date,"&lt;="&amp;AsOfDate),0))</f>
        <v/>
      </c>
      <c r="J68" s="68" t="str">
        <f aca="false">IF(OR($A68="",$B68="",$F68=""),"",$F68+$H68-$I68)</f>
        <v/>
      </c>
      <c r="K68" s="69" t="str">
        <f aca="false">IF(OR($J68="",N($G68)&lt;=0),"",MAX(0,$J68)/$G68)</f>
        <v/>
      </c>
      <c r="L68" s="16" t="str">
        <f aca="false">IF(OR($A68="",$B68=""),"",IF(COUNTIFS(CI_Site,$A68,CI_Mat,$B68)&gt;1,"⚠ Duplicate site + material row",IF(ISNA(MATCH($B68,Mat_Code,0)),"⚠ Unknown material code",IF($E68="","⚠ Enter count date",IF($F68="","⚠ Enter beginning balance",IF(N($G68)&lt;=0,"⚠ Enter storage capacity",IF($E68&gt;AsOfDate,"⚠ Count date is after the As-of Date",IF($J68&lt;0,"⚠ Negative stock – check logs or recount","OK"))))))))</f>
        <v/>
      </c>
      <c r="M68" s="63"/>
    </row>
    <row r="69" customFormat="false" ht="15" hidden="false" customHeight="false" outlineLevel="0" collapsed="false">
      <c r="A69" s="63"/>
      <c r="B69" s="63"/>
      <c r="C69" s="16" t="str">
        <f aca="false">IF($B69="","",IFERROR(INDEX(Mat_Short,MATCH($B69,Mat_Code,0)),"⚠ Unknown code"))</f>
        <v/>
      </c>
      <c r="D69" s="64" t="str">
        <f aca="false">IF($B69="","",IFERROR(INDEX(Mat_Unit,MATCH($B69,Mat_Code,0)),""))</f>
        <v/>
      </c>
      <c r="E69" s="65"/>
      <c r="F69" s="66"/>
      <c r="G69" s="66"/>
      <c r="H69" s="67" t="str">
        <f aca="false">IF(OR($A69="",$B69=""),"",SUMIFS(Del_Qty,Del_Site,$A69,Del_Mat,$B69,Del_Status,"Received",Del_Date,"&gt;="&amp;N($E69),Del_Date,"&lt;="&amp;AsOfDate))</f>
        <v/>
      </c>
      <c r="I69" s="67" t="str">
        <f aca="false">IF(OR($A69="",$B69=""),"",IFERROR(SUMIFS(INDEX(Con_Use,0,MATCH($B69,Mat_Code,0)),Con_Site,$A69,Con_Date,"&gt;="&amp;N($E69),Con_Date,"&lt;="&amp;AsOfDate),0))</f>
        <v/>
      </c>
      <c r="J69" s="68" t="str">
        <f aca="false">IF(OR($A69="",$B69="",$F69=""),"",$F69+$H69-$I69)</f>
        <v/>
      </c>
      <c r="K69" s="69" t="str">
        <f aca="false">IF(OR($J69="",N($G69)&lt;=0),"",MAX(0,$J69)/$G69)</f>
        <v/>
      </c>
      <c r="L69" s="16" t="str">
        <f aca="false">IF(OR($A69="",$B69=""),"",IF(COUNTIFS(CI_Site,$A69,CI_Mat,$B69)&gt;1,"⚠ Duplicate site + material row",IF(ISNA(MATCH($B69,Mat_Code,0)),"⚠ Unknown material code",IF($E69="","⚠ Enter count date",IF($F69="","⚠ Enter beginning balance",IF(N($G69)&lt;=0,"⚠ Enter storage capacity",IF($E69&gt;AsOfDate,"⚠ Count date is after the As-of Date",IF($J69&lt;0,"⚠ Negative stock – check logs or recount","OK"))))))))</f>
        <v/>
      </c>
      <c r="M69" s="63"/>
    </row>
    <row r="70" customFormat="false" ht="15" hidden="false" customHeight="false" outlineLevel="0" collapsed="false">
      <c r="A70" s="63"/>
      <c r="B70" s="63"/>
      <c r="C70" s="16" t="str">
        <f aca="false">IF($B70="","",IFERROR(INDEX(Mat_Short,MATCH($B70,Mat_Code,0)),"⚠ Unknown code"))</f>
        <v/>
      </c>
      <c r="D70" s="64" t="str">
        <f aca="false">IF($B70="","",IFERROR(INDEX(Mat_Unit,MATCH($B70,Mat_Code,0)),""))</f>
        <v/>
      </c>
      <c r="E70" s="65"/>
      <c r="F70" s="66"/>
      <c r="G70" s="66"/>
      <c r="H70" s="67" t="str">
        <f aca="false">IF(OR($A70="",$B70=""),"",SUMIFS(Del_Qty,Del_Site,$A70,Del_Mat,$B70,Del_Status,"Received",Del_Date,"&gt;="&amp;N($E70),Del_Date,"&lt;="&amp;AsOfDate))</f>
        <v/>
      </c>
      <c r="I70" s="67" t="str">
        <f aca="false">IF(OR($A70="",$B70=""),"",IFERROR(SUMIFS(INDEX(Con_Use,0,MATCH($B70,Mat_Code,0)),Con_Site,$A70,Con_Date,"&gt;="&amp;N($E70),Con_Date,"&lt;="&amp;AsOfDate),0))</f>
        <v/>
      </c>
      <c r="J70" s="68" t="str">
        <f aca="false">IF(OR($A70="",$B70="",$F70=""),"",$F70+$H70-$I70)</f>
        <v/>
      </c>
      <c r="K70" s="69" t="str">
        <f aca="false">IF(OR($J70="",N($G70)&lt;=0),"",MAX(0,$J70)/$G70)</f>
        <v/>
      </c>
      <c r="L70" s="16" t="str">
        <f aca="false">IF(OR($A70="",$B70=""),"",IF(COUNTIFS(CI_Site,$A70,CI_Mat,$B70)&gt;1,"⚠ Duplicate site + material row",IF(ISNA(MATCH($B70,Mat_Code,0)),"⚠ Unknown material code",IF($E70="","⚠ Enter count date",IF($F70="","⚠ Enter beginning balance",IF(N($G70)&lt;=0,"⚠ Enter storage capacity",IF($E70&gt;AsOfDate,"⚠ Count date is after the As-of Date",IF($J70&lt;0,"⚠ Negative stock – check logs or recount","OK"))))))))</f>
        <v/>
      </c>
      <c r="M70" s="63"/>
    </row>
    <row r="71" customFormat="false" ht="15" hidden="false" customHeight="false" outlineLevel="0" collapsed="false">
      <c r="A71" s="63"/>
      <c r="B71" s="63"/>
      <c r="C71" s="16" t="str">
        <f aca="false">IF($B71="","",IFERROR(INDEX(Mat_Short,MATCH($B71,Mat_Code,0)),"⚠ Unknown code"))</f>
        <v/>
      </c>
      <c r="D71" s="64" t="str">
        <f aca="false">IF($B71="","",IFERROR(INDEX(Mat_Unit,MATCH($B71,Mat_Code,0)),""))</f>
        <v/>
      </c>
      <c r="E71" s="65"/>
      <c r="F71" s="66"/>
      <c r="G71" s="66"/>
      <c r="H71" s="67" t="str">
        <f aca="false">IF(OR($A71="",$B71=""),"",SUMIFS(Del_Qty,Del_Site,$A71,Del_Mat,$B71,Del_Status,"Received",Del_Date,"&gt;="&amp;N($E71),Del_Date,"&lt;="&amp;AsOfDate))</f>
        <v/>
      </c>
      <c r="I71" s="67" t="str">
        <f aca="false">IF(OR($A71="",$B71=""),"",IFERROR(SUMIFS(INDEX(Con_Use,0,MATCH($B71,Mat_Code,0)),Con_Site,$A71,Con_Date,"&gt;="&amp;N($E71),Con_Date,"&lt;="&amp;AsOfDate),0))</f>
        <v/>
      </c>
      <c r="J71" s="68" t="str">
        <f aca="false">IF(OR($A71="",$B71="",$F71=""),"",$F71+$H71-$I71)</f>
        <v/>
      </c>
      <c r="K71" s="69" t="str">
        <f aca="false">IF(OR($J71="",N($G71)&lt;=0),"",MAX(0,$J71)/$G71)</f>
        <v/>
      </c>
      <c r="L71" s="16" t="str">
        <f aca="false">IF(OR($A71="",$B71=""),"",IF(COUNTIFS(CI_Site,$A71,CI_Mat,$B71)&gt;1,"⚠ Duplicate site + material row",IF(ISNA(MATCH($B71,Mat_Code,0)),"⚠ Unknown material code",IF($E71="","⚠ Enter count date",IF($F71="","⚠ Enter beginning balance",IF(N($G71)&lt;=0,"⚠ Enter storage capacity",IF($E71&gt;AsOfDate,"⚠ Count date is after the As-of Date",IF($J71&lt;0,"⚠ Negative stock – check logs or recount","OK"))))))))</f>
        <v/>
      </c>
      <c r="M71" s="63"/>
    </row>
    <row r="72" customFormat="false" ht="15" hidden="false" customHeight="false" outlineLevel="0" collapsed="false">
      <c r="A72" s="63"/>
      <c r="B72" s="63"/>
      <c r="C72" s="16" t="str">
        <f aca="false">IF($B72="","",IFERROR(INDEX(Mat_Short,MATCH($B72,Mat_Code,0)),"⚠ Unknown code"))</f>
        <v/>
      </c>
      <c r="D72" s="64" t="str">
        <f aca="false">IF($B72="","",IFERROR(INDEX(Mat_Unit,MATCH($B72,Mat_Code,0)),""))</f>
        <v/>
      </c>
      <c r="E72" s="65"/>
      <c r="F72" s="66"/>
      <c r="G72" s="66"/>
      <c r="H72" s="67" t="str">
        <f aca="false">IF(OR($A72="",$B72=""),"",SUMIFS(Del_Qty,Del_Site,$A72,Del_Mat,$B72,Del_Status,"Received",Del_Date,"&gt;="&amp;N($E72),Del_Date,"&lt;="&amp;AsOfDate))</f>
        <v/>
      </c>
      <c r="I72" s="67" t="str">
        <f aca="false">IF(OR($A72="",$B72=""),"",IFERROR(SUMIFS(INDEX(Con_Use,0,MATCH($B72,Mat_Code,0)),Con_Site,$A72,Con_Date,"&gt;="&amp;N($E72),Con_Date,"&lt;="&amp;AsOfDate),0))</f>
        <v/>
      </c>
      <c r="J72" s="68" t="str">
        <f aca="false">IF(OR($A72="",$B72="",$F72=""),"",$F72+$H72-$I72)</f>
        <v/>
      </c>
      <c r="K72" s="69" t="str">
        <f aca="false">IF(OR($J72="",N($G72)&lt;=0),"",MAX(0,$J72)/$G72)</f>
        <v/>
      </c>
      <c r="L72" s="16" t="str">
        <f aca="false">IF(OR($A72="",$B72=""),"",IF(COUNTIFS(CI_Site,$A72,CI_Mat,$B72)&gt;1,"⚠ Duplicate site + material row",IF(ISNA(MATCH($B72,Mat_Code,0)),"⚠ Unknown material code",IF($E72="","⚠ Enter count date",IF($F72="","⚠ Enter beginning balance",IF(N($G72)&lt;=0,"⚠ Enter storage capacity",IF($E72&gt;AsOfDate,"⚠ Count date is after the As-of Date",IF($J72&lt;0,"⚠ Negative stock – check logs or recount","OK"))))))))</f>
        <v/>
      </c>
      <c r="M72" s="63"/>
    </row>
    <row r="73" customFormat="false" ht="15" hidden="false" customHeight="false" outlineLevel="0" collapsed="false">
      <c r="A73" s="63"/>
      <c r="B73" s="63"/>
      <c r="C73" s="16" t="str">
        <f aca="false">IF($B73="","",IFERROR(INDEX(Mat_Short,MATCH($B73,Mat_Code,0)),"⚠ Unknown code"))</f>
        <v/>
      </c>
      <c r="D73" s="64" t="str">
        <f aca="false">IF($B73="","",IFERROR(INDEX(Mat_Unit,MATCH($B73,Mat_Code,0)),""))</f>
        <v/>
      </c>
      <c r="E73" s="65"/>
      <c r="F73" s="66"/>
      <c r="G73" s="66"/>
      <c r="H73" s="67" t="str">
        <f aca="false">IF(OR($A73="",$B73=""),"",SUMIFS(Del_Qty,Del_Site,$A73,Del_Mat,$B73,Del_Status,"Received",Del_Date,"&gt;="&amp;N($E73),Del_Date,"&lt;="&amp;AsOfDate))</f>
        <v/>
      </c>
      <c r="I73" s="67" t="str">
        <f aca="false">IF(OR($A73="",$B73=""),"",IFERROR(SUMIFS(INDEX(Con_Use,0,MATCH($B73,Mat_Code,0)),Con_Site,$A73,Con_Date,"&gt;="&amp;N($E73),Con_Date,"&lt;="&amp;AsOfDate),0))</f>
        <v/>
      </c>
      <c r="J73" s="68" t="str">
        <f aca="false">IF(OR($A73="",$B73="",$F73=""),"",$F73+$H73-$I73)</f>
        <v/>
      </c>
      <c r="K73" s="69" t="str">
        <f aca="false">IF(OR($J73="",N($G73)&lt;=0),"",MAX(0,$J73)/$G73)</f>
        <v/>
      </c>
      <c r="L73" s="16" t="str">
        <f aca="false">IF(OR($A73="",$B73=""),"",IF(COUNTIFS(CI_Site,$A73,CI_Mat,$B73)&gt;1,"⚠ Duplicate site + material row",IF(ISNA(MATCH($B73,Mat_Code,0)),"⚠ Unknown material code",IF($E73="","⚠ Enter count date",IF($F73="","⚠ Enter beginning balance",IF(N($G73)&lt;=0,"⚠ Enter storage capacity",IF($E73&gt;AsOfDate,"⚠ Count date is after the As-of Date",IF($J73&lt;0,"⚠ Negative stock – check logs or recount","OK"))))))))</f>
        <v/>
      </c>
      <c r="M73" s="63"/>
    </row>
    <row r="74" customFormat="false" ht="15" hidden="false" customHeight="false" outlineLevel="0" collapsed="false">
      <c r="A74" s="63"/>
      <c r="B74" s="63"/>
      <c r="C74" s="16" t="str">
        <f aca="false">IF($B74="","",IFERROR(INDEX(Mat_Short,MATCH($B74,Mat_Code,0)),"⚠ Unknown code"))</f>
        <v/>
      </c>
      <c r="D74" s="64" t="str">
        <f aca="false">IF($B74="","",IFERROR(INDEX(Mat_Unit,MATCH($B74,Mat_Code,0)),""))</f>
        <v/>
      </c>
      <c r="E74" s="65"/>
      <c r="F74" s="66"/>
      <c r="G74" s="66"/>
      <c r="H74" s="67" t="str">
        <f aca="false">IF(OR($A74="",$B74=""),"",SUMIFS(Del_Qty,Del_Site,$A74,Del_Mat,$B74,Del_Status,"Received",Del_Date,"&gt;="&amp;N($E74),Del_Date,"&lt;="&amp;AsOfDate))</f>
        <v/>
      </c>
      <c r="I74" s="67" t="str">
        <f aca="false">IF(OR($A74="",$B74=""),"",IFERROR(SUMIFS(INDEX(Con_Use,0,MATCH($B74,Mat_Code,0)),Con_Site,$A74,Con_Date,"&gt;="&amp;N($E74),Con_Date,"&lt;="&amp;AsOfDate),0))</f>
        <v/>
      </c>
      <c r="J74" s="68" t="str">
        <f aca="false">IF(OR($A74="",$B74="",$F74=""),"",$F74+$H74-$I74)</f>
        <v/>
      </c>
      <c r="K74" s="69" t="str">
        <f aca="false">IF(OR($J74="",N($G74)&lt;=0),"",MAX(0,$J74)/$G74)</f>
        <v/>
      </c>
      <c r="L74" s="16" t="str">
        <f aca="false">IF(OR($A74="",$B74=""),"",IF(COUNTIFS(CI_Site,$A74,CI_Mat,$B74)&gt;1,"⚠ Duplicate site + material row",IF(ISNA(MATCH($B74,Mat_Code,0)),"⚠ Unknown material code",IF($E74="","⚠ Enter count date",IF($F74="","⚠ Enter beginning balance",IF(N($G74)&lt;=0,"⚠ Enter storage capacity",IF($E74&gt;AsOfDate,"⚠ Count date is after the As-of Date",IF($J74&lt;0,"⚠ Negative stock – check logs or recount","OK"))))))))</f>
        <v/>
      </c>
      <c r="M74" s="63"/>
    </row>
    <row r="75" customFormat="false" ht="15" hidden="false" customHeight="false" outlineLevel="0" collapsed="false">
      <c r="A75" s="63"/>
      <c r="B75" s="63"/>
      <c r="C75" s="16" t="str">
        <f aca="false">IF($B75="","",IFERROR(INDEX(Mat_Short,MATCH($B75,Mat_Code,0)),"⚠ Unknown code"))</f>
        <v/>
      </c>
      <c r="D75" s="64" t="str">
        <f aca="false">IF($B75="","",IFERROR(INDEX(Mat_Unit,MATCH($B75,Mat_Code,0)),""))</f>
        <v/>
      </c>
      <c r="E75" s="65"/>
      <c r="F75" s="66"/>
      <c r="G75" s="66"/>
      <c r="H75" s="67" t="str">
        <f aca="false">IF(OR($A75="",$B75=""),"",SUMIFS(Del_Qty,Del_Site,$A75,Del_Mat,$B75,Del_Status,"Received",Del_Date,"&gt;="&amp;N($E75),Del_Date,"&lt;="&amp;AsOfDate))</f>
        <v/>
      </c>
      <c r="I75" s="67" t="str">
        <f aca="false">IF(OR($A75="",$B75=""),"",IFERROR(SUMIFS(INDEX(Con_Use,0,MATCH($B75,Mat_Code,0)),Con_Site,$A75,Con_Date,"&gt;="&amp;N($E75),Con_Date,"&lt;="&amp;AsOfDate),0))</f>
        <v/>
      </c>
      <c r="J75" s="68" t="str">
        <f aca="false">IF(OR($A75="",$B75="",$F75=""),"",$F75+$H75-$I75)</f>
        <v/>
      </c>
      <c r="K75" s="69" t="str">
        <f aca="false">IF(OR($J75="",N($G75)&lt;=0),"",MAX(0,$J75)/$G75)</f>
        <v/>
      </c>
      <c r="L75" s="16" t="str">
        <f aca="false">IF(OR($A75="",$B75=""),"",IF(COUNTIFS(CI_Site,$A75,CI_Mat,$B75)&gt;1,"⚠ Duplicate site + material row",IF(ISNA(MATCH($B75,Mat_Code,0)),"⚠ Unknown material code",IF($E75="","⚠ Enter count date",IF($F75="","⚠ Enter beginning balance",IF(N($G75)&lt;=0,"⚠ Enter storage capacity",IF($E75&gt;AsOfDate,"⚠ Count date is after the As-of Date",IF($J75&lt;0,"⚠ Negative stock – check logs or recount","OK"))))))))</f>
        <v/>
      </c>
      <c r="M75" s="63"/>
    </row>
    <row r="76" customFormat="false" ht="15" hidden="false" customHeight="false" outlineLevel="0" collapsed="false">
      <c r="A76" s="63"/>
      <c r="B76" s="63"/>
      <c r="C76" s="16" t="str">
        <f aca="false">IF($B76="","",IFERROR(INDEX(Mat_Short,MATCH($B76,Mat_Code,0)),"⚠ Unknown code"))</f>
        <v/>
      </c>
      <c r="D76" s="64" t="str">
        <f aca="false">IF($B76="","",IFERROR(INDEX(Mat_Unit,MATCH($B76,Mat_Code,0)),""))</f>
        <v/>
      </c>
      <c r="E76" s="65"/>
      <c r="F76" s="66"/>
      <c r="G76" s="66"/>
      <c r="H76" s="67" t="str">
        <f aca="false">IF(OR($A76="",$B76=""),"",SUMIFS(Del_Qty,Del_Site,$A76,Del_Mat,$B76,Del_Status,"Received",Del_Date,"&gt;="&amp;N($E76),Del_Date,"&lt;="&amp;AsOfDate))</f>
        <v/>
      </c>
      <c r="I76" s="67" t="str">
        <f aca="false">IF(OR($A76="",$B76=""),"",IFERROR(SUMIFS(INDEX(Con_Use,0,MATCH($B76,Mat_Code,0)),Con_Site,$A76,Con_Date,"&gt;="&amp;N($E76),Con_Date,"&lt;="&amp;AsOfDate),0))</f>
        <v/>
      </c>
      <c r="J76" s="68" t="str">
        <f aca="false">IF(OR($A76="",$B76="",$F76=""),"",$F76+$H76-$I76)</f>
        <v/>
      </c>
      <c r="K76" s="69" t="str">
        <f aca="false">IF(OR($J76="",N($G76)&lt;=0),"",MAX(0,$J76)/$G76)</f>
        <v/>
      </c>
      <c r="L76" s="16" t="str">
        <f aca="false">IF(OR($A76="",$B76=""),"",IF(COUNTIFS(CI_Site,$A76,CI_Mat,$B76)&gt;1,"⚠ Duplicate site + material row",IF(ISNA(MATCH($B76,Mat_Code,0)),"⚠ Unknown material code",IF($E76="","⚠ Enter count date",IF($F76="","⚠ Enter beginning balance",IF(N($G76)&lt;=0,"⚠ Enter storage capacity",IF($E76&gt;AsOfDate,"⚠ Count date is after the As-of Date",IF($J76&lt;0,"⚠ Negative stock – check logs or recount","OK"))))))))</f>
        <v/>
      </c>
      <c r="M76" s="63"/>
    </row>
    <row r="77" customFormat="false" ht="15" hidden="false" customHeight="false" outlineLevel="0" collapsed="false">
      <c r="A77" s="63"/>
      <c r="B77" s="63"/>
      <c r="C77" s="16" t="str">
        <f aca="false">IF($B77="","",IFERROR(INDEX(Mat_Short,MATCH($B77,Mat_Code,0)),"⚠ Unknown code"))</f>
        <v/>
      </c>
      <c r="D77" s="64" t="str">
        <f aca="false">IF($B77="","",IFERROR(INDEX(Mat_Unit,MATCH($B77,Mat_Code,0)),""))</f>
        <v/>
      </c>
      <c r="E77" s="65"/>
      <c r="F77" s="66"/>
      <c r="G77" s="66"/>
      <c r="H77" s="67" t="str">
        <f aca="false">IF(OR($A77="",$B77=""),"",SUMIFS(Del_Qty,Del_Site,$A77,Del_Mat,$B77,Del_Status,"Received",Del_Date,"&gt;="&amp;N($E77),Del_Date,"&lt;="&amp;AsOfDate))</f>
        <v/>
      </c>
      <c r="I77" s="67" t="str">
        <f aca="false">IF(OR($A77="",$B77=""),"",IFERROR(SUMIFS(INDEX(Con_Use,0,MATCH($B77,Mat_Code,0)),Con_Site,$A77,Con_Date,"&gt;="&amp;N($E77),Con_Date,"&lt;="&amp;AsOfDate),0))</f>
        <v/>
      </c>
      <c r="J77" s="68" t="str">
        <f aca="false">IF(OR($A77="",$B77="",$F77=""),"",$F77+$H77-$I77)</f>
        <v/>
      </c>
      <c r="K77" s="69" t="str">
        <f aca="false">IF(OR($J77="",N($G77)&lt;=0),"",MAX(0,$J77)/$G77)</f>
        <v/>
      </c>
      <c r="L77" s="16" t="str">
        <f aca="false">IF(OR($A77="",$B77=""),"",IF(COUNTIFS(CI_Site,$A77,CI_Mat,$B77)&gt;1,"⚠ Duplicate site + material row",IF(ISNA(MATCH($B77,Mat_Code,0)),"⚠ Unknown material code",IF($E77="","⚠ Enter count date",IF($F77="","⚠ Enter beginning balance",IF(N($G77)&lt;=0,"⚠ Enter storage capacity",IF($E77&gt;AsOfDate,"⚠ Count date is after the As-of Date",IF($J77&lt;0,"⚠ Negative stock – check logs or recount","OK"))))))))</f>
        <v/>
      </c>
      <c r="M77" s="63"/>
    </row>
    <row r="78" customFormat="false" ht="15" hidden="false" customHeight="false" outlineLevel="0" collapsed="false">
      <c r="A78" s="63"/>
      <c r="B78" s="63"/>
      <c r="C78" s="16" t="str">
        <f aca="false">IF($B78="","",IFERROR(INDEX(Mat_Short,MATCH($B78,Mat_Code,0)),"⚠ Unknown code"))</f>
        <v/>
      </c>
      <c r="D78" s="64" t="str">
        <f aca="false">IF($B78="","",IFERROR(INDEX(Mat_Unit,MATCH($B78,Mat_Code,0)),""))</f>
        <v/>
      </c>
      <c r="E78" s="65"/>
      <c r="F78" s="66"/>
      <c r="G78" s="66"/>
      <c r="H78" s="67" t="str">
        <f aca="false">IF(OR($A78="",$B78=""),"",SUMIFS(Del_Qty,Del_Site,$A78,Del_Mat,$B78,Del_Status,"Received",Del_Date,"&gt;="&amp;N($E78),Del_Date,"&lt;="&amp;AsOfDate))</f>
        <v/>
      </c>
      <c r="I78" s="67" t="str">
        <f aca="false">IF(OR($A78="",$B78=""),"",IFERROR(SUMIFS(INDEX(Con_Use,0,MATCH($B78,Mat_Code,0)),Con_Site,$A78,Con_Date,"&gt;="&amp;N($E78),Con_Date,"&lt;="&amp;AsOfDate),0))</f>
        <v/>
      </c>
      <c r="J78" s="68" t="str">
        <f aca="false">IF(OR($A78="",$B78="",$F78=""),"",$F78+$H78-$I78)</f>
        <v/>
      </c>
      <c r="K78" s="69" t="str">
        <f aca="false">IF(OR($J78="",N($G78)&lt;=0),"",MAX(0,$J78)/$G78)</f>
        <v/>
      </c>
      <c r="L78" s="16" t="str">
        <f aca="false">IF(OR($A78="",$B78=""),"",IF(COUNTIFS(CI_Site,$A78,CI_Mat,$B78)&gt;1,"⚠ Duplicate site + material row",IF(ISNA(MATCH($B78,Mat_Code,0)),"⚠ Unknown material code",IF($E78="","⚠ Enter count date",IF($F78="","⚠ Enter beginning balance",IF(N($G78)&lt;=0,"⚠ Enter storage capacity",IF($E78&gt;AsOfDate,"⚠ Count date is after the As-of Date",IF($J78&lt;0,"⚠ Negative stock – check logs or recount","OK"))))))))</f>
        <v/>
      </c>
      <c r="M78" s="63"/>
    </row>
    <row r="79" customFormat="false" ht="15" hidden="false" customHeight="false" outlineLevel="0" collapsed="false">
      <c r="A79" s="63"/>
      <c r="B79" s="63"/>
      <c r="C79" s="16" t="str">
        <f aca="false">IF($B79="","",IFERROR(INDEX(Mat_Short,MATCH($B79,Mat_Code,0)),"⚠ Unknown code"))</f>
        <v/>
      </c>
      <c r="D79" s="64" t="str">
        <f aca="false">IF($B79="","",IFERROR(INDEX(Mat_Unit,MATCH($B79,Mat_Code,0)),""))</f>
        <v/>
      </c>
      <c r="E79" s="65"/>
      <c r="F79" s="66"/>
      <c r="G79" s="66"/>
      <c r="H79" s="67" t="str">
        <f aca="false">IF(OR($A79="",$B79=""),"",SUMIFS(Del_Qty,Del_Site,$A79,Del_Mat,$B79,Del_Status,"Received",Del_Date,"&gt;="&amp;N($E79),Del_Date,"&lt;="&amp;AsOfDate))</f>
        <v/>
      </c>
      <c r="I79" s="67" t="str">
        <f aca="false">IF(OR($A79="",$B79=""),"",IFERROR(SUMIFS(INDEX(Con_Use,0,MATCH($B79,Mat_Code,0)),Con_Site,$A79,Con_Date,"&gt;="&amp;N($E79),Con_Date,"&lt;="&amp;AsOfDate),0))</f>
        <v/>
      </c>
      <c r="J79" s="68" t="str">
        <f aca="false">IF(OR($A79="",$B79="",$F79=""),"",$F79+$H79-$I79)</f>
        <v/>
      </c>
      <c r="K79" s="69" t="str">
        <f aca="false">IF(OR($J79="",N($G79)&lt;=0),"",MAX(0,$J79)/$G79)</f>
        <v/>
      </c>
      <c r="L79" s="16" t="str">
        <f aca="false">IF(OR($A79="",$B79=""),"",IF(COUNTIFS(CI_Site,$A79,CI_Mat,$B79)&gt;1,"⚠ Duplicate site + material row",IF(ISNA(MATCH($B79,Mat_Code,0)),"⚠ Unknown material code",IF($E79="","⚠ Enter count date",IF($F79="","⚠ Enter beginning balance",IF(N($G79)&lt;=0,"⚠ Enter storage capacity",IF($E79&gt;AsOfDate,"⚠ Count date is after the As-of Date",IF($J79&lt;0,"⚠ Negative stock – check logs or recount","OK"))))))))</f>
        <v/>
      </c>
      <c r="M79" s="63"/>
    </row>
    <row r="80" customFormat="false" ht="15" hidden="false" customHeight="false" outlineLevel="0" collapsed="false">
      <c r="A80" s="63"/>
      <c r="B80" s="63"/>
      <c r="C80" s="16" t="str">
        <f aca="false">IF($B80="","",IFERROR(INDEX(Mat_Short,MATCH($B80,Mat_Code,0)),"⚠ Unknown code"))</f>
        <v/>
      </c>
      <c r="D80" s="64" t="str">
        <f aca="false">IF($B80="","",IFERROR(INDEX(Mat_Unit,MATCH($B80,Mat_Code,0)),""))</f>
        <v/>
      </c>
      <c r="E80" s="65"/>
      <c r="F80" s="66"/>
      <c r="G80" s="66"/>
      <c r="H80" s="67" t="str">
        <f aca="false">IF(OR($A80="",$B80=""),"",SUMIFS(Del_Qty,Del_Site,$A80,Del_Mat,$B80,Del_Status,"Received",Del_Date,"&gt;="&amp;N($E80),Del_Date,"&lt;="&amp;AsOfDate))</f>
        <v/>
      </c>
      <c r="I80" s="67" t="str">
        <f aca="false">IF(OR($A80="",$B80=""),"",IFERROR(SUMIFS(INDEX(Con_Use,0,MATCH($B80,Mat_Code,0)),Con_Site,$A80,Con_Date,"&gt;="&amp;N($E80),Con_Date,"&lt;="&amp;AsOfDate),0))</f>
        <v/>
      </c>
      <c r="J80" s="68" t="str">
        <f aca="false">IF(OR($A80="",$B80="",$F80=""),"",$F80+$H80-$I80)</f>
        <v/>
      </c>
      <c r="K80" s="69" t="str">
        <f aca="false">IF(OR($J80="",N($G80)&lt;=0),"",MAX(0,$J80)/$G80)</f>
        <v/>
      </c>
      <c r="L80" s="16" t="str">
        <f aca="false">IF(OR($A80="",$B80=""),"",IF(COUNTIFS(CI_Site,$A80,CI_Mat,$B80)&gt;1,"⚠ Duplicate site + material row",IF(ISNA(MATCH($B80,Mat_Code,0)),"⚠ Unknown material code",IF($E80="","⚠ Enter count date",IF($F80="","⚠ Enter beginning balance",IF(N($G80)&lt;=0,"⚠ Enter storage capacity",IF($E80&gt;AsOfDate,"⚠ Count date is after the As-of Date",IF($J80&lt;0,"⚠ Negative stock – check logs or recount","OK"))))))))</f>
        <v/>
      </c>
      <c r="M80" s="63"/>
    </row>
    <row r="81" customFormat="false" ht="15" hidden="false" customHeight="false" outlineLevel="0" collapsed="false">
      <c r="A81" s="63"/>
      <c r="B81" s="63"/>
      <c r="C81" s="16" t="str">
        <f aca="false">IF($B81="","",IFERROR(INDEX(Mat_Short,MATCH($B81,Mat_Code,0)),"⚠ Unknown code"))</f>
        <v/>
      </c>
      <c r="D81" s="64" t="str">
        <f aca="false">IF($B81="","",IFERROR(INDEX(Mat_Unit,MATCH($B81,Mat_Code,0)),""))</f>
        <v/>
      </c>
      <c r="E81" s="65"/>
      <c r="F81" s="66"/>
      <c r="G81" s="66"/>
      <c r="H81" s="67" t="str">
        <f aca="false">IF(OR($A81="",$B81=""),"",SUMIFS(Del_Qty,Del_Site,$A81,Del_Mat,$B81,Del_Status,"Received",Del_Date,"&gt;="&amp;N($E81),Del_Date,"&lt;="&amp;AsOfDate))</f>
        <v/>
      </c>
      <c r="I81" s="67" t="str">
        <f aca="false">IF(OR($A81="",$B81=""),"",IFERROR(SUMIFS(INDEX(Con_Use,0,MATCH($B81,Mat_Code,0)),Con_Site,$A81,Con_Date,"&gt;="&amp;N($E81),Con_Date,"&lt;="&amp;AsOfDate),0))</f>
        <v/>
      </c>
      <c r="J81" s="68" t="str">
        <f aca="false">IF(OR($A81="",$B81="",$F81=""),"",$F81+$H81-$I81)</f>
        <v/>
      </c>
      <c r="K81" s="69" t="str">
        <f aca="false">IF(OR($J81="",N($G81)&lt;=0),"",MAX(0,$J81)/$G81)</f>
        <v/>
      </c>
      <c r="L81" s="16" t="str">
        <f aca="false">IF(OR($A81="",$B81=""),"",IF(COUNTIFS(CI_Site,$A81,CI_Mat,$B81)&gt;1,"⚠ Duplicate site + material row",IF(ISNA(MATCH($B81,Mat_Code,0)),"⚠ Unknown material code",IF($E81="","⚠ Enter count date",IF($F81="","⚠ Enter beginning balance",IF(N($G81)&lt;=0,"⚠ Enter storage capacity",IF($E81&gt;AsOfDate,"⚠ Count date is after the As-of Date",IF($J81&lt;0,"⚠ Negative stock – check logs or recount","OK"))))))))</f>
        <v/>
      </c>
      <c r="M81" s="63"/>
    </row>
    <row r="82" customFormat="false" ht="15" hidden="false" customHeight="false" outlineLevel="0" collapsed="false">
      <c r="A82" s="63"/>
      <c r="B82" s="63"/>
      <c r="C82" s="16" t="str">
        <f aca="false">IF($B82="","",IFERROR(INDEX(Mat_Short,MATCH($B82,Mat_Code,0)),"⚠ Unknown code"))</f>
        <v/>
      </c>
      <c r="D82" s="64" t="str">
        <f aca="false">IF($B82="","",IFERROR(INDEX(Mat_Unit,MATCH($B82,Mat_Code,0)),""))</f>
        <v/>
      </c>
      <c r="E82" s="65"/>
      <c r="F82" s="66"/>
      <c r="G82" s="66"/>
      <c r="H82" s="67" t="str">
        <f aca="false">IF(OR($A82="",$B82=""),"",SUMIFS(Del_Qty,Del_Site,$A82,Del_Mat,$B82,Del_Status,"Received",Del_Date,"&gt;="&amp;N($E82),Del_Date,"&lt;="&amp;AsOfDate))</f>
        <v/>
      </c>
      <c r="I82" s="67" t="str">
        <f aca="false">IF(OR($A82="",$B82=""),"",IFERROR(SUMIFS(INDEX(Con_Use,0,MATCH($B82,Mat_Code,0)),Con_Site,$A82,Con_Date,"&gt;="&amp;N($E82),Con_Date,"&lt;="&amp;AsOfDate),0))</f>
        <v/>
      </c>
      <c r="J82" s="68" t="str">
        <f aca="false">IF(OR($A82="",$B82="",$F82=""),"",$F82+$H82-$I82)</f>
        <v/>
      </c>
      <c r="K82" s="69" t="str">
        <f aca="false">IF(OR($J82="",N($G82)&lt;=0),"",MAX(0,$J82)/$G82)</f>
        <v/>
      </c>
      <c r="L82" s="16" t="str">
        <f aca="false">IF(OR($A82="",$B82=""),"",IF(COUNTIFS(CI_Site,$A82,CI_Mat,$B82)&gt;1,"⚠ Duplicate site + material row",IF(ISNA(MATCH($B82,Mat_Code,0)),"⚠ Unknown material code",IF($E82="","⚠ Enter count date",IF($F82="","⚠ Enter beginning balance",IF(N($G82)&lt;=0,"⚠ Enter storage capacity",IF($E82&gt;AsOfDate,"⚠ Count date is after the As-of Date",IF($J82&lt;0,"⚠ Negative stock – check logs or recount","OK"))))))))</f>
        <v/>
      </c>
      <c r="M82" s="63"/>
    </row>
    <row r="83" customFormat="false" ht="15" hidden="false" customHeight="false" outlineLevel="0" collapsed="false">
      <c r="A83" s="63"/>
      <c r="B83" s="63"/>
      <c r="C83" s="16" t="str">
        <f aca="false">IF($B83="","",IFERROR(INDEX(Mat_Short,MATCH($B83,Mat_Code,0)),"⚠ Unknown code"))</f>
        <v/>
      </c>
      <c r="D83" s="64" t="str">
        <f aca="false">IF($B83="","",IFERROR(INDEX(Mat_Unit,MATCH($B83,Mat_Code,0)),""))</f>
        <v/>
      </c>
      <c r="E83" s="65"/>
      <c r="F83" s="66"/>
      <c r="G83" s="66"/>
      <c r="H83" s="67" t="str">
        <f aca="false">IF(OR($A83="",$B83=""),"",SUMIFS(Del_Qty,Del_Site,$A83,Del_Mat,$B83,Del_Status,"Received",Del_Date,"&gt;="&amp;N($E83),Del_Date,"&lt;="&amp;AsOfDate))</f>
        <v/>
      </c>
      <c r="I83" s="67" t="str">
        <f aca="false">IF(OR($A83="",$B83=""),"",IFERROR(SUMIFS(INDEX(Con_Use,0,MATCH($B83,Mat_Code,0)),Con_Site,$A83,Con_Date,"&gt;="&amp;N($E83),Con_Date,"&lt;="&amp;AsOfDate),0))</f>
        <v/>
      </c>
      <c r="J83" s="68" t="str">
        <f aca="false">IF(OR($A83="",$B83="",$F83=""),"",$F83+$H83-$I83)</f>
        <v/>
      </c>
      <c r="K83" s="69" t="str">
        <f aca="false">IF(OR($J83="",N($G83)&lt;=0),"",MAX(0,$J83)/$G83)</f>
        <v/>
      </c>
      <c r="L83" s="16" t="str">
        <f aca="false">IF(OR($A83="",$B83=""),"",IF(COUNTIFS(CI_Site,$A83,CI_Mat,$B83)&gt;1,"⚠ Duplicate site + material row",IF(ISNA(MATCH($B83,Mat_Code,0)),"⚠ Unknown material code",IF($E83="","⚠ Enter count date",IF($F83="","⚠ Enter beginning balance",IF(N($G83)&lt;=0,"⚠ Enter storage capacity",IF($E83&gt;AsOfDate,"⚠ Count date is after the As-of Date",IF($J83&lt;0,"⚠ Negative stock – check logs or recount","OK"))))))))</f>
        <v/>
      </c>
      <c r="M83" s="63"/>
    </row>
    <row r="84" customFormat="false" ht="15" hidden="false" customHeight="false" outlineLevel="0" collapsed="false">
      <c r="A84" s="63"/>
      <c r="B84" s="63"/>
      <c r="C84" s="16" t="str">
        <f aca="false">IF($B84="","",IFERROR(INDEX(Mat_Short,MATCH($B84,Mat_Code,0)),"⚠ Unknown code"))</f>
        <v/>
      </c>
      <c r="D84" s="64" t="str">
        <f aca="false">IF($B84="","",IFERROR(INDEX(Mat_Unit,MATCH($B84,Mat_Code,0)),""))</f>
        <v/>
      </c>
      <c r="E84" s="65"/>
      <c r="F84" s="66"/>
      <c r="G84" s="66"/>
      <c r="H84" s="67" t="str">
        <f aca="false">IF(OR($A84="",$B84=""),"",SUMIFS(Del_Qty,Del_Site,$A84,Del_Mat,$B84,Del_Status,"Received",Del_Date,"&gt;="&amp;N($E84),Del_Date,"&lt;="&amp;AsOfDate))</f>
        <v/>
      </c>
      <c r="I84" s="67" t="str">
        <f aca="false">IF(OR($A84="",$B84=""),"",IFERROR(SUMIFS(INDEX(Con_Use,0,MATCH($B84,Mat_Code,0)),Con_Site,$A84,Con_Date,"&gt;="&amp;N($E84),Con_Date,"&lt;="&amp;AsOfDate),0))</f>
        <v/>
      </c>
      <c r="J84" s="68" t="str">
        <f aca="false">IF(OR($A84="",$B84="",$F84=""),"",$F84+$H84-$I84)</f>
        <v/>
      </c>
      <c r="K84" s="69" t="str">
        <f aca="false">IF(OR($J84="",N($G84)&lt;=0),"",MAX(0,$J84)/$G84)</f>
        <v/>
      </c>
      <c r="L84" s="16" t="str">
        <f aca="false">IF(OR($A84="",$B84=""),"",IF(COUNTIFS(CI_Site,$A84,CI_Mat,$B84)&gt;1,"⚠ Duplicate site + material row",IF(ISNA(MATCH($B84,Mat_Code,0)),"⚠ Unknown material code",IF($E84="","⚠ Enter count date",IF($F84="","⚠ Enter beginning balance",IF(N($G84)&lt;=0,"⚠ Enter storage capacity",IF($E84&gt;AsOfDate,"⚠ Count date is after the As-of Date",IF($J84&lt;0,"⚠ Negative stock – check logs or recount","OK"))))))))</f>
        <v/>
      </c>
      <c r="M84" s="63"/>
    </row>
    <row r="85" customFormat="false" ht="15" hidden="false" customHeight="false" outlineLevel="0" collapsed="false">
      <c r="A85" s="63"/>
      <c r="B85" s="63"/>
      <c r="C85" s="16" t="str">
        <f aca="false">IF($B85="","",IFERROR(INDEX(Mat_Short,MATCH($B85,Mat_Code,0)),"⚠ Unknown code"))</f>
        <v/>
      </c>
      <c r="D85" s="64" t="str">
        <f aca="false">IF($B85="","",IFERROR(INDEX(Mat_Unit,MATCH($B85,Mat_Code,0)),""))</f>
        <v/>
      </c>
      <c r="E85" s="65"/>
      <c r="F85" s="66"/>
      <c r="G85" s="66"/>
      <c r="H85" s="67" t="str">
        <f aca="false">IF(OR($A85="",$B85=""),"",SUMIFS(Del_Qty,Del_Site,$A85,Del_Mat,$B85,Del_Status,"Received",Del_Date,"&gt;="&amp;N($E85),Del_Date,"&lt;="&amp;AsOfDate))</f>
        <v/>
      </c>
      <c r="I85" s="67" t="str">
        <f aca="false">IF(OR($A85="",$B85=""),"",IFERROR(SUMIFS(INDEX(Con_Use,0,MATCH($B85,Mat_Code,0)),Con_Site,$A85,Con_Date,"&gt;="&amp;N($E85),Con_Date,"&lt;="&amp;AsOfDate),0))</f>
        <v/>
      </c>
      <c r="J85" s="68" t="str">
        <f aca="false">IF(OR($A85="",$B85="",$F85=""),"",$F85+$H85-$I85)</f>
        <v/>
      </c>
      <c r="K85" s="69" t="str">
        <f aca="false">IF(OR($J85="",N($G85)&lt;=0),"",MAX(0,$J85)/$G85)</f>
        <v/>
      </c>
      <c r="L85" s="16" t="str">
        <f aca="false">IF(OR($A85="",$B85=""),"",IF(COUNTIFS(CI_Site,$A85,CI_Mat,$B85)&gt;1,"⚠ Duplicate site + material row",IF(ISNA(MATCH($B85,Mat_Code,0)),"⚠ Unknown material code",IF($E85="","⚠ Enter count date",IF($F85="","⚠ Enter beginning balance",IF(N($G85)&lt;=0,"⚠ Enter storage capacity",IF($E85&gt;AsOfDate,"⚠ Count date is after the As-of Date",IF($J85&lt;0,"⚠ Negative stock – check logs or recount","OK"))))))))</f>
        <v/>
      </c>
      <c r="M85" s="63"/>
    </row>
    <row r="86" customFormat="false" ht="15" hidden="false" customHeight="false" outlineLevel="0" collapsed="false">
      <c r="A86" s="63"/>
      <c r="B86" s="63"/>
      <c r="C86" s="16" t="str">
        <f aca="false">IF($B86="","",IFERROR(INDEX(Mat_Short,MATCH($B86,Mat_Code,0)),"⚠ Unknown code"))</f>
        <v/>
      </c>
      <c r="D86" s="64" t="str">
        <f aca="false">IF($B86="","",IFERROR(INDEX(Mat_Unit,MATCH($B86,Mat_Code,0)),""))</f>
        <v/>
      </c>
      <c r="E86" s="65"/>
      <c r="F86" s="66"/>
      <c r="G86" s="66"/>
      <c r="H86" s="67" t="str">
        <f aca="false">IF(OR($A86="",$B86=""),"",SUMIFS(Del_Qty,Del_Site,$A86,Del_Mat,$B86,Del_Status,"Received",Del_Date,"&gt;="&amp;N($E86),Del_Date,"&lt;="&amp;AsOfDate))</f>
        <v/>
      </c>
      <c r="I86" s="67" t="str">
        <f aca="false">IF(OR($A86="",$B86=""),"",IFERROR(SUMIFS(INDEX(Con_Use,0,MATCH($B86,Mat_Code,0)),Con_Site,$A86,Con_Date,"&gt;="&amp;N($E86),Con_Date,"&lt;="&amp;AsOfDate),0))</f>
        <v/>
      </c>
      <c r="J86" s="68" t="str">
        <f aca="false">IF(OR($A86="",$B86="",$F86=""),"",$F86+$H86-$I86)</f>
        <v/>
      </c>
      <c r="K86" s="69" t="str">
        <f aca="false">IF(OR($J86="",N($G86)&lt;=0),"",MAX(0,$J86)/$G86)</f>
        <v/>
      </c>
      <c r="L86" s="16" t="str">
        <f aca="false">IF(OR($A86="",$B86=""),"",IF(COUNTIFS(CI_Site,$A86,CI_Mat,$B86)&gt;1,"⚠ Duplicate site + material row",IF(ISNA(MATCH($B86,Mat_Code,0)),"⚠ Unknown material code",IF($E86="","⚠ Enter count date",IF($F86="","⚠ Enter beginning balance",IF(N($G86)&lt;=0,"⚠ Enter storage capacity",IF($E86&gt;AsOfDate,"⚠ Count date is after the As-of Date",IF($J86&lt;0,"⚠ Negative stock – check logs or recount","OK"))))))))</f>
        <v/>
      </c>
      <c r="M86" s="63"/>
    </row>
    <row r="87" customFormat="false" ht="15" hidden="false" customHeight="false" outlineLevel="0" collapsed="false">
      <c r="A87" s="63"/>
      <c r="B87" s="63"/>
      <c r="C87" s="16" t="str">
        <f aca="false">IF($B87="","",IFERROR(INDEX(Mat_Short,MATCH($B87,Mat_Code,0)),"⚠ Unknown code"))</f>
        <v/>
      </c>
      <c r="D87" s="64" t="str">
        <f aca="false">IF($B87="","",IFERROR(INDEX(Mat_Unit,MATCH($B87,Mat_Code,0)),""))</f>
        <v/>
      </c>
      <c r="E87" s="65"/>
      <c r="F87" s="66"/>
      <c r="G87" s="66"/>
      <c r="H87" s="67" t="str">
        <f aca="false">IF(OR($A87="",$B87=""),"",SUMIFS(Del_Qty,Del_Site,$A87,Del_Mat,$B87,Del_Status,"Received",Del_Date,"&gt;="&amp;N($E87),Del_Date,"&lt;="&amp;AsOfDate))</f>
        <v/>
      </c>
      <c r="I87" s="67" t="str">
        <f aca="false">IF(OR($A87="",$B87=""),"",IFERROR(SUMIFS(INDEX(Con_Use,0,MATCH($B87,Mat_Code,0)),Con_Site,$A87,Con_Date,"&gt;="&amp;N($E87),Con_Date,"&lt;="&amp;AsOfDate),0))</f>
        <v/>
      </c>
      <c r="J87" s="68" t="str">
        <f aca="false">IF(OR($A87="",$B87="",$F87=""),"",$F87+$H87-$I87)</f>
        <v/>
      </c>
      <c r="K87" s="69" t="str">
        <f aca="false">IF(OR($J87="",N($G87)&lt;=0),"",MAX(0,$J87)/$G87)</f>
        <v/>
      </c>
      <c r="L87" s="16" t="str">
        <f aca="false">IF(OR($A87="",$B87=""),"",IF(COUNTIFS(CI_Site,$A87,CI_Mat,$B87)&gt;1,"⚠ Duplicate site + material row",IF(ISNA(MATCH($B87,Mat_Code,0)),"⚠ Unknown material code",IF($E87="","⚠ Enter count date",IF($F87="","⚠ Enter beginning balance",IF(N($G87)&lt;=0,"⚠ Enter storage capacity",IF($E87&gt;AsOfDate,"⚠ Count date is after the As-of Date",IF($J87&lt;0,"⚠ Negative stock – check logs or recount","OK"))))))))</f>
        <v/>
      </c>
      <c r="M87" s="63"/>
    </row>
    <row r="88" customFormat="false" ht="15" hidden="false" customHeight="false" outlineLevel="0" collapsed="false">
      <c r="A88" s="63"/>
      <c r="B88" s="63"/>
      <c r="C88" s="16" t="str">
        <f aca="false">IF($B88="","",IFERROR(INDEX(Mat_Short,MATCH($B88,Mat_Code,0)),"⚠ Unknown code"))</f>
        <v/>
      </c>
      <c r="D88" s="64" t="str">
        <f aca="false">IF($B88="","",IFERROR(INDEX(Mat_Unit,MATCH($B88,Mat_Code,0)),""))</f>
        <v/>
      </c>
      <c r="E88" s="65"/>
      <c r="F88" s="66"/>
      <c r="G88" s="66"/>
      <c r="H88" s="67" t="str">
        <f aca="false">IF(OR($A88="",$B88=""),"",SUMIFS(Del_Qty,Del_Site,$A88,Del_Mat,$B88,Del_Status,"Received",Del_Date,"&gt;="&amp;N($E88),Del_Date,"&lt;="&amp;AsOfDate))</f>
        <v/>
      </c>
      <c r="I88" s="67" t="str">
        <f aca="false">IF(OR($A88="",$B88=""),"",IFERROR(SUMIFS(INDEX(Con_Use,0,MATCH($B88,Mat_Code,0)),Con_Site,$A88,Con_Date,"&gt;="&amp;N($E88),Con_Date,"&lt;="&amp;AsOfDate),0))</f>
        <v/>
      </c>
      <c r="J88" s="68" t="str">
        <f aca="false">IF(OR($A88="",$B88="",$F88=""),"",$F88+$H88-$I88)</f>
        <v/>
      </c>
      <c r="K88" s="69" t="str">
        <f aca="false">IF(OR($J88="",N($G88)&lt;=0),"",MAX(0,$J88)/$G88)</f>
        <v/>
      </c>
      <c r="L88" s="16" t="str">
        <f aca="false">IF(OR($A88="",$B88=""),"",IF(COUNTIFS(CI_Site,$A88,CI_Mat,$B88)&gt;1,"⚠ Duplicate site + material row",IF(ISNA(MATCH($B88,Mat_Code,0)),"⚠ Unknown material code",IF($E88="","⚠ Enter count date",IF($F88="","⚠ Enter beginning balance",IF(N($G88)&lt;=0,"⚠ Enter storage capacity",IF($E88&gt;AsOfDate,"⚠ Count date is after the As-of Date",IF($J88&lt;0,"⚠ Negative stock – check logs or recount","OK"))))))))</f>
        <v/>
      </c>
      <c r="M88" s="63"/>
    </row>
    <row r="89" customFormat="false" ht="15" hidden="false" customHeight="false" outlineLevel="0" collapsed="false">
      <c r="A89" s="63"/>
      <c r="B89" s="63"/>
      <c r="C89" s="16" t="str">
        <f aca="false">IF($B89="","",IFERROR(INDEX(Mat_Short,MATCH($B89,Mat_Code,0)),"⚠ Unknown code"))</f>
        <v/>
      </c>
      <c r="D89" s="64" t="str">
        <f aca="false">IF($B89="","",IFERROR(INDEX(Mat_Unit,MATCH($B89,Mat_Code,0)),""))</f>
        <v/>
      </c>
      <c r="E89" s="65"/>
      <c r="F89" s="66"/>
      <c r="G89" s="66"/>
      <c r="H89" s="67" t="str">
        <f aca="false">IF(OR($A89="",$B89=""),"",SUMIFS(Del_Qty,Del_Site,$A89,Del_Mat,$B89,Del_Status,"Received",Del_Date,"&gt;="&amp;N($E89),Del_Date,"&lt;="&amp;AsOfDate))</f>
        <v/>
      </c>
      <c r="I89" s="67" t="str">
        <f aca="false">IF(OR($A89="",$B89=""),"",IFERROR(SUMIFS(INDEX(Con_Use,0,MATCH($B89,Mat_Code,0)),Con_Site,$A89,Con_Date,"&gt;="&amp;N($E89),Con_Date,"&lt;="&amp;AsOfDate),0))</f>
        <v/>
      </c>
      <c r="J89" s="68" t="str">
        <f aca="false">IF(OR($A89="",$B89="",$F89=""),"",$F89+$H89-$I89)</f>
        <v/>
      </c>
      <c r="K89" s="69" t="str">
        <f aca="false">IF(OR($J89="",N($G89)&lt;=0),"",MAX(0,$J89)/$G89)</f>
        <v/>
      </c>
      <c r="L89" s="16" t="str">
        <f aca="false">IF(OR($A89="",$B89=""),"",IF(COUNTIFS(CI_Site,$A89,CI_Mat,$B89)&gt;1,"⚠ Duplicate site + material row",IF(ISNA(MATCH($B89,Mat_Code,0)),"⚠ Unknown material code",IF($E89="","⚠ Enter count date",IF($F89="","⚠ Enter beginning balance",IF(N($G89)&lt;=0,"⚠ Enter storage capacity",IF($E89&gt;AsOfDate,"⚠ Count date is after the As-of Date",IF($J89&lt;0,"⚠ Negative stock – check logs or recount","OK"))))))))</f>
        <v/>
      </c>
      <c r="M89" s="63"/>
    </row>
    <row r="90" customFormat="false" ht="15" hidden="false" customHeight="false" outlineLevel="0" collapsed="false">
      <c r="A90" s="63"/>
      <c r="B90" s="63"/>
      <c r="C90" s="16" t="str">
        <f aca="false">IF($B90="","",IFERROR(INDEX(Mat_Short,MATCH($B90,Mat_Code,0)),"⚠ Unknown code"))</f>
        <v/>
      </c>
      <c r="D90" s="64" t="str">
        <f aca="false">IF($B90="","",IFERROR(INDEX(Mat_Unit,MATCH($B90,Mat_Code,0)),""))</f>
        <v/>
      </c>
      <c r="E90" s="65"/>
      <c r="F90" s="66"/>
      <c r="G90" s="66"/>
      <c r="H90" s="67" t="str">
        <f aca="false">IF(OR($A90="",$B90=""),"",SUMIFS(Del_Qty,Del_Site,$A90,Del_Mat,$B90,Del_Status,"Received",Del_Date,"&gt;="&amp;N($E90),Del_Date,"&lt;="&amp;AsOfDate))</f>
        <v/>
      </c>
      <c r="I90" s="67" t="str">
        <f aca="false">IF(OR($A90="",$B90=""),"",IFERROR(SUMIFS(INDEX(Con_Use,0,MATCH($B90,Mat_Code,0)),Con_Site,$A90,Con_Date,"&gt;="&amp;N($E90),Con_Date,"&lt;="&amp;AsOfDate),0))</f>
        <v/>
      </c>
      <c r="J90" s="68" t="str">
        <f aca="false">IF(OR($A90="",$B90="",$F90=""),"",$F90+$H90-$I90)</f>
        <v/>
      </c>
      <c r="K90" s="69" t="str">
        <f aca="false">IF(OR($J90="",N($G90)&lt;=0),"",MAX(0,$J90)/$G90)</f>
        <v/>
      </c>
      <c r="L90" s="16" t="str">
        <f aca="false">IF(OR($A90="",$B90=""),"",IF(COUNTIFS(CI_Site,$A90,CI_Mat,$B90)&gt;1,"⚠ Duplicate site + material row",IF(ISNA(MATCH($B90,Mat_Code,0)),"⚠ Unknown material code",IF($E90="","⚠ Enter count date",IF($F90="","⚠ Enter beginning balance",IF(N($G90)&lt;=0,"⚠ Enter storage capacity",IF($E90&gt;AsOfDate,"⚠ Count date is after the As-of Date",IF($J90&lt;0,"⚠ Negative stock – check logs or recount","OK"))))))))</f>
        <v/>
      </c>
      <c r="M90" s="63"/>
    </row>
    <row r="91" customFormat="false" ht="15" hidden="false" customHeight="false" outlineLevel="0" collapsed="false">
      <c r="A91" s="63"/>
      <c r="B91" s="63"/>
      <c r="C91" s="16" t="str">
        <f aca="false">IF($B91="","",IFERROR(INDEX(Mat_Short,MATCH($B91,Mat_Code,0)),"⚠ Unknown code"))</f>
        <v/>
      </c>
      <c r="D91" s="64" t="str">
        <f aca="false">IF($B91="","",IFERROR(INDEX(Mat_Unit,MATCH($B91,Mat_Code,0)),""))</f>
        <v/>
      </c>
      <c r="E91" s="65"/>
      <c r="F91" s="66"/>
      <c r="G91" s="66"/>
      <c r="H91" s="67" t="str">
        <f aca="false">IF(OR($A91="",$B91=""),"",SUMIFS(Del_Qty,Del_Site,$A91,Del_Mat,$B91,Del_Status,"Received",Del_Date,"&gt;="&amp;N($E91),Del_Date,"&lt;="&amp;AsOfDate))</f>
        <v/>
      </c>
      <c r="I91" s="67" t="str">
        <f aca="false">IF(OR($A91="",$B91=""),"",IFERROR(SUMIFS(INDEX(Con_Use,0,MATCH($B91,Mat_Code,0)),Con_Site,$A91,Con_Date,"&gt;="&amp;N($E91),Con_Date,"&lt;="&amp;AsOfDate),0))</f>
        <v/>
      </c>
      <c r="J91" s="68" t="str">
        <f aca="false">IF(OR($A91="",$B91="",$F91=""),"",$F91+$H91-$I91)</f>
        <v/>
      </c>
      <c r="K91" s="69" t="str">
        <f aca="false">IF(OR($J91="",N($G91)&lt;=0),"",MAX(0,$J91)/$G91)</f>
        <v/>
      </c>
      <c r="L91" s="16" t="str">
        <f aca="false">IF(OR($A91="",$B91=""),"",IF(COUNTIFS(CI_Site,$A91,CI_Mat,$B91)&gt;1,"⚠ Duplicate site + material row",IF(ISNA(MATCH($B91,Mat_Code,0)),"⚠ Unknown material code",IF($E91="","⚠ Enter count date",IF($F91="","⚠ Enter beginning balance",IF(N($G91)&lt;=0,"⚠ Enter storage capacity",IF($E91&gt;AsOfDate,"⚠ Count date is after the As-of Date",IF($J91&lt;0,"⚠ Negative stock – check logs or recount","OK"))))))))</f>
        <v/>
      </c>
      <c r="M91" s="63"/>
    </row>
    <row r="92" customFormat="false" ht="15" hidden="false" customHeight="false" outlineLevel="0" collapsed="false">
      <c r="A92" s="63"/>
      <c r="B92" s="63"/>
      <c r="C92" s="16" t="str">
        <f aca="false">IF($B92="","",IFERROR(INDEX(Mat_Short,MATCH($B92,Mat_Code,0)),"⚠ Unknown code"))</f>
        <v/>
      </c>
      <c r="D92" s="64" t="str">
        <f aca="false">IF($B92="","",IFERROR(INDEX(Mat_Unit,MATCH($B92,Mat_Code,0)),""))</f>
        <v/>
      </c>
      <c r="E92" s="65"/>
      <c r="F92" s="66"/>
      <c r="G92" s="66"/>
      <c r="H92" s="67" t="str">
        <f aca="false">IF(OR($A92="",$B92=""),"",SUMIFS(Del_Qty,Del_Site,$A92,Del_Mat,$B92,Del_Status,"Received",Del_Date,"&gt;="&amp;N($E92),Del_Date,"&lt;="&amp;AsOfDate))</f>
        <v/>
      </c>
      <c r="I92" s="67" t="str">
        <f aca="false">IF(OR($A92="",$B92=""),"",IFERROR(SUMIFS(INDEX(Con_Use,0,MATCH($B92,Mat_Code,0)),Con_Site,$A92,Con_Date,"&gt;="&amp;N($E92),Con_Date,"&lt;="&amp;AsOfDate),0))</f>
        <v/>
      </c>
      <c r="J92" s="68" t="str">
        <f aca="false">IF(OR($A92="",$B92="",$F92=""),"",$F92+$H92-$I92)</f>
        <v/>
      </c>
      <c r="K92" s="69" t="str">
        <f aca="false">IF(OR($J92="",N($G92)&lt;=0),"",MAX(0,$J92)/$G92)</f>
        <v/>
      </c>
      <c r="L92" s="16" t="str">
        <f aca="false">IF(OR($A92="",$B92=""),"",IF(COUNTIFS(CI_Site,$A92,CI_Mat,$B92)&gt;1,"⚠ Duplicate site + material row",IF(ISNA(MATCH($B92,Mat_Code,0)),"⚠ Unknown material code",IF($E92="","⚠ Enter count date",IF($F92="","⚠ Enter beginning balance",IF(N($G92)&lt;=0,"⚠ Enter storage capacity",IF($E92&gt;AsOfDate,"⚠ Count date is after the As-of Date",IF($J92&lt;0,"⚠ Negative stock – check logs or recount","OK"))))))))</f>
        <v/>
      </c>
      <c r="M92" s="63"/>
    </row>
    <row r="93" customFormat="false" ht="15" hidden="false" customHeight="false" outlineLevel="0" collapsed="false">
      <c r="A93" s="63"/>
      <c r="B93" s="63"/>
      <c r="C93" s="16" t="str">
        <f aca="false">IF($B93="","",IFERROR(INDEX(Mat_Short,MATCH($B93,Mat_Code,0)),"⚠ Unknown code"))</f>
        <v/>
      </c>
      <c r="D93" s="64" t="str">
        <f aca="false">IF($B93="","",IFERROR(INDEX(Mat_Unit,MATCH($B93,Mat_Code,0)),""))</f>
        <v/>
      </c>
      <c r="E93" s="65"/>
      <c r="F93" s="66"/>
      <c r="G93" s="66"/>
      <c r="H93" s="67" t="str">
        <f aca="false">IF(OR($A93="",$B93=""),"",SUMIFS(Del_Qty,Del_Site,$A93,Del_Mat,$B93,Del_Status,"Received",Del_Date,"&gt;="&amp;N($E93),Del_Date,"&lt;="&amp;AsOfDate))</f>
        <v/>
      </c>
      <c r="I93" s="67" t="str">
        <f aca="false">IF(OR($A93="",$B93=""),"",IFERROR(SUMIFS(INDEX(Con_Use,0,MATCH($B93,Mat_Code,0)),Con_Site,$A93,Con_Date,"&gt;="&amp;N($E93),Con_Date,"&lt;="&amp;AsOfDate),0))</f>
        <v/>
      </c>
      <c r="J93" s="68" t="str">
        <f aca="false">IF(OR($A93="",$B93="",$F93=""),"",$F93+$H93-$I93)</f>
        <v/>
      </c>
      <c r="K93" s="69" t="str">
        <f aca="false">IF(OR($J93="",N($G93)&lt;=0),"",MAX(0,$J93)/$G93)</f>
        <v/>
      </c>
      <c r="L93" s="16" t="str">
        <f aca="false">IF(OR($A93="",$B93=""),"",IF(COUNTIFS(CI_Site,$A93,CI_Mat,$B93)&gt;1,"⚠ Duplicate site + material row",IF(ISNA(MATCH($B93,Mat_Code,0)),"⚠ Unknown material code",IF($E93="","⚠ Enter count date",IF($F93="","⚠ Enter beginning balance",IF(N($G93)&lt;=0,"⚠ Enter storage capacity",IF($E93&gt;AsOfDate,"⚠ Count date is after the As-of Date",IF($J93&lt;0,"⚠ Negative stock – check logs or recount","OK"))))))))</f>
        <v/>
      </c>
      <c r="M93" s="63"/>
    </row>
    <row r="94" customFormat="false" ht="15" hidden="false" customHeight="false" outlineLevel="0" collapsed="false">
      <c r="A94" s="63"/>
      <c r="B94" s="63"/>
      <c r="C94" s="16" t="str">
        <f aca="false">IF($B94="","",IFERROR(INDEX(Mat_Short,MATCH($B94,Mat_Code,0)),"⚠ Unknown code"))</f>
        <v/>
      </c>
      <c r="D94" s="64" t="str">
        <f aca="false">IF($B94="","",IFERROR(INDEX(Mat_Unit,MATCH($B94,Mat_Code,0)),""))</f>
        <v/>
      </c>
      <c r="E94" s="65"/>
      <c r="F94" s="66"/>
      <c r="G94" s="66"/>
      <c r="H94" s="67" t="str">
        <f aca="false">IF(OR($A94="",$B94=""),"",SUMIFS(Del_Qty,Del_Site,$A94,Del_Mat,$B94,Del_Status,"Received",Del_Date,"&gt;="&amp;N($E94),Del_Date,"&lt;="&amp;AsOfDate))</f>
        <v/>
      </c>
      <c r="I94" s="67" t="str">
        <f aca="false">IF(OR($A94="",$B94=""),"",IFERROR(SUMIFS(INDEX(Con_Use,0,MATCH($B94,Mat_Code,0)),Con_Site,$A94,Con_Date,"&gt;="&amp;N($E94),Con_Date,"&lt;="&amp;AsOfDate),0))</f>
        <v/>
      </c>
      <c r="J94" s="68" t="str">
        <f aca="false">IF(OR($A94="",$B94="",$F94=""),"",$F94+$H94-$I94)</f>
        <v/>
      </c>
      <c r="K94" s="69" t="str">
        <f aca="false">IF(OR($J94="",N($G94)&lt;=0),"",MAX(0,$J94)/$G94)</f>
        <v/>
      </c>
      <c r="L94" s="16" t="str">
        <f aca="false">IF(OR($A94="",$B94=""),"",IF(COUNTIFS(CI_Site,$A94,CI_Mat,$B94)&gt;1,"⚠ Duplicate site + material row",IF(ISNA(MATCH($B94,Mat_Code,0)),"⚠ Unknown material code",IF($E94="","⚠ Enter count date",IF($F94="","⚠ Enter beginning balance",IF(N($G94)&lt;=0,"⚠ Enter storage capacity",IF($E94&gt;AsOfDate,"⚠ Count date is after the As-of Date",IF($J94&lt;0,"⚠ Negative stock – check logs or recount","OK"))))))))</f>
        <v/>
      </c>
      <c r="M94" s="63"/>
    </row>
    <row r="95" customFormat="false" ht="15" hidden="false" customHeight="false" outlineLevel="0" collapsed="false">
      <c r="A95" s="63"/>
      <c r="B95" s="63"/>
      <c r="C95" s="16" t="str">
        <f aca="false">IF($B95="","",IFERROR(INDEX(Mat_Short,MATCH($B95,Mat_Code,0)),"⚠ Unknown code"))</f>
        <v/>
      </c>
      <c r="D95" s="64" t="str">
        <f aca="false">IF($B95="","",IFERROR(INDEX(Mat_Unit,MATCH($B95,Mat_Code,0)),""))</f>
        <v/>
      </c>
      <c r="E95" s="65"/>
      <c r="F95" s="66"/>
      <c r="G95" s="66"/>
      <c r="H95" s="67" t="str">
        <f aca="false">IF(OR($A95="",$B95=""),"",SUMIFS(Del_Qty,Del_Site,$A95,Del_Mat,$B95,Del_Status,"Received",Del_Date,"&gt;="&amp;N($E95),Del_Date,"&lt;="&amp;AsOfDate))</f>
        <v/>
      </c>
      <c r="I95" s="67" t="str">
        <f aca="false">IF(OR($A95="",$B95=""),"",IFERROR(SUMIFS(INDEX(Con_Use,0,MATCH($B95,Mat_Code,0)),Con_Site,$A95,Con_Date,"&gt;="&amp;N($E95),Con_Date,"&lt;="&amp;AsOfDate),0))</f>
        <v/>
      </c>
      <c r="J95" s="68" t="str">
        <f aca="false">IF(OR($A95="",$B95="",$F95=""),"",$F95+$H95-$I95)</f>
        <v/>
      </c>
      <c r="K95" s="69" t="str">
        <f aca="false">IF(OR($J95="",N($G95)&lt;=0),"",MAX(0,$J95)/$G95)</f>
        <v/>
      </c>
      <c r="L95" s="16" t="str">
        <f aca="false">IF(OR($A95="",$B95=""),"",IF(COUNTIFS(CI_Site,$A95,CI_Mat,$B95)&gt;1,"⚠ Duplicate site + material row",IF(ISNA(MATCH($B95,Mat_Code,0)),"⚠ Unknown material code",IF($E95="","⚠ Enter count date",IF($F95="","⚠ Enter beginning balance",IF(N($G95)&lt;=0,"⚠ Enter storage capacity",IF($E95&gt;AsOfDate,"⚠ Count date is after the As-of Date",IF($J95&lt;0,"⚠ Negative stock – check logs or recount","OK"))))))))</f>
        <v/>
      </c>
      <c r="M95" s="63"/>
    </row>
    <row r="96" customFormat="false" ht="15" hidden="false" customHeight="false" outlineLevel="0" collapsed="false">
      <c r="A96" s="63"/>
      <c r="B96" s="63"/>
      <c r="C96" s="16" t="str">
        <f aca="false">IF($B96="","",IFERROR(INDEX(Mat_Short,MATCH($B96,Mat_Code,0)),"⚠ Unknown code"))</f>
        <v/>
      </c>
      <c r="D96" s="64" t="str">
        <f aca="false">IF($B96="","",IFERROR(INDEX(Mat_Unit,MATCH($B96,Mat_Code,0)),""))</f>
        <v/>
      </c>
      <c r="E96" s="65"/>
      <c r="F96" s="66"/>
      <c r="G96" s="66"/>
      <c r="H96" s="67" t="str">
        <f aca="false">IF(OR($A96="",$B96=""),"",SUMIFS(Del_Qty,Del_Site,$A96,Del_Mat,$B96,Del_Status,"Received",Del_Date,"&gt;="&amp;N($E96),Del_Date,"&lt;="&amp;AsOfDate))</f>
        <v/>
      </c>
      <c r="I96" s="67" t="str">
        <f aca="false">IF(OR($A96="",$B96=""),"",IFERROR(SUMIFS(INDEX(Con_Use,0,MATCH($B96,Mat_Code,0)),Con_Site,$A96,Con_Date,"&gt;="&amp;N($E96),Con_Date,"&lt;="&amp;AsOfDate),0))</f>
        <v/>
      </c>
      <c r="J96" s="68" t="str">
        <f aca="false">IF(OR($A96="",$B96="",$F96=""),"",$F96+$H96-$I96)</f>
        <v/>
      </c>
      <c r="K96" s="69" t="str">
        <f aca="false">IF(OR($J96="",N($G96)&lt;=0),"",MAX(0,$J96)/$G96)</f>
        <v/>
      </c>
      <c r="L96" s="16" t="str">
        <f aca="false">IF(OR($A96="",$B96=""),"",IF(COUNTIFS(CI_Site,$A96,CI_Mat,$B96)&gt;1,"⚠ Duplicate site + material row",IF(ISNA(MATCH($B96,Mat_Code,0)),"⚠ Unknown material code",IF($E96="","⚠ Enter count date",IF($F96="","⚠ Enter beginning balance",IF(N($G96)&lt;=0,"⚠ Enter storage capacity",IF($E96&gt;AsOfDate,"⚠ Count date is after the As-of Date",IF($J96&lt;0,"⚠ Negative stock – check logs or recount","OK"))))))))</f>
        <v/>
      </c>
      <c r="M96" s="63"/>
    </row>
    <row r="97" customFormat="false" ht="15" hidden="false" customHeight="false" outlineLevel="0" collapsed="false">
      <c r="A97" s="63"/>
      <c r="B97" s="63"/>
      <c r="C97" s="16" t="str">
        <f aca="false">IF($B97="","",IFERROR(INDEX(Mat_Short,MATCH($B97,Mat_Code,0)),"⚠ Unknown code"))</f>
        <v/>
      </c>
      <c r="D97" s="64" t="str">
        <f aca="false">IF($B97="","",IFERROR(INDEX(Mat_Unit,MATCH($B97,Mat_Code,0)),""))</f>
        <v/>
      </c>
      <c r="E97" s="65"/>
      <c r="F97" s="66"/>
      <c r="G97" s="66"/>
      <c r="H97" s="67" t="str">
        <f aca="false">IF(OR($A97="",$B97=""),"",SUMIFS(Del_Qty,Del_Site,$A97,Del_Mat,$B97,Del_Status,"Received",Del_Date,"&gt;="&amp;N($E97),Del_Date,"&lt;="&amp;AsOfDate))</f>
        <v/>
      </c>
      <c r="I97" s="67" t="str">
        <f aca="false">IF(OR($A97="",$B97=""),"",IFERROR(SUMIFS(INDEX(Con_Use,0,MATCH($B97,Mat_Code,0)),Con_Site,$A97,Con_Date,"&gt;="&amp;N($E97),Con_Date,"&lt;="&amp;AsOfDate),0))</f>
        <v/>
      </c>
      <c r="J97" s="68" t="str">
        <f aca="false">IF(OR($A97="",$B97="",$F97=""),"",$F97+$H97-$I97)</f>
        <v/>
      </c>
      <c r="K97" s="69" t="str">
        <f aca="false">IF(OR($J97="",N($G97)&lt;=0),"",MAX(0,$J97)/$G97)</f>
        <v/>
      </c>
      <c r="L97" s="16" t="str">
        <f aca="false">IF(OR($A97="",$B97=""),"",IF(COUNTIFS(CI_Site,$A97,CI_Mat,$B97)&gt;1,"⚠ Duplicate site + material row",IF(ISNA(MATCH($B97,Mat_Code,0)),"⚠ Unknown material code",IF($E97="","⚠ Enter count date",IF($F97="","⚠ Enter beginning balance",IF(N($G97)&lt;=0,"⚠ Enter storage capacity",IF($E97&gt;AsOfDate,"⚠ Count date is after the As-of Date",IF($J97&lt;0,"⚠ Negative stock – check logs or recount","OK"))))))))</f>
        <v/>
      </c>
      <c r="M97" s="63"/>
    </row>
    <row r="98" customFormat="false" ht="15" hidden="false" customHeight="false" outlineLevel="0" collapsed="false">
      <c r="A98" s="63"/>
      <c r="B98" s="63"/>
      <c r="C98" s="16" t="str">
        <f aca="false">IF($B98="","",IFERROR(INDEX(Mat_Short,MATCH($B98,Mat_Code,0)),"⚠ Unknown code"))</f>
        <v/>
      </c>
      <c r="D98" s="64" t="str">
        <f aca="false">IF($B98="","",IFERROR(INDEX(Mat_Unit,MATCH($B98,Mat_Code,0)),""))</f>
        <v/>
      </c>
      <c r="E98" s="65"/>
      <c r="F98" s="66"/>
      <c r="G98" s="66"/>
      <c r="H98" s="67" t="str">
        <f aca="false">IF(OR($A98="",$B98=""),"",SUMIFS(Del_Qty,Del_Site,$A98,Del_Mat,$B98,Del_Status,"Received",Del_Date,"&gt;="&amp;N($E98),Del_Date,"&lt;="&amp;AsOfDate))</f>
        <v/>
      </c>
      <c r="I98" s="67" t="str">
        <f aca="false">IF(OR($A98="",$B98=""),"",IFERROR(SUMIFS(INDEX(Con_Use,0,MATCH($B98,Mat_Code,0)),Con_Site,$A98,Con_Date,"&gt;="&amp;N($E98),Con_Date,"&lt;="&amp;AsOfDate),0))</f>
        <v/>
      </c>
      <c r="J98" s="68" t="str">
        <f aca="false">IF(OR($A98="",$B98="",$F98=""),"",$F98+$H98-$I98)</f>
        <v/>
      </c>
      <c r="K98" s="69" t="str">
        <f aca="false">IF(OR($J98="",N($G98)&lt;=0),"",MAX(0,$J98)/$G98)</f>
        <v/>
      </c>
      <c r="L98" s="16" t="str">
        <f aca="false">IF(OR($A98="",$B98=""),"",IF(COUNTIFS(CI_Site,$A98,CI_Mat,$B98)&gt;1,"⚠ Duplicate site + material row",IF(ISNA(MATCH($B98,Mat_Code,0)),"⚠ Unknown material code",IF($E98="","⚠ Enter count date",IF($F98="","⚠ Enter beginning balance",IF(N($G98)&lt;=0,"⚠ Enter storage capacity",IF($E98&gt;AsOfDate,"⚠ Count date is after the As-of Date",IF($J98&lt;0,"⚠ Negative stock – check logs or recount","OK"))))))))</f>
        <v/>
      </c>
      <c r="M98" s="63"/>
    </row>
    <row r="99" customFormat="false" ht="15" hidden="false" customHeight="false" outlineLevel="0" collapsed="false">
      <c r="A99" s="63"/>
      <c r="B99" s="63"/>
      <c r="C99" s="16" t="str">
        <f aca="false">IF($B99="","",IFERROR(INDEX(Mat_Short,MATCH($B99,Mat_Code,0)),"⚠ Unknown code"))</f>
        <v/>
      </c>
      <c r="D99" s="64" t="str">
        <f aca="false">IF($B99="","",IFERROR(INDEX(Mat_Unit,MATCH($B99,Mat_Code,0)),""))</f>
        <v/>
      </c>
      <c r="E99" s="65"/>
      <c r="F99" s="66"/>
      <c r="G99" s="66"/>
      <c r="H99" s="67" t="str">
        <f aca="false">IF(OR($A99="",$B99=""),"",SUMIFS(Del_Qty,Del_Site,$A99,Del_Mat,$B99,Del_Status,"Received",Del_Date,"&gt;="&amp;N($E99),Del_Date,"&lt;="&amp;AsOfDate))</f>
        <v/>
      </c>
      <c r="I99" s="67" t="str">
        <f aca="false">IF(OR($A99="",$B99=""),"",IFERROR(SUMIFS(INDEX(Con_Use,0,MATCH($B99,Mat_Code,0)),Con_Site,$A99,Con_Date,"&gt;="&amp;N($E99),Con_Date,"&lt;="&amp;AsOfDate),0))</f>
        <v/>
      </c>
      <c r="J99" s="68" t="str">
        <f aca="false">IF(OR($A99="",$B99="",$F99=""),"",$F99+$H99-$I99)</f>
        <v/>
      </c>
      <c r="K99" s="69" t="str">
        <f aca="false">IF(OR($J99="",N($G99)&lt;=0),"",MAX(0,$J99)/$G99)</f>
        <v/>
      </c>
      <c r="L99" s="16" t="str">
        <f aca="false">IF(OR($A99="",$B99=""),"",IF(COUNTIFS(CI_Site,$A99,CI_Mat,$B99)&gt;1,"⚠ Duplicate site + material row",IF(ISNA(MATCH($B99,Mat_Code,0)),"⚠ Unknown material code",IF($E99="","⚠ Enter count date",IF($F99="","⚠ Enter beginning balance",IF(N($G99)&lt;=0,"⚠ Enter storage capacity",IF($E99&gt;AsOfDate,"⚠ Count date is after the As-of Date",IF($J99&lt;0,"⚠ Negative stock – check logs or recount","OK"))))))))</f>
        <v/>
      </c>
      <c r="M99" s="63"/>
    </row>
    <row r="100" customFormat="false" ht="15" hidden="false" customHeight="false" outlineLevel="0" collapsed="false">
      <c r="A100" s="63"/>
      <c r="B100" s="63"/>
      <c r="C100" s="16" t="str">
        <f aca="false">IF($B100="","",IFERROR(INDEX(Mat_Short,MATCH($B100,Mat_Code,0)),"⚠ Unknown code"))</f>
        <v/>
      </c>
      <c r="D100" s="64" t="str">
        <f aca="false">IF($B100="","",IFERROR(INDEX(Mat_Unit,MATCH($B100,Mat_Code,0)),""))</f>
        <v/>
      </c>
      <c r="E100" s="65"/>
      <c r="F100" s="66"/>
      <c r="G100" s="66"/>
      <c r="H100" s="67" t="str">
        <f aca="false">IF(OR($A100="",$B100=""),"",SUMIFS(Del_Qty,Del_Site,$A100,Del_Mat,$B100,Del_Status,"Received",Del_Date,"&gt;="&amp;N($E100),Del_Date,"&lt;="&amp;AsOfDate))</f>
        <v/>
      </c>
      <c r="I100" s="67" t="str">
        <f aca="false">IF(OR($A100="",$B100=""),"",IFERROR(SUMIFS(INDEX(Con_Use,0,MATCH($B100,Mat_Code,0)),Con_Site,$A100,Con_Date,"&gt;="&amp;N($E100),Con_Date,"&lt;="&amp;AsOfDate),0))</f>
        <v/>
      </c>
      <c r="J100" s="68" t="str">
        <f aca="false">IF(OR($A100="",$B100="",$F100=""),"",$F100+$H100-$I100)</f>
        <v/>
      </c>
      <c r="K100" s="69" t="str">
        <f aca="false">IF(OR($J100="",N($G100)&lt;=0),"",MAX(0,$J100)/$G100)</f>
        <v/>
      </c>
      <c r="L100" s="16" t="str">
        <f aca="false">IF(OR($A100="",$B100=""),"",IF(COUNTIFS(CI_Site,$A100,CI_Mat,$B100)&gt;1,"⚠ Duplicate site + material row",IF(ISNA(MATCH($B100,Mat_Code,0)),"⚠ Unknown material code",IF($E100="","⚠ Enter count date",IF($F100="","⚠ Enter beginning balance",IF(N($G100)&lt;=0,"⚠ Enter storage capacity",IF($E100&gt;AsOfDate,"⚠ Count date is after the As-of Date",IF($J100&lt;0,"⚠ Negative stock – check logs or recount","OK"))))))))</f>
        <v/>
      </c>
      <c r="M100" s="63"/>
    </row>
    <row r="101" customFormat="false" ht="15" hidden="false" customHeight="false" outlineLevel="0" collapsed="false">
      <c r="A101" s="63"/>
      <c r="B101" s="63"/>
      <c r="C101" s="16" t="str">
        <f aca="false">IF($B101="","",IFERROR(INDEX(Mat_Short,MATCH($B101,Mat_Code,0)),"⚠ Unknown code"))</f>
        <v/>
      </c>
      <c r="D101" s="64" t="str">
        <f aca="false">IF($B101="","",IFERROR(INDEX(Mat_Unit,MATCH($B101,Mat_Code,0)),""))</f>
        <v/>
      </c>
      <c r="E101" s="65"/>
      <c r="F101" s="66"/>
      <c r="G101" s="66"/>
      <c r="H101" s="67" t="str">
        <f aca="false">IF(OR($A101="",$B101=""),"",SUMIFS(Del_Qty,Del_Site,$A101,Del_Mat,$B101,Del_Status,"Received",Del_Date,"&gt;="&amp;N($E101),Del_Date,"&lt;="&amp;AsOfDate))</f>
        <v/>
      </c>
      <c r="I101" s="67" t="str">
        <f aca="false">IF(OR($A101="",$B101=""),"",IFERROR(SUMIFS(INDEX(Con_Use,0,MATCH($B101,Mat_Code,0)),Con_Site,$A101,Con_Date,"&gt;="&amp;N($E101),Con_Date,"&lt;="&amp;AsOfDate),0))</f>
        <v/>
      </c>
      <c r="J101" s="68" t="str">
        <f aca="false">IF(OR($A101="",$B101="",$F101=""),"",$F101+$H101-$I101)</f>
        <v/>
      </c>
      <c r="K101" s="69" t="str">
        <f aca="false">IF(OR($J101="",N($G101)&lt;=0),"",MAX(0,$J101)/$G101)</f>
        <v/>
      </c>
      <c r="L101" s="16" t="str">
        <f aca="false">IF(OR($A101="",$B101=""),"",IF(COUNTIFS(CI_Site,$A101,CI_Mat,$B101)&gt;1,"⚠ Duplicate site + material row",IF(ISNA(MATCH($B101,Mat_Code,0)),"⚠ Unknown material code",IF($E101="","⚠ Enter count date",IF($F101="","⚠ Enter beginning balance",IF(N($G101)&lt;=0,"⚠ Enter storage capacity",IF($E101&gt;AsOfDate,"⚠ Count date is after the As-of Date",IF($J101&lt;0,"⚠ Negative stock – check logs or recount","OK"))))))))</f>
        <v/>
      </c>
      <c r="M101" s="63"/>
    </row>
    <row r="102" customFormat="false" ht="15" hidden="false" customHeight="false" outlineLevel="0" collapsed="false">
      <c r="A102" s="63"/>
      <c r="B102" s="63"/>
      <c r="C102" s="16" t="str">
        <f aca="false">IF($B102="","",IFERROR(INDEX(Mat_Short,MATCH($B102,Mat_Code,0)),"⚠ Unknown code"))</f>
        <v/>
      </c>
      <c r="D102" s="64" t="str">
        <f aca="false">IF($B102="","",IFERROR(INDEX(Mat_Unit,MATCH($B102,Mat_Code,0)),""))</f>
        <v/>
      </c>
      <c r="E102" s="65"/>
      <c r="F102" s="66"/>
      <c r="G102" s="66"/>
      <c r="H102" s="67" t="str">
        <f aca="false">IF(OR($A102="",$B102=""),"",SUMIFS(Del_Qty,Del_Site,$A102,Del_Mat,$B102,Del_Status,"Received",Del_Date,"&gt;="&amp;N($E102),Del_Date,"&lt;="&amp;AsOfDate))</f>
        <v/>
      </c>
      <c r="I102" s="67" t="str">
        <f aca="false">IF(OR($A102="",$B102=""),"",IFERROR(SUMIFS(INDEX(Con_Use,0,MATCH($B102,Mat_Code,0)),Con_Site,$A102,Con_Date,"&gt;="&amp;N($E102),Con_Date,"&lt;="&amp;AsOfDate),0))</f>
        <v/>
      </c>
      <c r="J102" s="68" t="str">
        <f aca="false">IF(OR($A102="",$B102="",$F102=""),"",$F102+$H102-$I102)</f>
        <v/>
      </c>
      <c r="K102" s="69" t="str">
        <f aca="false">IF(OR($J102="",N($G102)&lt;=0),"",MAX(0,$J102)/$G102)</f>
        <v/>
      </c>
      <c r="L102" s="16" t="str">
        <f aca="false">IF(OR($A102="",$B102=""),"",IF(COUNTIFS(CI_Site,$A102,CI_Mat,$B102)&gt;1,"⚠ Duplicate site + material row",IF(ISNA(MATCH($B102,Mat_Code,0)),"⚠ Unknown material code",IF($E102="","⚠ Enter count date",IF($F102="","⚠ Enter beginning balance",IF(N($G102)&lt;=0,"⚠ Enter storage capacity",IF($E102&gt;AsOfDate,"⚠ Count date is after the As-of Date",IF($J102&lt;0,"⚠ Negative stock – check logs or recount","OK"))))))))</f>
        <v/>
      </c>
      <c r="M102" s="63"/>
    </row>
    <row r="103" customFormat="false" ht="15" hidden="false" customHeight="false" outlineLevel="0" collapsed="false">
      <c r="A103" s="63"/>
      <c r="B103" s="63"/>
      <c r="C103" s="16" t="str">
        <f aca="false">IF($B103="","",IFERROR(INDEX(Mat_Short,MATCH($B103,Mat_Code,0)),"⚠ Unknown code"))</f>
        <v/>
      </c>
      <c r="D103" s="64" t="str">
        <f aca="false">IF($B103="","",IFERROR(INDEX(Mat_Unit,MATCH($B103,Mat_Code,0)),""))</f>
        <v/>
      </c>
      <c r="E103" s="65"/>
      <c r="F103" s="66"/>
      <c r="G103" s="66"/>
      <c r="H103" s="67" t="str">
        <f aca="false">IF(OR($A103="",$B103=""),"",SUMIFS(Del_Qty,Del_Site,$A103,Del_Mat,$B103,Del_Status,"Received",Del_Date,"&gt;="&amp;N($E103),Del_Date,"&lt;="&amp;AsOfDate))</f>
        <v/>
      </c>
      <c r="I103" s="67" t="str">
        <f aca="false">IF(OR($A103="",$B103=""),"",IFERROR(SUMIFS(INDEX(Con_Use,0,MATCH($B103,Mat_Code,0)),Con_Site,$A103,Con_Date,"&gt;="&amp;N($E103),Con_Date,"&lt;="&amp;AsOfDate),0))</f>
        <v/>
      </c>
      <c r="J103" s="68" t="str">
        <f aca="false">IF(OR($A103="",$B103="",$F103=""),"",$F103+$H103-$I103)</f>
        <v/>
      </c>
      <c r="K103" s="69" t="str">
        <f aca="false">IF(OR($J103="",N($G103)&lt;=0),"",MAX(0,$J103)/$G103)</f>
        <v/>
      </c>
      <c r="L103" s="16" t="str">
        <f aca="false">IF(OR($A103="",$B103=""),"",IF(COUNTIFS(CI_Site,$A103,CI_Mat,$B103)&gt;1,"⚠ Duplicate site + material row",IF(ISNA(MATCH($B103,Mat_Code,0)),"⚠ Unknown material code",IF($E103="","⚠ Enter count date",IF($F103="","⚠ Enter beginning balance",IF(N($G103)&lt;=0,"⚠ Enter storage capacity",IF($E103&gt;AsOfDate,"⚠ Count date is after the As-of Date",IF($J103&lt;0,"⚠ Negative stock – check logs or recount","OK"))))))))</f>
        <v/>
      </c>
      <c r="M103" s="63"/>
    </row>
    <row r="104" customFormat="false" ht="15" hidden="false" customHeight="false" outlineLevel="0" collapsed="false">
      <c r="A104" s="63"/>
      <c r="B104" s="63"/>
      <c r="C104" s="16" t="str">
        <f aca="false">IF($B104="","",IFERROR(INDEX(Mat_Short,MATCH($B104,Mat_Code,0)),"⚠ Unknown code"))</f>
        <v/>
      </c>
      <c r="D104" s="64" t="str">
        <f aca="false">IF($B104="","",IFERROR(INDEX(Mat_Unit,MATCH($B104,Mat_Code,0)),""))</f>
        <v/>
      </c>
      <c r="E104" s="65"/>
      <c r="F104" s="66"/>
      <c r="G104" s="66"/>
      <c r="H104" s="67" t="str">
        <f aca="false">IF(OR($A104="",$B104=""),"",SUMIFS(Del_Qty,Del_Site,$A104,Del_Mat,$B104,Del_Status,"Received",Del_Date,"&gt;="&amp;N($E104),Del_Date,"&lt;="&amp;AsOfDate))</f>
        <v/>
      </c>
      <c r="I104" s="67" t="str">
        <f aca="false">IF(OR($A104="",$B104=""),"",IFERROR(SUMIFS(INDEX(Con_Use,0,MATCH($B104,Mat_Code,0)),Con_Site,$A104,Con_Date,"&gt;="&amp;N($E104),Con_Date,"&lt;="&amp;AsOfDate),0))</f>
        <v/>
      </c>
      <c r="J104" s="68" t="str">
        <f aca="false">IF(OR($A104="",$B104="",$F104=""),"",$F104+$H104-$I104)</f>
        <v/>
      </c>
      <c r="K104" s="69" t="str">
        <f aca="false">IF(OR($J104="",N($G104)&lt;=0),"",MAX(0,$J104)/$G104)</f>
        <v/>
      </c>
      <c r="L104" s="16" t="str">
        <f aca="false">IF(OR($A104="",$B104=""),"",IF(COUNTIFS(CI_Site,$A104,CI_Mat,$B104)&gt;1,"⚠ Duplicate site + material row",IF(ISNA(MATCH($B104,Mat_Code,0)),"⚠ Unknown material code",IF($E104="","⚠ Enter count date",IF($F104="","⚠ Enter beginning balance",IF(N($G104)&lt;=0,"⚠ Enter storage capacity",IF($E104&gt;AsOfDate,"⚠ Count date is after the As-of Date",IF($J104&lt;0,"⚠ Negative stock – check logs or recount","OK"))))))))</f>
        <v/>
      </c>
      <c r="M104" s="63"/>
    </row>
    <row r="105" customFormat="false" ht="15" hidden="false" customHeight="false" outlineLevel="0" collapsed="false">
      <c r="A105" s="63"/>
      <c r="B105" s="63"/>
      <c r="C105" s="16" t="str">
        <f aca="false">IF($B105="","",IFERROR(INDEX(Mat_Short,MATCH($B105,Mat_Code,0)),"⚠ Unknown code"))</f>
        <v/>
      </c>
      <c r="D105" s="64" t="str">
        <f aca="false">IF($B105="","",IFERROR(INDEX(Mat_Unit,MATCH($B105,Mat_Code,0)),""))</f>
        <v/>
      </c>
      <c r="E105" s="65"/>
      <c r="F105" s="66"/>
      <c r="G105" s="66"/>
      <c r="H105" s="67" t="str">
        <f aca="false">IF(OR($A105="",$B105=""),"",SUMIFS(Del_Qty,Del_Site,$A105,Del_Mat,$B105,Del_Status,"Received",Del_Date,"&gt;="&amp;N($E105),Del_Date,"&lt;="&amp;AsOfDate))</f>
        <v/>
      </c>
      <c r="I105" s="67" t="str">
        <f aca="false">IF(OR($A105="",$B105=""),"",IFERROR(SUMIFS(INDEX(Con_Use,0,MATCH($B105,Mat_Code,0)),Con_Site,$A105,Con_Date,"&gt;="&amp;N($E105),Con_Date,"&lt;="&amp;AsOfDate),0))</f>
        <v/>
      </c>
      <c r="J105" s="68" t="str">
        <f aca="false">IF(OR($A105="",$B105="",$F105=""),"",$F105+$H105-$I105)</f>
        <v/>
      </c>
      <c r="K105" s="69" t="str">
        <f aca="false">IF(OR($J105="",N($G105)&lt;=0),"",MAX(0,$J105)/$G105)</f>
        <v/>
      </c>
      <c r="L105" s="16" t="str">
        <f aca="false">IF(OR($A105="",$B105=""),"",IF(COUNTIFS(CI_Site,$A105,CI_Mat,$B105)&gt;1,"⚠ Duplicate site + material row",IF(ISNA(MATCH($B105,Mat_Code,0)),"⚠ Unknown material code",IF($E105="","⚠ Enter count date",IF($F105="","⚠ Enter beginning balance",IF(N($G105)&lt;=0,"⚠ Enter storage capacity",IF($E105&gt;AsOfDate,"⚠ Count date is after the As-of Date",IF($J105&lt;0,"⚠ Negative stock – check logs or recount","OK"))))))))</f>
        <v/>
      </c>
      <c r="M105" s="63"/>
    </row>
  </sheetData>
  <conditionalFormatting sqref="K6:K105">
    <cfRule type="dataBar" priority="2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{6650D9B0-BDB5-4158-A43A-C481D67FDF81}</x14:id>
        </ext>
      </extLst>
    </cfRule>
  </conditionalFormatting>
  <conditionalFormatting sqref="L6:L105">
    <cfRule type="expression" priority="3" aboveAverage="0" equalAverage="0" bottom="0" percent="0" rank="0" text="" dxfId="2">
      <formula>LEFT($L6,1)="⚠"</formula>
    </cfRule>
  </conditionalFormatting>
  <dataValidations count="4">
    <dataValidation allowBlank="true" error="Pick a site from the list (the list is kept in Settings)." errorStyle="stop" errorTitle="Not in list" operator="between" showDropDown="false" showErrorMessage="true" showInputMessage="false" sqref="A6:A105" type="list">
      <formula1>SiteList</formula1>
      <formula2>0</formula2>
    </dataValidation>
    <dataValidation allowBlank="true" error="Pick a material code (CEM, SAND, G34, G38)." errorStyle="stop" errorTitle="Not in list" operator="between" showDropDown="false" showErrorMessage="true" showInputMessage="false" sqref="B6:B105" type="list">
      <formula1>Mat_Code</formula1>
      <formula2>0</formula2>
    </dataValidation>
    <dataValidation allowBlank="true" error="Enter a valid date, e.g. 15-Oct-2026." errorStyle="stop" errorTitle="Date" operator="greaterThan" showDropDown="false" showErrorMessage="true" showInputMessage="false" sqref="E6:E105" type="date">
      <formula1>DATE(2020,1,1)</formula1>
      <formula2>0</formula2>
    </dataValidation>
    <dataValidation allowBlank="true" error="Enter a number &gt;= 0." errorStyle="stop" errorTitle="Number" operator="greaterThanOrEqual" showDropDown="false" showErrorMessage="true" showInputMessage="false" sqref="F6:G1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50D9B0-BDB5-4158-A43A-C481D67FDF8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K6:K105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L2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10" min="6" style="0" width="13"/>
    <col collapsed="false" customWidth="true" hidden="false" outlineLevel="0" max="11" min="11" style="0" width="34"/>
    <col collapsed="false" customWidth="true" hidden="false" outlineLevel="0" max="12" min="12" style="0" width="36"/>
  </cols>
  <sheetData>
    <row r="1" customFormat="false" ht="21.75" hidden="false" customHeight="true" outlineLevel="0" collapsed="false">
      <c r="A1" s="59" t="s">
        <v>135</v>
      </c>
    </row>
    <row r="2" customFormat="false" ht="15" hidden="false" customHeight="false" outlineLevel="0" collapsed="false">
      <c r="A2" s="8" t="s">
        <v>136</v>
      </c>
    </row>
    <row r="4" customFormat="false" ht="39.75" hidden="false" customHeight="true" outlineLevel="0" collapsed="false">
      <c r="A4" s="22" t="s">
        <v>93</v>
      </c>
      <c r="B4" s="22" t="s">
        <v>88</v>
      </c>
      <c r="C4" s="22" t="s">
        <v>137</v>
      </c>
      <c r="D4" s="22" t="s">
        <v>138</v>
      </c>
      <c r="E4" s="22" t="s">
        <v>139</v>
      </c>
      <c r="F4" s="22" t="str">
        <f aca="false">Settings!$C$11&amp;" used"&amp;CHAR(10)&amp;"("&amp;Settings!$E$11&amp;")"</f>
        <v>Cement used
(bags)</v>
      </c>
      <c r="G4" s="22" t="str">
        <f aca="false">Settings!$C$12&amp;" used"&amp;CHAR(10)&amp;"("&amp;Settings!$E$12&amp;")"</f>
        <v>Sand used
(m3)</v>
      </c>
      <c r="H4" s="22" t="str">
        <f aca="false">Settings!$C$13&amp;" used"&amp;CHAR(10)&amp;"("&amp;Settings!$E$13&amp;")"</f>
        <v>Gravel 3/4" used
(m3)</v>
      </c>
      <c r="I4" s="22" t="str">
        <f aca="false">Settings!$C$14&amp;" used"&amp;CHAR(10)&amp;"("&amp;Settings!$E$14&amp;")"</f>
        <v>Gravel 3/8" used
(m3)</v>
      </c>
      <c r="J4" s="22" t="str">
        <f aca="false">Settings!$C$15&amp;" used"&amp;CHAR(10)&amp;"("&amp;Settings!$E$15&amp;")"</f>
        <v>Admixture used
(L)</v>
      </c>
      <c r="K4" s="22" t="s">
        <v>140</v>
      </c>
      <c r="L4" s="22" t="s">
        <v>115</v>
      </c>
    </row>
    <row r="5" customFormat="false" ht="15" hidden="false" customHeight="false" outlineLevel="0" collapsed="false">
      <c r="A5" s="62" t="n">
        <v>46296</v>
      </c>
      <c r="B5" s="61" t="s">
        <v>117</v>
      </c>
      <c r="C5" s="61" t="s">
        <v>141</v>
      </c>
      <c r="D5" s="61" t="n">
        <v>18.5</v>
      </c>
      <c r="E5" s="61" t="s">
        <v>142</v>
      </c>
      <c r="F5" s="61" t="s">
        <v>121</v>
      </c>
      <c r="G5" s="61" t="s">
        <v>121</v>
      </c>
      <c r="H5" s="61" t="s">
        <v>121</v>
      </c>
      <c r="I5" s="61" t="s">
        <v>121</v>
      </c>
      <c r="J5" s="61" t="s">
        <v>121</v>
      </c>
      <c r="K5" s="61" t="s">
        <v>143</v>
      </c>
      <c r="L5" s="61"/>
    </row>
    <row r="6" customFormat="false" ht="15" hidden="false" customHeight="false" outlineLevel="0" collapsed="false">
      <c r="A6" s="65"/>
      <c r="B6" s="63"/>
      <c r="C6" s="70"/>
      <c r="D6" s="66"/>
      <c r="E6" s="16" t="str">
        <f aca="false">IF($C6="","",IFERROR(INDEX(Mix_Desc,MATCH($C6,Mix_Code,0)),"⚠ Unknown mix code"))</f>
        <v/>
      </c>
      <c r="F6" s="67" t="str">
        <f aca="false">IF(OR($C6="",$D6=""),"",IFERROR($D6*INDEX(Mix_Eff,MATCH($C6,Mix_Code,0),1),""))</f>
        <v/>
      </c>
      <c r="G6" s="67" t="str">
        <f aca="false">IF(OR($C6="",$D6=""),"",IFERROR($D6*INDEX(Mix_Eff,MATCH($C6,Mix_Code,0),2),""))</f>
        <v/>
      </c>
      <c r="H6" s="67" t="str">
        <f aca="false">IF(OR($C6="",$D6=""),"",IFERROR($D6*INDEX(Mix_Eff,MATCH($C6,Mix_Code,0),3),""))</f>
        <v/>
      </c>
      <c r="I6" s="67" t="str">
        <f aca="false">IF(OR($C6="",$D6=""),"",IFERROR($D6*INDEX(Mix_Eff,MATCH($C6,Mix_Code,0),4),""))</f>
        <v/>
      </c>
      <c r="J6" s="67" t="str">
        <f aca="false">IF(OR($C6="",$D6=""),"",IFERROR($D6*INDEX(Mix_Eff,MATCH($C6,Mix_Code,0),5),""))</f>
        <v/>
      </c>
      <c r="K6" s="63"/>
      <c r="L6" s="16" t="str">
        <f aca="false">IF(AND($A6="",$B6="",$C6="",$D6=""),"",IF($A6="","⚠ Date missing",IF($B6="","⚠ Site missing",IF(ISNA(MATCH($C6,Mix_Code,0)),"⚠ Unknown mix code",IF($D6="","⚠ Enter m3 produced",IF(COUNTIF(CI_Site,$B6)=0,"⚠ Site not set up in Current Inventory",IF($A6&gt;AsOfDate,"Future date – not yet deducted","OK")))))))</f>
        <v/>
      </c>
    </row>
    <row r="7" customFormat="false" ht="15" hidden="false" customHeight="false" outlineLevel="0" collapsed="false">
      <c r="A7" s="65"/>
      <c r="B7" s="63"/>
      <c r="C7" s="70"/>
      <c r="D7" s="66"/>
      <c r="E7" s="16" t="str">
        <f aca="false">IF($C7="","",IFERROR(INDEX(Mix_Desc,MATCH($C7,Mix_Code,0)),"⚠ Unknown mix code"))</f>
        <v/>
      </c>
      <c r="F7" s="67" t="str">
        <f aca="false">IF(OR($C7="",$D7=""),"",IFERROR($D7*INDEX(Mix_Eff,MATCH($C7,Mix_Code,0),1),""))</f>
        <v/>
      </c>
      <c r="G7" s="67" t="str">
        <f aca="false">IF(OR($C7="",$D7=""),"",IFERROR($D7*INDEX(Mix_Eff,MATCH($C7,Mix_Code,0),2),""))</f>
        <v/>
      </c>
      <c r="H7" s="67" t="str">
        <f aca="false">IF(OR($C7="",$D7=""),"",IFERROR($D7*INDEX(Mix_Eff,MATCH($C7,Mix_Code,0),3),""))</f>
        <v/>
      </c>
      <c r="I7" s="67" t="str">
        <f aca="false">IF(OR($C7="",$D7=""),"",IFERROR($D7*INDEX(Mix_Eff,MATCH($C7,Mix_Code,0),4),""))</f>
        <v/>
      </c>
      <c r="J7" s="67" t="str">
        <f aca="false">IF(OR($C7="",$D7=""),"",IFERROR($D7*INDEX(Mix_Eff,MATCH($C7,Mix_Code,0),5),""))</f>
        <v/>
      </c>
      <c r="K7" s="63"/>
      <c r="L7" s="16" t="str">
        <f aca="false">IF(AND($A7="",$B7="",$C7="",$D7=""),"",IF($A7="","⚠ Date missing",IF($B7="","⚠ Site missing",IF(ISNA(MATCH($C7,Mix_Code,0)),"⚠ Unknown mix code",IF($D7="","⚠ Enter m3 produced",IF(COUNTIF(CI_Site,$B7)=0,"⚠ Site not set up in Current Inventory",IF($A7&gt;AsOfDate,"Future date – not yet deducted","OK")))))))</f>
        <v/>
      </c>
    </row>
    <row r="8" customFormat="false" ht="15" hidden="false" customHeight="false" outlineLevel="0" collapsed="false">
      <c r="A8" s="65"/>
      <c r="B8" s="63"/>
      <c r="C8" s="70"/>
      <c r="D8" s="66"/>
      <c r="E8" s="16" t="str">
        <f aca="false">IF($C8="","",IFERROR(INDEX(Mix_Desc,MATCH($C8,Mix_Code,0)),"⚠ Unknown mix code"))</f>
        <v/>
      </c>
      <c r="F8" s="67" t="str">
        <f aca="false">IF(OR($C8="",$D8=""),"",IFERROR($D8*INDEX(Mix_Eff,MATCH($C8,Mix_Code,0),1),""))</f>
        <v/>
      </c>
      <c r="G8" s="67" t="str">
        <f aca="false">IF(OR($C8="",$D8=""),"",IFERROR($D8*INDEX(Mix_Eff,MATCH($C8,Mix_Code,0),2),""))</f>
        <v/>
      </c>
      <c r="H8" s="67" t="str">
        <f aca="false">IF(OR($C8="",$D8=""),"",IFERROR($D8*INDEX(Mix_Eff,MATCH($C8,Mix_Code,0),3),""))</f>
        <v/>
      </c>
      <c r="I8" s="67" t="str">
        <f aca="false">IF(OR($C8="",$D8=""),"",IFERROR($D8*INDEX(Mix_Eff,MATCH($C8,Mix_Code,0),4),""))</f>
        <v/>
      </c>
      <c r="J8" s="67" t="str">
        <f aca="false">IF(OR($C8="",$D8=""),"",IFERROR($D8*INDEX(Mix_Eff,MATCH($C8,Mix_Code,0),5),""))</f>
        <v/>
      </c>
      <c r="K8" s="63"/>
      <c r="L8" s="16" t="str">
        <f aca="false">IF(AND($A8="",$B8="",$C8="",$D8=""),"",IF($A8="","⚠ Date missing",IF($B8="","⚠ Site missing",IF(ISNA(MATCH($C8,Mix_Code,0)),"⚠ Unknown mix code",IF($D8="","⚠ Enter m3 produced",IF(COUNTIF(CI_Site,$B8)=0,"⚠ Site not set up in Current Inventory",IF($A8&gt;AsOfDate,"Future date – not yet deducted","OK")))))))</f>
        <v/>
      </c>
    </row>
    <row r="9" customFormat="false" ht="15" hidden="false" customHeight="false" outlineLevel="0" collapsed="false">
      <c r="A9" s="65"/>
      <c r="B9" s="63"/>
      <c r="C9" s="70"/>
      <c r="D9" s="66"/>
      <c r="E9" s="16" t="str">
        <f aca="false">IF($C9="","",IFERROR(INDEX(Mix_Desc,MATCH($C9,Mix_Code,0)),"⚠ Unknown mix code"))</f>
        <v/>
      </c>
      <c r="F9" s="67" t="str">
        <f aca="false">IF(OR($C9="",$D9=""),"",IFERROR($D9*INDEX(Mix_Eff,MATCH($C9,Mix_Code,0),1),""))</f>
        <v/>
      </c>
      <c r="G9" s="67" t="str">
        <f aca="false">IF(OR($C9="",$D9=""),"",IFERROR($D9*INDEX(Mix_Eff,MATCH($C9,Mix_Code,0),2),""))</f>
        <v/>
      </c>
      <c r="H9" s="67" t="str">
        <f aca="false">IF(OR($C9="",$D9=""),"",IFERROR($D9*INDEX(Mix_Eff,MATCH($C9,Mix_Code,0),3),""))</f>
        <v/>
      </c>
      <c r="I9" s="67" t="str">
        <f aca="false">IF(OR($C9="",$D9=""),"",IFERROR($D9*INDEX(Mix_Eff,MATCH($C9,Mix_Code,0),4),""))</f>
        <v/>
      </c>
      <c r="J9" s="67" t="str">
        <f aca="false">IF(OR($C9="",$D9=""),"",IFERROR($D9*INDEX(Mix_Eff,MATCH($C9,Mix_Code,0),5),""))</f>
        <v/>
      </c>
      <c r="K9" s="63"/>
      <c r="L9" s="16" t="str">
        <f aca="false">IF(AND($A9="",$B9="",$C9="",$D9=""),"",IF($A9="","⚠ Date missing",IF($B9="","⚠ Site missing",IF(ISNA(MATCH($C9,Mix_Code,0)),"⚠ Unknown mix code",IF($D9="","⚠ Enter m3 produced",IF(COUNTIF(CI_Site,$B9)=0,"⚠ Site not set up in Current Inventory",IF($A9&gt;AsOfDate,"Future date – not yet deducted","OK")))))))</f>
        <v/>
      </c>
    </row>
    <row r="10" customFormat="false" ht="15" hidden="false" customHeight="false" outlineLevel="0" collapsed="false">
      <c r="A10" s="65"/>
      <c r="B10" s="63"/>
      <c r="C10" s="70"/>
      <c r="D10" s="66"/>
      <c r="E10" s="16" t="str">
        <f aca="false">IF($C10="","",IFERROR(INDEX(Mix_Desc,MATCH($C10,Mix_Code,0)),"⚠ Unknown mix code"))</f>
        <v/>
      </c>
      <c r="F10" s="67" t="str">
        <f aca="false">IF(OR($C10="",$D10=""),"",IFERROR($D10*INDEX(Mix_Eff,MATCH($C10,Mix_Code,0),1),""))</f>
        <v/>
      </c>
      <c r="G10" s="67" t="str">
        <f aca="false">IF(OR($C10="",$D10=""),"",IFERROR($D10*INDEX(Mix_Eff,MATCH($C10,Mix_Code,0),2),""))</f>
        <v/>
      </c>
      <c r="H10" s="67" t="str">
        <f aca="false">IF(OR($C10="",$D10=""),"",IFERROR($D10*INDEX(Mix_Eff,MATCH($C10,Mix_Code,0),3),""))</f>
        <v/>
      </c>
      <c r="I10" s="67" t="str">
        <f aca="false">IF(OR($C10="",$D10=""),"",IFERROR($D10*INDEX(Mix_Eff,MATCH($C10,Mix_Code,0),4),""))</f>
        <v/>
      </c>
      <c r="J10" s="67" t="str">
        <f aca="false">IF(OR($C10="",$D10=""),"",IFERROR($D10*INDEX(Mix_Eff,MATCH($C10,Mix_Code,0),5),""))</f>
        <v/>
      </c>
      <c r="K10" s="63"/>
      <c r="L10" s="16" t="str">
        <f aca="false">IF(AND($A10="",$B10="",$C10="",$D10=""),"",IF($A10="","⚠ Date missing",IF($B10="","⚠ Site missing",IF(ISNA(MATCH($C10,Mix_Code,0)),"⚠ Unknown mix code",IF($D10="","⚠ Enter m3 produced",IF(COUNTIF(CI_Site,$B10)=0,"⚠ Site not set up in Current Inventory",IF($A10&gt;AsOfDate,"Future date – not yet deducted","OK")))))))</f>
        <v/>
      </c>
    </row>
    <row r="11" customFormat="false" ht="15" hidden="false" customHeight="false" outlineLevel="0" collapsed="false">
      <c r="A11" s="65"/>
      <c r="B11" s="63"/>
      <c r="C11" s="70"/>
      <c r="D11" s="66"/>
      <c r="E11" s="16" t="str">
        <f aca="false">IF($C11="","",IFERROR(INDEX(Mix_Desc,MATCH($C11,Mix_Code,0)),"⚠ Unknown mix code"))</f>
        <v/>
      </c>
      <c r="F11" s="67" t="str">
        <f aca="false">IF(OR($C11="",$D11=""),"",IFERROR($D11*INDEX(Mix_Eff,MATCH($C11,Mix_Code,0),1),""))</f>
        <v/>
      </c>
      <c r="G11" s="67" t="str">
        <f aca="false">IF(OR($C11="",$D11=""),"",IFERROR($D11*INDEX(Mix_Eff,MATCH($C11,Mix_Code,0),2),""))</f>
        <v/>
      </c>
      <c r="H11" s="67" t="str">
        <f aca="false">IF(OR($C11="",$D11=""),"",IFERROR($D11*INDEX(Mix_Eff,MATCH($C11,Mix_Code,0),3),""))</f>
        <v/>
      </c>
      <c r="I11" s="67" t="str">
        <f aca="false">IF(OR($C11="",$D11=""),"",IFERROR($D11*INDEX(Mix_Eff,MATCH($C11,Mix_Code,0),4),""))</f>
        <v/>
      </c>
      <c r="J11" s="67" t="str">
        <f aca="false">IF(OR($C11="",$D11=""),"",IFERROR($D11*INDEX(Mix_Eff,MATCH($C11,Mix_Code,0),5),""))</f>
        <v/>
      </c>
      <c r="K11" s="63"/>
      <c r="L11" s="16" t="str">
        <f aca="false">IF(AND($A11="",$B11="",$C11="",$D11=""),"",IF($A11="","⚠ Date missing",IF($B11="","⚠ Site missing",IF(ISNA(MATCH($C11,Mix_Code,0)),"⚠ Unknown mix code",IF($D11="","⚠ Enter m3 produced",IF(COUNTIF(CI_Site,$B11)=0,"⚠ Site not set up in Current Inventory",IF($A11&gt;AsOfDate,"Future date – not yet deducted","OK")))))))</f>
        <v/>
      </c>
    </row>
    <row r="12" customFormat="false" ht="15" hidden="false" customHeight="false" outlineLevel="0" collapsed="false">
      <c r="A12" s="65"/>
      <c r="B12" s="63"/>
      <c r="C12" s="70"/>
      <c r="D12" s="66"/>
      <c r="E12" s="16" t="str">
        <f aca="false">IF($C12="","",IFERROR(INDEX(Mix_Desc,MATCH($C12,Mix_Code,0)),"⚠ Unknown mix code"))</f>
        <v/>
      </c>
      <c r="F12" s="67" t="str">
        <f aca="false">IF(OR($C12="",$D12=""),"",IFERROR($D12*INDEX(Mix_Eff,MATCH($C12,Mix_Code,0),1),""))</f>
        <v/>
      </c>
      <c r="G12" s="67" t="str">
        <f aca="false">IF(OR($C12="",$D12=""),"",IFERROR($D12*INDEX(Mix_Eff,MATCH($C12,Mix_Code,0),2),""))</f>
        <v/>
      </c>
      <c r="H12" s="67" t="str">
        <f aca="false">IF(OR($C12="",$D12=""),"",IFERROR($D12*INDEX(Mix_Eff,MATCH($C12,Mix_Code,0),3),""))</f>
        <v/>
      </c>
      <c r="I12" s="67" t="str">
        <f aca="false">IF(OR($C12="",$D12=""),"",IFERROR($D12*INDEX(Mix_Eff,MATCH($C12,Mix_Code,0),4),""))</f>
        <v/>
      </c>
      <c r="J12" s="67" t="str">
        <f aca="false">IF(OR($C12="",$D12=""),"",IFERROR($D12*INDEX(Mix_Eff,MATCH($C12,Mix_Code,0),5),""))</f>
        <v/>
      </c>
      <c r="K12" s="63"/>
      <c r="L12" s="16" t="str">
        <f aca="false">IF(AND($A12="",$B12="",$C12="",$D12=""),"",IF($A12="","⚠ Date missing",IF($B12="","⚠ Site missing",IF(ISNA(MATCH($C12,Mix_Code,0)),"⚠ Unknown mix code",IF($D12="","⚠ Enter m3 produced",IF(COUNTIF(CI_Site,$B12)=0,"⚠ Site not set up in Current Inventory",IF($A12&gt;AsOfDate,"Future date – not yet deducted","OK")))))))</f>
        <v/>
      </c>
    </row>
    <row r="13" customFormat="false" ht="15" hidden="false" customHeight="false" outlineLevel="0" collapsed="false">
      <c r="A13" s="65"/>
      <c r="B13" s="63"/>
      <c r="C13" s="70"/>
      <c r="D13" s="66"/>
      <c r="E13" s="16" t="str">
        <f aca="false">IF($C13="","",IFERROR(INDEX(Mix_Desc,MATCH($C13,Mix_Code,0)),"⚠ Unknown mix code"))</f>
        <v/>
      </c>
      <c r="F13" s="67" t="str">
        <f aca="false">IF(OR($C13="",$D13=""),"",IFERROR($D13*INDEX(Mix_Eff,MATCH($C13,Mix_Code,0),1),""))</f>
        <v/>
      </c>
      <c r="G13" s="67" t="str">
        <f aca="false">IF(OR($C13="",$D13=""),"",IFERROR($D13*INDEX(Mix_Eff,MATCH($C13,Mix_Code,0),2),""))</f>
        <v/>
      </c>
      <c r="H13" s="67" t="str">
        <f aca="false">IF(OR($C13="",$D13=""),"",IFERROR($D13*INDEX(Mix_Eff,MATCH($C13,Mix_Code,0),3),""))</f>
        <v/>
      </c>
      <c r="I13" s="67" t="str">
        <f aca="false">IF(OR($C13="",$D13=""),"",IFERROR($D13*INDEX(Mix_Eff,MATCH($C13,Mix_Code,0),4),""))</f>
        <v/>
      </c>
      <c r="J13" s="67" t="str">
        <f aca="false">IF(OR($C13="",$D13=""),"",IFERROR($D13*INDEX(Mix_Eff,MATCH($C13,Mix_Code,0),5),""))</f>
        <v/>
      </c>
      <c r="K13" s="63"/>
      <c r="L13" s="16" t="str">
        <f aca="false">IF(AND($A13="",$B13="",$C13="",$D13=""),"",IF($A13="","⚠ Date missing",IF($B13="","⚠ Site missing",IF(ISNA(MATCH($C13,Mix_Code,0)),"⚠ Unknown mix code",IF($D13="","⚠ Enter m3 produced",IF(COUNTIF(CI_Site,$B13)=0,"⚠ Site not set up in Current Inventory",IF($A13&gt;AsOfDate,"Future date – not yet deducted","OK")))))))</f>
        <v/>
      </c>
    </row>
    <row r="14" customFormat="false" ht="15" hidden="false" customHeight="false" outlineLevel="0" collapsed="false">
      <c r="A14" s="65"/>
      <c r="B14" s="63"/>
      <c r="C14" s="70"/>
      <c r="D14" s="66"/>
      <c r="E14" s="16" t="str">
        <f aca="false">IF($C14="","",IFERROR(INDEX(Mix_Desc,MATCH($C14,Mix_Code,0)),"⚠ Unknown mix code"))</f>
        <v/>
      </c>
      <c r="F14" s="67" t="str">
        <f aca="false">IF(OR($C14="",$D14=""),"",IFERROR($D14*INDEX(Mix_Eff,MATCH($C14,Mix_Code,0),1),""))</f>
        <v/>
      </c>
      <c r="G14" s="67" t="str">
        <f aca="false">IF(OR($C14="",$D14=""),"",IFERROR($D14*INDEX(Mix_Eff,MATCH($C14,Mix_Code,0),2),""))</f>
        <v/>
      </c>
      <c r="H14" s="67" t="str">
        <f aca="false">IF(OR($C14="",$D14=""),"",IFERROR($D14*INDEX(Mix_Eff,MATCH($C14,Mix_Code,0),3),""))</f>
        <v/>
      </c>
      <c r="I14" s="67" t="str">
        <f aca="false">IF(OR($C14="",$D14=""),"",IFERROR($D14*INDEX(Mix_Eff,MATCH($C14,Mix_Code,0),4),""))</f>
        <v/>
      </c>
      <c r="J14" s="67" t="str">
        <f aca="false">IF(OR($C14="",$D14=""),"",IFERROR($D14*INDEX(Mix_Eff,MATCH($C14,Mix_Code,0),5),""))</f>
        <v/>
      </c>
      <c r="K14" s="63"/>
      <c r="L14" s="16" t="str">
        <f aca="false">IF(AND($A14="",$B14="",$C14="",$D14=""),"",IF($A14="","⚠ Date missing",IF($B14="","⚠ Site missing",IF(ISNA(MATCH($C14,Mix_Code,0)),"⚠ Unknown mix code",IF($D14="","⚠ Enter m3 produced",IF(COUNTIF(CI_Site,$B14)=0,"⚠ Site not set up in Current Inventory",IF($A14&gt;AsOfDate,"Future date – not yet deducted","OK")))))))</f>
        <v/>
      </c>
    </row>
    <row r="15" customFormat="false" ht="15" hidden="false" customHeight="false" outlineLevel="0" collapsed="false">
      <c r="A15" s="65"/>
      <c r="B15" s="63"/>
      <c r="C15" s="70"/>
      <c r="D15" s="66"/>
      <c r="E15" s="16" t="str">
        <f aca="false">IF($C15="","",IFERROR(INDEX(Mix_Desc,MATCH($C15,Mix_Code,0)),"⚠ Unknown mix code"))</f>
        <v/>
      </c>
      <c r="F15" s="67" t="str">
        <f aca="false">IF(OR($C15="",$D15=""),"",IFERROR($D15*INDEX(Mix_Eff,MATCH($C15,Mix_Code,0),1),""))</f>
        <v/>
      </c>
      <c r="G15" s="67" t="str">
        <f aca="false">IF(OR($C15="",$D15=""),"",IFERROR($D15*INDEX(Mix_Eff,MATCH($C15,Mix_Code,0),2),""))</f>
        <v/>
      </c>
      <c r="H15" s="67" t="str">
        <f aca="false">IF(OR($C15="",$D15=""),"",IFERROR($D15*INDEX(Mix_Eff,MATCH($C15,Mix_Code,0),3),""))</f>
        <v/>
      </c>
      <c r="I15" s="67" t="str">
        <f aca="false">IF(OR($C15="",$D15=""),"",IFERROR($D15*INDEX(Mix_Eff,MATCH($C15,Mix_Code,0),4),""))</f>
        <v/>
      </c>
      <c r="J15" s="67" t="str">
        <f aca="false">IF(OR($C15="",$D15=""),"",IFERROR($D15*INDEX(Mix_Eff,MATCH($C15,Mix_Code,0),5),""))</f>
        <v/>
      </c>
      <c r="K15" s="63"/>
      <c r="L15" s="16" t="str">
        <f aca="false">IF(AND($A15="",$B15="",$C15="",$D15=""),"",IF($A15="","⚠ Date missing",IF($B15="","⚠ Site missing",IF(ISNA(MATCH($C15,Mix_Code,0)),"⚠ Unknown mix code",IF($D15="","⚠ Enter m3 produced",IF(COUNTIF(CI_Site,$B15)=0,"⚠ Site not set up in Current Inventory",IF($A15&gt;AsOfDate,"Future date – not yet deducted","OK")))))))</f>
        <v/>
      </c>
    </row>
    <row r="16" customFormat="false" ht="15" hidden="false" customHeight="false" outlineLevel="0" collapsed="false">
      <c r="A16" s="65"/>
      <c r="B16" s="63"/>
      <c r="C16" s="70"/>
      <c r="D16" s="66"/>
      <c r="E16" s="16" t="str">
        <f aca="false">IF($C16="","",IFERROR(INDEX(Mix_Desc,MATCH($C16,Mix_Code,0)),"⚠ Unknown mix code"))</f>
        <v/>
      </c>
      <c r="F16" s="67" t="str">
        <f aca="false">IF(OR($C16="",$D16=""),"",IFERROR($D16*INDEX(Mix_Eff,MATCH($C16,Mix_Code,0),1),""))</f>
        <v/>
      </c>
      <c r="G16" s="67" t="str">
        <f aca="false">IF(OR($C16="",$D16=""),"",IFERROR($D16*INDEX(Mix_Eff,MATCH($C16,Mix_Code,0),2),""))</f>
        <v/>
      </c>
      <c r="H16" s="67" t="str">
        <f aca="false">IF(OR($C16="",$D16=""),"",IFERROR($D16*INDEX(Mix_Eff,MATCH($C16,Mix_Code,0),3),""))</f>
        <v/>
      </c>
      <c r="I16" s="67" t="str">
        <f aca="false">IF(OR($C16="",$D16=""),"",IFERROR($D16*INDEX(Mix_Eff,MATCH($C16,Mix_Code,0),4),""))</f>
        <v/>
      </c>
      <c r="J16" s="67" t="str">
        <f aca="false">IF(OR($C16="",$D16=""),"",IFERROR($D16*INDEX(Mix_Eff,MATCH($C16,Mix_Code,0),5),""))</f>
        <v/>
      </c>
      <c r="K16" s="63"/>
      <c r="L16" s="16" t="str">
        <f aca="false">IF(AND($A16="",$B16="",$C16="",$D16=""),"",IF($A16="","⚠ Date missing",IF($B16="","⚠ Site missing",IF(ISNA(MATCH($C16,Mix_Code,0)),"⚠ Unknown mix code",IF($D16="","⚠ Enter m3 produced",IF(COUNTIF(CI_Site,$B16)=0,"⚠ Site not set up in Current Inventory",IF($A16&gt;AsOfDate,"Future date – not yet deducted","OK")))))))</f>
        <v/>
      </c>
    </row>
    <row r="17" customFormat="false" ht="15" hidden="false" customHeight="false" outlineLevel="0" collapsed="false">
      <c r="A17" s="65"/>
      <c r="B17" s="63"/>
      <c r="C17" s="70"/>
      <c r="D17" s="66"/>
      <c r="E17" s="16" t="str">
        <f aca="false">IF($C17="","",IFERROR(INDEX(Mix_Desc,MATCH($C17,Mix_Code,0)),"⚠ Unknown mix code"))</f>
        <v/>
      </c>
      <c r="F17" s="67" t="str">
        <f aca="false">IF(OR($C17="",$D17=""),"",IFERROR($D17*INDEX(Mix_Eff,MATCH($C17,Mix_Code,0),1),""))</f>
        <v/>
      </c>
      <c r="G17" s="67" t="str">
        <f aca="false">IF(OR($C17="",$D17=""),"",IFERROR($D17*INDEX(Mix_Eff,MATCH($C17,Mix_Code,0),2),""))</f>
        <v/>
      </c>
      <c r="H17" s="67" t="str">
        <f aca="false">IF(OR($C17="",$D17=""),"",IFERROR($D17*INDEX(Mix_Eff,MATCH($C17,Mix_Code,0),3),""))</f>
        <v/>
      </c>
      <c r="I17" s="67" t="str">
        <f aca="false">IF(OR($C17="",$D17=""),"",IFERROR($D17*INDEX(Mix_Eff,MATCH($C17,Mix_Code,0),4),""))</f>
        <v/>
      </c>
      <c r="J17" s="67" t="str">
        <f aca="false">IF(OR($C17="",$D17=""),"",IFERROR($D17*INDEX(Mix_Eff,MATCH($C17,Mix_Code,0),5),""))</f>
        <v/>
      </c>
      <c r="K17" s="63"/>
      <c r="L17" s="16" t="str">
        <f aca="false">IF(AND($A17="",$B17="",$C17="",$D17=""),"",IF($A17="","⚠ Date missing",IF($B17="","⚠ Site missing",IF(ISNA(MATCH($C17,Mix_Code,0)),"⚠ Unknown mix code",IF($D17="","⚠ Enter m3 produced",IF(COUNTIF(CI_Site,$B17)=0,"⚠ Site not set up in Current Inventory",IF($A17&gt;AsOfDate,"Future date – not yet deducted","OK")))))))</f>
        <v/>
      </c>
    </row>
    <row r="18" customFormat="false" ht="15" hidden="false" customHeight="false" outlineLevel="0" collapsed="false">
      <c r="A18" s="65"/>
      <c r="B18" s="63"/>
      <c r="C18" s="70"/>
      <c r="D18" s="66"/>
      <c r="E18" s="16" t="str">
        <f aca="false">IF($C18="","",IFERROR(INDEX(Mix_Desc,MATCH($C18,Mix_Code,0)),"⚠ Unknown mix code"))</f>
        <v/>
      </c>
      <c r="F18" s="67" t="str">
        <f aca="false">IF(OR($C18="",$D18=""),"",IFERROR($D18*INDEX(Mix_Eff,MATCH($C18,Mix_Code,0),1),""))</f>
        <v/>
      </c>
      <c r="G18" s="67" t="str">
        <f aca="false">IF(OR($C18="",$D18=""),"",IFERROR($D18*INDEX(Mix_Eff,MATCH($C18,Mix_Code,0),2),""))</f>
        <v/>
      </c>
      <c r="H18" s="67" t="str">
        <f aca="false">IF(OR($C18="",$D18=""),"",IFERROR($D18*INDEX(Mix_Eff,MATCH($C18,Mix_Code,0),3),""))</f>
        <v/>
      </c>
      <c r="I18" s="67" t="str">
        <f aca="false">IF(OR($C18="",$D18=""),"",IFERROR($D18*INDEX(Mix_Eff,MATCH($C18,Mix_Code,0),4),""))</f>
        <v/>
      </c>
      <c r="J18" s="67" t="str">
        <f aca="false">IF(OR($C18="",$D18=""),"",IFERROR($D18*INDEX(Mix_Eff,MATCH($C18,Mix_Code,0),5),""))</f>
        <v/>
      </c>
      <c r="K18" s="63"/>
      <c r="L18" s="16" t="str">
        <f aca="false">IF(AND($A18="",$B18="",$C18="",$D18=""),"",IF($A18="","⚠ Date missing",IF($B18="","⚠ Site missing",IF(ISNA(MATCH($C18,Mix_Code,0)),"⚠ Unknown mix code",IF($D18="","⚠ Enter m3 produced",IF(COUNTIF(CI_Site,$B18)=0,"⚠ Site not set up in Current Inventory",IF($A18&gt;AsOfDate,"Future date – not yet deducted","OK")))))))</f>
        <v/>
      </c>
    </row>
    <row r="19" customFormat="false" ht="15" hidden="false" customHeight="false" outlineLevel="0" collapsed="false">
      <c r="A19" s="65"/>
      <c r="B19" s="63"/>
      <c r="C19" s="70"/>
      <c r="D19" s="66"/>
      <c r="E19" s="16" t="str">
        <f aca="false">IF($C19="","",IFERROR(INDEX(Mix_Desc,MATCH($C19,Mix_Code,0)),"⚠ Unknown mix code"))</f>
        <v/>
      </c>
      <c r="F19" s="67" t="str">
        <f aca="false">IF(OR($C19="",$D19=""),"",IFERROR($D19*INDEX(Mix_Eff,MATCH($C19,Mix_Code,0),1),""))</f>
        <v/>
      </c>
      <c r="G19" s="67" t="str">
        <f aca="false">IF(OR($C19="",$D19=""),"",IFERROR($D19*INDEX(Mix_Eff,MATCH($C19,Mix_Code,0),2),""))</f>
        <v/>
      </c>
      <c r="H19" s="67" t="str">
        <f aca="false">IF(OR($C19="",$D19=""),"",IFERROR($D19*INDEX(Mix_Eff,MATCH($C19,Mix_Code,0),3),""))</f>
        <v/>
      </c>
      <c r="I19" s="67" t="str">
        <f aca="false">IF(OR($C19="",$D19=""),"",IFERROR($D19*INDEX(Mix_Eff,MATCH($C19,Mix_Code,0),4),""))</f>
        <v/>
      </c>
      <c r="J19" s="67" t="str">
        <f aca="false">IF(OR($C19="",$D19=""),"",IFERROR($D19*INDEX(Mix_Eff,MATCH($C19,Mix_Code,0),5),""))</f>
        <v/>
      </c>
      <c r="K19" s="63"/>
      <c r="L19" s="16" t="str">
        <f aca="false">IF(AND($A19="",$B19="",$C19="",$D19=""),"",IF($A19="","⚠ Date missing",IF($B19="","⚠ Site missing",IF(ISNA(MATCH($C19,Mix_Code,0)),"⚠ Unknown mix code",IF($D19="","⚠ Enter m3 produced",IF(COUNTIF(CI_Site,$B19)=0,"⚠ Site not set up in Current Inventory",IF($A19&gt;AsOfDate,"Future date – not yet deducted","OK")))))))</f>
        <v/>
      </c>
    </row>
    <row r="20" customFormat="false" ht="15" hidden="false" customHeight="false" outlineLevel="0" collapsed="false">
      <c r="A20" s="65"/>
      <c r="B20" s="63"/>
      <c r="C20" s="70"/>
      <c r="D20" s="66"/>
      <c r="E20" s="16" t="str">
        <f aca="false">IF($C20="","",IFERROR(INDEX(Mix_Desc,MATCH($C20,Mix_Code,0)),"⚠ Unknown mix code"))</f>
        <v/>
      </c>
      <c r="F20" s="67" t="str">
        <f aca="false">IF(OR($C20="",$D20=""),"",IFERROR($D20*INDEX(Mix_Eff,MATCH($C20,Mix_Code,0),1),""))</f>
        <v/>
      </c>
      <c r="G20" s="67" t="str">
        <f aca="false">IF(OR($C20="",$D20=""),"",IFERROR($D20*INDEX(Mix_Eff,MATCH($C20,Mix_Code,0),2),""))</f>
        <v/>
      </c>
      <c r="H20" s="67" t="str">
        <f aca="false">IF(OR($C20="",$D20=""),"",IFERROR($D20*INDEX(Mix_Eff,MATCH($C20,Mix_Code,0),3),""))</f>
        <v/>
      </c>
      <c r="I20" s="67" t="str">
        <f aca="false">IF(OR($C20="",$D20=""),"",IFERROR($D20*INDEX(Mix_Eff,MATCH($C20,Mix_Code,0),4),""))</f>
        <v/>
      </c>
      <c r="J20" s="67" t="str">
        <f aca="false">IF(OR($C20="",$D20=""),"",IFERROR($D20*INDEX(Mix_Eff,MATCH($C20,Mix_Code,0),5),""))</f>
        <v/>
      </c>
      <c r="K20" s="63"/>
      <c r="L20" s="16" t="str">
        <f aca="false">IF(AND($A20="",$B20="",$C20="",$D20=""),"",IF($A20="","⚠ Date missing",IF($B20="","⚠ Site missing",IF(ISNA(MATCH($C20,Mix_Code,0)),"⚠ Unknown mix code",IF($D20="","⚠ Enter m3 produced",IF(COUNTIF(CI_Site,$B20)=0,"⚠ Site not set up in Current Inventory",IF($A20&gt;AsOfDate,"Future date – not yet deducted","OK")))))))</f>
        <v/>
      </c>
    </row>
    <row r="21" customFormat="false" ht="15" hidden="false" customHeight="false" outlineLevel="0" collapsed="false">
      <c r="A21" s="65"/>
      <c r="B21" s="63"/>
      <c r="C21" s="70"/>
      <c r="D21" s="66"/>
      <c r="E21" s="16" t="str">
        <f aca="false">IF($C21="","",IFERROR(INDEX(Mix_Desc,MATCH($C21,Mix_Code,0)),"⚠ Unknown mix code"))</f>
        <v/>
      </c>
      <c r="F21" s="67" t="str">
        <f aca="false">IF(OR($C21="",$D21=""),"",IFERROR($D21*INDEX(Mix_Eff,MATCH($C21,Mix_Code,0),1),""))</f>
        <v/>
      </c>
      <c r="G21" s="67" t="str">
        <f aca="false">IF(OR($C21="",$D21=""),"",IFERROR($D21*INDEX(Mix_Eff,MATCH($C21,Mix_Code,0),2),""))</f>
        <v/>
      </c>
      <c r="H21" s="67" t="str">
        <f aca="false">IF(OR($C21="",$D21=""),"",IFERROR($D21*INDEX(Mix_Eff,MATCH($C21,Mix_Code,0),3),""))</f>
        <v/>
      </c>
      <c r="I21" s="67" t="str">
        <f aca="false">IF(OR($C21="",$D21=""),"",IFERROR($D21*INDEX(Mix_Eff,MATCH($C21,Mix_Code,0),4),""))</f>
        <v/>
      </c>
      <c r="J21" s="67" t="str">
        <f aca="false">IF(OR($C21="",$D21=""),"",IFERROR($D21*INDEX(Mix_Eff,MATCH($C21,Mix_Code,0),5),""))</f>
        <v/>
      </c>
      <c r="K21" s="63"/>
      <c r="L21" s="16" t="str">
        <f aca="false">IF(AND($A21="",$B21="",$C21="",$D21=""),"",IF($A21="","⚠ Date missing",IF($B21="","⚠ Site missing",IF(ISNA(MATCH($C21,Mix_Code,0)),"⚠ Unknown mix code",IF($D21="","⚠ Enter m3 produced",IF(COUNTIF(CI_Site,$B21)=0,"⚠ Site not set up in Current Inventory",IF($A21&gt;AsOfDate,"Future date – not yet deducted","OK")))))))</f>
        <v/>
      </c>
    </row>
    <row r="22" customFormat="false" ht="15" hidden="false" customHeight="false" outlineLevel="0" collapsed="false">
      <c r="A22" s="65"/>
      <c r="B22" s="63"/>
      <c r="C22" s="70"/>
      <c r="D22" s="66"/>
      <c r="E22" s="16" t="str">
        <f aca="false">IF($C22="","",IFERROR(INDEX(Mix_Desc,MATCH($C22,Mix_Code,0)),"⚠ Unknown mix code"))</f>
        <v/>
      </c>
      <c r="F22" s="67" t="str">
        <f aca="false">IF(OR($C22="",$D22=""),"",IFERROR($D22*INDEX(Mix_Eff,MATCH($C22,Mix_Code,0),1),""))</f>
        <v/>
      </c>
      <c r="G22" s="67" t="str">
        <f aca="false">IF(OR($C22="",$D22=""),"",IFERROR($D22*INDEX(Mix_Eff,MATCH($C22,Mix_Code,0),2),""))</f>
        <v/>
      </c>
      <c r="H22" s="67" t="str">
        <f aca="false">IF(OR($C22="",$D22=""),"",IFERROR($D22*INDEX(Mix_Eff,MATCH($C22,Mix_Code,0),3),""))</f>
        <v/>
      </c>
      <c r="I22" s="67" t="str">
        <f aca="false">IF(OR($C22="",$D22=""),"",IFERROR($D22*INDEX(Mix_Eff,MATCH($C22,Mix_Code,0),4),""))</f>
        <v/>
      </c>
      <c r="J22" s="67" t="str">
        <f aca="false">IF(OR($C22="",$D22=""),"",IFERROR($D22*INDEX(Mix_Eff,MATCH($C22,Mix_Code,0),5),""))</f>
        <v/>
      </c>
      <c r="K22" s="63"/>
      <c r="L22" s="16" t="str">
        <f aca="false">IF(AND($A22="",$B22="",$C22="",$D22=""),"",IF($A22="","⚠ Date missing",IF($B22="","⚠ Site missing",IF(ISNA(MATCH($C22,Mix_Code,0)),"⚠ Unknown mix code",IF($D22="","⚠ Enter m3 produced",IF(COUNTIF(CI_Site,$B22)=0,"⚠ Site not set up in Current Inventory",IF($A22&gt;AsOfDate,"Future date – not yet deducted","OK")))))))</f>
        <v/>
      </c>
    </row>
    <row r="23" customFormat="false" ht="15" hidden="false" customHeight="false" outlineLevel="0" collapsed="false">
      <c r="A23" s="65"/>
      <c r="B23" s="63"/>
      <c r="C23" s="70"/>
      <c r="D23" s="66"/>
      <c r="E23" s="16" t="str">
        <f aca="false">IF($C23="","",IFERROR(INDEX(Mix_Desc,MATCH($C23,Mix_Code,0)),"⚠ Unknown mix code"))</f>
        <v/>
      </c>
      <c r="F23" s="67" t="str">
        <f aca="false">IF(OR($C23="",$D23=""),"",IFERROR($D23*INDEX(Mix_Eff,MATCH($C23,Mix_Code,0),1),""))</f>
        <v/>
      </c>
      <c r="G23" s="67" t="str">
        <f aca="false">IF(OR($C23="",$D23=""),"",IFERROR($D23*INDEX(Mix_Eff,MATCH($C23,Mix_Code,0),2),""))</f>
        <v/>
      </c>
      <c r="H23" s="67" t="str">
        <f aca="false">IF(OR($C23="",$D23=""),"",IFERROR($D23*INDEX(Mix_Eff,MATCH($C23,Mix_Code,0),3),""))</f>
        <v/>
      </c>
      <c r="I23" s="67" t="str">
        <f aca="false">IF(OR($C23="",$D23=""),"",IFERROR($D23*INDEX(Mix_Eff,MATCH($C23,Mix_Code,0),4),""))</f>
        <v/>
      </c>
      <c r="J23" s="67" t="str">
        <f aca="false">IF(OR($C23="",$D23=""),"",IFERROR($D23*INDEX(Mix_Eff,MATCH($C23,Mix_Code,0),5),""))</f>
        <v/>
      </c>
      <c r="K23" s="63"/>
      <c r="L23" s="16" t="str">
        <f aca="false">IF(AND($A23="",$B23="",$C23="",$D23=""),"",IF($A23="","⚠ Date missing",IF($B23="","⚠ Site missing",IF(ISNA(MATCH($C23,Mix_Code,0)),"⚠ Unknown mix code",IF($D23="","⚠ Enter m3 produced",IF(COUNTIF(CI_Site,$B23)=0,"⚠ Site not set up in Current Inventory",IF($A23&gt;AsOfDate,"Future date – not yet deducted","OK")))))))</f>
        <v/>
      </c>
    </row>
    <row r="24" customFormat="false" ht="15" hidden="false" customHeight="false" outlineLevel="0" collapsed="false">
      <c r="A24" s="65"/>
      <c r="B24" s="63"/>
      <c r="C24" s="70"/>
      <c r="D24" s="66"/>
      <c r="E24" s="16" t="str">
        <f aca="false">IF($C24="","",IFERROR(INDEX(Mix_Desc,MATCH($C24,Mix_Code,0)),"⚠ Unknown mix code"))</f>
        <v/>
      </c>
      <c r="F24" s="67" t="str">
        <f aca="false">IF(OR($C24="",$D24=""),"",IFERROR($D24*INDEX(Mix_Eff,MATCH($C24,Mix_Code,0),1),""))</f>
        <v/>
      </c>
      <c r="G24" s="67" t="str">
        <f aca="false">IF(OR($C24="",$D24=""),"",IFERROR($D24*INDEX(Mix_Eff,MATCH($C24,Mix_Code,0),2),""))</f>
        <v/>
      </c>
      <c r="H24" s="67" t="str">
        <f aca="false">IF(OR($C24="",$D24=""),"",IFERROR($D24*INDEX(Mix_Eff,MATCH($C24,Mix_Code,0),3),""))</f>
        <v/>
      </c>
      <c r="I24" s="67" t="str">
        <f aca="false">IF(OR($C24="",$D24=""),"",IFERROR($D24*INDEX(Mix_Eff,MATCH($C24,Mix_Code,0),4),""))</f>
        <v/>
      </c>
      <c r="J24" s="67" t="str">
        <f aca="false">IF(OR($C24="",$D24=""),"",IFERROR($D24*INDEX(Mix_Eff,MATCH($C24,Mix_Code,0),5),""))</f>
        <v/>
      </c>
      <c r="K24" s="63"/>
      <c r="L24" s="16" t="str">
        <f aca="false">IF(AND($A24="",$B24="",$C24="",$D24=""),"",IF($A24="","⚠ Date missing",IF($B24="","⚠ Site missing",IF(ISNA(MATCH($C24,Mix_Code,0)),"⚠ Unknown mix code",IF($D24="","⚠ Enter m3 produced",IF(COUNTIF(CI_Site,$B24)=0,"⚠ Site not set up in Current Inventory",IF($A24&gt;AsOfDate,"Future date – not yet deducted","OK")))))))</f>
        <v/>
      </c>
    </row>
    <row r="25" customFormat="false" ht="15" hidden="false" customHeight="false" outlineLevel="0" collapsed="false">
      <c r="A25" s="65"/>
      <c r="B25" s="63"/>
      <c r="C25" s="70"/>
      <c r="D25" s="66"/>
      <c r="E25" s="16" t="str">
        <f aca="false">IF($C25="","",IFERROR(INDEX(Mix_Desc,MATCH($C25,Mix_Code,0)),"⚠ Unknown mix code"))</f>
        <v/>
      </c>
      <c r="F25" s="67" t="str">
        <f aca="false">IF(OR($C25="",$D25=""),"",IFERROR($D25*INDEX(Mix_Eff,MATCH($C25,Mix_Code,0),1),""))</f>
        <v/>
      </c>
      <c r="G25" s="67" t="str">
        <f aca="false">IF(OR($C25="",$D25=""),"",IFERROR($D25*INDEX(Mix_Eff,MATCH($C25,Mix_Code,0),2),""))</f>
        <v/>
      </c>
      <c r="H25" s="67" t="str">
        <f aca="false">IF(OR($C25="",$D25=""),"",IFERROR($D25*INDEX(Mix_Eff,MATCH($C25,Mix_Code,0),3),""))</f>
        <v/>
      </c>
      <c r="I25" s="67" t="str">
        <f aca="false">IF(OR($C25="",$D25=""),"",IFERROR($D25*INDEX(Mix_Eff,MATCH($C25,Mix_Code,0),4),""))</f>
        <v/>
      </c>
      <c r="J25" s="67" t="str">
        <f aca="false">IF(OR($C25="",$D25=""),"",IFERROR($D25*INDEX(Mix_Eff,MATCH($C25,Mix_Code,0),5),""))</f>
        <v/>
      </c>
      <c r="K25" s="63"/>
      <c r="L25" s="16" t="str">
        <f aca="false">IF(AND($A25="",$B25="",$C25="",$D25=""),"",IF($A25="","⚠ Date missing",IF($B25="","⚠ Site missing",IF(ISNA(MATCH($C25,Mix_Code,0)),"⚠ Unknown mix code",IF($D25="","⚠ Enter m3 produced",IF(COUNTIF(CI_Site,$B25)=0,"⚠ Site not set up in Current Inventory",IF($A25&gt;AsOfDate,"Future date – not yet deducted","OK")))))))</f>
        <v/>
      </c>
    </row>
    <row r="26" customFormat="false" ht="15" hidden="false" customHeight="false" outlineLevel="0" collapsed="false">
      <c r="A26" s="65"/>
      <c r="B26" s="63"/>
      <c r="C26" s="70"/>
      <c r="D26" s="66"/>
      <c r="E26" s="16" t="str">
        <f aca="false">IF($C26="","",IFERROR(INDEX(Mix_Desc,MATCH($C26,Mix_Code,0)),"⚠ Unknown mix code"))</f>
        <v/>
      </c>
      <c r="F26" s="67" t="str">
        <f aca="false">IF(OR($C26="",$D26=""),"",IFERROR($D26*INDEX(Mix_Eff,MATCH($C26,Mix_Code,0),1),""))</f>
        <v/>
      </c>
      <c r="G26" s="67" t="str">
        <f aca="false">IF(OR($C26="",$D26=""),"",IFERROR($D26*INDEX(Mix_Eff,MATCH($C26,Mix_Code,0),2),""))</f>
        <v/>
      </c>
      <c r="H26" s="67" t="str">
        <f aca="false">IF(OR($C26="",$D26=""),"",IFERROR($D26*INDEX(Mix_Eff,MATCH($C26,Mix_Code,0),3),""))</f>
        <v/>
      </c>
      <c r="I26" s="67" t="str">
        <f aca="false">IF(OR($C26="",$D26=""),"",IFERROR($D26*INDEX(Mix_Eff,MATCH($C26,Mix_Code,0),4),""))</f>
        <v/>
      </c>
      <c r="J26" s="67" t="str">
        <f aca="false">IF(OR($C26="",$D26=""),"",IFERROR($D26*INDEX(Mix_Eff,MATCH($C26,Mix_Code,0),5),""))</f>
        <v/>
      </c>
      <c r="K26" s="63"/>
      <c r="L26" s="16" t="str">
        <f aca="false">IF(AND($A26="",$B26="",$C26="",$D26=""),"",IF($A26="","⚠ Date missing",IF($B26="","⚠ Site missing",IF(ISNA(MATCH($C26,Mix_Code,0)),"⚠ Unknown mix code",IF($D26="","⚠ Enter m3 produced",IF(COUNTIF(CI_Site,$B26)=0,"⚠ Site not set up in Current Inventory",IF($A26&gt;AsOfDate,"Future date – not yet deducted","OK")))))))</f>
        <v/>
      </c>
    </row>
    <row r="27" customFormat="false" ht="15" hidden="false" customHeight="false" outlineLevel="0" collapsed="false">
      <c r="A27" s="65"/>
      <c r="B27" s="63"/>
      <c r="C27" s="70"/>
      <c r="D27" s="66"/>
      <c r="E27" s="16" t="str">
        <f aca="false">IF($C27="","",IFERROR(INDEX(Mix_Desc,MATCH($C27,Mix_Code,0)),"⚠ Unknown mix code"))</f>
        <v/>
      </c>
      <c r="F27" s="67" t="str">
        <f aca="false">IF(OR($C27="",$D27=""),"",IFERROR($D27*INDEX(Mix_Eff,MATCH($C27,Mix_Code,0),1),""))</f>
        <v/>
      </c>
      <c r="G27" s="67" t="str">
        <f aca="false">IF(OR($C27="",$D27=""),"",IFERROR($D27*INDEX(Mix_Eff,MATCH($C27,Mix_Code,0),2),""))</f>
        <v/>
      </c>
      <c r="H27" s="67" t="str">
        <f aca="false">IF(OR($C27="",$D27=""),"",IFERROR($D27*INDEX(Mix_Eff,MATCH($C27,Mix_Code,0),3),""))</f>
        <v/>
      </c>
      <c r="I27" s="67" t="str">
        <f aca="false">IF(OR($C27="",$D27=""),"",IFERROR($D27*INDEX(Mix_Eff,MATCH($C27,Mix_Code,0),4),""))</f>
        <v/>
      </c>
      <c r="J27" s="67" t="str">
        <f aca="false">IF(OR($C27="",$D27=""),"",IFERROR($D27*INDEX(Mix_Eff,MATCH($C27,Mix_Code,0),5),""))</f>
        <v/>
      </c>
      <c r="K27" s="63"/>
      <c r="L27" s="16" t="str">
        <f aca="false">IF(AND($A27="",$B27="",$C27="",$D27=""),"",IF($A27="","⚠ Date missing",IF($B27="","⚠ Site missing",IF(ISNA(MATCH($C27,Mix_Code,0)),"⚠ Unknown mix code",IF($D27="","⚠ Enter m3 produced",IF(COUNTIF(CI_Site,$B27)=0,"⚠ Site not set up in Current Inventory",IF($A27&gt;AsOfDate,"Future date – not yet deducted","OK")))))))</f>
        <v/>
      </c>
    </row>
    <row r="28" customFormat="false" ht="15" hidden="false" customHeight="false" outlineLevel="0" collapsed="false">
      <c r="A28" s="65"/>
      <c r="B28" s="63"/>
      <c r="C28" s="70"/>
      <c r="D28" s="66"/>
      <c r="E28" s="16" t="str">
        <f aca="false">IF($C28="","",IFERROR(INDEX(Mix_Desc,MATCH($C28,Mix_Code,0)),"⚠ Unknown mix code"))</f>
        <v/>
      </c>
      <c r="F28" s="67" t="str">
        <f aca="false">IF(OR($C28="",$D28=""),"",IFERROR($D28*INDEX(Mix_Eff,MATCH($C28,Mix_Code,0),1),""))</f>
        <v/>
      </c>
      <c r="G28" s="67" t="str">
        <f aca="false">IF(OR($C28="",$D28=""),"",IFERROR($D28*INDEX(Mix_Eff,MATCH($C28,Mix_Code,0),2),""))</f>
        <v/>
      </c>
      <c r="H28" s="67" t="str">
        <f aca="false">IF(OR($C28="",$D28=""),"",IFERROR($D28*INDEX(Mix_Eff,MATCH($C28,Mix_Code,0),3),""))</f>
        <v/>
      </c>
      <c r="I28" s="67" t="str">
        <f aca="false">IF(OR($C28="",$D28=""),"",IFERROR($D28*INDEX(Mix_Eff,MATCH($C28,Mix_Code,0),4),""))</f>
        <v/>
      </c>
      <c r="J28" s="67" t="str">
        <f aca="false">IF(OR($C28="",$D28=""),"",IFERROR($D28*INDEX(Mix_Eff,MATCH($C28,Mix_Code,0),5),""))</f>
        <v/>
      </c>
      <c r="K28" s="63"/>
      <c r="L28" s="16" t="str">
        <f aca="false">IF(AND($A28="",$B28="",$C28="",$D28=""),"",IF($A28="","⚠ Date missing",IF($B28="","⚠ Site missing",IF(ISNA(MATCH($C28,Mix_Code,0)),"⚠ Unknown mix code",IF($D28="","⚠ Enter m3 produced",IF(COUNTIF(CI_Site,$B28)=0,"⚠ Site not set up in Current Inventory",IF($A28&gt;AsOfDate,"Future date – not yet deducted","OK")))))))</f>
        <v/>
      </c>
    </row>
    <row r="29" customFormat="false" ht="15" hidden="false" customHeight="false" outlineLevel="0" collapsed="false">
      <c r="A29" s="65"/>
      <c r="B29" s="63"/>
      <c r="C29" s="70"/>
      <c r="D29" s="66"/>
      <c r="E29" s="16" t="str">
        <f aca="false">IF($C29="","",IFERROR(INDEX(Mix_Desc,MATCH($C29,Mix_Code,0)),"⚠ Unknown mix code"))</f>
        <v/>
      </c>
      <c r="F29" s="67" t="str">
        <f aca="false">IF(OR($C29="",$D29=""),"",IFERROR($D29*INDEX(Mix_Eff,MATCH($C29,Mix_Code,0),1),""))</f>
        <v/>
      </c>
      <c r="G29" s="67" t="str">
        <f aca="false">IF(OR($C29="",$D29=""),"",IFERROR($D29*INDEX(Mix_Eff,MATCH($C29,Mix_Code,0),2),""))</f>
        <v/>
      </c>
      <c r="H29" s="67" t="str">
        <f aca="false">IF(OR($C29="",$D29=""),"",IFERROR($D29*INDEX(Mix_Eff,MATCH($C29,Mix_Code,0),3),""))</f>
        <v/>
      </c>
      <c r="I29" s="67" t="str">
        <f aca="false">IF(OR($C29="",$D29=""),"",IFERROR($D29*INDEX(Mix_Eff,MATCH($C29,Mix_Code,0),4),""))</f>
        <v/>
      </c>
      <c r="J29" s="67" t="str">
        <f aca="false">IF(OR($C29="",$D29=""),"",IFERROR($D29*INDEX(Mix_Eff,MATCH($C29,Mix_Code,0),5),""))</f>
        <v/>
      </c>
      <c r="K29" s="63"/>
      <c r="L29" s="16" t="str">
        <f aca="false">IF(AND($A29="",$B29="",$C29="",$D29=""),"",IF($A29="","⚠ Date missing",IF($B29="","⚠ Site missing",IF(ISNA(MATCH($C29,Mix_Code,0)),"⚠ Unknown mix code",IF($D29="","⚠ Enter m3 produced",IF(COUNTIF(CI_Site,$B29)=0,"⚠ Site not set up in Current Inventory",IF($A29&gt;AsOfDate,"Future date – not yet deducted","OK")))))))</f>
        <v/>
      </c>
    </row>
    <row r="30" customFormat="false" ht="15" hidden="false" customHeight="false" outlineLevel="0" collapsed="false">
      <c r="A30" s="65"/>
      <c r="B30" s="63"/>
      <c r="C30" s="70"/>
      <c r="D30" s="66"/>
      <c r="E30" s="16" t="str">
        <f aca="false">IF($C30="","",IFERROR(INDEX(Mix_Desc,MATCH($C30,Mix_Code,0)),"⚠ Unknown mix code"))</f>
        <v/>
      </c>
      <c r="F30" s="67" t="str">
        <f aca="false">IF(OR($C30="",$D30=""),"",IFERROR($D30*INDEX(Mix_Eff,MATCH($C30,Mix_Code,0),1),""))</f>
        <v/>
      </c>
      <c r="G30" s="67" t="str">
        <f aca="false">IF(OR($C30="",$D30=""),"",IFERROR($D30*INDEX(Mix_Eff,MATCH($C30,Mix_Code,0),2),""))</f>
        <v/>
      </c>
      <c r="H30" s="67" t="str">
        <f aca="false">IF(OR($C30="",$D30=""),"",IFERROR($D30*INDEX(Mix_Eff,MATCH($C30,Mix_Code,0),3),""))</f>
        <v/>
      </c>
      <c r="I30" s="67" t="str">
        <f aca="false">IF(OR($C30="",$D30=""),"",IFERROR($D30*INDEX(Mix_Eff,MATCH($C30,Mix_Code,0),4),""))</f>
        <v/>
      </c>
      <c r="J30" s="67" t="str">
        <f aca="false">IF(OR($C30="",$D30=""),"",IFERROR($D30*INDEX(Mix_Eff,MATCH($C30,Mix_Code,0),5),""))</f>
        <v/>
      </c>
      <c r="K30" s="63"/>
      <c r="L30" s="16" t="str">
        <f aca="false">IF(AND($A30="",$B30="",$C30="",$D30=""),"",IF($A30="","⚠ Date missing",IF($B30="","⚠ Site missing",IF(ISNA(MATCH($C30,Mix_Code,0)),"⚠ Unknown mix code",IF($D30="","⚠ Enter m3 produced",IF(COUNTIF(CI_Site,$B30)=0,"⚠ Site not set up in Current Inventory",IF($A30&gt;AsOfDate,"Future date – not yet deducted","OK")))))))</f>
        <v/>
      </c>
    </row>
    <row r="31" customFormat="false" ht="15" hidden="false" customHeight="false" outlineLevel="0" collapsed="false">
      <c r="A31" s="65"/>
      <c r="B31" s="63"/>
      <c r="C31" s="70"/>
      <c r="D31" s="66"/>
      <c r="E31" s="16" t="str">
        <f aca="false">IF($C31="","",IFERROR(INDEX(Mix_Desc,MATCH($C31,Mix_Code,0)),"⚠ Unknown mix code"))</f>
        <v/>
      </c>
      <c r="F31" s="67" t="str">
        <f aca="false">IF(OR($C31="",$D31=""),"",IFERROR($D31*INDEX(Mix_Eff,MATCH($C31,Mix_Code,0),1),""))</f>
        <v/>
      </c>
      <c r="G31" s="67" t="str">
        <f aca="false">IF(OR($C31="",$D31=""),"",IFERROR($D31*INDEX(Mix_Eff,MATCH($C31,Mix_Code,0),2),""))</f>
        <v/>
      </c>
      <c r="H31" s="67" t="str">
        <f aca="false">IF(OR($C31="",$D31=""),"",IFERROR($D31*INDEX(Mix_Eff,MATCH($C31,Mix_Code,0),3),""))</f>
        <v/>
      </c>
      <c r="I31" s="67" t="str">
        <f aca="false">IF(OR($C31="",$D31=""),"",IFERROR($D31*INDEX(Mix_Eff,MATCH($C31,Mix_Code,0),4),""))</f>
        <v/>
      </c>
      <c r="J31" s="67" t="str">
        <f aca="false">IF(OR($C31="",$D31=""),"",IFERROR($D31*INDEX(Mix_Eff,MATCH($C31,Mix_Code,0),5),""))</f>
        <v/>
      </c>
      <c r="K31" s="63"/>
      <c r="L31" s="16" t="str">
        <f aca="false">IF(AND($A31="",$B31="",$C31="",$D31=""),"",IF($A31="","⚠ Date missing",IF($B31="","⚠ Site missing",IF(ISNA(MATCH($C31,Mix_Code,0)),"⚠ Unknown mix code",IF($D31="","⚠ Enter m3 produced",IF(COUNTIF(CI_Site,$B31)=0,"⚠ Site not set up in Current Inventory",IF($A31&gt;AsOfDate,"Future date – not yet deducted","OK")))))))</f>
        <v/>
      </c>
    </row>
    <row r="32" customFormat="false" ht="15" hidden="false" customHeight="false" outlineLevel="0" collapsed="false">
      <c r="A32" s="65"/>
      <c r="B32" s="63"/>
      <c r="C32" s="70"/>
      <c r="D32" s="66"/>
      <c r="E32" s="16" t="str">
        <f aca="false">IF($C32="","",IFERROR(INDEX(Mix_Desc,MATCH($C32,Mix_Code,0)),"⚠ Unknown mix code"))</f>
        <v/>
      </c>
      <c r="F32" s="67" t="str">
        <f aca="false">IF(OR($C32="",$D32=""),"",IFERROR($D32*INDEX(Mix_Eff,MATCH($C32,Mix_Code,0),1),""))</f>
        <v/>
      </c>
      <c r="G32" s="67" t="str">
        <f aca="false">IF(OR($C32="",$D32=""),"",IFERROR($D32*INDEX(Mix_Eff,MATCH($C32,Mix_Code,0),2),""))</f>
        <v/>
      </c>
      <c r="H32" s="67" t="str">
        <f aca="false">IF(OR($C32="",$D32=""),"",IFERROR($D32*INDEX(Mix_Eff,MATCH($C32,Mix_Code,0),3),""))</f>
        <v/>
      </c>
      <c r="I32" s="67" t="str">
        <f aca="false">IF(OR($C32="",$D32=""),"",IFERROR($D32*INDEX(Mix_Eff,MATCH($C32,Mix_Code,0),4),""))</f>
        <v/>
      </c>
      <c r="J32" s="67" t="str">
        <f aca="false">IF(OR($C32="",$D32=""),"",IFERROR($D32*INDEX(Mix_Eff,MATCH($C32,Mix_Code,0),5),""))</f>
        <v/>
      </c>
      <c r="K32" s="63"/>
      <c r="L32" s="16" t="str">
        <f aca="false">IF(AND($A32="",$B32="",$C32="",$D32=""),"",IF($A32="","⚠ Date missing",IF($B32="","⚠ Site missing",IF(ISNA(MATCH($C32,Mix_Code,0)),"⚠ Unknown mix code",IF($D32="","⚠ Enter m3 produced",IF(COUNTIF(CI_Site,$B32)=0,"⚠ Site not set up in Current Inventory",IF($A32&gt;AsOfDate,"Future date – not yet deducted","OK")))))))</f>
        <v/>
      </c>
    </row>
    <row r="33" customFormat="false" ht="15" hidden="false" customHeight="false" outlineLevel="0" collapsed="false">
      <c r="A33" s="65"/>
      <c r="B33" s="63"/>
      <c r="C33" s="70"/>
      <c r="D33" s="66"/>
      <c r="E33" s="16" t="str">
        <f aca="false">IF($C33="","",IFERROR(INDEX(Mix_Desc,MATCH($C33,Mix_Code,0)),"⚠ Unknown mix code"))</f>
        <v/>
      </c>
      <c r="F33" s="67" t="str">
        <f aca="false">IF(OR($C33="",$D33=""),"",IFERROR($D33*INDEX(Mix_Eff,MATCH($C33,Mix_Code,0),1),""))</f>
        <v/>
      </c>
      <c r="G33" s="67" t="str">
        <f aca="false">IF(OR($C33="",$D33=""),"",IFERROR($D33*INDEX(Mix_Eff,MATCH($C33,Mix_Code,0),2),""))</f>
        <v/>
      </c>
      <c r="H33" s="67" t="str">
        <f aca="false">IF(OR($C33="",$D33=""),"",IFERROR($D33*INDEX(Mix_Eff,MATCH($C33,Mix_Code,0),3),""))</f>
        <v/>
      </c>
      <c r="I33" s="67" t="str">
        <f aca="false">IF(OR($C33="",$D33=""),"",IFERROR($D33*INDEX(Mix_Eff,MATCH($C33,Mix_Code,0),4),""))</f>
        <v/>
      </c>
      <c r="J33" s="67" t="str">
        <f aca="false">IF(OR($C33="",$D33=""),"",IFERROR($D33*INDEX(Mix_Eff,MATCH($C33,Mix_Code,0),5),""))</f>
        <v/>
      </c>
      <c r="K33" s="63"/>
      <c r="L33" s="16" t="str">
        <f aca="false">IF(AND($A33="",$B33="",$C33="",$D33=""),"",IF($A33="","⚠ Date missing",IF($B33="","⚠ Site missing",IF(ISNA(MATCH($C33,Mix_Code,0)),"⚠ Unknown mix code",IF($D33="","⚠ Enter m3 produced",IF(COUNTIF(CI_Site,$B33)=0,"⚠ Site not set up in Current Inventory",IF($A33&gt;AsOfDate,"Future date – not yet deducted","OK")))))))</f>
        <v/>
      </c>
    </row>
    <row r="34" customFormat="false" ht="15" hidden="false" customHeight="false" outlineLevel="0" collapsed="false">
      <c r="A34" s="65"/>
      <c r="B34" s="63"/>
      <c r="C34" s="70"/>
      <c r="D34" s="66"/>
      <c r="E34" s="16" t="str">
        <f aca="false">IF($C34="","",IFERROR(INDEX(Mix_Desc,MATCH($C34,Mix_Code,0)),"⚠ Unknown mix code"))</f>
        <v/>
      </c>
      <c r="F34" s="67" t="str">
        <f aca="false">IF(OR($C34="",$D34=""),"",IFERROR($D34*INDEX(Mix_Eff,MATCH($C34,Mix_Code,0),1),""))</f>
        <v/>
      </c>
      <c r="G34" s="67" t="str">
        <f aca="false">IF(OR($C34="",$D34=""),"",IFERROR($D34*INDEX(Mix_Eff,MATCH($C34,Mix_Code,0),2),""))</f>
        <v/>
      </c>
      <c r="H34" s="67" t="str">
        <f aca="false">IF(OR($C34="",$D34=""),"",IFERROR($D34*INDEX(Mix_Eff,MATCH($C34,Mix_Code,0),3),""))</f>
        <v/>
      </c>
      <c r="I34" s="67" t="str">
        <f aca="false">IF(OR($C34="",$D34=""),"",IFERROR($D34*INDEX(Mix_Eff,MATCH($C34,Mix_Code,0),4),""))</f>
        <v/>
      </c>
      <c r="J34" s="67" t="str">
        <f aca="false">IF(OR($C34="",$D34=""),"",IFERROR($D34*INDEX(Mix_Eff,MATCH($C34,Mix_Code,0),5),""))</f>
        <v/>
      </c>
      <c r="K34" s="63"/>
      <c r="L34" s="16" t="str">
        <f aca="false">IF(AND($A34="",$B34="",$C34="",$D34=""),"",IF($A34="","⚠ Date missing",IF($B34="","⚠ Site missing",IF(ISNA(MATCH($C34,Mix_Code,0)),"⚠ Unknown mix code",IF($D34="","⚠ Enter m3 produced",IF(COUNTIF(CI_Site,$B34)=0,"⚠ Site not set up in Current Inventory",IF($A34&gt;AsOfDate,"Future date – not yet deducted","OK")))))))</f>
        <v/>
      </c>
    </row>
    <row r="35" customFormat="false" ht="15" hidden="false" customHeight="false" outlineLevel="0" collapsed="false">
      <c r="A35" s="65"/>
      <c r="B35" s="63"/>
      <c r="C35" s="70"/>
      <c r="D35" s="66"/>
      <c r="E35" s="16" t="str">
        <f aca="false">IF($C35="","",IFERROR(INDEX(Mix_Desc,MATCH($C35,Mix_Code,0)),"⚠ Unknown mix code"))</f>
        <v/>
      </c>
      <c r="F35" s="67" t="str">
        <f aca="false">IF(OR($C35="",$D35=""),"",IFERROR($D35*INDEX(Mix_Eff,MATCH($C35,Mix_Code,0),1),""))</f>
        <v/>
      </c>
      <c r="G35" s="67" t="str">
        <f aca="false">IF(OR($C35="",$D35=""),"",IFERROR($D35*INDEX(Mix_Eff,MATCH($C35,Mix_Code,0),2),""))</f>
        <v/>
      </c>
      <c r="H35" s="67" t="str">
        <f aca="false">IF(OR($C35="",$D35=""),"",IFERROR($D35*INDEX(Mix_Eff,MATCH($C35,Mix_Code,0),3),""))</f>
        <v/>
      </c>
      <c r="I35" s="67" t="str">
        <f aca="false">IF(OR($C35="",$D35=""),"",IFERROR($D35*INDEX(Mix_Eff,MATCH($C35,Mix_Code,0),4),""))</f>
        <v/>
      </c>
      <c r="J35" s="67" t="str">
        <f aca="false">IF(OR($C35="",$D35=""),"",IFERROR($D35*INDEX(Mix_Eff,MATCH($C35,Mix_Code,0),5),""))</f>
        <v/>
      </c>
      <c r="K35" s="63"/>
      <c r="L35" s="16" t="str">
        <f aca="false">IF(AND($A35="",$B35="",$C35="",$D35=""),"",IF($A35="","⚠ Date missing",IF($B35="","⚠ Site missing",IF(ISNA(MATCH($C35,Mix_Code,0)),"⚠ Unknown mix code",IF($D35="","⚠ Enter m3 produced",IF(COUNTIF(CI_Site,$B35)=0,"⚠ Site not set up in Current Inventory",IF($A35&gt;AsOfDate,"Future date – not yet deducted","OK")))))))</f>
        <v/>
      </c>
    </row>
    <row r="36" customFormat="false" ht="15" hidden="false" customHeight="false" outlineLevel="0" collapsed="false">
      <c r="A36" s="65"/>
      <c r="B36" s="63"/>
      <c r="C36" s="70"/>
      <c r="D36" s="66"/>
      <c r="E36" s="16" t="str">
        <f aca="false">IF($C36="","",IFERROR(INDEX(Mix_Desc,MATCH($C36,Mix_Code,0)),"⚠ Unknown mix code"))</f>
        <v/>
      </c>
      <c r="F36" s="67" t="str">
        <f aca="false">IF(OR($C36="",$D36=""),"",IFERROR($D36*INDEX(Mix_Eff,MATCH($C36,Mix_Code,0),1),""))</f>
        <v/>
      </c>
      <c r="G36" s="67" t="str">
        <f aca="false">IF(OR($C36="",$D36=""),"",IFERROR($D36*INDEX(Mix_Eff,MATCH($C36,Mix_Code,0),2),""))</f>
        <v/>
      </c>
      <c r="H36" s="67" t="str">
        <f aca="false">IF(OR($C36="",$D36=""),"",IFERROR($D36*INDEX(Mix_Eff,MATCH($C36,Mix_Code,0),3),""))</f>
        <v/>
      </c>
      <c r="I36" s="67" t="str">
        <f aca="false">IF(OR($C36="",$D36=""),"",IFERROR($D36*INDEX(Mix_Eff,MATCH($C36,Mix_Code,0),4),""))</f>
        <v/>
      </c>
      <c r="J36" s="67" t="str">
        <f aca="false">IF(OR($C36="",$D36=""),"",IFERROR($D36*INDEX(Mix_Eff,MATCH($C36,Mix_Code,0),5),""))</f>
        <v/>
      </c>
      <c r="K36" s="63"/>
      <c r="L36" s="16" t="str">
        <f aca="false">IF(AND($A36="",$B36="",$C36="",$D36=""),"",IF($A36="","⚠ Date missing",IF($B36="","⚠ Site missing",IF(ISNA(MATCH($C36,Mix_Code,0)),"⚠ Unknown mix code",IF($D36="","⚠ Enter m3 produced",IF(COUNTIF(CI_Site,$B36)=0,"⚠ Site not set up in Current Inventory",IF($A36&gt;AsOfDate,"Future date – not yet deducted","OK")))))))</f>
        <v/>
      </c>
    </row>
    <row r="37" customFormat="false" ht="15" hidden="false" customHeight="false" outlineLevel="0" collapsed="false">
      <c r="A37" s="65"/>
      <c r="B37" s="63"/>
      <c r="C37" s="70"/>
      <c r="D37" s="66"/>
      <c r="E37" s="16" t="str">
        <f aca="false">IF($C37="","",IFERROR(INDEX(Mix_Desc,MATCH($C37,Mix_Code,0)),"⚠ Unknown mix code"))</f>
        <v/>
      </c>
      <c r="F37" s="67" t="str">
        <f aca="false">IF(OR($C37="",$D37=""),"",IFERROR($D37*INDEX(Mix_Eff,MATCH($C37,Mix_Code,0),1),""))</f>
        <v/>
      </c>
      <c r="G37" s="67" t="str">
        <f aca="false">IF(OR($C37="",$D37=""),"",IFERROR($D37*INDEX(Mix_Eff,MATCH($C37,Mix_Code,0),2),""))</f>
        <v/>
      </c>
      <c r="H37" s="67" t="str">
        <f aca="false">IF(OR($C37="",$D37=""),"",IFERROR($D37*INDEX(Mix_Eff,MATCH($C37,Mix_Code,0),3),""))</f>
        <v/>
      </c>
      <c r="I37" s="67" t="str">
        <f aca="false">IF(OR($C37="",$D37=""),"",IFERROR($D37*INDEX(Mix_Eff,MATCH($C37,Mix_Code,0),4),""))</f>
        <v/>
      </c>
      <c r="J37" s="67" t="str">
        <f aca="false">IF(OR($C37="",$D37=""),"",IFERROR($D37*INDEX(Mix_Eff,MATCH($C37,Mix_Code,0),5),""))</f>
        <v/>
      </c>
      <c r="K37" s="63"/>
      <c r="L37" s="16" t="str">
        <f aca="false">IF(AND($A37="",$B37="",$C37="",$D37=""),"",IF($A37="","⚠ Date missing",IF($B37="","⚠ Site missing",IF(ISNA(MATCH($C37,Mix_Code,0)),"⚠ Unknown mix code",IF($D37="","⚠ Enter m3 produced",IF(COUNTIF(CI_Site,$B37)=0,"⚠ Site not set up in Current Inventory",IF($A37&gt;AsOfDate,"Future date – not yet deducted","OK")))))))</f>
        <v/>
      </c>
    </row>
    <row r="38" customFormat="false" ht="15" hidden="false" customHeight="false" outlineLevel="0" collapsed="false">
      <c r="A38" s="65"/>
      <c r="B38" s="63"/>
      <c r="C38" s="70"/>
      <c r="D38" s="66"/>
      <c r="E38" s="16" t="str">
        <f aca="false">IF($C38="","",IFERROR(INDEX(Mix_Desc,MATCH($C38,Mix_Code,0)),"⚠ Unknown mix code"))</f>
        <v/>
      </c>
      <c r="F38" s="67" t="str">
        <f aca="false">IF(OR($C38="",$D38=""),"",IFERROR($D38*INDEX(Mix_Eff,MATCH($C38,Mix_Code,0),1),""))</f>
        <v/>
      </c>
      <c r="G38" s="67" t="str">
        <f aca="false">IF(OR($C38="",$D38=""),"",IFERROR($D38*INDEX(Mix_Eff,MATCH($C38,Mix_Code,0),2),""))</f>
        <v/>
      </c>
      <c r="H38" s="67" t="str">
        <f aca="false">IF(OR($C38="",$D38=""),"",IFERROR($D38*INDEX(Mix_Eff,MATCH($C38,Mix_Code,0),3),""))</f>
        <v/>
      </c>
      <c r="I38" s="67" t="str">
        <f aca="false">IF(OR($C38="",$D38=""),"",IFERROR($D38*INDEX(Mix_Eff,MATCH($C38,Mix_Code,0),4),""))</f>
        <v/>
      </c>
      <c r="J38" s="67" t="str">
        <f aca="false">IF(OR($C38="",$D38=""),"",IFERROR($D38*INDEX(Mix_Eff,MATCH($C38,Mix_Code,0),5),""))</f>
        <v/>
      </c>
      <c r="K38" s="63"/>
      <c r="L38" s="16" t="str">
        <f aca="false">IF(AND($A38="",$B38="",$C38="",$D38=""),"",IF($A38="","⚠ Date missing",IF($B38="","⚠ Site missing",IF(ISNA(MATCH($C38,Mix_Code,0)),"⚠ Unknown mix code",IF($D38="","⚠ Enter m3 produced",IF(COUNTIF(CI_Site,$B38)=0,"⚠ Site not set up in Current Inventory",IF($A38&gt;AsOfDate,"Future date – not yet deducted","OK")))))))</f>
        <v/>
      </c>
    </row>
    <row r="39" customFormat="false" ht="15" hidden="false" customHeight="false" outlineLevel="0" collapsed="false">
      <c r="A39" s="65"/>
      <c r="B39" s="63"/>
      <c r="C39" s="70"/>
      <c r="D39" s="66"/>
      <c r="E39" s="16" t="str">
        <f aca="false">IF($C39="","",IFERROR(INDEX(Mix_Desc,MATCH($C39,Mix_Code,0)),"⚠ Unknown mix code"))</f>
        <v/>
      </c>
      <c r="F39" s="67" t="str">
        <f aca="false">IF(OR($C39="",$D39=""),"",IFERROR($D39*INDEX(Mix_Eff,MATCH($C39,Mix_Code,0),1),""))</f>
        <v/>
      </c>
      <c r="G39" s="67" t="str">
        <f aca="false">IF(OR($C39="",$D39=""),"",IFERROR($D39*INDEX(Mix_Eff,MATCH($C39,Mix_Code,0),2),""))</f>
        <v/>
      </c>
      <c r="H39" s="67" t="str">
        <f aca="false">IF(OR($C39="",$D39=""),"",IFERROR($D39*INDEX(Mix_Eff,MATCH($C39,Mix_Code,0),3),""))</f>
        <v/>
      </c>
      <c r="I39" s="67" t="str">
        <f aca="false">IF(OR($C39="",$D39=""),"",IFERROR($D39*INDEX(Mix_Eff,MATCH($C39,Mix_Code,0),4),""))</f>
        <v/>
      </c>
      <c r="J39" s="67" t="str">
        <f aca="false">IF(OR($C39="",$D39=""),"",IFERROR($D39*INDEX(Mix_Eff,MATCH($C39,Mix_Code,0),5),""))</f>
        <v/>
      </c>
      <c r="K39" s="63"/>
      <c r="L39" s="16" t="str">
        <f aca="false">IF(AND($A39="",$B39="",$C39="",$D39=""),"",IF($A39="","⚠ Date missing",IF($B39="","⚠ Site missing",IF(ISNA(MATCH($C39,Mix_Code,0)),"⚠ Unknown mix code",IF($D39="","⚠ Enter m3 produced",IF(COUNTIF(CI_Site,$B39)=0,"⚠ Site not set up in Current Inventory",IF($A39&gt;AsOfDate,"Future date – not yet deducted","OK")))))))</f>
        <v/>
      </c>
    </row>
    <row r="40" customFormat="false" ht="15" hidden="false" customHeight="false" outlineLevel="0" collapsed="false">
      <c r="A40" s="65"/>
      <c r="B40" s="63"/>
      <c r="C40" s="70"/>
      <c r="D40" s="66"/>
      <c r="E40" s="16" t="str">
        <f aca="false">IF($C40="","",IFERROR(INDEX(Mix_Desc,MATCH($C40,Mix_Code,0)),"⚠ Unknown mix code"))</f>
        <v/>
      </c>
      <c r="F40" s="67" t="str">
        <f aca="false">IF(OR($C40="",$D40=""),"",IFERROR($D40*INDEX(Mix_Eff,MATCH($C40,Mix_Code,0),1),""))</f>
        <v/>
      </c>
      <c r="G40" s="67" t="str">
        <f aca="false">IF(OR($C40="",$D40=""),"",IFERROR($D40*INDEX(Mix_Eff,MATCH($C40,Mix_Code,0),2),""))</f>
        <v/>
      </c>
      <c r="H40" s="67" t="str">
        <f aca="false">IF(OR($C40="",$D40=""),"",IFERROR($D40*INDEX(Mix_Eff,MATCH($C40,Mix_Code,0),3),""))</f>
        <v/>
      </c>
      <c r="I40" s="67" t="str">
        <f aca="false">IF(OR($C40="",$D40=""),"",IFERROR($D40*INDEX(Mix_Eff,MATCH($C40,Mix_Code,0),4),""))</f>
        <v/>
      </c>
      <c r="J40" s="67" t="str">
        <f aca="false">IF(OR($C40="",$D40=""),"",IFERROR($D40*INDEX(Mix_Eff,MATCH($C40,Mix_Code,0),5),""))</f>
        <v/>
      </c>
      <c r="K40" s="63"/>
      <c r="L40" s="16" t="str">
        <f aca="false">IF(AND($A40="",$B40="",$C40="",$D40=""),"",IF($A40="","⚠ Date missing",IF($B40="","⚠ Site missing",IF(ISNA(MATCH($C40,Mix_Code,0)),"⚠ Unknown mix code",IF($D40="","⚠ Enter m3 produced",IF(COUNTIF(CI_Site,$B40)=0,"⚠ Site not set up in Current Inventory",IF($A40&gt;AsOfDate,"Future date – not yet deducted","OK")))))))</f>
        <v/>
      </c>
    </row>
    <row r="41" customFormat="false" ht="15" hidden="false" customHeight="false" outlineLevel="0" collapsed="false">
      <c r="A41" s="65"/>
      <c r="B41" s="63"/>
      <c r="C41" s="70"/>
      <c r="D41" s="66"/>
      <c r="E41" s="16" t="str">
        <f aca="false">IF($C41="","",IFERROR(INDEX(Mix_Desc,MATCH($C41,Mix_Code,0)),"⚠ Unknown mix code"))</f>
        <v/>
      </c>
      <c r="F41" s="67" t="str">
        <f aca="false">IF(OR($C41="",$D41=""),"",IFERROR($D41*INDEX(Mix_Eff,MATCH($C41,Mix_Code,0),1),""))</f>
        <v/>
      </c>
      <c r="G41" s="67" t="str">
        <f aca="false">IF(OR($C41="",$D41=""),"",IFERROR($D41*INDEX(Mix_Eff,MATCH($C41,Mix_Code,0),2),""))</f>
        <v/>
      </c>
      <c r="H41" s="67" t="str">
        <f aca="false">IF(OR($C41="",$D41=""),"",IFERROR($D41*INDEX(Mix_Eff,MATCH($C41,Mix_Code,0),3),""))</f>
        <v/>
      </c>
      <c r="I41" s="67" t="str">
        <f aca="false">IF(OR($C41="",$D41=""),"",IFERROR($D41*INDEX(Mix_Eff,MATCH($C41,Mix_Code,0),4),""))</f>
        <v/>
      </c>
      <c r="J41" s="67" t="str">
        <f aca="false">IF(OR($C41="",$D41=""),"",IFERROR($D41*INDEX(Mix_Eff,MATCH($C41,Mix_Code,0),5),""))</f>
        <v/>
      </c>
      <c r="K41" s="63"/>
      <c r="L41" s="16" t="str">
        <f aca="false">IF(AND($A41="",$B41="",$C41="",$D41=""),"",IF($A41="","⚠ Date missing",IF($B41="","⚠ Site missing",IF(ISNA(MATCH($C41,Mix_Code,0)),"⚠ Unknown mix code",IF($D41="","⚠ Enter m3 produced",IF(COUNTIF(CI_Site,$B41)=0,"⚠ Site not set up in Current Inventory",IF($A41&gt;AsOfDate,"Future date – not yet deducted","OK")))))))</f>
        <v/>
      </c>
    </row>
    <row r="42" customFormat="false" ht="15" hidden="false" customHeight="false" outlineLevel="0" collapsed="false">
      <c r="A42" s="65"/>
      <c r="B42" s="63"/>
      <c r="C42" s="70"/>
      <c r="D42" s="66"/>
      <c r="E42" s="16" t="str">
        <f aca="false">IF($C42="","",IFERROR(INDEX(Mix_Desc,MATCH($C42,Mix_Code,0)),"⚠ Unknown mix code"))</f>
        <v/>
      </c>
      <c r="F42" s="67" t="str">
        <f aca="false">IF(OR($C42="",$D42=""),"",IFERROR($D42*INDEX(Mix_Eff,MATCH($C42,Mix_Code,0),1),""))</f>
        <v/>
      </c>
      <c r="G42" s="67" t="str">
        <f aca="false">IF(OR($C42="",$D42=""),"",IFERROR($D42*INDEX(Mix_Eff,MATCH($C42,Mix_Code,0),2),""))</f>
        <v/>
      </c>
      <c r="H42" s="67" t="str">
        <f aca="false">IF(OR($C42="",$D42=""),"",IFERROR($D42*INDEX(Mix_Eff,MATCH($C42,Mix_Code,0),3),""))</f>
        <v/>
      </c>
      <c r="I42" s="67" t="str">
        <f aca="false">IF(OR($C42="",$D42=""),"",IFERROR($D42*INDEX(Mix_Eff,MATCH($C42,Mix_Code,0),4),""))</f>
        <v/>
      </c>
      <c r="J42" s="67" t="str">
        <f aca="false">IF(OR($C42="",$D42=""),"",IFERROR($D42*INDEX(Mix_Eff,MATCH($C42,Mix_Code,0),5),""))</f>
        <v/>
      </c>
      <c r="K42" s="63"/>
      <c r="L42" s="16" t="str">
        <f aca="false">IF(AND($A42="",$B42="",$C42="",$D42=""),"",IF($A42="","⚠ Date missing",IF($B42="","⚠ Site missing",IF(ISNA(MATCH($C42,Mix_Code,0)),"⚠ Unknown mix code",IF($D42="","⚠ Enter m3 produced",IF(COUNTIF(CI_Site,$B42)=0,"⚠ Site not set up in Current Inventory",IF($A42&gt;AsOfDate,"Future date – not yet deducted","OK")))))))</f>
        <v/>
      </c>
    </row>
    <row r="43" customFormat="false" ht="15" hidden="false" customHeight="false" outlineLevel="0" collapsed="false">
      <c r="A43" s="65"/>
      <c r="B43" s="63"/>
      <c r="C43" s="70"/>
      <c r="D43" s="66"/>
      <c r="E43" s="16" t="str">
        <f aca="false">IF($C43="","",IFERROR(INDEX(Mix_Desc,MATCH($C43,Mix_Code,0)),"⚠ Unknown mix code"))</f>
        <v/>
      </c>
      <c r="F43" s="67" t="str">
        <f aca="false">IF(OR($C43="",$D43=""),"",IFERROR($D43*INDEX(Mix_Eff,MATCH($C43,Mix_Code,0),1),""))</f>
        <v/>
      </c>
      <c r="G43" s="67" t="str">
        <f aca="false">IF(OR($C43="",$D43=""),"",IFERROR($D43*INDEX(Mix_Eff,MATCH($C43,Mix_Code,0),2),""))</f>
        <v/>
      </c>
      <c r="H43" s="67" t="str">
        <f aca="false">IF(OR($C43="",$D43=""),"",IFERROR($D43*INDEX(Mix_Eff,MATCH($C43,Mix_Code,0),3),""))</f>
        <v/>
      </c>
      <c r="I43" s="67" t="str">
        <f aca="false">IF(OR($C43="",$D43=""),"",IFERROR($D43*INDEX(Mix_Eff,MATCH($C43,Mix_Code,0),4),""))</f>
        <v/>
      </c>
      <c r="J43" s="67" t="str">
        <f aca="false">IF(OR($C43="",$D43=""),"",IFERROR($D43*INDEX(Mix_Eff,MATCH($C43,Mix_Code,0),5),""))</f>
        <v/>
      </c>
      <c r="K43" s="63"/>
      <c r="L43" s="16" t="str">
        <f aca="false">IF(AND($A43="",$B43="",$C43="",$D43=""),"",IF($A43="","⚠ Date missing",IF($B43="","⚠ Site missing",IF(ISNA(MATCH($C43,Mix_Code,0)),"⚠ Unknown mix code",IF($D43="","⚠ Enter m3 produced",IF(COUNTIF(CI_Site,$B43)=0,"⚠ Site not set up in Current Inventory",IF($A43&gt;AsOfDate,"Future date – not yet deducted","OK")))))))</f>
        <v/>
      </c>
    </row>
    <row r="44" customFormat="false" ht="15" hidden="false" customHeight="false" outlineLevel="0" collapsed="false">
      <c r="A44" s="65"/>
      <c r="B44" s="63"/>
      <c r="C44" s="70"/>
      <c r="D44" s="66"/>
      <c r="E44" s="16" t="str">
        <f aca="false">IF($C44="","",IFERROR(INDEX(Mix_Desc,MATCH($C44,Mix_Code,0)),"⚠ Unknown mix code"))</f>
        <v/>
      </c>
      <c r="F44" s="67" t="str">
        <f aca="false">IF(OR($C44="",$D44=""),"",IFERROR($D44*INDEX(Mix_Eff,MATCH($C44,Mix_Code,0),1),""))</f>
        <v/>
      </c>
      <c r="G44" s="67" t="str">
        <f aca="false">IF(OR($C44="",$D44=""),"",IFERROR($D44*INDEX(Mix_Eff,MATCH($C44,Mix_Code,0),2),""))</f>
        <v/>
      </c>
      <c r="H44" s="67" t="str">
        <f aca="false">IF(OR($C44="",$D44=""),"",IFERROR($D44*INDEX(Mix_Eff,MATCH($C44,Mix_Code,0),3),""))</f>
        <v/>
      </c>
      <c r="I44" s="67" t="str">
        <f aca="false">IF(OR($C44="",$D44=""),"",IFERROR($D44*INDEX(Mix_Eff,MATCH($C44,Mix_Code,0),4),""))</f>
        <v/>
      </c>
      <c r="J44" s="67" t="str">
        <f aca="false">IF(OR($C44="",$D44=""),"",IFERROR($D44*INDEX(Mix_Eff,MATCH($C44,Mix_Code,0),5),""))</f>
        <v/>
      </c>
      <c r="K44" s="63"/>
      <c r="L44" s="16" t="str">
        <f aca="false">IF(AND($A44="",$B44="",$C44="",$D44=""),"",IF($A44="","⚠ Date missing",IF($B44="","⚠ Site missing",IF(ISNA(MATCH($C44,Mix_Code,0)),"⚠ Unknown mix code",IF($D44="","⚠ Enter m3 produced",IF(COUNTIF(CI_Site,$B44)=0,"⚠ Site not set up in Current Inventory",IF($A44&gt;AsOfDate,"Future date – not yet deducted","OK")))))))</f>
        <v/>
      </c>
    </row>
    <row r="45" customFormat="false" ht="15" hidden="false" customHeight="false" outlineLevel="0" collapsed="false">
      <c r="A45" s="65"/>
      <c r="B45" s="63"/>
      <c r="C45" s="70"/>
      <c r="D45" s="66"/>
      <c r="E45" s="16" t="str">
        <f aca="false">IF($C45="","",IFERROR(INDEX(Mix_Desc,MATCH($C45,Mix_Code,0)),"⚠ Unknown mix code"))</f>
        <v/>
      </c>
      <c r="F45" s="67" t="str">
        <f aca="false">IF(OR($C45="",$D45=""),"",IFERROR($D45*INDEX(Mix_Eff,MATCH($C45,Mix_Code,0),1),""))</f>
        <v/>
      </c>
      <c r="G45" s="67" t="str">
        <f aca="false">IF(OR($C45="",$D45=""),"",IFERROR($D45*INDEX(Mix_Eff,MATCH($C45,Mix_Code,0),2),""))</f>
        <v/>
      </c>
      <c r="H45" s="67" t="str">
        <f aca="false">IF(OR($C45="",$D45=""),"",IFERROR($D45*INDEX(Mix_Eff,MATCH($C45,Mix_Code,0),3),""))</f>
        <v/>
      </c>
      <c r="I45" s="67" t="str">
        <f aca="false">IF(OR($C45="",$D45=""),"",IFERROR($D45*INDEX(Mix_Eff,MATCH($C45,Mix_Code,0),4),""))</f>
        <v/>
      </c>
      <c r="J45" s="67" t="str">
        <f aca="false">IF(OR($C45="",$D45=""),"",IFERROR($D45*INDEX(Mix_Eff,MATCH($C45,Mix_Code,0),5),""))</f>
        <v/>
      </c>
      <c r="K45" s="63"/>
      <c r="L45" s="16" t="str">
        <f aca="false">IF(AND($A45="",$B45="",$C45="",$D45=""),"",IF($A45="","⚠ Date missing",IF($B45="","⚠ Site missing",IF(ISNA(MATCH($C45,Mix_Code,0)),"⚠ Unknown mix code",IF($D45="","⚠ Enter m3 produced",IF(COUNTIF(CI_Site,$B45)=0,"⚠ Site not set up in Current Inventory",IF($A45&gt;AsOfDate,"Future date – not yet deducted","OK")))))))</f>
        <v/>
      </c>
    </row>
    <row r="46" customFormat="false" ht="15" hidden="false" customHeight="false" outlineLevel="0" collapsed="false">
      <c r="A46" s="65"/>
      <c r="B46" s="63"/>
      <c r="C46" s="70"/>
      <c r="D46" s="66"/>
      <c r="E46" s="16" t="str">
        <f aca="false">IF($C46="","",IFERROR(INDEX(Mix_Desc,MATCH($C46,Mix_Code,0)),"⚠ Unknown mix code"))</f>
        <v/>
      </c>
      <c r="F46" s="67" t="str">
        <f aca="false">IF(OR($C46="",$D46=""),"",IFERROR($D46*INDEX(Mix_Eff,MATCH($C46,Mix_Code,0),1),""))</f>
        <v/>
      </c>
      <c r="G46" s="67" t="str">
        <f aca="false">IF(OR($C46="",$D46=""),"",IFERROR($D46*INDEX(Mix_Eff,MATCH($C46,Mix_Code,0),2),""))</f>
        <v/>
      </c>
      <c r="H46" s="67" t="str">
        <f aca="false">IF(OR($C46="",$D46=""),"",IFERROR($D46*INDEX(Mix_Eff,MATCH($C46,Mix_Code,0),3),""))</f>
        <v/>
      </c>
      <c r="I46" s="67" t="str">
        <f aca="false">IF(OR($C46="",$D46=""),"",IFERROR($D46*INDEX(Mix_Eff,MATCH($C46,Mix_Code,0),4),""))</f>
        <v/>
      </c>
      <c r="J46" s="67" t="str">
        <f aca="false">IF(OR($C46="",$D46=""),"",IFERROR($D46*INDEX(Mix_Eff,MATCH($C46,Mix_Code,0),5),""))</f>
        <v/>
      </c>
      <c r="K46" s="63"/>
      <c r="L46" s="16" t="str">
        <f aca="false">IF(AND($A46="",$B46="",$C46="",$D46=""),"",IF($A46="","⚠ Date missing",IF($B46="","⚠ Site missing",IF(ISNA(MATCH($C46,Mix_Code,0)),"⚠ Unknown mix code",IF($D46="","⚠ Enter m3 produced",IF(COUNTIF(CI_Site,$B46)=0,"⚠ Site not set up in Current Inventory",IF($A46&gt;AsOfDate,"Future date – not yet deducted","OK")))))))</f>
        <v/>
      </c>
    </row>
    <row r="47" customFormat="false" ht="15" hidden="false" customHeight="false" outlineLevel="0" collapsed="false">
      <c r="A47" s="65"/>
      <c r="B47" s="63"/>
      <c r="C47" s="70"/>
      <c r="D47" s="66"/>
      <c r="E47" s="16" t="str">
        <f aca="false">IF($C47="","",IFERROR(INDEX(Mix_Desc,MATCH($C47,Mix_Code,0)),"⚠ Unknown mix code"))</f>
        <v/>
      </c>
      <c r="F47" s="67" t="str">
        <f aca="false">IF(OR($C47="",$D47=""),"",IFERROR($D47*INDEX(Mix_Eff,MATCH($C47,Mix_Code,0),1),""))</f>
        <v/>
      </c>
      <c r="G47" s="67" t="str">
        <f aca="false">IF(OR($C47="",$D47=""),"",IFERROR($D47*INDEX(Mix_Eff,MATCH($C47,Mix_Code,0),2),""))</f>
        <v/>
      </c>
      <c r="H47" s="67" t="str">
        <f aca="false">IF(OR($C47="",$D47=""),"",IFERROR($D47*INDEX(Mix_Eff,MATCH($C47,Mix_Code,0),3),""))</f>
        <v/>
      </c>
      <c r="I47" s="67" t="str">
        <f aca="false">IF(OR($C47="",$D47=""),"",IFERROR($D47*INDEX(Mix_Eff,MATCH($C47,Mix_Code,0),4),""))</f>
        <v/>
      </c>
      <c r="J47" s="67" t="str">
        <f aca="false">IF(OR($C47="",$D47=""),"",IFERROR($D47*INDEX(Mix_Eff,MATCH($C47,Mix_Code,0),5),""))</f>
        <v/>
      </c>
      <c r="K47" s="63"/>
      <c r="L47" s="16" t="str">
        <f aca="false">IF(AND($A47="",$B47="",$C47="",$D47=""),"",IF($A47="","⚠ Date missing",IF($B47="","⚠ Site missing",IF(ISNA(MATCH($C47,Mix_Code,0)),"⚠ Unknown mix code",IF($D47="","⚠ Enter m3 produced",IF(COUNTIF(CI_Site,$B47)=0,"⚠ Site not set up in Current Inventory",IF($A47&gt;AsOfDate,"Future date – not yet deducted","OK")))))))</f>
        <v/>
      </c>
    </row>
    <row r="48" customFormat="false" ht="15" hidden="false" customHeight="false" outlineLevel="0" collapsed="false">
      <c r="A48" s="65"/>
      <c r="B48" s="63"/>
      <c r="C48" s="70"/>
      <c r="D48" s="66"/>
      <c r="E48" s="16" t="str">
        <f aca="false">IF($C48="","",IFERROR(INDEX(Mix_Desc,MATCH($C48,Mix_Code,0)),"⚠ Unknown mix code"))</f>
        <v/>
      </c>
      <c r="F48" s="67" t="str">
        <f aca="false">IF(OR($C48="",$D48=""),"",IFERROR($D48*INDEX(Mix_Eff,MATCH($C48,Mix_Code,0),1),""))</f>
        <v/>
      </c>
      <c r="G48" s="67" t="str">
        <f aca="false">IF(OR($C48="",$D48=""),"",IFERROR($D48*INDEX(Mix_Eff,MATCH($C48,Mix_Code,0),2),""))</f>
        <v/>
      </c>
      <c r="H48" s="67" t="str">
        <f aca="false">IF(OR($C48="",$D48=""),"",IFERROR($D48*INDEX(Mix_Eff,MATCH($C48,Mix_Code,0),3),""))</f>
        <v/>
      </c>
      <c r="I48" s="67" t="str">
        <f aca="false">IF(OR($C48="",$D48=""),"",IFERROR($D48*INDEX(Mix_Eff,MATCH($C48,Mix_Code,0),4),""))</f>
        <v/>
      </c>
      <c r="J48" s="67" t="str">
        <f aca="false">IF(OR($C48="",$D48=""),"",IFERROR($D48*INDEX(Mix_Eff,MATCH($C48,Mix_Code,0),5),""))</f>
        <v/>
      </c>
      <c r="K48" s="63"/>
      <c r="L48" s="16" t="str">
        <f aca="false">IF(AND($A48="",$B48="",$C48="",$D48=""),"",IF($A48="","⚠ Date missing",IF($B48="","⚠ Site missing",IF(ISNA(MATCH($C48,Mix_Code,0)),"⚠ Unknown mix code",IF($D48="","⚠ Enter m3 produced",IF(COUNTIF(CI_Site,$B48)=0,"⚠ Site not set up in Current Inventory",IF($A48&gt;AsOfDate,"Future date – not yet deducted","OK")))))))</f>
        <v/>
      </c>
    </row>
    <row r="49" customFormat="false" ht="15" hidden="false" customHeight="false" outlineLevel="0" collapsed="false">
      <c r="A49" s="65"/>
      <c r="B49" s="63"/>
      <c r="C49" s="70"/>
      <c r="D49" s="66"/>
      <c r="E49" s="16" t="str">
        <f aca="false">IF($C49="","",IFERROR(INDEX(Mix_Desc,MATCH($C49,Mix_Code,0)),"⚠ Unknown mix code"))</f>
        <v/>
      </c>
      <c r="F49" s="67" t="str">
        <f aca="false">IF(OR($C49="",$D49=""),"",IFERROR($D49*INDEX(Mix_Eff,MATCH($C49,Mix_Code,0),1),""))</f>
        <v/>
      </c>
      <c r="G49" s="67" t="str">
        <f aca="false">IF(OR($C49="",$D49=""),"",IFERROR($D49*INDEX(Mix_Eff,MATCH($C49,Mix_Code,0),2),""))</f>
        <v/>
      </c>
      <c r="H49" s="67" t="str">
        <f aca="false">IF(OR($C49="",$D49=""),"",IFERROR($D49*INDEX(Mix_Eff,MATCH($C49,Mix_Code,0),3),""))</f>
        <v/>
      </c>
      <c r="I49" s="67" t="str">
        <f aca="false">IF(OR($C49="",$D49=""),"",IFERROR($D49*INDEX(Mix_Eff,MATCH($C49,Mix_Code,0),4),""))</f>
        <v/>
      </c>
      <c r="J49" s="67" t="str">
        <f aca="false">IF(OR($C49="",$D49=""),"",IFERROR($D49*INDEX(Mix_Eff,MATCH($C49,Mix_Code,0),5),""))</f>
        <v/>
      </c>
      <c r="K49" s="63"/>
      <c r="L49" s="16" t="str">
        <f aca="false">IF(AND($A49="",$B49="",$C49="",$D49=""),"",IF($A49="","⚠ Date missing",IF($B49="","⚠ Site missing",IF(ISNA(MATCH($C49,Mix_Code,0)),"⚠ Unknown mix code",IF($D49="","⚠ Enter m3 produced",IF(COUNTIF(CI_Site,$B49)=0,"⚠ Site not set up in Current Inventory",IF($A49&gt;AsOfDate,"Future date – not yet deducted","OK")))))))</f>
        <v/>
      </c>
    </row>
    <row r="50" customFormat="false" ht="15" hidden="false" customHeight="false" outlineLevel="0" collapsed="false">
      <c r="A50" s="65"/>
      <c r="B50" s="63"/>
      <c r="C50" s="70"/>
      <c r="D50" s="66"/>
      <c r="E50" s="16" t="str">
        <f aca="false">IF($C50="","",IFERROR(INDEX(Mix_Desc,MATCH($C50,Mix_Code,0)),"⚠ Unknown mix code"))</f>
        <v/>
      </c>
      <c r="F50" s="67" t="str">
        <f aca="false">IF(OR($C50="",$D50=""),"",IFERROR($D50*INDEX(Mix_Eff,MATCH($C50,Mix_Code,0),1),""))</f>
        <v/>
      </c>
      <c r="G50" s="67" t="str">
        <f aca="false">IF(OR($C50="",$D50=""),"",IFERROR($D50*INDEX(Mix_Eff,MATCH($C50,Mix_Code,0),2),""))</f>
        <v/>
      </c>
      <c r="H50" s="67" t="str">
        <f aca="false">IF(OR($C50="",$D50=""),"",IFERROR($D50*INDEX(Mix_Eff,MATCH($C50,Mix_Code,0),3),""))</f>
        <v/>
      </c>
      <c r="I50" s="67" t="str">
        <f aca="false">IF(OR($C50="",$D50=""),"",IFERROR($D50*INDEX(Mix_Eff,MATCH($C50,Mix_Code,0),4),""))</f>
        <v/>
      </c>
      <c r="J50" s="67" t="str">
        <f aca="false">IF(OR($C50="",$D50=""),"",IFERROR($D50*INDEX(Mix_Eff,MATCH($C50,Mix_Code,0),5),""))</f>
        <v/>
      </c>
      <c r="K50" s="63"/>
      <c r="L50" s="16" t="str">
        <f aca="false">IF(AND($A50="",$B50="",$C50="",$D50=""),"",IF($A50="","⚠ Date missing",IF($B50="","⚠ Site missing",IF(ISNA(MATCH($C50,Mix_Code,0)),"⚠ Unknown mix code",IF($D50="","⚠ Enter m3 produced",IF(COUNTIF(CI_Site,$B50)=0,"⚠ Site not set up in Current Inventory",IF($A50&gt;AsOfDate,"Future date – not yet deducted","OK")))))))</f>
        <v/>
      </c>
    </row>
    <row r="51" customFormat="false" ht="15" hidden="false" customHeight="false" outlineLevel="0" collapsed="false">
      <c r="A51" s="65"/>
      <c r="B51" s="63"/>
      <c r="C51" s="70"/>
      <c r="D51" s="66"/>
      <c r="E51" s="16" t="str">
        <f aca="false">IF($C51="","",IFERROR(INDEX(Mix_Desc,MATCH($C51,Mix_Code,0)),"⚠ Unknown mix code"))</f>
        <v/>
      </c>
      <c r="F51" s="67" t="str">
        <f aca="false">IF(OR($C51="",$D51=""),"",IFERROR($D51*INDEX(Mix_Eff,MATCH($C51,Mix_Code,0),1),""))</f>
        <v/>
      </c>
      <c r="G51" s="67" t="str">
        <f aca="false">IF(OR($C51="",$D51=""),"",IFERROR($D51*INDEX(Mix_Eff,MATCH($C51,Mix_Code,0),2),""))</f>
        <v/>
      </c>
      <c r="H51" s="67" t="str">
        <f aca="false">IF(OR($C51="",$D51=""),"",IFERROR($D51*INDEX(Mix_Eff,MATCH($C51,Mix_Code,0),3),""))</f>
        <v/>
      </c>
      <c r="I51" s="67" t="str">
        <f aca="false">IF(OR($C51="",$D51=""),"",IFERROR($D51*INDEX(Mix_Eff,MATCH($C51,Mix_Code,0),4),""))</f>
        <v/>
      </c>
      <c r="J51" s="67" t="str">
        <f aca="false">IF(OR($C51="",$D51=""),"",IFERROR($D51*INDEX(Mix_Eff,MATCH($C51,Mix_Code,0),5),""))</f>
        <v/>
      </c>
      <c r="K51" s="63"/>
      <c r="L51" s="16" t="str">
        <f aca="false">IF(AND($A51="",$B51="",$C51="",$D51=""),"",IF($A51="","⚠ Date missing",IF($B51="","⚠ Site missing",IF(ISNA(MATCH($C51,Mix_Code,0)),"⚠ Unknown mix code",IF($D51="","⚠ Enter m3 produced",IF(COUNTIF(CI_Site,$B51)=0,"⚠ Site not set up in Current Inventory",IF($A51&gt;AsOfDate,"Future date – not yet deducted","OK")))))))</f>
        <v/>
      </c>
    </row>
    <row r="52" customFormat="false" ht="15" hidden="false" customHeight="false" outlineLevel="0" collapsed="false">
      <c r="A52" s="65"/>
      <c r="B52" s="63"/>
      <c r="C52" s="70"/>
      <c r="D52" s="66"/>
      <c r="E52" s="16" t="str">
        <f aca="false">IF($C52="","",IFERROR(INDEX(Mix_Desc,MATCH($C52,Mix_Code,0)),"⚠ Unknown mix code"))</f>
        <v/>
      </c>
      <c r="F52" s="67" t="str">
        <f aca="false">IF(OR($C52="",$D52=""),"",IFERROR($D52*INDEX(Mix_Eff,MATCH($C52,Mix_Code,0),1),""))</f>
        <v/>
      </c>
      <c r="G52" s="67" t="str">
        <f aca="false">IF(OR($C52="",$D52=""),"",IFERROR($D52*INDEX(Mix_Eff,MATCH($C52,Mix_Code,0),2),""))</f>
        <v/>
      </c>
      <c r="H52" s="67" t="str">
        <f aca="false">IF(OR($C52="",$D52=""),"",IFERROR($D52*INDEX(Mix_Eff,MATCH($C52,Mix_Code,0),3),""))</f>
        <v/>
      </c>
      <c r="I52" s="67" t="str">
        <f aca="false">IF(OR($C52="",$D52=""),"",IFERROR($D52*INDEX(Mix_Eff,MATCH($C52,Mix_Code,0),4),""))</f>
        <v/>
      </c>
      <c r="J52" s="67" t="str">
        <f aca="false">IF(OR($C52="",$D52=""),"",IFERROR($D52*INDEX(Mix_Eff,MATCH($C52,Mix_Code,0),5),""))</f>
        <v/>
      </c>
      <c r="K52" s="63"/>
      <c r="L52" s="16" t="str">
        <f aca="false">IF(AND($A52="",$B52="",$C52="",$D52=""),"",IF($A52="","⚠ Date missing",IF($B52="","⚠ Site missing",IF(ISNA(MATCH($C52,Mix_Code,0)),"⚠ Unknown mix code",IF($D52="","⚠ Enter m3 produced",IF(COUNTIF(CI_Site,$B52)=0,"⚠ Site not set up in Current Inventory",IF($A52&gt;AsOfDate,"Future date – not yet deducted","OK")))))))</f>
        <v/>
      </c>
    </row>
    <row r="53" customFormat="false" ht="15" hidden="false" customHeight="false" outlineLevel="0" collapsed="false">
      <c r="A53" s="65"/>
      <c r="B53" s="63"/>
      <c r="C53" s="70"/>
      <c r="D53" s="66"/>
      <c r="E53" s="16" t="str">
        <f aca="false">IF($C53="","",IFERROR(INDEX(Mix_Desc,MATCH($C53,Mix_Code,0)),"⚠ Unknown mix code"))</f>
        <v/>
      </c>
      <c r="F53" s="67" t="str">
        <f aca="false">IF(OR($C53="",$D53=""),"",IFERROR($D53*INDEX(Mix_Eff,MATCH($C53,Mix_Code,0),1),""))</f>
        <v/>
      </c>
      <c r="G53" s="67" t="str">
        <f aca="false">IF(OR($C53="",$D53=""),"",IFERROR($D53*INDEX(Mix_Eff,MATCH($C53,Mix_Code,0),2),""))</f>
        <v/>
      </c>
      <c r="H53" s="67" t="str">
        <f aca="false">IF(OR($C53="",$D53=""),"",IFERROR($D53*INDEX(Mix_Eff,MATCH($C53,Mix_Code,0),3),""))</f>
        <v/>
      </c>
      <c r="I53" s="67" t="str">
        <f aca="false">IF(OR($C53="",$D53=""),"",IFERROR($D53*INDEX(Mix_Eff,MATCH($C53,Mix_Code,0),4),""))</f>
        <v/>
      </c>
      <c r="J53" s="67" t="str">
        <f aca="false">IF(OR($C53="",$D53=""),"",IFERROR($D53*INDEX(Mix_Eff,MATCH($C53,Mix_Code,0),5),""))</f>
        <v/>
      </c>
      <c r="K53" s="63"/>
      <c r="L53" s="16" t="str">
        <f aca="false">IF(AND($A53="",$B53="",$C53="",$D53=""),"",IF($A53="","⚠ Date missing",IF($B53="","⚠ Site missing",IF(ISNA(MATCH($C53,Mix_Code,0)),"⚠ Unknown mix code",IF($D53="","⚠ Enter m3 produced",IF(COUNTIF(CI_Site,$B53)=0,"⚠ Site not set up in Current Inventory",IF($A53&gt;AsOfDate,"Future date – not yet deducted","OK")))))))</f>
        <v/>
      </c>
    </row>
    <row r="54" customFormat="false" ht="15" hidden="false" customHeight="false" outlineLevel="0" collapsed="false">
      <c r="A54" s="65"/>
      <c r="B54" s="63"/>
      <c r="C54" s="70"/>
      <c r="D54" s="66"/>
      <c r="E54" s="16" t="str">
        <f aca="false">IF($C54="","",IFERROR(INDEX(Mix_Desc,MATCH($C54,Mix_Code,0)),"⚠ Unknown mix code"))</f>
        <v/>
      </c>
      <c r="F54" s="67" t="str">
        <f aca="false">IF(OR($C54="",$D54=""),"",IFERROR($D54*INDEX(Mix_Eff,MATCH($C54,Mix_Code,0),1),""))</f>
        <v/>
      </c>
      <c r="G54" s="67" t="str">
        <f aca="false">IF(OR($C54="",$D54=""),"",IFERROR($D54*INDEX(Mix_Eff,MATCH($C54,Mix_Code,0),2),""))</f>
        <v/>
      </c>
      <c r="H54" s="67" t="str">
        <f aca="false">IF(OR($C54="",$D54=""),"",IFERROR($D54*INDEX(Mix_Eff,MATCH($C54,Mix_Code,0),3),""))</f>
        <v/>
      </c>
      <c r="I54" s="67" t="str">
        <f aca="false">IF(OR($C54="",$D54=""),"",IFERROR($D54*INDEX(Mix_Eff,MATCH($C54,Mix_Code,0),4),""))</f>
        <v/>
      </c>
      <c r="J54" s="67" t="str">
        <f aca="false">IF(OR($C54="",$D54=""),"",IFERROR($D54*INDEX(Mix_Eff,MATCH($C54,Mix_Code,0),5),""))</f>
        <v/>
      </c>
      <c r="K54" s="63"/>
      <c r="L54" s="16" t="str">
        <f aca="false">IF(AND($A54="",$B54="",$C54="",$D54=""),"",IF($A54="","⚠ Date missing",IF($B54="","⚠ Site missing",IF(ISNA(MATCH($C54,Mix_Code,0)),"⚠ Unknown mix code",IF($D54="","⚠ Enter m3 produced",IF(COUNTIF(CI_Site,$B54)=0,"⚠ Site not set up in Current Inventory",IF($A54&gt;AsOfDate,"Future date – not yet deducted","OK")))))))</f>
        <v/>
      </c>
    </row>
    <row r="55" customFormat="false" ht="15" hidden="false" customHeight="false" outlineLevel="0" collapsed="false">
      <c r="A55" s="65"/>
      <c r="B55" s="63"/>
      <c r="C55" s="70"/>
      <c r="D55" s="66"/>
      <c r="E55" s="16" t="str">
        <f aca="false">IF($C55="","",IFERROR(INDEX(Mix_Desc,MATCH($C55,Mix_Code,0)),"⚠ Unknown mix code"))</f>
        <v/>
      </c>
      <c r="F55" s="67" t="str">
        <f aca="false">IF(OR($C55="",$D55=""),"",IFERROR($D55*INDEX(Mix_Eff,MATCH($C55,Mix_Code,0),1),""))</f>
        <v/>
      </c>
      <c r="G55" s="67" t="str">
        <f aca="false">IF(OR($C55="",$D55=""),"",IFERROR($D55*INDEX(Mix_Eff,MATCH($C55,Mix_Code,0),2),""))</f>
        <v/>
      </c>
      <c r="H55" s="67" t="str">
        <f aca="false">IF(OR($C55="",$D55=""),"",IFERROR($D55*INDEX(Mix_Eff,MATCH($C55,Mix_Code,0),3),""))</f>
        <v/>
      </c>
      <c r="I55" s="67" t="str">
        <f aca="false">IF(OR($C55="",$D55=""),"",IFERROR($D55*INDEX(Mix_Eff,MATCH($C55,Mix_Code,0),4),""))</f>
        <v/>
      </c>
      <c r="J55" s="67" t="str">
        <f aca="false">IF(OR($C55="",$D55=""),"",IFERROR($D55*INDEX(Mix_Eff,MATCH($C55,Mix_Code,0),5),""))</f>
        <v/>
      </c>
      <c r="K55" s="63"/>
      <c r="L55" s="16" t="str">
        <f aca="false">IF(AND($A55="",$B55="",$C55="",$D55=""),"",IF($A55="","⚠ Date missing",IF($B55="","⚠ Site missing",IF(ISNA(MATCH($C55,Mix_Code,0)),"⚠ Unknown mix code",IF($D55="","⚠ Enter m3 produced",IF(COUNTIF(CI_Site,$B55)=0,"⚠ Site not set up in Current Inventory",IF($A55&gt;AsOfDate,"Future date – not yet deducted","OK")))))))</f>
        <v/>
      </c>
    </row>
    <row r="56" customFormat="false" ht="15" hidden="false" customHeight="false" outlineLevel="0" collapsed="false">
      <c r="A56" s="65"/>
      <c r="B56" s="63"/>
      <c r="C56" s="70"/>
      <c r="D56" s="66"/>
      <c r="E56" s="16" t="str">
        <f aca="false">IF($C56="","",IFERROR(INDEX(Mix_Desc,MATCH($C56,Mix_Code,0)),"⚠ Unknown mix code"))</f>
        <v/>
      </c>
      <c r="F56" s="67" t="str">
        <f aca="false">IF(OR($C56="",$D56=""),"",IFERROR($D56*INDEX(Mix_Eff,MATCH($C56,Mix_Code,0),1),""))</f>
        <v/>
      </c>
      <c r="G56" s="67" t="str">
        <f aca="false">IF(OR($C56="",$D56=""),"",IFERROR($D56*INDEX(Mix_Eff,MATCH($C56,Mix_Code,0),2),""))</f>
        <v/>
      </c>
      <c r="H56" s="67" t="str">
        <f aca="false">IF(OR($C56="",$D56=""),"",IFERROR($D56*INDEX(Mix_Eff,MATCH($C56,Mix_Code,0),3),""))</f>
        <v/>
      </c>
      <c r="I56" s="67" t="str">
        <f aca="false">IF(OR($C56="",$D56=""),"",IFERROR($D56*INDEX(Mix_Eff,MATCH($C56,Mix_Code,0),4),""))</f>
        <v/>
      </c>
      <c r="J56" s="67" t="str">
        <f aca="false">IF(OR($C56="",$D56=""),"",IFERROR($D56*INDEX(Mix_Eff,MATCH($C56,Mix_Code,0),5),""))</f>
        <v/>
      </c>
      <c r="K56" s="63"/>
      <c r="L56" s="16" t="str">
        <f aca="false">IF(AND($A56="",$B56="",$C56="",$D56=""),"",IF($A56="","⚠ Date missing",IF($B56="","⚠ Site missing",IF(ISNA(MATCH($C56,Mix_Code,0)),"⚠ Unknown mix code",IF($D56="","⚠ Enter m3 produced",IF(COUNTIF(CI_Site,$B56)=0,"⚠ Site not set up in Current Inventory",IF($A56&gt;AsOfDate,"Future date – not yet deducted","OK")))))))</f>
        <v/>
      </c>
    </row>
    <row r="57" customFormat="false" ht="15" hidden="false" customHeight="false" outlineLevel="0" collapsed="false">
      <c r="A57" s="65"/>
      <c r="B57" s="63"/>
      <c r="C57" s="70"/>
      <c r="D57" s="66"/>
      <c r="E57" s="16" t="str">
        <f aca="false">IF($C57="","",IFERROR(INDEX(Mix_Desc,MATCH($C57,Mix_Code,0)),"⚠ Unknown mix code"))</f>
        <v/>
      </c>
      <c r="F57" s="67" t="str">
        <f aca="false">IF(OR($C57="",$D57=""),"",IFERROR($D57*INDEX(Mix_Eff,MATCH($C57,Mix_Code,0),1),""))</f>
        <v/>
      </c>
      <c r="G57" s="67" t="str">
        <f aca="false">IF(OR($C57="",$D57=""),"",IFERROR($D57*INDEX(Mix_Eff,MATCH($C57,Mix_Code,0),2),""))</f>
        <v/>
      </c>
      <c r="H57" s="67" t="str">
        <f aca="false">IF(OR($C57="",$D57=""),"",IFERROR($D57*INDEX(Mix_Eff,MATCH($C57,Mix_Code,0),3),""))</f>
        <v/>
      </c>
      <c r="I57" s="67" t="str">
        <f aca="false">IF(OR($C57="",$D57=""),"",IFERROR($D57*INDEX(Mix_Eff,MATCH($C57,Mix_Code,0),4),""))</f>
        <v/>
      </c>
      <c r="J57" s="67" t="str">
        <f aca="false">IF(OR($C57="",$D57=""),"",IFERROR($D57*INDEX(Mix_Eff,MATCH($C57,Mix_Code,0),5),""))</f>
        <v/>
      </c>
      <c r="K57" s="63"/>
      <c r="L57" s="16" t="str">
        <f aca="false">IF(AND($A57="",$B57="",$C57="",$D57=""),"",IF($A57="","⚠ Date missing",IF($B57="","⚠ Site missing",IF(ISNA(MATCH($C57,Mix_Code,0)),"⚠ Unknown mix code",IF($D57="","⚠ Enter m3 produced",IF(COUNTIF(CI_Site,$B57)=0,"⚠ Site not set up in Current Inventory",IF($A57&gt;AsOfDate,"Future date – not yet deducted","OK")))))))</f>
        <v/>
      </c>
    </row>
    <row r="58" customFormat="false" ht="15" hidden="false" customHeight="false" outlineLevel="0" collapsed="false">
      <c r="A58" s="65"/>
      <c r="B58" s="63"/>
      <c r="C58" s="70"/>
      <c r="D58" s="66"/>
      <c r="E58" s="16" t="str">
        <f aca="false">IF($C58="","",IFERROR(INDEX(Mix_Desc,MATCH($C58,Mix_Code,0)),"⚠ Unknown mix code"))</f>
        <v/>
      </c>
      <c r="F58" s="67" t="str">
        <f aca="false">IF(OR($C58="",$D58=""),"",IFERROR($D58*INDEX(Mix_Eff,MATCH($C58,Mix_Code,0),1),""))</f>
        <v/>
      </c>
      <c r="G58" s="67" t="str">
        <f aca="false">IF(OR($C58="",$D58=""),"",IFERROR($D58*INDEX(Mix_Eff,MATCH($C58,Mix_Code,0),2),""))</f>
        <v/>
      </c>
      <c r="H58" s="67" t="str">
        <f aca="false">IF(OR($C58="",$D58=""),"",IFERROR($D58*INDEX(Mix_Eff,MATCH($C58,Mix_Code,0),3),""))</f>
        <v/>
      </c>
      <c r="I58" s="67" t="str">
        <f aca="false">IF(OR($C58="",$D58=""),"",IFERROR($D58*INDEX(Mix_Eff,MATCH($C58,Mix_Code,0),4),""))</f>
        <v/>
      </c>
      <c r="J58" s="67" t="str">
        <f aca="false">IF(OR($C58="",$D58=""),"",IFERROR($D58*INDEX(Mix_Eff,MATCH($C58,Mix_Code,0),5),""))</f>
        <v/>
      </c>
      <c r="K58" s="63"/>
      <c r="L58" s="16" t="str">
        <f aca="false">IF(AND($A58="",$B58="",$C58="",$D58=""),"",IF($A58="","⚠ Date missing",IF($B58="","⚠ Site missing",IF(ISNA(MATCH($C58,Mix_Code,0)),"⚠ Unknown mix code",IF($D58="","⚠ Enter m3 produced",IF(COUNTIF(CI_Site,$B58)=0,"⚠ Site not set up in Current Inventory",IF($A58&gt;AsOfDate,"Future date – not yet deducted","OK")))))))</f>
        <v/>
      </c>
    </row>
    <row r="59" customFormat="false" ht="15" hidden="false" customHeight="false" outlineLevel="0" collapsed="false">
      <c r="A59" s="65"/>
      <c r="B59" s="63"/>
      <c r="C59" s="70"/>
      <c r="D59" s="66"/>
      <c r="E59" s="16" t="str">
        <f aca="false">IF($C59="","",IFERROR(INDEX(Mix_Desc,MATCH($C59,Mix_Code,0)),"⚠ Unknown mix code"))</f>
        <v/>
      </c>
      <c r="F59" s="67" t="str">
        <f aca="false">IF(OR($C59="",$D59=""),"",IFERROR($D59*INDEX(Mix_Eff,MATCH($C59,Mix_Code,0),1),""))</f>
        <v/>
      </c>
      <c r="G59" s="67" t="str">
        <f aca="false">IF(OR($C59="",$D59=""),"",IFERROR($D59*INDEX(Mix_Eff,MATCH($C59,Mix_Code,0),2),""))</f>
        <v/>
      </c>
      <c r="H59" s="67" t="str">
        <f aca="false">IF(OR($C59="",$D59=""),"",IFERROR($D59*INDEX(Mix_Eff,MATCH($C59,Mix_Code,0),3),""))</f>
        <v/>
      </c>
      <c r="I59" s="67" t="str">
        <f aca="false">IF(OR($C59="",$D59=""),"",IFERROR($D59*INDEX(Mix_Eff,MATCH($C59,Mix_Code,0),4),""))</f>
        <v/>
      </c>
      <c r="J59" s="67" t="str">
        <f aca="false">IF(OR($C59="",$D59=""),"",IFERROR($D59*INDEX(Mix_Eff,MATCH($C59,Mix_Code,0),5),""))</f>
        <v/>
      </c>
      <c r="K59" s="63"/>
      <c r="L59" s="16" t="str">
        <f aca="false">IF(AND($A59="",$B59="",$C59="",$D59=""),"",IF($A59="","⚠ Date missing",IF($B59="","⚠ Site missing",IF(ISNA(MATCH($C59,Mix_Code,0)),"⚠ Unknown mix code",IF($D59="","⚠ Enter m3 produced",IF(COUNTIF(CI_Site,$B59)=0,"⚠ Site not set up in Current Inventory",IF($A59&gt;AsOfDate,"Future date – not yet deducted","OK")))))))</f>
        <v/>
      </c>
    </row>
    <row r="60" customFormat="false" ht="15" hidden="false" customHeight="false" outlineLevel="0" collapsed="false">
      <c r="A60" s="65"/>
      <c r="B60" s="63"/>
      <c r="C60" s="70"/>
      <c r="D60" s="66"/>
      <c r="E60" s="16" t="str">
        <f aca="false">IF($C60="","",IFERROR(INDEX(Mix_Desc,MATCH($C60,Mix_Code,0)),"⚠ Unknown mix code"))</f>
        <v/>
      </c>
      <c r="F60" s="67" t="str">
        <f aca="false">IF(OR($C60="",$D60=""),"",IFERROR($D60*INDEX(Mix_Eff,MATCH($C60,Mix_Code,0),1),""))</f>
        <v/>
      </c>
      <c r="G60" s="67" t="str">
        <f aca="false">IF(OR($C60="",$D60=""),"",IFERROR($D60*INDEX(Mix_Eff,MATCH($C60,Mix_Code,0),2),""))</f>
        <v/>
      </c>
      <c r="H60" s="67" t="str">
        <f aca="false">IF(OR($C60="",$D60=""),"",IFERROR($D60*INDEX(Mix_Eff,MATCH($C60,Mix_Code,0),3),""))</f>
        <v/>
      </c>
      <c r="I60" s="67" t="str">
        <f aca="false">IF(OR($C60="",$D60=""),"",IFERROR($D60*INDEX(Mix_Eff,MATCH($C60,Mix_Code,0),4),""))</f>
        <v/>
      </c>
      <c r="J60" s="67" t="str">
        <f aca="false">IF(OR($C60="",$D60=""),"",IFERROR($D60*INDEX(Mix_Eff,MATCH($C60,Mix_Code,0),5),""))</f>
        <v/>
      </c>
      <c r="K60" s="63"/>
      <c r="L60" s="16" t="str">
        <f aca="false">IF(AND($A60="",$B60="",$C60="",$D60=""),"",IF($A60="","⚠ Date missing",IF($B60="","⚠ Site missing",IF(ISNA(MATCH($C60,Mix_Code,0)),"⚠ Unknown mix code",IF($D60="","⚠ Enter m3 produced",IF(COUNTIF(CI_Site,$B60)=0,"⚠ Site not set up in Current Inventory",IF($A60&gt;AsOfDate,"Future date – not yet deducted","OK")))))))</f>
        <v/>
      </c>
    </row>
    <row r="61" customFormat="false" ht="15" hidden="false" customHeight="false" outlineLevel="0" collapsed="false">
      <c r="A61" s="65"/>
      <c r="B61" s="63"/>
      <c r="C61" s="70"/>
      <c r="D61" s="66"/>
      <c r="E61" s="16" t="str">
        <f aca="false">IF($C61="","",IFERROR(INDEX(Mix_Desc,MATCH($C61,Mix_Code,0)),"⚠ Unknown mix code"))</f>
        <v/>
      </c>
      <c r="F61" s="67" t="str">
        <f aca="false">IF(OR($C61="",$D61=""),"",IFERROR($D61*INDEX(Mix_Eff,MATCH($C61,Mix_Code,0),1),""))</f>
        <v/>
      </c>
      <c r="G61" s="67" t="str">
        <f aca="false">IF(OR($C61="",$D61=""),"",IFERROR($D61*INDEX(Mix_Eff,MATCH($C61,Mix_Code,0),2),""))</f>
        <v/>
      </c>
      <c r="H61" s="67" t="str">
        <f aca="false">IF(OR($C61="",$D61=""),"",IFERROR($D61*INDEX(Mix_Eff,MATCH($C61,Mix_Code,0),3),""))</f>
        <v/>
      </c>
      <c r="I61" s="67" t="str">
        <f aca="false">IF(OR($C61="",$D61=""),"",IFERROR($D61*INDEX(Mix_Eff,MATCH($C61,Mix_Code,0),4),""))</f>
        <v/>
      </c>
      <c r="J61" s="67" t="str">
        <f aca="false">IF(OR($C61="",$D61=""),"",IFERROR($D61*INDEX(Mix_Eff,MATCH($C61,Mix_Code,0),5),""))</f>
        <v/>
      </c>
      <c r="K61" s="63"/>
      <c r="L61" s="16" t="str">
        <f aca="false">IF(AND($A61="",$B61="",$C61="",$D61=""),"",IF($A61="","⚠ Date missing",IF($B61="","⚠ Site missing",IF(ISNA(MATCH($C61,Mix_Code,0)),"⚠ Unknown mix code",IF($D61="","⚠ Enter m3 produced",IF(COUNTIF(CI_Site,$B61)=0,"⚠ Site not set up in Current Inventory",IF($A61&gt;AsOfDate,"Future date – not yet deducted","OK")))))))</f>
        <v/>
      </c>
    </row>
    <row r="62" customFormat="false" ht="15" hidden="false" customHeight="false" outlineLevel="0" collapsed="false">
      <c r="A62" s="65"/>
      <c r="B62" s="63"/>
      <c r="C62" s="70"/>
      <c r="D62" s="66"/>
      <c r="E62" s="16" t="str">
        <f aca="false">IF($C62="","",IFERROR(INDEX(Mix_Desc,MATCH($C62,Mix_Code,0)),"⚠ Unknown mix code"))</f>
        <v/>
      </c>
      <c r="F62" s="67" t="str">
        <f aca="false">IF(OR($C62="",$D62=""),"",IFERROR($D62*INDEX(Mix_Eff,MATCH($C62,Mix_Code,0),1),""))</f>
        <v/>
      </c>
      <c r="G62" s="67" t="str">
        <f aca="false">IF(OR($C62="",$D62=""),"",IFERROR($D62*INDEX(Mix_Eff,MATCH($C62,Mix_Code,0),2),""))</f>
        <v/>
      </c>
      <c r="H62" s="67" t="str">
        <f aca="false">IF(OR($C62="",$D62=""),"",IFERROR($D62*INDEX(Mix_Eff,MATCH($C62,Mix_Code,0),3),""))</f>
        <v/>
      </c>
      <c r="I62" s="67" t="str">
        <f aca="false">IF(OR($C62="",$D62=""),"",IFERROR($D62*INDEX(Mix_Eff,MATCH($C62,Mix_Code,0),4),""))</f>
        <v/>
      </c>
      <c r="J62" s="67" t="str">
        <f aca="false">IF(OR($C62="",$D62=""),"",IFERROR($D62*INDEX(Mix_Eff,MATCH($C62,Mix_Code,0),5),""))</f>
        <v/>
      </c>
      <c r="K62" s="63"/>
      <c r="L62" s="16" t="str">
        <f aca="false">IF(AND($A62="",$B62="",$C62="",$D62=""),"",IF($A62="","⚠ Date missing",IF($B62="","⚠ Site missing",IF(ISNA(MATCH($C62,Mix_Code,0)),"⚠ Unknown mix code",IF($D62="","⚠ Enter m3 produced",IF(COUNTIF(CI_Site,$B62)=0,"⚠ Site not set up in Current Inventory",IF($A62&gt;AsOfDate,"Future date – not yet deducted","OK")))))))</f>
        <v/>
      </c>
    </row>
    <row r="63" customFormat="false" ht="15" hidden="false" customHeight="false" outlineLevel="0" collapsed="false">
      <c r="A63" s="65"/>
      <c r="B63" s="63"/>
      <c r="C63" s="70"/>
      <c r="D63" s="66"/>
      <c r="E63" s="16" t="str">
        <f aca="false">IF($C63="","",IFERROR(INDEX(Mix_Desc,MATCH($C63,Mix_Code,0)),"⚠ Unknown mix code"))</f>
        <v/>
      </c>
      <c r="F63" s="67" t="str">
        <f aca="false">IF(OR($C63="",$D63=""),"",IFERROR($D63*INDEX(Mix_Eff,MATCH($C63,Mix_Code,0),1),""))</f>
        <v/>
      </c>
      <c r="G63" s="67" t="str">
        <f aca="false">IF(OR($C63="",$D63=""),"",IFERROR($D63*INDEX(Mix_Eff,MATCH($C63,Mix_Code,0),2),""))</f>
        <v/>
      </c>
      <c r="H63" s="67" t="str">
        <f aca="false">IF(OR($C63="",$D63=""),"",IFERROR($D63*INDEX(Mix_Eff,MATCH($C63,Mix_Code,0),3),""))</f>
        <v/>
      </c>
      <c r="I63" s="67" t="str">
        <f aca="false">IF(OR($C63="",$D63=""),"",IFERROR($D63*INDEX(Mix_Eff,MATCH($C63,Mix_Code,0),4),""))</f>
        <v/>
      </c>
      <c r="J63" s="67" t="str">
        <f aca="false">IF(OR($C63="",$D63=""),"",IFERROR($D63*INDEX(Mix_Eff,MATCH($C63,Mix_Code,0),5),""))</f>
        <v/>
      </c>
      <c r="K63" s="63"/>
      <c r="L63" s="16" t="str">
        <f aca="false">IF(AND($A63="",$B63="",$C63="",$D63=""),"",IF($A63="","⚠ Date missing",IF($B63="","⚠ Site missing",IF(ISNA(MATCH($C63,Mix_Code,0)),"⚠ Unknown mix code",IF($D63="","⚠ Enter m3 produced",IF(COUNTIF(CI_Site,$B63)=0,"⚠ Site not set up in Current Inventory",IF($A63&gt;AsOfDate,"Future date – not yet deducted","OK")))))))</f>
        <v/>
      </c>
    </row>
    <row r="64" customFormat="false" ht="15" hidden="false" customHeight="false" outlineLevel="0" collapsed="false">
      <c r="A64" s="65"/>
      <c r="B64" s="63"/>
      <c r="C64" s="70"/>
      <c r="D64" s="66"/>
      <c r="E64" s="16" t="str">
        <f aca="false">IF($C64="","",IFERROR(INDEX(Mix_Desc,MATCH($C64,Mix_Code,0)),"⚠ Unknown mix code"))</f>
        <v/>
      </c>
      <c r="F64" s="67" t="str">
        <f aca="false">IF(OR($C64="",$D64=""),"",IFERROR($D64*INDEX(Mix_Eff,MATCH($C64,Mix_Code,0),1),""))</f>
        <v/>
      </c>
      <c r="G64" s="67" t="str">
        <f aca="false">IF(OR($C64="",$D64=""),"",IFERROR($D64*INDEX(Mix_Eff,MATCH($C64,Mix_Code,0),2),""))</f>
        <v/>
      </c>
      <c r="H64" s="67" t="str">
        <f aca="false">IF(OR($C64="",$D64=""),"",IFERROR($D64*INDEX(Mix_Eff,MATCH($C64,Mix_Code,0),3),""))</f>
        <v/>
      </c>
      <c r="I64" s="67" t="str">
        <f aca="false">IF(OR($C64="",$D64=""),"",IFERROR($D64*INDEX(Mix_Eff,MATCH($C64,Mix_Code,0),4),""))</f>
        <v/>
      </c>
      <c r="J64" s="67" t="str">
        <f aca="false">IF(OR($C64="",$D64=""),"",IFERROR($D64*INDEX(Mix_Eff,MATCH($C64,Mix_Code,0),5),""))</f>
        <v/>
      </c>
      <c r="K64" s="63"/>
      <c r="L64" s="16" t="str">
        <f aca="false">IF(AND($A64="",$B64="",$C64="",$D64=""),"",IF($A64="","⚠ Date missing",IF($B64="","⚠ Site missing",IF(ISNA(MATCH($C64,Mix_Code,0)),"⚠ Unknown mix code",IF($D64="","⚠ Enter m3 produced",IF(COUNTIF(CI_Site,$B64)=0,"⚠ Site not set up in Current Inventory",IF($A64&gt;AsOfDate,"Future date – not yet deducted","OK")))))))</f>
        <v/>
      </c>
    </row>
    <row r="65" customFormat="false" ht="15" hidden="false" customHeight="false" outlineLevel="0" collapsed="false">
      <c r="A65" s="65"/>
      <c r="B65" s="63"/>
      <c r="C65" s="70"/>
      <c r="D65" s="66"/>
      <c r="E65" s="16" t="str">
        <f aca="false">IF($C65="","",IFERROR(INDEX(Mix_Desc,MATCH($C65,Mix_Code,0)),"⚠ Unknown mix code"))</f>
        <v/>
      </c>
      <c r="F65" s="67" t="str">
        <f aca="false">IF(OR($C65="",$D65=""),"",IFERROR($D65*INDEX(Mix_Eff,MATCH($C65,Mix_Code,0),1),""))</f>
        <v/>
      </c>
      <c r="G65" s="67" t="str">
        <f aca="false">IF(OR($C65="",$D65=""),"",IFERROR($D65*INDEX(Mix_Eff,MATCH($C65,Mix_Code,0),2),""))</f>
        <v/>
      </c>
      <c r="H65" s="67" t="str">
        <f aca="false">IF(OR($C65="",$D65=""),"",IFERROR($D65*INDEX(Mix_Eff,MATCH($C65,Mix_Code,0),3),""))</f>
        <v/>
      </c>
      <c r="I65" s="67" t="str">
        <f aca="false">IF(OR($C65="",$D65=""),"",IFERROR($D65*INDEX(Mix_Eff,MATCH($C65,Mix_Code,0),4),""))</f>
        <v/>
      </c>
      <c r="J65" s="67" t="str">
        <f aca="false">IF(OR($C65="",$D65=""),"",IFERROR($D65*INDEX(Mix_Eff,MATCH($C65,Mix_Code,0),5),""))</f>
        <v/>
      </c>
      <c r="K65" s="63"/>
      <c r="L65" s="16" t="str">
        <f aca="false">IF(AND($A65="",$B65="",$C65="",$D65=""),"",IF($A65="","⚠ Date missing",IF($B65="","⚠ Site missing",IF(ISNA(MATCH($C65,Mix_Code,0)),"⚠ Unknown mix code",IF($D65="","⚠ Enter m3 produced",IF(COUNTIF(CI_Site,$B65)=0,"⚠ Site not set up in Current Inventory",IF($A65&gt;AsOfDate,"Future date – not yet deducted","OK")))))))</f>
        <v/>
      </c>
    </row>
    <row r="66" customFormat="false" ht="15" hidden="false" customHeight="false" outlineLevel="0" collapsed="false">
      <c r="A66" s="65"/>
      <c r="B66" s="63"/>
      <c r="C66" s="70"/>
      <c r="D66" s="66"/>
      <c r="E66" s="16" t="str">
        <f aca="false">IF($C66="","",IFERROR(INDEX(Mix_Desc,MATCH($C66,Mix_Code,0)),"⚠ Unknown mix code"))</f>
        <v/>
      </c>
      <c r="F66" s="67" t="str">
        <f aca="false">IF(OR($C66="",$D66=""),"",IFERROR($D66*INDEX(Mix_Eff,MATCH($C66,Mix_Code,0),1),""))</f>
        <v/>
      </c>
      <c r="G66" s="67" t="str">
        <f aca="false">IF(OR($C66="",$D66=""),"",IFERROR($D66*INDEX(Mix_Eff,MATCH($C66,Mix_Code,0),2),""))</f>
        <v/>
      </c>
      <c r="H66" s="67" t="str">
        <f aca="false">IF(OR($C66="",$D66=""),"",IFERROR($D66*INDEX(Mix_Eff,MATCH($C66,Mix_Code,0),3),""))</f>
        <v/>
      </c>
      <c r="I66" s="67" t="str">
        <f aca="false">IF(OR($C66="",$D66=""),"",IFERROR($D66*INDEX(Mix_Eff,MATCH($C66,Mix_Code,0),4),""))</f>
        <v/>
      </c>
      <c r="J66" s="67" t="str">
        <f aca="false">IF(OR($C66="",$D66=""),"",IFERROR($D66*INDEX(Mix_Eff,MATCH($C66,Mix_Code,0),5),""))</f>
        <v/>
      </c>
      <c r="K66" s="63"/>
      <c r="L66" s="16" t="str">
        <f aca="false">IF(AND($A66="",$B66="",$C66="",$D66=""),"",IF($A66="","⚠ Date missing",IF($B66="","⚠ Site missing",IF(ISNA(MATCH($C66,Mix_Code,0)),"⚠ Unknown mix code",IF($D66="","⚠ Enter m3 produced",IF(COUNTIF(CI_Site,$B66)=0,"⚠ Site not set up in Current Inventory",IF($A66&gt;AsOfDate,"Future date – not yet deducted","OK")))))))</f>
        <v/>
      </c>
    </row>
    <row r="67" customFormat="false" ht="15" hidden="false" customHeight="false" outlineLevel="0" collapsed="false">
      <c r="A67" s="65"/>
      <c r="B67" s="63"/>
      <c r="C67" s="70"/>
      <c r="D67" s="66"/>
      <c r="E67" s="16" t="str">
        <f aca="false">IF($C67="","",IFERROR(INDEX(Mix_Desc,MATCH($C67,Mix_Code,0)),"⚠ Unknown mix code"))</f>
        <v/>
      </c>
      <c r="F67" s="67" t="str">
        <f aca="false">IF(OR($C67="",$D67=""),"",IFERROR($D67*INDEX(Mix_Eff,MATCH($C67,Mix_Code,0),1),""))</f>
        <v/>
      </c>
      <c r="G67" s="67" t="str">
        <f aca="false">IF(OR($C67="",$D67=""),"",IFERROR($D67*INDEX(Mix_Eff,MATCH($C67,Mix_Code,0),2),""))</f>
        <v/>
      </c>
      <c r="H67" s="67" t="str">
        <f aca="false">IF(OR($C67="",$D67=""),"",IFERROR($D67*INDEX(Mix_Eff,MATCH($C67,Mix_Code,0),3),""))</f>
        <v/>
      </c>
      <c r="I67" s="67" t="str">
        <f aca="false">IF(OR($C67="",$D67=""),"",IFERROR($D67*INDEX(Mix_Eff,MATCH($C67,Mix_Code,0),4),""))</f>
        <v/>
      </c>
      <c r="J67" s="67" t="str">
        <f aca="false">IF(OR($C67="",$D67=""),"",IFERROR($D67*INDEX(Mix_Eff,MATCH($C67,Mix_Code,0),5),""))</f>
        <v/>
      </c>
      <c r="K67" s="63"/>
      <c r="L67" s="16" t="str">
        <f aca="false">IF(AND($A67="",$B67="",$C67="",$D67=""),"",IF($A67="","⚠ Date missing",IF($B67="","⚠ Site missing",IF(ISNA(MATCH($C67,Mix_Code,0)),"⚠ Unknown mix code",IF($D67="","⚠ Enter m3 produced",IF(COUNTIF(CI_Site,$B67)=0,"⚠ Site not set up in Current Inventory",IF($A67&gt;AsOfDate,"Future date – not yet deducted","OK")))))))</f>
        <v/>
      </c>
    </row>
    <row r="68" customFormat="false" ht="15" hidden="false" customHeight="false" outlineLevel="0" collapsed="false">
      <c r="A68" s="65"/>
      <c r="B68" s="63"/>
      <c r="C68" s="70"/>
      <c r="D68" s="66"/>
      <c r="E68" s="16" t="str">
        <f aca="false">IF($C68="","",IFERROR(INDEX(Mix_Desc,MATCH($C68,Mix_Code,0)),"⚠ Unknown mix code"))</f>
        <v/>
      </c>
      <c r="F68" s="67" t="str">
        <f aca="false">IF(OR($C68="",$D68=""),"",IFERROR($D68*INDEX(Mix_Eff,MATCH($C68,Mix_Code,0),1),""))</f>
        <v/>
      </c>
      <c r="G68" s="67" t="str">
        <f aca="false">IF(OR($C68="",$D68=""),"",IFERROR($D68*INDEX(Mix_Eff,MATCH($C68,Mix_Code,0),2),""))</f>
        <v/>
      </c>
      <c r="H68" s="67" t="str">
        <f aca="false">IF(OR($C68="",$D68=""),"",IFERROR($D68*INDEX(Mix_Eff,MATCH($C68,Mix_Code,0),3),""))</f>
        <v/>
      </c>
      <c r="I68" s="67" t="str">
        <f aca="false">IF(OR($C68="",$D68=""),"",IFERROR($D68*INDEX(Mix_Eff,MATCH($C68,Mix_Code,0),4),""))</f>
        <v/>
      </c>
      <c r="J68" s="67" t="str">
        <f aca="false">IF(OR($C68="",$D68=""),"",IFERROR($D68*INDEX(Mix_Eff,MATCH($C68,Mix_Code,0),5),""))</f>
        <v/>
      </c>
      <c r="K68" s="63"/>
      <c r="L68" s="16" t="str">
        <f aca="false">IF(AND($A68="",$B68="",$C68="",$D68=""),"",IF($A68="","⚠ Date missing",IF($B68="","⚠ Site missing",IF(ISNA(MATCH($C68,Mix_Code,0)),"⚠ Unknown mix code",IF($D68="","⚠ Enter m3 produced",IF(COUNTIF(CI_Site,$B68)=0,"⚠ Site not set up in Current Inventory",IF($A68&gt;AsOfDate,"Future date – not yet deducted","OK")))))))</f>
        <v/>
      </c>
    </row>
    <row r="69" customFormat="false" ht="15" hidden="false" customHeight="false" outlineLevel="0" collapsed="false">
      <c r="A69" s="65"/>
      <c r="B69" s="63"/>
      <c r="C69" s="70"/>
      <c r="D69" s="66"/>
      <c r="E69" s="16" t="str">
        <f aca="false">IF($C69="","",IFERROR(INDEX(Mix_Desc,MATCH($C69,Mix_Code,0)),"⚠ Unknown mix code"))</f>
        <v/>
      </c>
      <c r="F69" s="67" t="str">
        <f aca="false">IF(OR($C69="",$D69=""),"",IFERROR($D69*INDEX(Mix_Eff,MATCH($C69,Mix_Code,0),1),""))</f>
        <v/>
      </c>
      <c r="G69" s="67" t="str">
        <f aca="false">IF(OR($C69="",$D69=""),"",IFERROR($D69*INDEX(Mix_Eff,MATCH($C69,Mix_Code,0),2),""))</f>
        <v/>
      </c>
      <c r="H69" s="67" t="str">
        <f aca="false">IF(OR($C69="",$D69=""),"",IFERROR($D69*INDEX(Mix_Eff,MATCH($C69,Mix_Code,0),3),""))</f>
        <v/>
      </c>
      <c r="I69" s="67" t="str">
        <f aca="false">IF(OR($C69="",$D69=""),"",IFERROR($D69*INDEX(Mix_Eff,MATCH($C69,Mix_Code,0),4),""))</f>
        <v/>
      </c>
      <c r="J69" s="67" t="str">
        <f aca="false">IF(OR($C69="",$D69=""),"",IFERROR($D69*INDEX(Mix_Eff,MATCH($C69,Mix_Code,0),5),""))</f>
        <v/>
      </c>
      <c r="K69" s="63"/>
      <c r="L69" s="16" t="str">
        <f aca="false">IF(AND($A69="",$B69="",$C69="",$D69=""),"",IF($A69="","⚠ Date missing",IF($B69="","⚠ Site missing",IF(ISNA(MATCH($C69,Mix_Code,0)),"⚠ Unknown mix code",IF($D69="","⚠ Enter m3 produced",IF(COUNTIF(CI_Site,$B69)=0,"⚠ Site not set up in Current Inventory",IF($A69&gt;AsOfDate,"Future date – not yet deducted","OK")))))))</f>
        <v/>
      </c>
    </row>
    <row r="70" customFormat="false" ht="15" hidden="false" customHeight="false" outlineLevel="0" collapsed="false">
      <c r="A70" s="65"/>
      <c r="B70" s="63"/>
      <c r="C70" s="70"/>
      <c r="D70" s="66"/>
      <c r="E70" s="16" t="str">
        <f aca="false">IF($C70="","",IFERROR(INDEX(Mix_Desc,MATCH($C70,Mix_Code,0)),"⚠ Unknown mix code"))</f>
        <v/>
      </c>
      <c r="F70" s="67" t="str">
        <f aca="false">IF(OR($C70="",$D70=""),"",IFERROR($D70*INDEX(Mix_Eff,MATCH($C70,Mix_Code,0),1),""))</f>
        <v/>
      </c>
      <c r="G70" s="67" t="str">
        <f aca="false">IF(OR($C70="",$D70=""),"",IFERROR($D70*INDEX(Mix_Eff,MATCH($C70,Mix_Code,0),2),""))</f>
        <v/>
      </c>
      <c r="H70" s="67" t="str">
        <f aca="false">IF(OR($C70="",$D70=""),"",IFERROR($D70*INDEX(Mix_Eff,MATCH($C70,Mix_Code,0),3),""))</f>
        <v/>
      </c>
      <c r="I70" s="67" t="str">
        <f aca="false">IF(OR($C70="",$D70=""),"",IFERROR($D70*INDEX(Mix_Eff,MATCH($C70,Mix_Code,0),4),""))</f>
        <v/>
      </c>
      <c r="J70" s="67" t="str">
        <f aca="false">IF(OR($C70="",$D70=""),"",IFERROR($D70*INDEX(Mix_Eff,MATCH($C70,Mix_Code,0),5),""))</f>
        <v/>
      </c>
      <c r="K70" s="63"/>
      <c r="L70" s="16" t="str">
        <f aca="false">IF(AND($A70="",$B70="",$C70="",$D70=""),"",IF($A70="","⚠ Date missing",IF($B70="","⚠ Site missing",IF(ISNA(MATCH($C70,Mix_Code,0)),"⚠ Unknown mix code",IF($D70="","⚠ Enter m3 produced",IF(COUNTIF(CI_Site,$B70)=0,"⚠ Site not set up in Current Inventory",IF($A70&gt;AsOfDate,"Future date – not yet deducted","OK")))))))</f>
        <v/>
      </c>
    </row>
    <row r="71" customFormat="false" ht="15" hidden="false" customHeight="false" outlineLevel="0" collapsed="false">
      <c r="A71" s="65"/>
      <c r="B71" s="63"/>
      <c r="C71" s="70"/>
      <c r="D71" s="66"/>
      <c r="E71" s="16" t="str">
        <f aca="false">IF($C71="","",IFERROR(INDEX(Mix_Desc,MATCH($C71,Mix_Code,0)),"⚠ Unknown mix code"))</f>
        <v/>
      </c>
      <c r="F71" s="67" t="str">
        <f aca="false">IF(OR($C71="",$D71=""),"",IFERROR($D71*INDEX(Mix_Eff,MATCH($C71,Mix_Code,0),1),""))</f>
        <v/>
      </c>
      <c r="G71" s="67" t="str">
        <f aca="false">IF(OR($C71="",$D71=""),"",IFERROR($D71*INDEX(Mix_Eff,MATCH($C71,Mix_Code,0),2),""))</f>
        <v/>
      </c>
      <c r="H71" s="67" t="str">
        <f aca="false">IF(OR($C71="",$D71=""),"",IFERROR($D71*INDEX(Mix_Eff,MATCH($C71,Mix_Code,0),3),""))</f>
        <v/>
      </c>
      <c r="I71" s="67" t="str">
        <f aca="false">IF(OR($C71="",$D71=""),"",IFERROR($D71*INDEX(Mix_Eff,MATCH($C71,Mix_Code,0),4),""))</f>
        <v/>
      </c>
      <c r="J71" s="67" t="str">
        <f aca="false">IF(OR($C71="",$D71=""),"",IFERROR($D71*INDEX(Mix_Eff,MATCH($C71,Mix_Code,0),5),""))</f>
        <v/>
      </c>
      <c r="K71" s="63"/>
      <c r="L71" s="16" t="str">
        <f aca="false">IF(AND($A71="",$B71="",$C71="",$D71=""),"",IF($A71="","⚠ Date missing",IF($B71="","⚠ Site missing",IF(ISNA(MATCH($C71,Mix_Code,0)),"⚠ Unknown mix code",IF($D71="","⚠ Enter m3 produced",IF(COUNTIF(CI_Site,$B71)=0,"⚠ Site not set up in Current Inventory",IF($A71&gt;AsOfDate,"Future date – not yet deducted","OK")))))))</f>
        <v/>
      </c>
    </row>
    <row r="72" customFormat="false" ht="15" hidden="false" customHeight="false" outlineLevel="0" collapsed="false">
      <c r="A72" s="65"/>
      <c r="B72" s="63"/>
      <c r="C72" s="70"/>
      <c r="D72" s="66"/>
      <c r="E72" s="16" t="str">
        <f aca="false">IF($C72="","",IFERROR(INDEX(Mix_Desc,MATCH($C72,Mix_Code,0)),"⚠ Unknown mix code"))</f>
        <v/>
      </c>
      <c r="F72" s="67" t="str">
        <f aca="false">IF(OR($C72="",$D72=""),"",IFERROR($D72*INDEX(Mix_Eff,MATCH($C72,Mix_Code,0),1),""))</f>
        <v/>
      </c>
      <c r="G72" s="67" t="str">
        <f aca="false">IF(OR($C72="",$D72=""),"",IFERROR($D72*INDEX(Mix_Eff,MATCH($C72,Mix_Code,0),2),""))</f>
        <v/>
      </c>
      <c r="H72" s="67" t="str">
        <f aca="false">IF(OR($C72="",$D72=""),"",IFERROR($D72*INDEX(Mix_Eff,MATCH($C72,Mix_Code,0),3),""))</f>
        <v/>
      </c>
      <c r="I72" s="67" t="str">
        <f aca="false">IF(OR($C72="",$D72=""),"",IFERROR($D72*INDEX(Mix_Eff,MATCH($C72,Mix_Code,0),4),""))</f>
        <v/>
      </c>
      <c r="J72" s="67" t="str">
        <f aca="false">IF(OR($C72="",$D72=""),"",IFERROR($D72*INDEX(Mix_Eff,MATCH($C72,Mix_Code,0),5),""))</f>
        <v/>
      </c>
      <c r="K72" s="63"/>
      <c r="L72" s="16" t="str">
        <f aca="false">IF(AND($A72="",$B72="",$C72="",$D72=""),"",IF($A72="","⚠ Date missing",IF($B72="","⚠ Site missing",IF(ISNA(MATCH($C72,Mix_Code,0)),"⚠ Unknown mix code",IF($D72="","⚠ Enter m3 produced",IF(COUNTIF(CI_Site,$B72)=0,"⚠ Site not set up in Current Inventory",IF($A72&gt;AsOfDate,"Future date – not yet deducted","OK")))))))</f>
        <v/>
      </c>
    </row>
    <row r="73" customFormat="false" ht="15" hidden="false" customHeight="false" outlineLevel="0" collapsed="false">
      <c r="A73" s="65"/>
      <c r="B73" s="63"/>
      <c r="C73" s="70"/>
      <c r="D73" s="66"/>
      <c r="E73" s="16" t="str">
        <f aca="false">IF($C73="","",IFERROR(INDEX(Mix_Desc,MATCH($C73,Mix_Code,0)),"⚠ Unknown mix code"))</f>
        <v/>
      </c>
      <c r="F73" s="67" t="str">
        <f aca="false">IF(OR($C73="",$D73=""),"",IFERROR($D73*INDEX(Mix_Eff,MATCH($C73,Mix_Code,0),1),""))</f>
        <v/>
      </c>
      <c r="G73" s="67" t="str">
        <f aca="false">IF(OR($C73="",$D73=""),"",IFERROR($D73*INDEX(Mix_Eff,MATCH($C73,Mix_Code,0),2),""))</f>
        <v/>
      </c>
      <c r="H73" s="67" t="str">
        <f aca="false">IF(OR($C73="",$D73=""),"",IFERROR($D73*INDEX(Mix_Eff,MATCH($C73,Mix_Code,0),3),""))</f>
        <v/>
      </c>
      <c r="I73" s="67" t="str">
        <f aca="false">IF(OR($C73="",$D73=""),"",IFERROR($D73*INDEX(Mix_Eff,MATCH($C73,Mix_Code,0),4),""))</f>
        <v/>
      </c>
      <c r="J73" s="67" t="str">
        <f aca="false">IF(OR($C73="",$D73=""),"",IFERROR($D73*INDEX(Mix_Eff,MATCH($C73,Mix_Code,0),5),""))</f>
        <v/>
      </c>
      <c r="K73" s="63"/>
      <c r="L73" s="16" t="str">
        <f aca="false">IF(AND($A73="",$B73="",$C73="",$D73=""),"",IF($A73="","⚠ Date missing",IF($B73="","⚠ Site missing",IF(ISNA(MATCH($C73,Mix_Code,0)),"⚠ Unknown mix code",IF($D73="","⚠ Enter m3 produced",IF(COUNTIF(CI_Site,$B73)=0,"⚠ Site not set up in Current Inventory",IF($A73&gt;AsOfDate,"Future date – not yet deducted","OK")))))))</f>
        <v/>
      </c>
    </row>
    <row r="74" customFormat="false" ht="15" hidden="false" customHeight="false" outlineLevel="0" collapsed="false">
      <c r="A74" s="65"/>
      <c r="B74" s="63"/>
      <c r="C74" s="70"/>
      <c r="D74" s="66"/>
      <c r="E74" s="16" t="str">
        <f aca="false">IF($C74="","",IFERROR(INDEX(Mix_Desc,MATCH($C74,Mix_Code,0)),"⚠ Unknown mix code"))</f>
        <v/>
      </c>
      <c r="F74" s="67" t="str">
        <f aca="false">IF(OR($C74="",$D74=""),"",IFERROR($D74*INDEX(Mix_Eff,MATCH($C74,Mix_Code,0),1),""))</f>
        <v/>
      </c>
      <c r="G74" s="67" t="str">
        <f aca="false">IF(OR($C74="",$D74=""),"",IFERROR($D74*INDEX(Mix_Eff,MATCH($C74,Mix_Code,0),2),""))</f>
        <v/>
      </c>
      <c r="H74" s="67" t="str">
        <f aca="false">IF(OR($C74="",$D74=""),"",IFERROR($D74*INDEX(Mix_Eff,MATCH($C74,Mix_Code,0),3),""))</f>
        <v/>
      </c>
      <c r="I74" s="67" t="str">
        <f aca="false">IF(OR($C74="",$D74=""),"",IFERROR($D74*INDEX(Mix_Eff,MATCH($C74,Mix_Code,0),4),""))</f>
        <v/>
      </c>
      <c r="J74" s="67" t="str">
        <f aca="false">IF(OR($C74="",$D74=""),"",IFERROR($D74*INDEX(Mix_Eff,MATCH($C74,Mix_Code,0),5),""))</f>
        <v/>
      </c>
      <c r="K74" s="63"/>
      <c r="L74" s="16" t="str">
        <f aca="false">IF(AND($A74="",$B74="",$C74="",$D74=""),"",IF($A74="","⚠ Date missing",IF($B74="","⚠ Site missing",IF(ISNA(MATCH($C74,Mix_Code,0)),"⚠ Unknown mix code",IF($D74="","⚠ Enter m3 produced",IF(COUNTIF(CI_Site,$B74)=0,"⚠ Site not set up in Current Inventory",IF($A74&gt;AsOfDate,"Future date – not yet deducted","OK")))))))</f>
        <v/>
      </c>
    </row>
    <row r="75" customFormat="false" ht="15" hidden="false" customHeight="false" outlineLevel="0" collapsed="false">
      <c r="A75" s="65"/>
      <c r="B75" s="63"/>
      <c r="C75" s="70"/>
      <c r="D75" s="66"/>
      <c r="E75" s="16" t="str">
        <f aca="false">IF($C75="","",IFERROR(INDEX(Mix_Desc,MATCH($C75,Mix_Code,0)),"⚠ Unknown mix code"))</f>
        <v/>
      </c>
      <c r="F75" s="67" t="str">
        <f aca="false">IF(OR($C75="",$D75=""),"",IFERROR($D75*INDEX(Mix_Eff,MATCH($C75,Mix_Code,0),1),""))</f>
        <v/>
      </c>
      <c r="G75" s="67" t="str">
        <f aca="false">IF(OR($C75="",$D75=""),"",IFERROR($D75*INDEX(Mix_Eff,MATCH($C75,Mix_Code,0),2),""))</f>
        <v/>
      </c>
      <c r="H75" s="67" t="str">
        <f aca="false">IF(OR($C75="",$D75=""),"",IFERROR($D75*INDEX(Mix_Eff,MATCH($C75,Mix_Code,0),3),""))</f>
        <v/>
      </c>
      <c r="I75" s="67" t="str">
        <f aca="false">IF(OR($C75="",$D75=""),"",IFERROR($D75*INDEX(Mix_Eff,MATCH($C75,Mix_Code,0),4),""))</f>
        <v/>
      </c>
      <c r="J75" s="67" t="str">
        <f aca="false">IF(OR($C75="",$D75=""),"",IFERROR($D75*INDEX(Mix_Eff,MATCH($C75,Mix_Code,0),5),""))</f>
        <v/>
      </c>
      <c r="K75" s="63"/>
      <c r="L75" s="16" t="str">
        <f aca="false">IF(AND($A75="",$B75="",$C75="",$D75=""),"",IF($A75="","⚠ Date missing",IF($B75="","⚠ Site missing",IF(ISNA(MATCH($C75,Mix_Code,0)),"⚠ Unknown mix code",IF($D75="","⚠ Enter m3 produced",IF(COUNTIF(CI_Site,$B75)=0,"⚠ Site not set up in Current Inventory",IF($A75&gt;AsOfDate,"Future date – not yet deducted","OK")))))))</f>
        <v/>
      </c>
    </row>
    <row r="76" customFormat="false" ht="15" hidden="false" customHeight="false" outlineLevel="0" collapsed="false">
      <c r="A76" s="65"/>
      <c r="B76" s="63"/>
      <c r="C76" s="70"/>
      <c r="D76" s="66"/>
      <c r="E76" s="16" t="str">
        <f aca="false">IF($C76="","",IFERROR(INDEX(Mix_Desc,MATCH($C76,Mix_Code,0)),"⚠ Unknown mix code"))</f>
        <v/>
      </c>
      <c r="F76" s="67" t="str">
        <f aca="false">IF(OR($C76="",$D76=""),"",IFERROR($D76*INDEX(Mix_Eff,MATCH($C76,Mix_Code,0),1),""))</f>
        <v/>
      </c>
      <c r="G76" s="67" t="str">
        <f aca="false">IF(OR($C76="",$D76=""),"",IFERROR($D76*INDEX(Mix_Eff,MATCH($C76,Mix_Code,0),2),""))</f>
        <v/>
      </c>
      <c r="H76" s="67" t="str">
        <f aca="false">IF(OR($C76="",$D76=""),"",IFERROR($D76*INDEX(Mix_Eff,MATCH($C76,Mix_Code,0),3),""))</f>
        <v/>
      </c>
      <c r="I76" s="67" t="str">
        <f aca="false">IF(OR($C76="",$D76=""),"",IFERROR($D76*INDEX(Mix_Eff,MATCH($C76,Mix_Code,0),4),""))</f>
        <v/>
      </c>
      <c r="J76" s="67" t="str">
        <f aca="false">IF(OR($C76="",$D76=""),"",IFERROR($D76*INDEX(Mix_Eff,MATCH($C76,Mix_Code,0),5),""))</f>
        <v/>
      </c>
      <c r="K76" s="63"/>
      <c r="L76" s="16" t="str">
        <f aca="false">IF(AND($A76="",$B76="",$C76="",$D76=""),"",IF($A76="","⚠ Date missing",IF($B76="","⚠ Site missing",IF(ISNA(MATCH($C76,Mix_Code,0)),"⚠ Unknown mix code",IF($D76="","⚠ Enter m3 produced",IF(COUNTIF(CI_Site,$B76)=0,"⚠ Site not set up in Current Inventory",IF($A76&gt;AsOfDate,"Future date – not yet deducted","OK")))))))</f>
        <v/>
      </c>
    </row>
    <row r="77" customFormat="false" ht="15" hidden="false" customHeight="false" outlineLevel="0" collapsed="false">
      <c r="A77" s="65"/>
      <c r="B77" s="63"/>
      <c r="C77" s="70"/>
      <c r="D77" s="66"/>
      <c r="E77" s="16" t="str">
        <f aca="false">IF($C77="","",IFERROR(INDEX(Mix_Desc,MATCH($C77,Mix_Code,0)),"⚠ Unknown mix code"))</f>
        <v/>
      </c>
      <c r="F77" s="67" t="str">
        <f aca="false">IF(OR($C77="",$D77=""),"",IFERROR($D77*INDEX(Mix_Eff,MATCH($C77,Mix_Code,0),1),""))</f>
        <v/>
      </c>
      <c r="G77" s="67" t="str">
        <f aca="false">IF(OR($C77="",$D77=""),"",IFERROR($D77*INDEX(Mix_Eff,MATCH($C77,Mix_Code,0),2),""))</f>
        <v/>
      </c>
      <c r="H77" s="67" t="str">
        <f aca="false">IF(OR($C77="",$D77=""),"",IFERROR($D77*INDEX(Mix_Eff,MATCH($C77,Mix_Code,0),3),""))</f>
        <v/>
      </c>
      <c r="I77" s="67" t="str">
        <f aca="false">IF(OR($C77="",$D77=""),"",IFERROR($D77*INDEX(Mix_Eff,MATCH($C77,Mix_Code,0),4),""))</f>
        <v/>
      </c>
      <c r="J77" s="67" t="str">
        <f aca="false">IF(OR($C77="",$D77=""),"",IFERROR($D77*INDEX(Mix_Eff,MATCH($C77,Mix_Code,0),5),""))</f>
        <v/>
      </c>
      <c r="K77" s="63"/>
      <c r="L77" s="16" t="str">
        <f aca="false">IF(AND($A77="",$B77="",$C77="",$D77=""),"",IF($A77="","⚠ Date missing",IF($B77="","⚠ Site missing",IF(ISNA(MATCH($C77,Mix_Code,0)),"⚠ Unknown mix code",IF($D77="","⚠ Enter m3 produced",IF(COUNTIF(CI_Site,$B77)=0,"⚠ Site not set up in Current Inventory",IF($A77&gt;AsOfDate,"Future date – not yet deducted","OK")))))))</f>
        <v/>
      </c>
    </row>
    <row r="78" customFormat="false" ht="15" hidden="false" customHeight="false" outlineLevel="0" collapsed="false">
      <c r="A78" s="65"/>
      <c r="B78" s="63"/>
      <c r="C78" s="70"/>
      <c r="D78" s="66"/>
      <c r="E78" s="16" t="str">
        <f aca="false">IF($C78="","",IFERROR(INDEX(Mix_Desc,MATCH($C78,Mix_Code,0)),"⚠ Unknown mix code"))</f>
        <v/>
      </c>
      <c r="F78" s="67" t="str">
        <f aca="false">IF(OR($C78="",$D78=""),"",IFERROR($D78*INDEX(Mix_Eff,MATCH($C78,Mix_Code,0),1),""))</f>
        <v/>
      </c>
      <c r="G78" s="67" t="str">
        <f aca="false">IF(OR($C78="",$D78=""),"",IFERROR($D78*INDEX(Mix_Eff,MATCH($C78,Mix_Code,0),2),""))</f>
        <v/>
      </c>
      <c r="H78" s="67" t="str">
        <f aca="false">IF(OR($C78="",$D78=""),"",IFERROR($D78*INDEX(Mix_Eff,MATCH($C78,Mix_Code,0),3),""))</f>
        <v/>
      </c>
      <c r="I78" s="67" t="str">
        <f aca="false">IF(OR($C78="",$D78=""),"",IFERROR($D78*INDEX(Mix_Eff,MATCH($C78,Mix_Code,0),4),""))</f>
        <v/>
      </c>
      <c r="J78" s="67" t="str">
        <f aca="false">IF(OR($C78="",$D78=""),"",IFERROR($D78*INDEX(Mix_Eff,MATCH($C78,Mix_Code,0),5),""))</f>
        <v/>
      </c>
      <c r="K78" s="63"/>
      <c r="L78" s="16" t="str">
        <f aca="false">IF(AND($A78="",$B78="",$C78="",$D78=""),"",IF($A78="","⚠ Date missing",IF($B78="","⚠ Site missing",IF(ISNA(MATCH($C78,Mix_Code,0)),"⚠ Unknown mix code",IF($D78="","⚠ Enter m3 produced",IF(COUNTIF(CI_Site,$B78)=0,"⚠ Site not set up in Current Inventory",IF($A78&gt;AsOfDate,"Future date – not yet deducted","OK")))))))</f>
        <v/>
      </c>
    </row>
    <row r="79" customFormat="false" ht="15" hidden="false" customHeight="false" outlineLevel="0" collapsed="false">
      <c r="A79" s="65"/>
      <c r="B79" s="63"/>
      <c r="C79" s="70"/>
      <c r="D79" s="66"/>
      <c r="E79" s="16" t="str">
        <f aca="false">IF($C79="","",IFERROR(INDEX(Mix_Desc,MATCH($C79,Mix_Code,0)),"⚠ Unknown mix code"))</f>
        <v/>
      </c>
      <c r="F79" s="67" t="str">
        <f aca="false">IF(OR($C79="",$D79=""),"",IFERROR($D79*INDEX(Mix_Eff,MATCH($C79,Mix_Code,0),1),""))</f>
        <v/>
      </c>
      <c r="G79" s="67" t="str">
        <f aca="false">IF(OR($C79="",$D79=""),"",IFERROR($D79*INDEX(Mix_Eff,MATCH($C79,Mix_Code,0),2),""))</f>
        <v/>
      </c>
      <c r="H79" s="67" t="str">
        <f aca="false">IF(OR($C79="",$D79=""),"",IFERROR($D79*INDEX(Mix_Eff,MATCH($C79,Mix_Code,0),3),""))</f>
        <v/>
      </c>
      <c r="I79" s="67" t="str">
        <f aca="false">IF(OR($C79="",$D79=""),"",IFERROR($D79*INDEX(Mix_Eff,MATCH($C79,Mix_Code,0),4),""))</f>
        <v/>
      </c>
      <c r="J79" s="67" t="str">
        <f aca="false">IF(OR($C79="",$D79=""),"",IFERROR($D79*INDEX(Mix_Eff,MATCH($C79,Mix_Code,0),5),""))</f>
        <v/>
      </c>
      <c r="K79" s="63"/>
      <c r="L79" s="16" t="str">
        <f aca="false">IF(AND($A79="",$B79="",$C79="",$D79=""),"",IF($A79="","⚠ Date missing",IF($B79="","⚠ Site missing",IF(ISNA(MATCH($C79,Mix_Code,0)),"⚠ Unknown mix code",IF($D79="","⚠ Enter m3 produced",IF(COUNTIF(CI_Site,$B79)=0,"⚠ Site not set up in Current Inventory",IF($A79&gt;AsOfDate,"Future date – not yet deducted","OK")))))))</f>
        <v/>
      </c>
    </row>
    <row r="80" customFormat="false" ht="15" hidden="false" customHeight="false" outlineLevel="0" collapsed="false">
      <c r="A80" s="65"/>
      <c r="B80" s="63"/>
      <c r="C80" s="70"/>
      <c r="D80" s="66"/>
      <c r="E80" s="16" t="str">
        <f aca="false">IF($C80="","",IFERROR(INDEX(Mix_Desc,MATCH($C80,Mix_Code,0)),"⚠ Unknown mix code"))</f>
        <v/>
      </c>
      <c r="F80" s="67" t="str">
        <f aca="false">IF(OR($C80="",$D80=""),"",IFERROR($D80*INDEX(Mix_Eff,MATCH($C80,Mix_Code,0),1),""))</f>
        <v/>
      </c>
      <c r="G80" s="67" t="str">
        <f aca="false">IF(OR($C80="",$D80=""),"",IFERROR($D80*INDEX(Mix_Eff,MATCH($C80,Mix_Code,0),2),""))</f>
        <v/>
      </c>
      <c r="H80" s="67" t="str">
        <f aca="false">IF(OR($C80="",$D80=""),"",IFERROR($D80*INDEX(Mix_Eff,MATCH($C80,Mix_Code,0),3),""))</f>
        <v/>
      </c>
      <c r="I80" s="67" t="str">
        <f aca="false">IF(OR($C80="",$D80=""),"",IFERROR($D80*INDEX(Mix_Eff,MATCH($C80,Mix_Code,0),4),""))</f>
        <v/>
      </c>
      <c r="J80" s="67" t="str">
        <f aca="false">IF(OR($C80="",$D80=""),"",IFERROR($D80*INDEX(Mix_Eff,MATCH($C80,Mix_Code,0),5),""))</f>
        <v/>
      </c>
      <c r="K80" s="63"/>
      <c r="L80" s="16" t="str">
        <f aca="false">IF(AND($A80="",$B80="",$C80="",$D80=""),"",IF($A80="","⚠ Date missing",IF($B80="","⚠ Site missing",IF(ISNA(MATCH($C80,Mix_Code,0)),"⚠ Unknown mix code",IF($D80="","⚠ Enter m3 produced",IF(COUNTIF(CI_Site,$B80)=0,"⚠ Site not set up in Current Inventory",IF($A80&gt;AsOfDate,"Future date – not yet deducted","OK")))))))</f>
        <v/>
      </c>
    </row>
    <row r="81" customFormat="false" ht="15" hidden="false" customHeight="false" outlineLevel="0" collapsed="false">
      <c r="A81" s="65"/>
      <c r="B81" s="63"/>
      <c r="C81" s="70"/>
      <c r="D81" s="66"/>
      <c r="E81" s="16" t="str">
        <f aca="false">IF($C81="","",IFERROR(INDEX(Mix_Desc,MATCH($C81,Mix_Code,0)),"⚠ Unknown mix code"))</f>
        <v/>
      </c>
      <c r="F81" s="67" t="str">
        <f aca="false">IF(OR($C81="",$D81=""),"",IFERROR($D81*INDEX(Mix_Eff,MATCH($C81,Mix_Code,0),1),""))</f>
        <v/>
      </c>
      <c r="G81" s="67" t="str">
        <f aca="false">IF(OR($C81="",$D81=""),"",IFERROR($D81*INDEX(Mix_Eff,MATCH($C81,Mix_Code,0),2),""))</f>
        <v/>
      </c>
      <c r="H81" s="67" t="str">
        <f aca="false">IF(OR($C81="",$D81=""),"",IFERROR($D81*INDEX(Mix_Eff,MATCH($C81,Mix_Code,0),3),""))</f>
        <v/>
      </c>
      <c r="I81" s="67" t="str">
        <f aca="false">IF(OR($C81="",$D81=""),"",IFERROR($D81*INDEX(Mix_Eff,MATCH($C81,Mix_Code,0),4),""))</f>
        <v/>
      </c>
      <c r="J81" s="67" t="str">
        <f aca="false">IF(OR($C81="",$D81=""),"",IFERROR($D81*INDEX(Mix_Eff,MATCH($C81,Mix_Code,0),5),""))</f>
        <v/>
      </c>
      <c r="K81" s="63"/>
      <c r="L81" s="16" t="str">
        <f aca="false">IF(AND($A81="",$B81="",$C81="",$D81=""),"",IF($A81="","⚠ Date missing",IF($B81="","⚠ Site missing",IF(ISNA(MATCH($C81,Mix_Code,0)),"⚠ Unknown mix code",IF($D81="","⚠ Enter m3 produced",IF(COUNTIF(CI_Site,$B81)=0,"⚠ Site not set up in Current Inventory",IF($A81&gt;AsOfDate,"Future date – not yet deducted","OK")))))))</f>
        <v/>
      </c>
    </row>
    <row r="82" customFormat="false" ht="15" hidden="false" customHeight="false" outlineLevel="0" collapsed="false">
      <c r="A82" s="65"/>
      <c r="B82" s="63"/>
      <c r="C82" s="70"/>
      <c r="D82" s="66"/>
      <c r="E82" s="16" t="str">
        <f aca="false">IF($C82="","",IFERROR(INDEX(Mix_Desc,MATCH($C82,Mix_Code,0)),"⚠ Unknown mix code"))</f>
        <v/>
      </c>
      <c r="F82" s="67" t="str">
        <f aca="false">IF(OR($C82="",$D82=""),"",IFERROR($D82*INDEX(Mix_Eff,MATCH($C82,Mix_Code,0),1),""))</f>
        <v/>
      </c>
      <c r="G82" s="67" t="str">
        <f aca="false">IF(OR($C82="",$D82=""),"",IFERROR($D82*INDEX(Mix_Eff,MATCH($C82,Mix_Code,0),2),""))</f>
        <v/>
      </c>
      <c r="H82" s="67" t="str">
        <f aca="false">IF(OR($C82="",$D82=""),"",IFERROR($D82*INDEX(Mix_Eff,MATCH($C82,Mix_Code,0),3),""))</f>
        <v/>
      </c>
      <c r="I82" s="67" t="str">
        <f aca="false">IF(OR($C82="",$D82=""),"",IFERROR($D82*INDEX(Mix_Eff,MATCH($C82,Mix_Code,0),4),""))</f>
        <v/>
      </c>
      <c r="J82" s="67" t="str">
        <f aca="false">IF(OR($C82="",$D82=""),"",IFERROR($D82*INDEX(Mix_Eff,MATCH($C82,Mix_Code,0),5),""))</f>
        <v/>
      </c>
      <c r="K82" s="63"/>
      <c r="L82" s="16" t="str">
        <f aca="false">IF(AND($A82="",$B82="",$C82="",$D82=""),"",IF($A82="","⚠ Date missing",IF($B82="","⚠ Site missing",IF(ISNA(MATCH($C82,Mix_Code,0)),"⚠ Unknown mix code",IF($D82="","⚠ Enter m3 produced",IF(COUNTIF(CI_Site,$B82)=0,"⚠ Site not set up in Current Inventory",IF($A82&gt;AsOfDate,"Future date – not yet deducted","OK")))))))</f>
        <v/>
      </c>
    </row>
    <row r="83" customFormat="false" ht="15" hidden="false" customHeight="false" outlineLevel="0" collapsed="false">
      <c r="A83" s="65"/>
      <c r="B83" s="63"/>
      <c r="C83" s="70"/>
      <c r="D83" s="66"/>
      <c r="E83" s="16" t="str">
        <f aca="false">IF($C83="","",IFERROR(INDEX(Mix_Desc,MATCH($C83,Mix_Code,0)),"⚠ Unknown mix code"))</f>
        <v/>
      </c>
      <c r="F83" s="67" t="str">
        <f aca="false">IF(OR($C83="",$D83=""),"",IFERROR($D83*INDEX(Mix_Eff,MATCH($C83,Mix_Code,0),1),""))</f>
        <v/>
      </c>
      <c r="G83" s="67" t="str">
        <f aca="false">IF(OR($C83="",$D83=""),"",IFERROR($D83*INDEX(Mix_Eff,MATCH($C83,Mix_Code,0),2),""))</f>
        <v/>
      </c>
      <c r="H83" s="67" t="str">
        <f aca="false">IF(OR($C83="",$D83=""),"",IFERROR($D83*INDEX(Mix_Eff,MATCH($C83,Mix_Code,0),3),""))</f>
        <v/>
      </c>
      <c r="I83" s="67" t="str">
        <f aca="false">IF(OR($C83="",$D83=""),"",IFERROR($D83*INDEX(Mix_Eff,MATCH($C83,Mix_Code,0),4),""))</f>
        <v/>
      </c>
      <c r="J83" s="67" t="str">
        <f aca="false">IF(OR($C83="",$D83=""),"",IFERROR($D83*INDEX(Mix_Eff,MATCH($C83,Mix_Code,0),5),""))</f>
        <v/>
      </c>
      <c r="K83" s="63"/>
      <c r="L83" s="16" t="str">
        <f aca="false">IF(AND($A83="",$B83="",$C83="",$D83=""),"",IF($A83="","⚠ Date missing",IF($B83="","⚠ Site missing",IF(ISNA(MATCH($C83,Mix_Code,0)),"⚠ Unknown mix code",IF($D83="","⚠ Enter m3 produced",IF(COUNTIF(CI_Site,$B83)=0,"⚠ Site not set up in Current Inventory",IF($A83&gt;AsOfDate,"Future date – not yet deducted","OK")))))))</f>
        <v/>
      </c>
    </row>
    <row r="84" customFormat="false" ht="15" hidden="false" customHeight="false" outlineLevel="0" collapsed="false">
      <c r="A84" s="65"/>
      <c r="B84" s="63"/>
      <c r="C84" s="70"/>
      <c r="D84" s="66"/>
      <c r="E84" s="16" t="str">
        <f aca="false">IF($C84="","",IFERROR(INDEX(Mix_Desc,MATCH($C84,Mix_Code,0)),"⚠ Unknown mix code"))</f>
        <v/>
      </c>
      <c r="F84" s="67" t="str">
        <f aca="false">IF(OR($C84="",$D84=""),"",IFERROR($D84*INDEX(Mix_Eff,MATCH($C84,Mix_Code,0),1),""))</f>
        <v/>
      </c>
      <c r="G84" s="67" t="str">
        <f aca="false">IF(OR($C84="",$D84=""),"",IFERROR($D84*INDEX(Mix_Eff,MATCH($C84,Mix_Code,0),2),""))</f>
        <v/>
      </c>
      <c r="H84" s="67" t="str">
        <f aca="false">IF(OR($C84="",$D84=""),"",IFERROR($D84*INDEX(Mix_Eff,MATCH($C84,Mix_Code,0),3),""))</f>
        <v/>
      </c>
      <c r="I84" s="67" t="str">
        <f aca="false">IF(OR($C84="",$D84=""),"",IFERROR($D84*INDEX(Mix_Eff,MATCH($C84,Mix_Code,0),4),""))</f>
        <v/>
      </c>
      <c r="J84" s="67" t="str">
        <f aca="false">IF(OR($C84="",$D84=""),"",IFERROR($D84*INDEX(Mix_Eff,MATCH($C84,Mix_Code,0),5),""))</f>
        <v/>
      </c>
      <c r="K84" s="63"/>
      <c r="L84" s="16" t="str">
        <f aca="false">IF(AND($A84="",$B84="",$C84="",$D84=""),"",IF($A84="","⚠ Date missing",IF($B84="","⚠ Site missing",IF(ISNA(MATCH($C84,Mix_Code,0)),"⚠ Unknown mix code",IF($D84="","⚠ Enter m3 produced",IF(COUNTIF(CI_Site,$B84)=0,"⚠ Site not set up in Current Inventory",IF($A84&gt;AsOfDate,"Future date – not yet deducted","OK")))))))</f>
        <v/>
      </c>
    </row>
    <row r="85" customFormat="false" ht="15" hidden="false" customHeight="false" outlineLevel="0" collapsed="false">
      <c r="A85" s="65"/>
      <c r="B85" s="63"/>
      <c r="C85" s="70"/>
      <c r="D85" s="66"/>
      <c r="E85" s="16" t="str">
        <f aca="false">IF($C85="","",IFERROR(INDEX(Mix_Desc,MATCH($C85,Mix_Code,0)),"⚠ Unknown mix code"))</f>
        <v/>
      </c>
      <c r="F85" s="67" t="str">
        <f aca="false">IF(OR($C85="",$D85=""),"",IFERROR($D85*INDEX(Mix_Eff,MATCH($C85,Mix_Code,0),1),""))</f>
        <v/>
      </c>
      <c r="G85" s="67" t="str">
        <f aca="false">IF(OR($C85="",$D85=""),"",IFERROR($D85*INDEX(Mix_Eff,MATCH($C85,Mix_Code,0),2),""))</f>
        <v/>
      </c>
      <c r="H85" s="67" t="str">
        <f aca="false">IF(OR($C85="",$D85=""),"",IFERROR($D85*INDEX(Mix_Eff,MATCH($C85,Mix_Code,0),3),""))</f>
        <v/>
      </c>
      <c r="I85" s="67" t="str">
        <f aca="false">IF(OR($C85="",$D85=""),"",IFERROR($D85*INDEX(Mix_Eff,MATCH($C85,Mix_Code,0),4),""))</f>
        <v/>
      </c>
      <c r="J85" s="67" t="str">
        <f aca="false">IF(OR($C85="",$D85=""),"",IFERROR($D85*INDEX(Mix_Eff,MATCH($C85,Mix_Code,0),5),""))</f>
        <v/>
      </c>
      <c r="K85" s="63"/>
      <c r="L85" s="16" t="str">
        <f aca="false">IF(AND($A85="",$B85="",$C85="",$D85=""),"",IF($A85="","⚠ Date missing",IF($B85="","⚠ Site missing",IF(ISNA(MATCH($C85,Mix_Code,0)),"⚠ Unknown mix code",IF($D85="","⚠ Enter m3 produced",IF(COUNTIF(CI_Site,$B85)=0,"⚠ Site not set up in Current Inventory",IF($A85&gt;AsOfDate,"Future date – not yet deducted","OK")))))))</f>
        <v/>
      </c>
    </row>
    <row r="86" customFormat="false" ht="15" hidden="false" customHeight="false" outlineLevel="0" collapsed="false">
      <c r="A86" s="65"/>
      <c r="B86" s="63"/>
      <c r="C86" s="70"/>
      <c r="D86" s="66"/>
      <c r="E86" s="16" t="str">
        <f aca="false">IF($C86="","",IFERROR(INDEX(Mix_Desc,MATCH($C86,Mix_Code,0)),"⚠ Unknown mix code"))</f>
        <v/>
      </c>
      <c r="F86" s="67" t="str">
        <f aca="false">IF(OR($C86="",$D86=""),"",IFERROR($D86*INDEX(Mix_Eff,MATCH($C86,Mix_Code,0),1),""))</f>
        <v/>
      </c>
      <c r="G86" s="67" t="str">
        <f aca="false">IF(OR($C86="",$D86=""),"",IFERROR($D86*INDEX(Mix_Eff,MATCH($C86,Mix_Code,0),2),""))</f>
        <v/>
      </c>
      <c r="H86" s="67" t="str">
        <f aca="false">IF(OR($C86="",$D86=""),"",IFERROR($D86*INDEX(Mix_Eff,MATCH($C86,Mix_Code,0),3),""))</f>
        <v/>
      </c>
      <c r="I86" s="67" t="str">
        <f aca="false">IF(OR($C86="",$D86=""),"",IFERROR($D86*INDEX(Mix_Eff,MATCH($C86,Mix_Code,0),4),""))</f>
        <v/>
      </c>
      <c r="J86" s="67" t="str">
        <f aca="false">IF(OR($C86="",$D86=""),"",IFERROR($D86*INDEX(Mix_Eff,MATCH($C86,Mix_Code,0),5),""))</f>
        <v/>
      </c>
      <c r="K86" s="63"/>
      <c r="L86" s="16" t="str">
        <f aca="false">IF(AND($A86="",$B86="",$C86="",$D86=""),"",IF($A86="","⚠ Date missing",IF($B86="","⚠ Site missing",IF(ISNA(MATCH($C86,Mix_Code,0)),"⚠ Unknown mix code",IF($D86="","⚠ Enter m3 produced",IF(COUNTIF(CI_Site,$B86)=0,"⚠ Site not set up in Current Inventory",IF($A86&gt;AsOfDate,"Future date – not yet deducted","OK")))))))</f>
        <v/>
      </c>
    </row>
    <row r="87" customFormat="false" ht="15" hidden="false" customHeight="false" outlineLevel="0" collapsed="false">
      <c r="A87" s="65"/>
      <c r="B87" s="63"/>
      <c r="C87" s="70"/>
      <c r="D87" s="66"/>
      <c r="E87" s="16" t="str">
        <f aca="false">IF($C87="","",IFERROR(INDEX(Mix_Desc,MATCH($C87,Mix_Code,0)),"⚠ Unknown mix code"))</f>
        <v/>
      </c>
      <c r="F87" s="67" t="str">
        <f aca="false">IF(OR($C87="",$D87=""),"",IFERROR($D87*INDEX(Mix_Eff,MATCH($C87,Mix_Code,0),1),""))</f>
        <v/>
      </c>
      <c r="G87" s="67" t="str">
        <f aca="false">IF(OR($C87="",$D87=""),"",IFERROR($D87*INDEX(Mix_Eff,MATCH($C87,Mix_Code,0),2),""))</f>
        <v/>
      </c>
      <c r="H87" s="67" t="str">
        <f aca="false">IF(OR($C87="",$D87=""),"",IFERROR($D87*INDEX(Mix_Eff,MATCH($C87,Mix_Code,0),3),""))</f>
        <v/>
      </c>
      <c r="I87" s="67" t="str">
        <f aca="false">IF(OR($C87="",$D87=""),"",IFERROR($D87*INDEX(Mix_Eff,MATCH($C87,Mix_Code,0),4),""))</f>
        <v/>
      </c>
      <c r="J87" s="67" t="str">
        <f aca="false">IF(OR($C87="",$D87=""),"",IFERROR($D87*INDEX(Mix_Eff,MATCH($C87,Mix_Code,0),5),""))</f>
        <v/>
      </c>
      <c r="K87" s="63"/>
      <c r="L87" s="16" t="str">
        <f aca="false">IF(AND($A87="",$B87="",$C87="",$D87=""),"",IF($A87="","⚠ Date missing",IF($B87="","⚠ Site missing",IF(ISNA(MATCH($C87,Mix_Code,0)),"⚠ Unknown mix code",IF($D87="","⚠ Enter m3 produced",IF(COUNTIF(CI_Site,$B87)=0,"⚠ Site not set up in Current Inventory",IF($A87&gt;AsOfDate,"Future date – not yet deducted","OK")))))))</f>
        <v/>
      </c>
    </row>
    <row r="88" customFormat="false" ht="15" hidden="false" customHeight="false" outlineLevel="0" collapsed="false">
      <c r="A88" s="65"/>
      <c r="B88" s="63"/>
      <c r="C88" s="70"/>
      <c r="D88" s="66"/>
      <c r="E88" s="16" t="str">
        <f aca="false">IF($C88="","",IFERROR(INDEX(Mix_Desc,MATCH($C88,Mix_Code,0)),"⚠ Unknown mix code"))</f>
        <v/>
      </c>
      <c r="F88" s="67" t="str">
        <f aca="false">IF(OR($C88="",$D88=""),"",IFERROR($D88*INDEX(Mix_Eff,MATCH($C88,Mix_Code,0),1),""))</f>
        <v/>
      </c>
      <c r="G88" s="67" t="str">
        <f aca="false">IF(OR($C88="",$D88=""),"",IFERROR($D88*INDEX(Mix_Eff,MATCH($C88,Mix_Code,0),2),""))</f>
        <v/>
      </c>
      <c r="H88" s="67" t="str">
        <f aca="false">IF(OR($C88="",$D88=""),"",IFERROR($D88*INDEX(Mix_Eff,MATCH($C88,Mix_Code,0),3),""))</f>
        <v/>
      </c>
      <c r="I88" s="67" t="str">
        <f aca="false">IF(OR($C88="",$D88=""),"",IFERROR($D88*INDEX(Mix_Eff,MATCH($C88,Mix_Code,0),4),""))</f>
        <v/>
      </c>
      <c r="J88" s="67" t="str">
        <f aca="false">IF(OR($C88="",$D88=""),"",IFERROR($D88*INDEX(Mix_Eff,MATCH($C88,Mix_Code,0),5),""))</f>
        <v/>
      </c>
      <c r="K88" s="63"/>
      <c r="L88" s="16" t="str">
        <f aca="false">IF(AND($A88="",$B88="",$C88="",$D88=""),"",IF($A88="","⚠ Date missing",IF($B88="","⚠ Site missing",IF(ISNA(MATCH($C88,Mix_Code,0)),"⚠ Unknown mix code",IF($D88="","⚠ Enter m3 produced",IF(COUNTIF(CI_Site,$B88)=0,"⚠ Site not set up in Current Inventory",IF($A88&gt;AsOfDate,"Future date – not yet deducted","OK")))))))</f>
        <v/>
      </c>
    </row>
    <row r="89" customFormat="false" ht="15" hidden="false" customHeight="false" outlineLevel="0" collapsed="false">
      <c r="A89" s="65"/>
      <c r="B89" s="63"/>
      <c r="C89" s="70"/>
      <c r="D89" s="66"/>
      <c r="E89" s="16" t="str">
        <f aca="false">IF($C89="","",IFERROR(INDEX(Mix_Desc,MATCH($C89,Mix_Code,0)),"⚠ Unknown mix code"))</f>
        <v/>
      </c>
      <c r="F89" s="67" t="str">
        <f aca="false">IF(OR($C89="",$D89=""),"",IFERROR($D89*INDEX(Mix_Eff,MATCH($C89,Mix_Code,0),1),""))</f>
        <v/>
      </c>
      <c r="G89" s="67" t="str">
        <f aca="false">IF(OR($C89="",$D89=""),"",IFERROR($D89*INDEX(Mix_Eff,MATCH($C89,Mix_Code,0),2),""))</f>
        <v/>
      </c>
      <c r="H89" s="67" t="str">
        <f aca="false">IF(OR($C89="",$D89=""),"",IFERROR($D89*INDEX(Mix_Eff,MATCH($C89,Mix_Code,0),3),""))</f>
        <v/>
      </c>
      <c r="I89" s="67" t="str">
        <f aca="false">IF(OR($C89="",$D89=""),"",IFERROR($D89*INDEX(Mix_Eff,MATCH($C89,Mix_Code,0),4),""))</f>
        <v/>
      </c>
      <c r="J89" s="67" t="str">
        <f aca="false">IF(OR($C89="",$D89=""),"",IFERROR($D89*INDEX(Mix_Eff,MATCH($C89,Mix_Code,0),5),""))</f>
        <v/>
      </c>
      <c r="K89" s="63"/>
      <c r="L89" s="16" t="str">
        <f aca="false">IF(AND($A89="",$B89="",$C89="",$D89=""),"",IF($A89="","⚠ Date missing",IF($B89="","⚠ Site missing",IF(ISNA(MATCH($C89,Mix_Code,0)),"⚠ Unknown mix code",IF($D89="","⚠ Enter m3 produced",IF(COUNTIF(CI_Site,$B89)=0,"⚠ Site not set up in Current Inventory",IF($A89&gt;AsOfDate,"Future date – not yet deducted","OK")))))))</f>
        <v/>
      </c>
    </row>
    <row r="90" customFormat="false" ht="15" hidden="false" customHeight="false" outlineLevel="0" collapsed="false">
      <c r="A90" s="65"/>
      <c r="B90" s="63"/>
      <c r="C90" s="70"/>
      <c r="D90" s="66"/>
      <c r="E90" s="16" t="str">
        <f aca="false">IF($C90="","",IFERROR(INDEX(Mix_Desc,MATCH($C90,Mix_Code,0)),"⚠ Unknown mix code"))</f>
        <v/>
      </c>
      <c r="F90" s="67" t="str">
        <f aca="false">IF(OR($C90="",$D90=""),"",IFERROR($D90*INDEX(Mix_Eff,MATCH($C90,Mix_Code,0),1),""))</f>
        <v/>
      </c>
      <c r="G90" s="67" t="str">
        <f aca="false">IF(OR($C90="",$D90=""),"",IFERROR($D90*INDEX(Mix_Eff,MATCH($C90,Mix_Code,0),2),""))</f>
        <v/>
      </c>
      <c r="H90" s="67" t="str">
        <f aca="false">IF(OR($C90="",$D90=""),"",IFERROR($D90*INDEX(Mix_Eff,MATCH($C90,Mix_Code,0),3),""))</f>
        <v/>
      </c>
      <c r="I90" s="67" t="str">
        <f aca="false">IF(OR($C90="",$D90=""),"",IFERROR($D90*INDEX(Mix_Eff,MATCH($C90,Mix_Code,0),4),""))</f>
        <v/>
      </c>
      <c r="J90" s="67" t="str">
        <f aca="false">IF(OR($C90="",$D90=""),"",IFERROR($D90*INDEX(Mix_Eff,MATCH($C90,Mix_Code,0),5),""))</f>
        <v/>
      </c>
      <c r="K90" s="63"/>
      <c r="L90" s="16" t="str">
        <f aca="false">IF(AND($A90="",$B90="",$C90="",$D90=""),"",IF($A90="","⚠ Date missing",IF($B90="","⚠ Site missing",IF(ISNA(MATCH($C90,Mix_Code,0)),"⚠ Unknown mix code",IF($D90="","⚠ Enter m3 produced",IF(COUNTIF(CI_Site,$B90)=0,"⚠ Site not set up in Current Inventory",IF($A90&gt;AsOfDate,"Future date – not yet deducted","OK")))))))</f>
        <v/>
      </c>
    </row>
    <row r="91" customFormat="false" ht="15" hidden="false" customHeight="false" outlineLevel="0" collapsed="false">
      <c r="A91" s="65"/>
      <c r="B91" s="63"/>
      <c r="C91" s="70"/>
      <c r="D91" s="66"/>
      <c r="E91" s="16" t="str">
        <f aca="false">IF($C91="","",IFERROR(INDEX(Mix_Desc,MATCH($C91,Mix_Code,0)),"⚠ Unknown mix code"))</f>
        <v/>
      </c>
      <c r="F91" s="67" t="str">
        <f aca="false">IF(OR($C91="",$D91=""),"",IFERROR($D91*INDEX(Mix_Eff,MATCH($C91,Mix_Code,0),1),""))</f>
        <v/>
      </c>
      <c r="G91" s="67" t="str">
        <f aca="false">IF(OR($C91="",$D91=""),"",IFERROR($D91*INDEX(Mix_Eff,MATCH($C91,Mix_Code,0),2),""))</f>
        <v/>
      </c>
      <c r="H91" s="67" t="str">
        <f aca="false">IF(OR($C91="",$D91=""),"",IFERROR($D91*INDEX(Mix_Eff,MATCH($C91,Mix_Code,0),3),""))</f>
        <v/>
      </c>
      <c r="I91" s="67" t="str">
        <f aca="false">IF(OR($C91="",$D91=""),"",IFERROR($D91*INDEX(Mix_Eff,MATCH($C91,Mix_Code,0),4),""))</f>
        <v/>
      </c>
      <c r="J91" s="67" t="str">
        <f aca="false">IF(OR($C91="",$D91=""),"",IFERROR($D91*INDEX(Mix_Eff,MATCH($C91,Mix_Code,0),5),""))</f>
        <v/>
      </c>
      <c r="K91" s="63"/>
      <c r="L91" s="16" t="str">
        <f aca="false">IF(AND($A91="",$B91="",$C91="",$D91=""),"",IF($A91="","⚠ Date missing",IF($B91="","⚠ Site missing",IF(ISNA(MATCH($C91,Mix_Code,0)),"⚠ Unknown mix code",IF($D91="","⚠ Enter m3 produced",IF(COUNTIF(CI_Site,$B91)=0,"⚠ Site not set up in Current Inventory",IF($A91&gt;AsOfDate,"Future date – not yet deducted","OK")))))))</f>
        <v/>
      </c>
    </row>
    <row r="92" customFormat="false" ht="15" hidden="false" customHeight="false" outlineLevel="0" collapsed="false">
      <c r="A92" s="65"/>
      <c r="B92" s="63"/>
      <c r="C92" s="70"/>
      <c r="D92" s="66"/>
      <c r="E92" s="16" t="str">
        <f aca="false">IF($C92="","",IFERROR(INDEX(Mix_Desc,MATCH($C92,Mix_Code,0)),"⚠ Unknown mix code"))</f>
        <v/>
      </c>
      <c r="F92" s="67" t="str">
        <f aca="false">IF(OR($C92="",$D92=""),"",IFERROR($D92*INDEX(Mix_Eff,MATCH($C92,Mix_Code,0),1),""))</f>
        <v/>
      </c>
      <c r="G92" s="67" t="str">
        <f aca="false">IF(OR($C92="",$D92=""),"",IFERROR($D92*INDEX(Mix_Eff,MATCH($C92,Mix_Code,0),2),""))</f>
        <v/>
      </c>
      <c r="H92" s="67" t="str">
        <f aca="false">IF(OR($C92="",$D92=""),"",IFERROR($D92*INDEX(Mix_Eff,MATCH($C92,Mix_Code,0),3),""))</f>
        <v/>
      </c>
      <c r="I92" s="67" t="str">
        <f aca="false">IF(OR($C92="",$D92=""),"",IFERROR($D92*INDEX(Mix_Eff,MATCH($C92,Mix_Code,0),4),""))</f>
        <v/>
      </c>
      <c r="J92" s="67" t="str">
        <f aca="false">IF(OR($C92="",$D92=""),"",IFERROR($D92*INDEX(Mix_Eff,MATCH($C92,Mix_Code,0),5),""))</f>
        <v/>
      </c>
      <c r="K92" s="63"/>
      <c r="L92" s="16" t="str">
        <f aca="false">IF(AND($A92="",$B92="",$C92="",$D92=""),"",IF($A92="","⚠ Date missing",IF($B92="","⚠ Site missing",IF(ISNA(MATCH($C92,Mix_Code,0)),"⚠ Unknown mix code",IF($D92="","⚠ Enter m3 produced",IF(COUNTIF(CI_Site,$B92)=0,"⚠ Site not set up in Current Inventory",IF($A92&gt;AsOfDate,"Future date – not yet deducted","OK")))))))</f>
        <v/>
      </c>
    </row>
    <row r="93" customFormat="false" ht="15" hidden="false" customHeight="false" outlineLevel="0" collapsed="false">
      <c r="A93" s="65"/>
      <c r="B93" s="63"/>
      <c r="C93" s="70"/>
      <c r="D93" s="66"/>
      <c r="E93" s="16" t="str">
        <f aca="false">IF($C93="","",IFERROR(INDEX(Mix_Desc,MATCH($C93,Mix_Code,0)),"⚠ Unknown mix code"))</f>
        <v/>
      </c>
      <c r="F93" s="67" t="str">
        <f aca="false">IF(OR($C93="",$D93=""),"",IFERROR($D93*INDEX(Mix_Eff,MATCH($C93,Mix_Code,0),1),""))</f>
        <v/>
      </c>
      <c r="G93" s="67" t="str">
        <f aca="false">IF(OR($C93="",$D93=""),"",IFERROR($D93*INDEX(Mix_Eff,MATCH($C93,Mix_Code,0),2),""))</f>
        <v/>
      </c>
      <c r="H93" s="67" t="str">
        <f aca="false">IF(OR($C93="",$D93=""),"",IFERROR($D93*INDEX(Mix_Eff,MATCH($C93,Mix_Code,0),3),""))</f>
        <v/>
      </c>
      <c r="I93" s="67" t="str">
        <f aca="false">IF(OR($C93="",$D93=""),"",IFERROR($D93*INDEX(Mix_Eff,MATCH($C93,Mix_Code,0),4),""))</f>
        <v/>
      </c>
      <c r="J93" s="67" t="str">
        <f aca="false">IF(OR($C93="",$D93=""),"",IFERROR($D93*INDEX(Mix_Eff,MATCH($C93,Mix_Code,0),5),""))</f>
        <v/>
      </c>
      <c r="K93" s="63"/>
      <c r="L93" s="16" t="str">
        <f aca="false">IF(AND($A93="",$B93="",$C93="",$D93=""),"",IF($A93="","⚠ Date missing",IF($B93="","⚠ Site missing",IF(ISNA(MATCH($C93,Mix_Code,0)),"⚠ Unknown mix code",IF($D93="","⚠ Enter m3 produced",IF(COUNTIF(CI_Site,$B93)=0,"⚠ Site not set up in Current Inventory",IF($A93&gt;AsOfDate,"Future date – not yet deducted","OK")))))))</f>
        <v/>
      </c>
    </row>
    <row r="94" customFormat="false" ht="15" hidden="false" customHeight="false" outlineLevel="0" collapsed="false">
      <c r="A94" s="65"/>
      <c r="B94" s="63"/>
      <c r="C94" s="70"/>
      <c r="D94" s="66"/>
      <c r="E94" s="16" t="str">
        <f aca="false">IF($C94="","",IFERROR(INDEX(Mix_Desc,MATCH($C94,Mix_Code,0)),"⚠ Unknown mix code"))</f>
        <v/>
      </c>
      <c r="F94" s="67" t="str">
        <f aca="false">IF(OR($C94="",$D94=""),"",IFERROR($D94*INDEX(Mix_Eff,MATCH($C94,Mix_Code,0),1),""))</f>
        <v/>
      </c>
      <c r="G94" s="67" t="str">
        <f aca="false">IF(OR($C94="",$D94=""),"",IFERROR($D94*INDEX(Mix_Eff,MATCH($C94,Mix_Code,0),2),""))</f>
        <v/>
      </c>
      <c r="H94" s="67" t="str">
        <f aca="false">IF(OR($C94="",$D94=""),"",IFERROR($D94*INDEX(Mix_Eff,MATCH($C94,Mix_Code,0),3),""))</f>
        <v/>
      </c>
      <c r="I94" s="67" t="str">
        <f aca="false">IF(OR($C94="",$D94=""),"",IFERROR($D94*INDEX(Mix_Eff,MATCH($C94,Mix_Code,0),4),""))</f>
        <v/>
      </c>
      <c r="J94" s="67" t="str">
        <f aca="false">IF(OR($C94="",$D94=""),"",IFERROR($D94*INDEX(Mix_Eff,MATCH($C94,Mix_Code,0),5),""))</f>
        <v/>
      </c>
      <c r="K94" s="63"/>
      <c r="L94" s="16" t="str">
        <f aca="false">IF(AND($A94="",$B94="",$C94="",$D94=""),"",IF($A94="","⚠ Date missing",IF($B94="","⚠ Site missing",IF(ISNA(MATCH($C94,Mix_Code,0)),"⚠ Unknown mix code",IF($D94="","⚠ Enter m3 produced",IF(COUNTIF(CI_Site,$B94)=0,"⚠ Site not set up in Current Inventory",IF($A94&gt;AsOfDate,"Future date – not yet deducted","OK")))))))</f>
        <v/>
      </c>
    </row>
    <row r="95" customFormat="false" ht="15" hidden="false" customHeight="false" outlineLevel="0" collapsed="false">
      <c r="A95" s="65"/>
      <c r="B95" s="63"/>
      <c r="C95" s="70"/>
      <c r="D95" s="66"/>
      <c r="E95" s="16" t="str">
        <f aca="false">IF($C95="","",IFERROR(INDEX(Mix_Desc,MATCH($C95,Mix_Code,0)),"⚠ Unknown mix code"))</f>
        <v/>
      </c>
      <c r="F95" s="67" t="str">
        <f aca="false">IF(OR($C95="",$D95=""),"",IFERROR($D95*INDEX(Mix_Eff,MATCH($C95,Mix_Code,0),1),""))</f>
        <v/>
      </c>
      <c r="G95" s="67" t="str">
        <f aca="false">IF(OR($C95="",$D95=""),"",IFERROR($D95*INDEX(Mix_Eff,MATCH($C95,Mix_Code,0),2),""))</f>
        <v/>
      </c>
      <c r="H95" s="67" t="str">
        <f aca="false">IF(OR($C95="",$D95=""),"",IFERROR($D95*INDEX(Mix_Eff,MATCH($C95,Mix_Code,0),3),""))</f>
        <v/>
      </c>
      <c r="I95" s="67" t="str">
        <f aca="false">IF(OR($C95="",$D95=""),"",IFERROR($D95*INDEX(Mix_Eff,MATCH($C95,Mix_Code,0),4),""))</f>
        <v/>
      </c>
      <c r="J95" s="67" t="str">
        <f aca="false">IF(OR($C95="",$D95=""),"",IFERROR($D95*INDEX(Mix_Eff,MATCH($C95,Mix_Code,0),5),""))</f>
        <v/>
      </c>
      <c r="K95" s="63"/>
      <c r="L95" s="16" t="str">
        <f aca="false">IF(AND($A95="",$B95="",$C95="",$D95=""),"",IF($A95="","⚠ Date missing",IF($B95="","⚠ Site missing",IF(ISNA(MATCH($C95,Mix_Code,0)),"⚠ Unknown mix code",IF($D95="","⚠ Enter m3 produced",IF(COUNTIF(CI_Site,$B95)=0,"⚠ Site not set up in Current Inventory",IF($A95&gt;AsOfDate,"Future date – not yet deducted","OK")))))))</f>
        <v/>
      </c>
    </row>
    <row r="96" customFormat="false" ht="15" hidden="false" customHeight="false" outlineLevel="0" collapsed="false">
      <c r="A96" s="65"/>
      <c r="B96" s="63"/>
      <c r="C96" s="70"/>
      <c r="D96" s="66"/>
      <c r="E96" s="16" t="str">
        <f aca="false">IF($C96="","",IFERROR(INDEX(Mix_Desc,MATCH($C96,Mix_Code,0)),"⚠ Unknown mix code"))</f>
        <v/>
      </c>
      <c r="F96" s="67" t="str">
        <f aca="false">IF(OR($C96="",$D96=""),"",IFERROR($D96*INDEX(Mix_Eff,MATCH($C96,Mix_Code,0),1),""))</f>
        <v/>
      </c>
      <c r="G96" s="67" t="str">
        <f aca="false">IF(OR($C96="",$D96=""),"",IFERROR($D96*INDEX(Mix_Eff,MATCH($C96,Mix_Code,0),2),""))</f>
        <v/>
      </c>
      <c r="H96" s="67" t="str">
        <f aca="false">IF(OR($C96="",$D96=""),"",IFERROR($D96*INDEX(Mix_Eff,MATCH($C96,Mix_Code,0),3),""))</f>
        <v/>
      </c>
      <c r="I96" s="67" t="str">
        <f aca="false">IF(OR($C96="",$D96=""),"",IFERROR($D96*INDEX(Mix_Eff,MATCH($C96,Mix_Code,0),4),""))</f>
        <v/>
      </c>
      <c r="J96" s="67" t="str">
        <f aca="false">IF(OR($C96="",$D96=""),"",IFERROR($D96*INDEX(Mix_Eff,MATCH($C96,Mix_Code,0),5),""))</f>
        <v/>
      </c>
      <c r="K96" s="63"/>
      <c r="L96" s="16" t="str">
        <f aca="false">IF(AND($A96="",$B96="",$C96="",$D96=""),"",IF($A96="","⚠ Date missing",IF($B96="","⚠ Site missing",IF(ISNA(MATCH($C96,Mix_Code,0)),"⚠ Unknown mix code",IF($D96="","⚠ Enter m3 produced",IF(COUNTIF(CI_Site,$B96)=0,"⚠ Site not set up in Current Inventory",IF($A96&gt;AsOfDate,"Future date – not yet deducted","OK")))))))</f>
        <v/>
      </c>
    </row>
    <row r="97" customFormat="false" ht="15" hidden="false" customHeight="false" outlineLevel="0" collapsed="false">
      <c r="A97" s="65"/>
      <c r="B97" s="63"/>
      <c r="C97" s="70"/>
      <c r="D97" s="66"/>
      <c r="E97" s="16" t="str">
        <f aca="false">IF($C97="","",IFERROR(INDEX(Mix_Desc,MATCH($C97,Mix_Code,0)),"⚠ Unknown mix code"))</f>
        <v/>
      </c>
      <c r="F97" s="67" t="str">
        <f aca="false">IF(OR($C97="",$D97=""),"",IFERROR($D97*INDEX(Mix_Eff,MATCH($C97,Mix_Code,0),1),""))</f>
        <v/>
      </c>
      <c r="G97" s="67" t="str">
        <f aca="false">IF(OR($C97="",$D97=""),"",IFERROR($D97*INDEX(Mix_Eff,MATCH($C97,Mix_Code,0),2),""))</f>
        <v/>
      </c>
      <c r="H97" s="67" t="str">
        <f aca="false">IF(OR($C97="",$D97=""),"",IFERROR($D97*INDEX(Mix_Eff,MATCH($C97,Mix_Code,0),3),""))</f>
        <v/>
      </c>
      <c r="I97" s="67" t="str">
        <f aca="false">IF(OR($C97="",$D97=""),"",IFERROR($D97*INDEX(Mix_Eff,MATCH($C97,Mix_Code,0),4),""))</f>
        <v/>
      </c>
      <c r="J97" s="67" t="str">
        <f aca="false">IF(OR($C97="",$D97=""),"",IFERROR($D97*INDEX(Mix_Eff,MATCH($C97,Mix_Code,0),5),""))</f>
        <v/>
      </c>
      <c r="K97" s="63"/>
      <c r="L97" s="16" t="str">
        <f aca="false">IF(AND($A97="",$B97="",$C97="",$D97=""),"",IF($A97="","⚠ Date missing",IF($B97="","⚠ Site missing",IF(ISNA(MATCH($C97,Mix_Code,0)),"⚠ Unknown mix code",IF($D97="","⚠ Enter m3 produced",IF(COUNTIF(CI_Site,$B97)=0,"⚠ Site not set up in Current Inventory",IF($A97&gt;AsOfDate,"Future date – not yet deducted","OK")))))))</f>
        <v/>
      </c>
    </row>
    <row r="98" customFormat="false" ht="15" hidden="false" customHeight="false" outlineLevel="0" collapsed="false">
      <c r="A98" s="65"/>
      <c r="B98" s="63"/>
      <c r="C98" s="70"/>
      <c r="D98" s="66"/>
      <c r="E98" s="16" t="str">
        <f aca="false">IF($C98="","",IFERROR(INDEX(Mix_Desc,MATCH($C98,Mix_Code,0)),"⚠ Unknown mix code"))</f>
        <v/>
      </c>
      <c r="F98" s="67" t="str">
        <f aca="false">IF(OR($C98="",$D98=""),"",IFERROR($D98*INDEX(Mix_Eff,MATCH($C98,Mix_Code,0),1),""))</f>
        <v/>
      </c>
      <c r="G98" s="67" t="str">
        <f aca="false">IF(OR($C98="",$D98=""),"",IFERROR($D98*INDEX(Mix_Eff,MATCH($C98,Mix_Code,0),2),""))</f>
        <v/>
      </c>
      <c r="H98" s="67" t="str">
        <f aca="false">IF(OR($C98="",$D98=""),"",IFERROR($D98*INDEX(Mix_Eff,MATCH($C98,Mix_Code,0),3),""))</f>
        <v/>
      </c>
      <c r="I98" s="67" t="str">
        <f aca="false">IF(OR($C98="",$D98=""),"",IFERROR($D98*INDEX(Mix_Eff,MATCH($C98,Mix_Code,0),4),""))</f>
        <v/>
      </c>
      <c r="J98" s="67" t="str">
        <f aca="false">IF(OR($C98="",$D98=""),"",IFERROR($D98*INDEX(Mix_Eff,MATCH($C98,Mix_Code,0),5),""))</f>
        <v/>
      </c>
      <c r="K98" s="63"/>
      <c r="L98" s="16" t="str">
        <f aca="false">IF(AND($A98="",$B98="",$C98="",$D98=""),"",IF($A98="","⚠ Date missing",IF($B98="","⚠ Site missing",IF(ISNA(MATCH($C98,Mix_Code,0)),"⚠ Unknown mix code",IF($D98="","⚠ Enter m3 produced",IF(COUNTIF(CI_Site,$B98)=0,"⚠ Site not set up in Current Inventory",IF($A98&gt;AsOfDate,"Future date – not yet deducted","OK")))))))</f>
        <v/>
      </c>
    </row>
    <row r="99" customFormat="false" ht="15" hidden="false" customHeight="false" outlineLevel="0" collapsed="false">
      <c r="A99" s="65"/>
      <c r="B99" s="63"/>
      <c r="C99" s="70"/>
      <c r="D99" s="66"/>
      <c r="E99" s="16" t="str">
        <f aca="false">IF($C99="","",IFERROR(INDEX(Mix_Desc,MATCH($C99,Mix_Code,0)),"⚠ Unknown mix code"))</f>
        <v/>
      </c>
      <c r="F99" s="67" t="str">
        <f aca="false">IF(OR($C99="",$D99=""),"",IFERROR($D99*INDEX(Mix_Eff,MATCH($C99,Mix_Code,0),1),""))</f>
        <v/>
      </c>
      <c r="G99" s="67" t="str">
        <f aca="false">IF(OR($C99="",$D99=""),"",IFERROR($D99*INDEX(Mix_Eff,MATCH($C99,Mix_Code,0),2),""))</f>
        <v/>
      </c>
      <c r="H99" s="67" t="str">
        <f aca="false">IF(OR($C99="",$D99=""),"",IFERROR($D99*INDEX(Mix_Eff,MATCH($C99,Mix_Code,0),3),""))</f>
        <v/>
      </c>
      <c r="I99" s="67" t="str">
        <f aca="false">IF(OR($C99="",$D99=""),"",IFERROR($D99*INDEX(Mix_Eff,MATCH($C99,Mix_Code,0),4),""))</f>
        <v/>
      </c>
      <c r="J99" s="67" t="str">
        <f aca="false">IF(OR($C99="",$D99=""),"",IFERROR($D99*INDEX(Mix_Eff,MATCH($C99,Mix_Code,0),5),""))</f>
        <v/>
      </c>
      <c r="K99" s="63"/>
      <c r="L99" s="16" t="str">
        <f aca="false">IF(AND($A99="",$B99="",$C99="",$D99=""),"",IF($A99="","⚠ Date missing",IF($B99="","⚠ Site missing",IF(ISNA(MATCH($C99,Mix_Code,0)),"⚠ Unknown mix code",IF($D99="","⚠ Enter m3 produced",IF(COUNTIF(CI_Site,$B99)=0,"⚠ Site not set up in Current Inventory",IF($A99&gt;AsOfDate,"Future date – not yet deducted","OK")))))))</f>
        <v/>
      </c>
    </row>
    <row r="100" customFormat="false" ht="15" hidden="false" customHeight="false" outlineLevel="0" collapsed="false">
      <c r="A100" s="65"/>
      <c r="B100" s="63"/>
      <c r="C100" s="70"/>
      <c r="D100" s="66"/>
      <c r="E100" s="16" t="str">
        <f aca="false">IF($C100="","",IFERROR(INDEX(Mix_Desc,MATCH($C100,Mix_Code,0)),"⚠ Unknown mix code"))</f>
        <v/>
      </c>
      <c r="F100" s="67" t="str">
        <f aca="false">IF(OR($C100="",$D100=""),"",IFERROR($D100*INDEX(Mix_Eff,MATCH($C100,Mix_Code,0),1),""))</f>
        <v/>
      </c>
      <c r="G100" s="67" t="str">
        <f aca="false">IF(OR($C100="",$D100=""),"",IFERROR($D100*INDEX(Mix_Eff,MATCH($C100,Mix_Code,0),2),""))</f>
        <v/>
      </c>
      <c r="H100" s="67" t="str">
        <f aca="false">IF(OR($C100="",$D100=""),"",IFERROR($D100*INDEX(Mix_Eff,MATCH($C100,Mix_Code,0),3),""))</f>
        <v/>
      </c>
      <c r="I100" s="67" t="str">
        <f aca="false">IF(OR($C100="",$D100=""),"",IFERROR($D100*INDEX(Mix_Eff,MATCH($C100,Mix_Code,0),4),""))</f>
        <v/>
      </c>
      <c r="J100" s="67" t="str">
        <f aca="false">IF(OR($C100="",$D100=""),"",IFERROR($D100*INDEX(Mix_Eff,MATCH($C100,Mix_Code,0),5),""))</f>
        <v/>
      </c>
      <c r="K100" s="63"/>
      <c r="L100" s="16" t="str">
        <f aca="false">IF(AND($A100="",$B100="",$C100="",$D100=""),"",IF($A100="","⚠ Date missing",IF($B100="","⚠ Site missing",IF(ISNA(MATCH($C100,Mix_Code,0)),"⚠ Unknown mix code",IF($D100="","⚠ Enter m3 produced",IF(COUNTIF(CI_Site,$B100)=0,"⚠ Site not set up in Current Inventory",IF($A100&gt;AsOfDate,"Future date – not yet deducted","OK")))))))</f>
        <v/>
      </c>
    </row>
    <row r="101" customFormat="false" ht="15" hidden="false" customHeight="false" outlineLevel="0" collapsed="false">
      <c r="A101" s="65"/>
      <c r="B101" s="63"/>
      <c r="C101" s="70"/>
      <c r="D101" s="66"/>
      <c r="E101" s="16" t="str">
        <f aca="false">IF($C101="","",IFERROR(INDEX(Mix_Desc,MATCH($C101,Mix_Code,0)),"⚠ Unknown mix code"))</f>
        <v/>
      </c>
      <c r="F101" s="67" t="str">
        <f aca="false">IF(OR($C101="",$D101=""),"",IFERROR($D101*INDEX(Mix_Eff,MATCH($C101,Mix_Code,0),1),""))</f>
        <v/>
      </c>
      <c r="G101" s="67" t="str">
        <f aca="false">IF(OR($C101="",$D101=""),"",IFERROR($D101*INDEX(Mix_Eff,MATCH($C101,Mix_Code,0),2),""))</f>
        <v/>
      </c>
      <c r="H101" s="67" t="str">
        <f aca="false">IF(OR($C101="",$D101=""),"",IFERROR($D101*INDEX(Mix_Eff,MATCH($C101,Mix_Code,0),3),""))</f>
        <v/>
      </c>
      <c r="I101" s="67" t="str">
        <f aca="false">IF(OR($C101="",$D101=""),"",IFERROR($D101*INDEX(Mix_Eff,MATCH($C101,Mix_Code,0),4),""))</f>
        <v/>
      </c>
      <c r="J101" s="67" t="str">
        <f aca="false">IF(OR($C101="",$D101=""),"",IFERROR($D101*INDEX(Mix_Eff,MATCH($C101,Mix_Code,0),5),""))</f>
        <v/>
      </c>
      <c r="K101" s="63"/>
      <c r="L101" s="16" t="str">
        <f aca="false">IF(AND($A101="",$B101="",$C101="",$D101=""),"",IF($A101="","⚠ Date missing",IF($B101="","⚠ Site missing",IF(ISNA(MATCH($C101,Mix_Code,0)),"⚠ Unknown mix code",IF($D101="","⚠ Enter m3 produced",IF(COUNTIF(CI_Site,$B101)=0,"⚠ Site not set up in Current Inventory",IF($A101&gt;AsOfDate,"Future date – not yet deducted","OK")))))))</f>
        <v/>
      </c>
    </row>
    <row r="102" customFormat="false" ht="15" hidden="false" customHeight="false" outlineLevel="0" collapsed="false">
      <c r="A102" s="65"/>
      <c r="B102" s="63"/>
      <c r="C102" s="70"/>
      <c r="D102" s="66"/>
      <c r="E102" s="16" t="str">
        <f aca="false">IF($C102="","",IFERROR(INDEX(Mix_Desc,MATCH($C102,Mix_Code,0)),"⚠ Unknown mix code"))</f>
        <v/>
      </c>
      <c r="F102" s="67" t="str">
        <f aca="false">IF(OR($C102="",$D102=""),"",IFERROR($D102*INDEX(Mix_Eff,MATCH($C102,Mix_Code,0),1),""))</f>
        <v/>
      </c>
      <c r="G102" s="67" t="str">
        <f aca="false">IF(OR($C102="",$D102=""),"",IFERROR($D102*INDEX(Mix_Eff,MATCH($C102,Mix_Code,0),2),""))</f>
        <v/>
      </c>
      <c r="H102" s="67" t="str">
        <f aca="false">IF(OR($C102="",$D102=""),"",IFERROR($D102*INDEX(Mix_Eff,MATCH($C102,Mix_Code,0),3),""))</f>
        <v/>
      </c>
      <c r="I102" s="67" t="str">
        <f aca="false">IF(OR($C102="",$D102=""),"",IFERROR($D102*INDEX(Mix_Eff,MATCH($C102,Mix_Code,0),4),""))</f>
        <v/>
      </c>
      <c r="J102" s="67" t="str">
        <f aca="false">IF(OR($C102="",$D102=""),"",IFERROR($D102*INDEX(Mix_Eff,MATCH($C102,Mix_Code,0),5),""))</f>
        <v/>
      </c>
      <c r="K102" s="63"/>
      <c r="L102" s="16" t="str">
        <f aca="false">IF(AND($A102="",$B102="",$C102="",$D102=""),"",IF($A102="","⚠ Date missing",IF($B102="","⚠ Site missing",IF(ISNA(MATCH($C102,Mix_Code,0)),"⚠ Unknown mix code",IF($D102="","⚠ Enter m3 produced",IF(COUNTIF(CI_Site,$B102)=0,"⚠ Site not set up in Current Inventory",IF($A102&gt;AsOfDate,"Future date – not yet deducted","OK")))))))</f>
        <v/>
      </c>
    </row>
    <row r="103" customFormat="false" ht="15" hidden="false" customHeight="false" outlineLevel="0" collapsed="false">
      <c r="A103" s="65"/>
      <c r="B103" s="63"/>
      <c r="C103" s="70"/>
      <c r="D103" s="66"/>
      <c r="E103" s="16" t="str">
        <f aca="false">IF($C103="","",IFERROR(INDEX(Mix_Desc,MATCH($C103,Mix_Code,0)),"⚠ Unknown mix code"))</f>
        <v/>
      </c>
      <c r="F103" s="67" t="str">
        <f aca="false">IF(OR($C103="",$D103=""),"",IFERROR($D103*INDEX(Mix_Eff,MATCH($C103,Mix_Code,0),1),""))</f>
        <v/>
      </c>
      <c r="G103" s="67" t="str">
        <f aca="false">IF(OR($C103="",$D103=""),"",IFERROR($D103*INDEX(Mix_Eff,MATCH($C103,Mix_Code,0),2),""))</f>
        <v/>
      </c>
      <c r="H103" s="67" t="str">
        <f aca="false">IF(OR($C103="",$D103=""),"",IFERROR($D103*INDEX(Mix_Eff,MATCH($C103,Mix_Code,0),3),""))</f>
        <v/>
      </c>
      <c r="I103" s="67" t="str">
        <f aca="false">IF(OR($C103="",$D103=""),"",IFERROR($D103*INDEX(Mix_Eff,MATCH($C103,Mix_Code,0),4),""))</f>
        <v/>
      </c>
      <c r="J103" s="67" t="str">
        <f aca="false">IF(OR($C103="",$D103=""),"",IFERROR($D103*INDEX(Mix_Eff,MATCH($C103,Mix_Code,0),5),""))</f>
        <v/>
      </c>
      <c r="K103" s="63"/>
      <c r="L103" s="16" t="str">
        <f aca="false">IF(AND($A103="",$B103="",$C103="",$D103=""),"",IF($A103="","⚠ Date missing",IF($B103="","⚠ Site missing",IF(ISNA(MATCH($C103,Mix_Code,0)),"⚠ Unknown mix code",IF($D103="","⚠ Enter m3 produced",IF(COUNTIF(CI_Site,$B103)=0,"⚠ Site not set up in Current Inventory",IF($A103&gt;AsOfDate,"Future date – not yet deducted","OK")))))))</f>
        <v/>
      </c>
    </row>
    <row r="104" customFormat="false" ht="15" hidden="false" customHeight="false" outlineLevel="0" collapsed="false">
      <c r="A104" s="65"/>
      <c r="B104" s="63"/>
      <c r="C104" s="70"/>
      <c r="D104" s="66"/>
      <c r="E104" s="16" t="str">
        <f aca="false">IF($C104="","",IFERROR(INDEX(Mix_Desc,MATCH($C104,Mix_Code,0)),"⚠ Unknown mix code"))</f>
        <v/>
      </c>
      <c r="F104" s="67" t="str">
        <f aca="false">IF(OR($C104="",$D104=""),"",IFERROR($D104*INDEX(Mix_Eff,MATCH($C104,Mix_Code,0),1),""))</f>
        <v/>
      </c>
      <c r="G104" s="67" t="str">
        <f aca="false">IF(OR($C104="",$D104=""),"",IFERROR($D104*INDEX(Mix_Eff,MATCH($C104,Mix_Code,0),2),""))</f>
        <v/>
      </c>
      <c r="H104" s="67" t="str">
        <f aca="false">IF(OR($C104="",$D104=""),"",IFERROR($D104*INDEX(Mix_Eff,MATCH($C104,Mix_Code,0),3),""))</f>
        <v/>
      </c>
      <c r="I104" s="67" t="str">
        <f aca="false">IF(OR($C104="",$D104=""),"",IFERROR($D104*INDEX(Mix_Eff,MATCH($C104,Mix_Code,0),4),""))</f>
        <v/>
      </c>
      <c r="J104" s="67" t="str">
        <f aca="false">IF(OR($C104="",$D104=""),"",IFERROR($D104*INDEX(Mix_Eff,MATCH($C104,Mix_Code,0),5),""))</f>
        <v/>
      </c>
      <c r="K104" s="63"/>
      <c r="L104" s="16" t="str">
        <f aca="false">IF(AND($A104="",$B104="",$C104="",$D104=""),"",IF($A104="","⚠ Date missing",IF($B104="","⚠ Site missing",IF(ISNA(MATCH($C104,Mix_Code,0)),"⚠ Unknown mix code",IF($D104="","⚠ Enter m3 produced",IF(COUNTIF(CI_Site,$B104)=0,"⚠ Site not set up in Current Inventory",IF($A104&gt;AsOfDate,"Future date – not yet deducted","OK")))))))</f>
        <v/>
      </c>
    </row>
    <row r="105" customFormat="false" ht="15" hidden="false" customHeight="false" outlineLevel="0" collapsed="false">
      <c r="A105" s="65"/>
      <c r="B105" s="63"/>
      <c r="C105" s="70"/>
      <c r="D105" s="66"/>
      <c r="E105" s="16" t="str">
        <f aca="false">IF($C105="","",IFERROR(INDEX(Mix_Desc,MATCH($C105,Mix_Code,0)),"⚠ Unknown mix code"))</f>
        <v/>
      </c>
      <c r="F105" s="67" t="str">
        <f aca="false">IF(OR($C105="",$D105=""),"",IFERROR($D105*INDEX(Mix_Eff,MATCH($C105,Mix_Code,0),1),""))</f>
        <v/>
      </c>
      <c r="G105" s="67" t="str">
        <f aca="false">IF(OR($C105="",$D105=""),"",IFERROR($D105*INDEX(Mix_Eff,MATCH($C105,Mix_Code,0),2),""))</f>
        <v/>
      </c>
      <c r="H105" s="67" t="str">
        <f aca="false">IF(OR($C105="",$D105=""),"",IFERROR($D105*INDEX(Mix_Eff,MATCH($C105,Mix_Code,0),3),""))</f>
        <v/>
      </c>
      <c r="I105" s="67" t="str">
        <f aca="false">IF(OR($C105="",$D105=""),"",IFERROR($D105*INDEX(Mix_Eff,MATCH($C105,Mix_Code,0),4),""))</f>
        <v/>
      </c>
      <c r="J105" s="67" t="str">
        <f aca="false">IF(OR($C105="",$D105=""),"",IFERROR($D105*INDEX(Mix_Eff,MATCH($C105,Mix_Code,0),5),""))</f>
        <v/>
      </c>
      <c r="K105" s="63"/>
      <c r="L105" s="16" t="str">
        <f aca="false">IF(AND($A105="",$B105="",$C105="",$D105=""),"",IF($A105="","⚠ Date missing",IF($B105="","⚠ Site missing",IF(ISNA(MATCH($C105,Mix_Code,0)),"⚠ Unknown mix code",IF($D105="","⚠ Enter m3 produced",IF(COUNTIF(CI_Site,$B105)=0,"⚠ Site not set up in Current Inventory",IF($A105&gt;AsOfDate,"Future date – not yet deducted","OK")))))))</f>
        <v/>
      </c>
    </row>
    <row r="106" customFormat="false" ht="15" hidden="false" customHeight="false" outlineLevel="0" collapsed="false">
      <c r="A106" s="65"/>
      <c r="B106" s="63"/>
      <c r="C106" s="70"/>
      <c r="D106" s="66"/>
      <c r="E106" s="16" t="str">
        <f aca="false">IF($C106="","",IFERROR(INDEX(Mix_Desc,MATCH($C106,Mix_Code,0)),"⚠ Unknown mix code"))</f>
        <v/>
      </c>
      <c r="F106" s="67" t="str">
        <f aca="false">IF(OR($C106="",$D106=""),"",IFERROR($D106*INDEX(Mix_Eff,MATCH($C106,Mix_Code,0),1),""))</f>
        <v/>
      </c>
      <c r="G106" s="67" t="str">
        <f aca="false">IF(OR($C106="",$D106=""),"",IFERROR($D106*INDEX(Mix_Eff,MATCH($C106,Mix_Code,0),2),""))</f>
        <v/>
      </c>
      <c r="H106" s="67" t="str">
        <f aca="false">IF(OR($C106="",$D106=""),"",IFERROR($D106*INDEX(Mix_Eff,MATCH($C106,Mix_Code,0),3),""))</f>
        <v/>
      </c>
      <c r="I106" s="67" t="str">
        <f aca="false">IF(OR($C106="",$D106=""),"",IFERROR($D106*INDEX(Mix_Eff,MATCH($C106,Mix_Code,0),4),""))</f>
        <v/>
      </c>
      <c r="J106" s="67" t="str">
        <f aca="false">IF(OR($C106="",$D106=""),"",IFERROR($D106*INDEX(Mix_Eff,MATCH($C106,Mix_Code,0),5),""))</f>
        <v/>
      </c>
      <c r="K106" s="63"/>
      <c r="L106" s="16" t="str">
        <f aca="false">IF(AND($A106="",$B106="",$C106="",$D106=""),"",IF($A106="","⚠ Date missing",IF($B106="","⚠ Site missing",IF(ISNA(MATCH($C106,Mix_Code,0)),"⚠ Unknown mix code",IF($D106="","⚠ Enter m3 produced",IF(COUNTIF(CI_Site,$B106)=0,"⚠ Site not set up in Current Inventory",IF($A106&gt;AsOfDate,"Future date – not yet deducted","OK")))))))</f>
        <v/>
      </c>
    </row>
    <row r="107" customFormat="false" ht="15" hidden="false" customHeight="false" outlineLevel="0" collapsed="false">
      <c r="A107" s="65"/>
      <c r="B107" s="63"/>
      <c r="C107" s="70"/>
      <c r="D107" s="66"/>
      <c r="E107" s="16" t="str">
        <f aca="false">IF($C107="","",IFERROR(INDEX(Mix_Desc,MATCH($C107,Mix_Code,0)),"⚠ Unknown mix code"))</f>
        <v/>
      </c>
      <c r="F107" s="67" t="str">
        <f aca="false">IF(OR($C107="",$D107=""),"",IFERROR($D107*INDEX(Mix_Eff,MATCH($C107,Mix_Code,0),1),""))</f>
        <v/>
      </c>
      <c r="G107" s="67" t="str">
        <f aca="false">IF(OR($C107="",$D107=""),"",IFERROR($D107*INDEX(Mix_Eff,MATCH($C107,Mix_Code,0),2),""))</f>
        <v/>
      </c>
      <c r="H107" s="67" t="str">
        <f aca="false">IF(OR($C107="",$D107=""),"",IFERROR($D107*INDEX(Mix_Eff,MATCH($C107,Mix_Code,0),3),""))</f>
        <v/>
      </c>
      <c r="I107" s="67" t="str">
        <f aca="false">IF(OR($C107="",$D107=""),"",IFERROR($D107*INDEX(Mix_Eff,MATCH($C107,Mix_Code,0),4),""))</f>
        <v/>
      </c>
      <c r="J107" s="67" t="str">
        <f aca="false">IF(OR($C107="",$D107=""),"",IFERROR($D107*INDEX(Mix_Eff,MATCH($C107,Mix_Code,0),5),""))</f>
        <v/>
      </c>
      <c r="K107" s="63"/>
      <c r="L107" s="16" t="str">
        <f aca="false">IF(AND($A107="",$B107="",$C107="",$D107=""),"",IF($A107="","⚠ Date missing",IF($B107="","⚠ Site missing",IF(ISNA(MATCH($C107,Mix_Code,0)),"⚠ Unknown mix code",IF($D107="","⚠ Enter m3 produced",IF(COUNTIF(CI_Site,$B107)=0,"⚠ Site not set up in Current Inventory",IF($A107&gt;AsOfDate,"Future date – not yet deducted","OK")))))))</f>
        <v/>
      </c>
    </row>
    <row r="108" customFormat="false" ht="15" hidden="false" customHeight="false" outlineLevel="0" collapsed="false">
      <c r="A108" s="65"/>
      <c r="B108" s="63"/>
      <c r="C108" s="70"/>
      <c r="D108" s="66"/>
      <c r="E108" s="16" t="str">
        <f aca="false">IF($C108="","",IFERROR(INDEX(Mix_Desc,MATCH($C108,Mix_Code,0)),"⚠ Unknown mix code"))</f>
        <v/>
      </c>
      <c r="F108" s="67" t="str">
        <f aca="false">IF(OR($C108="",$D108=""),"",IFERROR($D108*INDEX(Mix_Eff,MATCH($C108,Mix_Code,0),1),""))</f>
        <v/>
      </c>
      <c r="G108" s="67" t="str">
        <f aca="false">IF(OR($C108="",$D108=""),"",IFERROR($D108*INDEX(Mix_Eff,MATCH($C108,Mix_Code,0),2),""))</f>
        <v/>
      </c>
      <c r="H108" s="67" t="str">
        <f aca="false">IF(OR($C108="",$D108=""),"",IFERROR($D108*INDEX(Mix_Eff,MATCH($C108,Mix_Code,0),3),""))</f>
        <v/>
      </c>
      <c r="I108" s="67" t="str">
        <f aca="false">IF(OR($C108="",$D108=""),"",IFERROR($D108*INDEX(Mix_Eff,MATCH($C108,Mix_Code,0),4),""))</f>
        <v/>
      </c>
      <c r="J108" s="67" t="str">
        <f aca="false">IF(OR($C108="",$D108=""),"",IFERROR($D108*INDEX(Mix_Eff,MATCH($C108,Mix_Code,0),5),""))</f>
        <v/>
      </c>
      <c r="K108" s="63"/>
      <c r="L108" s="16" t="str">
        <f aca="false">IF(AND($A108="",$B108="",$C108="",$D108=""),"",IF($A108="","⚠ Date missing",IF($B108="","⚠ Site missing",IF(ISNA(MATCH($C108,Mix_Code,0)),"⚠ Unknown mix code",IF($D108="","⚠ Enter m3 produced",IF(COUNTIF(CI_Site,$B108)=0,"⚠ Site not set up in Current Inventory",IF($A108&gt;AsOfDate,"Future date – not yet deducted","OK")))))))</f>
        <v/>
      </c>
    </row>
    <row r="109" customFormat="false" ht="15" hidden="false" customHeight="false" outlineLevel="0" collapsed="false">
      <c r="A109" s="65"/>
      <c r="B109" s="63"/>
      <c r="C109" s="70"/>
      <c r="D109" s="66"/>
      <c r="E109" s="16" t="str">
        <f aca="false">IF($C109="","",IFERROR(INDEX(Mix_Desc,MATCH($C109,Mix_Code,0)),"⚠ Unknown mix code"))</f>
        <v/>
      </c>
      <c r="F109" s="67" t="str">
        <f aca="false">IF(OR($C109="",$D109=""),"",IFERROR($D109*INDEX(Mix_Eff,MATCH($C109,Mix_Code,0),1),""))</f>
        <v/>
      </c>
      <c r="G109" s="67" t="str">
        <f aca="false">IF(OR($C109="",$D109=""),"",IFERROR($D109*INDEX(Mix_Eff,MATCH($C109,Mix_Code,0),2),""))</f>
        <v/>
      </c>
      <c r="H109" s="67" t="str">
        <f aca="false">IF(OR($C109="",$D109=""),"",IFERROR($D109*INDEX(Mix_Eff,MATCH($C109,Mix_Code,0),3),""))</f>
        <v/>
      </c>
      <c r="I109" s="67" t="str">
        <f aca="false">IF(OR($C109="",$D109=""),"",IFERROR($D109*INDEX(Mix_Eff,MATCH($C109,Mix_Code,0),4),""))</f>
        <v/>
      </c>
      <c r="J109" s="67" t="str">
        <f aca="false">IF(OR($C109="",$D109=""),"",IFERROR($D109*INDEX(Mix_Eff,MATCH($C109,Mix_Code,0),5),""))</f>
        <v/>
      </c>
      <c r="K109" s="63"/>
      <c r="L109" s="16" t="str">
        <f aca="false">IF(AND($A109="",$B109="",$C109="",$D109=""),"",IF($A109="","⚠ Date missing",IF($B109="","⚠ Site missing",IF(ISNA(MATCH($C109,Mix_Code,0)),"⚠ Unknown mix code",IF($D109="","⚠ Enter m3 produced",IF(COUNTIF(CI_Site,$B109)=0,"⚠ Site not set up in Current Inventory",IF($A109&gt;AsOfDate,"Future date – not yet deducted","OK")))))))</f>
        <v/>
      </c>
    </row>
    <row r="110" customFormat="false" ht="15" hidden="false" customHeight="false" outlineLevel="0" collapsed="false">
      <c r="A110" s="65"/>
      <c r="B110" s="63"/>
      <c r="C110" s="70"/>
      <c r="D110" s="66"/>
      <c r="E110" s="16" t="str">
        <f aca="false">IF($C110="","",IFERROR(INDEX(Mix_Desc,MATCH($C110,Mix_Code,0)),"⚠ Unknown mix code"))</f>
        <v/>
      </c>
      <c r="F110" s="67" t="str">
        <f aca="false">IF(OR($C110="",$D110=""),"",IFERROR($D110*INDEX(Mix_Eff,MATCH($C110,Mix_Code,0),1),""))</f>
        <v/>
      </c>
      <c r="G110" s="67" t="str">
        <f aca="false">IF(OR($C110="",$D110=""),"",IFERROR($D110*INDEX(Mix_Eff,MATCH($C110,Mix_Code,0),2),""))</f>
        <v/>
      </c>
      <c r="H110" s="67" t="str">
        <f aca="false">IF(OR($C110="",$D110=""),"",IFERROR($D110*INDEX(Mix_Eff,MATCH($C110,Mix_Code,0),3),""))</f>
        <v/>
      </c>
      <c r="I110" s="67" t="str">
        <f aca="false">IF(OR($C110="",$D110=""),"",IFERROR($D110*INDEX(Mix_Eff,MATCH($C110,Mix_Code,0),4),""))</f>
        <v/>
      </c>
      <c r="J110" s="67" t="str">
        <f aca="false">IF(OR($C110="",$D110=""),"",IFERROR($D110*INDEX(Mix_Eff,MATCH($C110,Mix_Code,0),5),""))</f>
        <v/>
      </c>
      <c r="K110" s="63"/>
      <c r="L110" s="16" t="str">
        <f aca="false">IF(AND($A110="",$B110="",$C110="",$D110=""),"",IF($A110="","⚠ Date missing",IF($B110="","⚠ Site missing",IF(ISNA(MATCH($C110,Mix_Code,0)),"⚠ Unknown mix code",IF($D110="","⚠ Enter m3 produced",IF(COUNTIF(CI_Site,$B110)=0,"⚠ Site not set up in Current Inventory",IF($A110&gt;AsOfDate,"Future date – not yet deducted","OK")))))))</f>
        <v/>
      </c>
    </row>
    <row r="111" customFormat="false" ht="15" hidden="false" customHeight="false" outlineLevel="0" collapsed="false">
      <c r="A111" s="65"/>
      <c r="B111" s="63"/>
      <c r="C111" s="70"/>
      <c r="D111" s="66"/>
      <c r="E111" s="16" t="str">
        <f aca="false">IF($C111="","",IFERROR(INDEX(Mix_Desc,MATCH($C111,Mix_Code,0)),"⚠ Unknown mix code"))</f>
        <v/>
      </c>
      <c r="F111" s="67" t="str">
        <f aca="false">IF(OR($C111="",$D111=""),"",IFERROR($D111*INDEX(Mix_Eff,MATCH($C111,Mix_Code,0),1),""))</f>
        <v/>
      </c>
      <c r="G111" s="67" t="str">
        <f aca="false">IF(OR($C111="",$D111=""),"",IFERROR($D111*INDEX(Mix_Eff,MATCH($C111,Mix_Code,0),2),""))</f>
        <v/>
      </c>
      <c r="H111" s="67" t="str">
        <f aca="false">IF(OR($C111="",$D111=""),"",IFERROR($D111*INDEX(Mix_Eff,MATCH($C111,Mix_Code,0),3),""))</f>
        <v/>
      </c>
      <c r="I111" s="67" t="str">
        <f aca="false">IF(OR($C111="",$D111=""),"",IFERROR($D111*INDEX(Mix_Eff,MATCH($C111,Mix_Code,0),4),""))</f>
        <v/>
      </c>
      <c r="J111" s="67" t="str">
        <f aca="false">IF(OR($C111="",$D111=""),"",IFERROR($D111*INDEX(Mix_Eff,MATCH($C111,Mix_Code,0),5),""))</f>
        <v/>
      </c>
      <c r="K111" s="63"/>
      <c r="L111" s="16" t="str">
        <f aca="false">IF(AND($A111="",$B111="",$C111="",$D111=""),"",IF($A111="","⚠ Date missing",IF($B111="","⚠ Site missing",IF(ISNA(MATCH($C111,Mix_Code,0)),"⚠ Unknown mix code",IF($D111="","⚠ Enter m3 produced",IF(COUNTIF(CI_Site,$B111)=0,"⚠ Site not set up in Current Inventory",IF($A111&gt;AsOfDate,"Future date – not yet deducted","OK")))))))</f>
        <v/>
      </c>
    </row>
    <row r="112" customFormat="false" ht="15" hidden="false" customHeight="false" outlineLevel="0" collapsed="false">
      <c r="A112" s="65"/>
      <c r="B112" s="63"/>
      <c r="C112" s="70"/>
      <c r="D112" s="66"/>
      <c r="E112" s="16" t="str">
        <f aca="false">IF($C112="","",IFERROR(INDEX(Mix_Desc,MATCH($C112,Mix_Code,0)),"⚠ Unknown mix code"))</f>
        <v/>
      </c>
      <c r="F112" s="67" t="str">
        <f aca="false">IF(OR($C112="",$D112=""),"",IFERROR($D112*INDEX(Mix_Eff,MATCH($C112,Mix_Code,0),1),""))</f>
        <v/>
      </c>
      <c r="G112" s="67" t="str">
        <f aca="false">IF(OR($C112="",$D112=""),"",IFERROR($D112*INDEX(Mix_Eff,MATCH($C112,Mix_Code,0),2),""))</f>
        <v/>
      </c>
      <c r="H112" s="67" t="str">
        <f aca="false">IF(OR($C112="",$D112=""),"",IFERROR($D112*INDEX(Mix_Eff,MATCH($C112,Mix_Code,0),3),""))</f>
        <v/>
      </c>
      <c r="I112" s="67" t="str">
        <f aca="false">IF(OR($C112="",$D112=""),"",IFERROR($D112*INDEX(Mix_Eff,MATCH($C112,Mix_Code,0),4),""))</f>
        <v/>
      </c>
      <c r="J112" s="67" t="str">
        <f aca="false">IF(OR($C112="",$D112=""),"",IFERROR($D112*INDEX(Mix_Eff,MATCH($C112,Mix_Code,0),5),""))</f>
        <v/>
      </c>
      <c r="K112" s="63"/>
      <c r="L112" s="16" t="str">
        <f aca="false">IF(AND($A112="",$B112="",$C112="",$D112=""),"",IF($A112="","⚠ Date missing",IF($B112="","⚠ Site missing",IF(ISNA(MATCH($C112,Mix_Code,0)),"⚠ Unknown mix code",IF($D112="","⚠ Enter m3 produced",IF(COUNTIF(CI_Site,$B112)=0,"⚠ Site not set up in Current Inventory",IF($A112&gt;AsOfDate,"Future date – not yet deducted","OK")))))))</f>
        <v/>
      </c>
    </row>
    <row r="113" customFormat="false" ht="15" hidden="false" customHeight="false" outlineLevel="0" collapsed="false">
      <c r="A113" s="65"/>
      <c r="B113" s="63"/>
      <c r="C113" s="70"/>
      <c r="D113" s="66"/>
      <c r="E113" s="16" t="str">
        <f aca="false">IF($C113="","",IFERROR(INDEX(Mix_Desc,MATCH($C113,Mix_Code,0)),"⚠ Unknown mix code"))</f>
        <v/>
      </c>
      <c r="F113" s="67" t="str">
        <f aca="false">IF(OR($C113="",$D113=""),"",IFERROR($D113*INDEX(Mix_Eff,MATCH($C113,Mix_Code,0),1),""))</f>
        <v/>
      </c>
      <c r="G113" s="67" t="str">
        <f aca="false">IF(OR($C113="",$D113=""),"",IFERROR($D113*INDEX(Mix_Eff,MATCH($C113,Mix_Code,0),2),""))</f>
        <v/>
      </c>
      <c r="H113" s="67" t="str">
        <f aca="false">IF(OR($C113="",$D113=""),"",IFERROR($D113*INDEX(Mix_Eff,MATCH($C113,Mix_Code,0),3),""))</f>
        <v/>
      </c>
      <c r="I113" s="67" t="str">
        <f aca="false">IF(OR($C113="",$D113=""),"",IFERROR($D113*INDEX(Mix_Eff,MATCH($C113,Mix_Code,0),4),""))</f>
        <v/>
      </c>
      <c r="J113" s="67" t="str">
        <f aca="false">IF(OR($C113="",$D113=""),"",IFERROR($D113*INDEX(Mix_Eff,MATCH($C113,Mix_Code,0),5),""))</f>
        <v/>
      </c>
      <c r="K113" s="63"/>
      <c r="L113" s="16" t="str">
        <f aca="false">IF(AND($A113="",$B113="",$C113="",$D113=""),"",IF($A113="","⚠ Date missing",IF($B113="","⚠ Site missing",IF(ISNA(MATCH($C113,Mix_Code,0)),"⚠ Unknown mix code",IF($D113="","⚠ Enter m3 produced",IF(COUNTIF(CI_Site,$B113)=0,"⚠ Site not set up in Current Inventory",IF($A113&gt;AsOfDate,"Future date – not yet deducted","OK")))))))</f>
        <v/>
      </c>
    </row>
    <row r="114" customFormat="false" ht="15" hidden="false" customHeight="false" outlineLevel="0" collapsed="false">
      <c r="A114" s="65"/>
      <c r="B114" s="63"/>
      <c r="C114" s="70"/>
      <c r="D114" s="66"/>
      <c r="E114" s="16" t="str">
        <f aca="false">IF($C114="","",IFERROR(INDEX(Mix_Desc,MATCH($C114,Mix_Code,0)),"⚠ Unknown mix code"))</f>
        <v/>
      </c>
      <c r="F114" s="67" t="str">
        <f aca="false">IF(OR($C114="",$D114=""),"",IFERROR($D114*INDEX(Mix_Eff,MATCH($C114,Mix_Code,0),1),""))</f>
        <v/>
      </c>
      <c r="G114" s="67" t="str">
        <f aca="false">IF(OR($C114="",$D114=""),"",IFERROR($D114*INDEX(Mix_Eff,MATCH($C114,Mix_Code,0),2),""))</f>
        <v/>
      </c>
      <c r="H114" s="67" t="str">
        <f aca="false">IF(OR($C114="",$D114=""),"",IFERROR($D114*INDEX(Mix_Eff,MATCH($C114,Mix_Code,0),3),""))</f>
        <v/>
      </c>
      <c r="I114" s="67" t="str">
        <f aca="false">IF(OR($C114="",$D114=""),"",IFERROR($D114*INDEX(Mix_Eff,MATCH($C114,Mix_Code,0),4),""))</f>
        <v/>
      </c>
      <c r="J114" s="67" t="str">
        <f aca="false">IF(OR($C114="",$D114=""),"",IFERROR($D114*INDEX(Mix_Eff,MATCH($C114,Mix_Code,0),5),""))</f>
        <v/>
      </c>
      <c r="K114" s="63"/>
      <c r="L114" s="16" t="str">
        <f aca="false">IF(AND($A114="",$B114="",$C114="",$D114=""),"",IF($A114="","⚠ Date missing",IF($B114="","⚠ Site missing",IF(ISNA(MATCH($C114,Mix_Code,0)),"⚠ Unknown mix code",IF($D114="","⚠ Enter m3 produced",IF(COUNTIF(CI_Site,$B114)=0,"⚠ Site not set up in Current Inventory",IF($A114&gt;AsOfDate,"Future date – not yet deducted","OK")))))))</f>
        <v/>
      </c>
    </row>
    <row r="115" customFormat="false" ht="15" hidden="false" customHeight="false" outlineLevel="0" collapsed="false">
      <c r="A115" s="65"/>
      <c r="B115" s="63"/>
      <c r="C115" s="70"/>
      <c r="D115" s="66"/>
      <c r="E115" s="16" t="str">
        <f aca="false">IF($C115="","",IFERROR(INDEX(Mix_Desc,MATCH($C115,Mix_Code,0)),"⚠ Unknown mix code"))</f>
        <v/>
      </c>
      <c r="F115" s="67" t="str">
        <f aca="false">IF(OR($C115="",$D115=""),"",IFERROR($D115*INDEX(Mix_Eff,MATCH($C115,Mix_Code,0),1),""))</f>
        <v/>
      </c>
      <c r="G115" s="67" t="str">
        <f aca="false">IF(OR($C115="",$D115=""),"",IFERROR($D115*INDEX(Mix_Eff,MATCH($C115,Mix_Code,0),2),""))</f>
        <v/>
      </c>
      <c r="H115" s="67" t="str">
        <f aca="false">IF(OR($C115="",$D115=""),"",IFERROR($D115*INDEX(Mix_Eff,MATCH($C115,Mix_Code,0),3),""))</f>
        <v/>
      </c>
      <c r="I115" s="67" t="str">
        <f aca="false">IF(OR($C115="",$D115=""),"",IFERROR($D115*INDEX(Mix_Eff,MATCH($C115,Mix_Code,0),4),""))</f>
        <v/>
      </c>
      <c r="J115" s="67" t="str">
        <f aca="false">IF(OR($C115="",$D115=""),"",IFERROR($D115*INDEX(Mix_Eff,MATCH($C115,Mix_Code,0),5),""))</f>
        <v/>
      </c>
      <c r="K115" s="63"/>
      <c r="L115" s="16" t="str">
        <f aca="false">IF(AND($A115="",$B115="",$C115="",$D115=""),"",IF($A115="","⚠ Date missing",IF($B115="","⚠ Site missing",IF(ISNA(MATCH($C115,Mix_Code,0)),"⚠ Unknown mix code",IF($D115="","⚠ Enter m3 produced",IF(COUNTIF(CI_Site,$B115)=0,"⚠ Site not set up in Current Inventory",IF($A115&gt;AsOfDate,"Future date – not yet deducted","OK")))))))</f>
        <v/>
      </c>
    </row>
    <row r="116" customFormat="false" ht="15" hidden="false" customHeight="false" outlineLevel="0" collapsed="false">
      <c r="A116" s="65"/>
      <c r="B116" s="63"/>
      <c r="C116" s="70"/>
      <c r="D116" s="66"/>
      <c r="E116" s="16" t="str">
        <f aca="false">IF($C116="","",IFERROR(INDEX(Mix_Desc,MATCH($C116,Mix_Code,0)),"⚠ Unknown mix code"))</f>
        <v/>
      </c>
      <c r="F116" s="67" t="str">
        <f aca="false">IF(OR($C116="",$D116=""),"",IFERROR($D116*INDEX(Mix_Eff,MATCH($C116,Mix_Code,0),1),""))</f>
        <v/>
      </c>
      <c r="G116" s="67" t="str">
        <f aca="false">IF(OR($C116="",$D116=""),"",IFERROR($D116*INDEX(Mix_Eff,MATCH($C116,Mix_Code,0),2),""))</f>
        <v/>
      </c>
      <c r="H116" s="67" t="str">
        <f aca="false">IF(OR($C116="",$D116=""),"",IFERROR($D116*INDEX(Mix_Eff,MATCH($C116,Mix_Code,0),3),""))</f>
        <v/>
      </c>
      <c r="I116" s="67" t="str">
        <f aca="false">IF(OR($C116="",$D116=""),"",IFERROR($D116*INDEX(Mix_Eff,MATCH($C116,Mix_Code,0),4),""))</f>
        <v/>
      </c>
      <c r="J116" s="67" t="str">
        <f aca="false">IF(OR($C116="",$D116=""),"",IFERROR($D116*INDEX(Mix_Eff,MATCH($C116,Mix_Code,0),5),""))</f>
        <v/>
      </c>
      <c r="K116" s="63"/>
      <c r="L116" s="16" t="str">
        <f aca="false">IF(AND($A116="",$B116="",$C116="",$D116=""),"",IF($A116="","⚠ Date missing",IF($B116="","⚠ Site missing",IF(ISNA(MATCH($C116,Mix_Code,0)),"⚠ Unknown mix code",IF($D116="","⚠ Enter m3 produced",IF(COUNTIF(CI_Site,$B116)=0,"⚠ Site not set up in Current Inventory",IF($A116&gt;AsOfDate,"Future date – not yet deducted","OK")))))))</f>
        <v/>
      </c>
    </row>
    <row r="117" customFormat="false" ht="15" hidden="false" customHeight="false" outlineLevel="0" collapsed="false">
      <c r="A117" s="65"/>
      <c r="B117" s="63"/>
      <c r="C117" s="70"/>
      <c r="D117" s="66"/>
      <c r="E117" s="16" t="str">
        <f aca="false">IF($C117="","",IFERROR(INDEX(Mix_Desc,MATCH($C117,Mix_Code,0)),"⚠ Unknown mix code"))</f>
        <v/>
      </c>
      <c r="F117" s="67" t="str">
        <f aca="false">IF(OR($C117="",$D117=""),"",IFERROR($D117*INDEX(Mix_Eff,MATCH($C117,Mix_Code,0),1),""))</f>
        <v/>
      </c>
      <c r="G117" s="67" t="str">
        <f aca="false">IF(OR($C117="",$D117=""),"",IFERROR($D117*INDEX(Mix_Eff,MATCH($C117,Mix_Code,0),2),""))</f>
        <v/>
      </c>
      <c r="H117" s="67" t="str">
        <f aca="false">IF(OR($C117="",$D117=""),"",IFERROR($D117*INDEX(Mix_Eff,MATCH($C117,Mix_Code,0),3),""))</f>
        <v/>
      </c>
      <c r="I117" s="67" t="str">
        <f aca="false">IF(OR($C117="",$D117=""),"",IFERROR($D117*INDEX(Mix_Eff,MATCH($C117,Mix_Code,0),4),""))</f>
        <v/>
      </c>
      <c r="J117" s="67" t="str">
        <f aca="false">IF(OR($C117="",$D117=""),"",IFERROR($D117*INDEX(Mix_Eff,MATCH($C117,Mix_Code,0),5),""))</f>
        <v/>
      </c>
      <c r="K117" s="63"/>
      <c r="L117" s="16" t="str">
        <f aca="false">IF(AND($A117="",$B117="",$C117="",$D117=""),"",IF($A117="","⚠ Date missing",IF($B117="","⚠ Site missing",IF(ISNA(MATCH($C117,Mix_Code,0)),"⚠ Unknown mix code",IF($D117="","⚠ Enter m3 produced",IF(COUNTIF(CI_Site,$B117)=0,"⚠ Site not set up in Current Inventory",IF($A117&gt;AsOfDate,"Future date – not yet deducted","OK")))))))</f>
        <v/>
      </c>
    </row>
    <row r="118" customFormat="false" ht="15" hidden="false" customHeight="false" outlineLevel="0" collapsed="false">
      <c r="A118" s="65"/>
      <c r="B118" s="63"/>
      <c r="C118" s="70"/>
      <c r="D118" s="66"/>
      <c r="E118" s="16" t="str">
        <f aca="false">IF($C118="","",IFERROR(INDEX(Mix_Desc,MATCH($C118,Mix_Code,0)),"⚠ Unknown mix code"))</f>
        <v/>
      </c>
      <c r="F118" s="67" t="str">
        <f aca="false">IF(OR($C118="",$D118=""),"",IFERROR($D118*INDEX(Mix_Eff,MATCH($C118,Mix_Code,0),1),""))</f>
        <v/>
      </c>
      <c r="G118" s="67" t="str">
        <f aca="false">IF(OR($C118="",$D118=""),"",IFERROR($D118*INDEX(Mix_Eff,MATCH($C118,Mix_Code,0),2),""))</f>
        <v/>
      </c>
      <c r="H118" s="67" t="str">
        <f aca="false">IF(OR($C118="",$D118=""),"",IFERROR($D118*INDEX(Mix_Eff,MATCH($C118,Mix_Code,0),3),""))</f>
        <v/>
      </c>
      <c r="I118" s="67" t="str">
        <f aca="false">IF(OR($C118="",$D118=""),"",IFERROR($D118*INDEX(Mix_Eff,MATCH($C118,Mix_Code,0),4),""))</f>
        <v/>
      </c>
      <c r="J118" s="67" t="str">
        <f aca="false">IF(OR($C118="",$D118=""),"",IFERROR($D118*INDEX(Mix_Eff,MATCH($C118,Mix_Code,0),5),""))</f>
        <v/>
      </c>
      <c r="K118" s="63"/>
      <c r="L118" s="16" t="str">
        <f aca="false">IF(AND($A118="",$B118="",$C118="",$D118=""),"",IF($A118="","⚠ Date missing",IF($B118="","⚠ Site missing",IF(ISNA(MATCH($C118,Mix_Code,0)),"⚠ Unknown mix code",IF($D118="","⚠ Enter m3 produced",IF(COUNTIF(CI_Site,$B118)=0,"⚠ Site not set up in Current Inventory",IF($A118&gt;AsOfDate,"Future date – not yet deducted","OK")))))))</f>
        <v/>
      </c>
    </row>
    <row r="119" customFormat="false" ht="15" hidden="false" customHeight="false" outlineLevel="0" collapsed="false">
      <c r="A119" s="65"/>
      <c r="B119" s="63"/>
      <c r="C119" s="70"/>
      <c r="D119" s="66"/>
      <c r="E119" s="16" t="str">
        <f aca="false">IF($C119="","",IFERROR(INDEX(Mix_Desc,MATCH($C119,Mix_Code,0)),"⚠ Unknown mix code"))</f>
        <v/>
      </c>
      <c r="F119" s="67" t="str">
        <f aca="false">IF(OR($C119="",$D119=""),"",IFERROR($D119*INDEX(Mix_Eff,MATCH($C119,Mix_Code,0),1),""))</f>
        <v/>
      </c>
      <c r="G119" s="67" t="str">
        <f aca="false">IF(OR($C119="",$D119=""),"",IFERROR($D119*INDEX(Mix_Eff,MATCH($C119,Mix_Code,0),2),""))</f>
        <v/>
      </c>
      <c r="H119" s="67" t="str">
        <f aca="false">IF(OR($C119="",$D119=""),"",IFERROR($D119*INDEX(Mix_Eff,MATCH($C119,Mix_Code,0),3),""))</f>
        <v/>
      </c>
      <c r="I119" s="67" t="str">
        <f aca="false">IF(OR($C119="",$D119=""),"",IFERROR($D119*INDEX(Mix_Eff,MATCH($C119,Mix_Code,0),4),""))</f>
        <v/>
      </c>
      <c r="J119" s="67" t="str">
        <f aca="false">IF(OR($C119="",$D119=""),"",IFERROR($D119*INDEX(Mix_Eff,MATCH($C119,Mix_Code,0),5),""))</f>
        <v/>
      </c>
      <c r="K119" s="63"/>
      <c r="L119" s="16" t="str">
        <f aca="false">IF(AND($A119="",$B119="",$C119="",$D119=""),"",IF($A119="","⚠ Date missing",IF($B119="","⚠ Site missing",IF(ISNA(MATCH($C119,Mix_Code,0)),"⚠ Unknown mix code",IF($D119="","⚠ Enter m3 produced",IF(COUNTIF(CI_Site,$B119)=0,"⚠ Site not set up in Current Inventory",IF($A119&gt;AsOfDate,"Future date – not yet deducted","OK")))))))</f>
        <v/>
      </c>
    </row>
    <row r="120" customFormat="false" ht="15" hidden="false" customHeight="false" outlineLevel="0" collapsed="false">
      <c r="A120" s="65"/>
      <c r="B120" s="63"/>
      <c r="C120" s="70"/>
      <c r="D120" s="66"/>
      <c r="E120" s="16" t="str">
        <f aca="false">IF($C120="","",IFERROR(INDEX(Mix_Desc,MATCH($C120,Mix_Code,0)),"⚠ Unknown mix code"))</f>
        <v/>
      </c>
      <c r="F120" s="67" t="str">
        <f aca="false">IF(OR($C120="",$D120=""),"",IFERROR($D120*INDEX(Mix_Eff,MATCH($C120,Mix_Code,0),1),""))</f>
        <v/>
      </c>
      <c r="G120" s="67" t="str">
        <f aca="false">IF(OR($C120="",$D120=""),"",IFERROR($D120*INDEX(Mix_Eff,MATCH($C120,Mix_Code,0),2),""))</f>
        <v/>
      </c>
      <c r="H120" s="67" t="str">
        <f aca="false">IF(OR($C120="",$D120=""),"",IFERROR($D120*INDEX(Mix_Eff,MATCH($C120,Mix_Code,0),3),""))</f>
        <v/>
      </c>
      <c r="I120" s="67" t="str">
        <f aca="false">IF(OR($C120="",$D120=""),"",IFERROR($D120*INDEX(Mix_Eff,MATCH($C120,Mix_Code,0),4),""))</f>
        <v/>
      </c>
      <c r="J120" s="67" t="str">
        <f aca="false">IF(OR($C120="",$D120=""),"",IFERROR($D120*INDEX(Mix_Eff,MATCH($C120,Mix_Code,0),5),""))</f>
        <v/>
      </c>
      <c r="K120" s="63"/>
      <c r="L120" s="16" t="str">
        <f aca="false">IF(AND($A120="",$B120="",$C120="",$D120=""),"",IF($A120="","⚠ Date missing",IF($B120="","⚠ Site missing",IF(ISNA(MATCH($C120,Mix_Code,0)),"⚠ Unknown mix code",IF($D120="","⚠ Enter m3 produced",IF(COUNTIF(CI_Site,$B120)=0,"⚠ Site not set up in Current Inventory",IF($A120&gt;AsOfDate,"Future date – not yet deducted","OK")))))))</f>
        <v/>
      </c>
    </row>
    <row r="121" customFormat="false" ht="15" hidden="false" customHeight="false" outlineLevel="0" collapsed="false">
      <c r="A121" s="65"/>
      <c r="B121" s="63"/>
      <c r="C121" s="70"/>
      <c r="D121" s="66"/>
      <c r="E121" s="16" t="str">
        <f aca="false">IF($C121="","",IFERROR(INDEX(Mix_Desc,MATCH($C121,Mix_Code,0)),"⚠ Unknown mix code"))</f>
        <v/>
      </c>
      <c r="F121" s="67" t="str">
        <f aca="false">IF(OR($C121="",$D121=""),"",IFERROR($D121*INDEX(Mix_Eff,MATCH($C121,Mix_Code,0),1),""))</f>
        <v/>
      </c>
      <c r="G121" s="67" t="str">
        <f aca="false">IF(OR($C121="",$D121=""),"",IFERROR($D121*INDEX(Mix_Eff,MATCH($C121,Mix_Code,0),2),""))</f>
        <v/>
      </c>
      <c r="H121" s="67" t="str">
        <f aca="false">IF(OR($C121="",$D121=""),"",IFERROR($D121*INDEX(Mix_Eff,MATCH($C121,Mix_Code,0),3),""))</f>
        <v/>
      </c>
      <c r="I121" s="67" t="str">
        <f aca="false">IF(OR($C121="",$D121=""),"",IFERROR($D121*INDEX(Mix_Eff,MATCH($C121,Mix_Code,0),4),""))</f>
        <v/>
      </c>
      <c r="J121" s="67" t="str">
        <f aca="false">IF(OR($C121="",$D121=""),"",IFERROR($D121*INDEX(Mix_Eff,MATCH($C121,Mix_Code,0),5),""))</f>
        <v/>
      </c>
      <c r="K121" s="63"/>
      <c r="L121" s="16" t="str">
        <f aca="false">IF(AND($A121="",$B121="",$C121="",$D121=""),"",IF($A121="","⚠ Date missing",IF($B121="","⚠ Site missing",IF(ISNA(MATCH($C121,Mix_Code,0)),"⚠ Unknown mix code",IF($D121="","⚠ Enter m3 produced",IF(COUNTIF(CI_Site,$B121)=0,"⚠ Site not set up in Current Inventory",IF($A121&gt;AsOfDate,"Future date – not yet deducted","OK")))))))</f>
        <v/>
      </c>
    </row>
    <row r="122" customFormat="false" ht="15" hidden="false" customHeight="false" outlineLevel="0" collapsed="false">
      <c r="A122" s="65"/>
      <c r="B122" s="63"/>
      <c r="C122" s="70"/>
      <c r="D122" s="66"/>
      <c r="E122" s="16" t="str">
        <f aca="false">IF($C122="","",IFERROR(INDEX(Mix_Desc,MATCH($C122,Mix_Code,0)),"⚠ Unknown mix code"))</f>
        <v/>
      </c>
      <c r="F122" s="67" t="str">
        <f aca="false">IF(OR($C122="",$D122=""),"",IFERROR($D122*INDEX(Mix_Eff,MATCH($C122,Mix_Code,0),1),""))</f>
        <v/>
      </c>
      <c r="G122" s="67" t="str">
        <f aca="false">IF(OR($C122="",$D122=""),"",IFERROR($D122*INDEX(Mix_Eff,MATCH($C122,Mix_Code,0),2),""))</f>
        <v/>
      </c>
      <c r="H122" s="67" t="str">
        <f aca="false">IF(OR($C122="",$D122=""),"",IFERROR($D122*INDEX(Mix_Eff,MATCH($C122,Mix_Code,0),3),""))</f>
        <v/>
      </c>
      <c r="I122" s="67" t="str">
        <f aca="false">IF(OR($C122="",$D122=""),"",IFERROR($D122*INDEX(Mix_Eff,MATCH($C122,Mix_Code,0),4),""))</f>
        <v/>
      </c>
      <c r="J122" s="67" t="str">
        <f aca="false">IF(OR($C122="",$D122=""),"",IFERROR($D122*INDEX(Mix_Eff,MATCH($C122,Mix_Code,0),5),""))</f>
        <v/>
      </c>
      <c r="K122" s="63"/>
      <c r="L122" s="16" t="str">
        <f aca="false">IF(AND($A122="",$B122="",$C122="",$D122=""),"",IF($A122="","⚠ Date missing",IF($B122="","⚠ Site missing",IF(ISNA(MATCH($C122,Mix_Code,0)),"⚠ Unknown mix code",IF($D122="","⚠ Enter m3 produced",IF(COUNTIF(CI_Site,$B122)=0,"⚠ Site not set up in Current Inventory",IF($A122&gt;AsOfDate,"Future date – not yet deducted","OK")))))))</f>
        <v/>
      </c>
    </row>
    <row r="123" customFormat="false" ht="15" hidden="false" customHeight="false" outlineLevel="0" collapsed="false">
      <c r="A123" s="65"/>
      <c r="B123" s="63"/>
      <c r="C123" s="70"/>
      <c r="D123" s="66"/>
      <c r="E123" s="16" t="str">
        <f aca="false">IF($C123="","",IFERROR(INDEX(Mix_Desc,MATCH($C123,Mix_Code,0)),"⚠ Unknown mix code"))</f>
        <v/>
      </c>
      <c r="F123" s="67" t="str">
        <f aca="false">IF(OR($C123="",$D123=""),"",IFERROR($D123*INDEX(Mix_Eff,MATCH($C123,Mix_Code,0),1),""))</f>
        <v/>
      </c>
      <c r="G123" s="67" t="str">
        <f aca="false">IF(OR($C123="",$D123=""),"",IFERROR($D123*INDEX(Mix_Eff,MATCH($C123,Mix_Code,0),2),""))</f>
        <v/>
      </c>
      <c r="H123" s="67" t="str">
        <f aca="false">IF(OR($C123="",$D123=""),"",IFERROR($D123*INDEX(Mix_Eff,MATCH($C123,Mix_Code,0),3),""))</f>
        <v/>
      </c>
      <c r="I123" s="67" t="str">
        <f aca="false">IF(OR($C123="",$D123=""),"",IFERROR($D123*INDEX(Mix_Eff,MATCH($C123,Mix_Code,0),4),""))</f>
        <v/>
      </c>
      <c r="J123" s="67" t="str">
        <f aca="false">IF(OR($C123="",$D123=""),"",IFERROR($D123*INDEX(Mix_Eff,MATCH($C123,Mix_Code,0),5),""))</f>
        <v/>
      </c>
      <c r="K123" s="63"/>
      <c r="L123" s="16" t="str">
        <f aca="false">IF(AND($A123="",$B123="",$C123="",$D123=""),"",IF($A123="","⚠ Date missing",IF($B123="","⚠ Site missing",IF(ISNA(MATCH($C123,Mix_Code,0)),"⚠ Unknown mix code",IF($D123="","⚠ Enter m3 produced",IF(COUNTIF(CI_Site,$B123)=0,"⚠ Site not set up in Current Inventory",IF($A123&gt;AsOfDate,"Future date – not yet deducted","OK")))))))</f>
        <v/>
      </c>
    </row>
    <row r="124" customFormat="false" ht="15" hidden="false" customHeight="false" outlineLevel="0" collapsed="false">
      <c r="A124" s="65"/>
      <c r="B124" s="63"/>
      <c r="C124" s="70"/>
      <c r="D124" s="66"/>
      <c r="E124" s="16" t="str">
        <f aca="false">IF($C124="","",IFERROR(INDEX(Mix_Desc,MATCH($C124,Mix_Code,0)),"⚠ Unknown mix code"))</f>
        <v/>
      </c>
      <c r="F124" s="67" t="str">
        <f aca="false">IF(OR($C124="",$D124=""),"",IFERROR($D124*INDEX(Mix_Eff,MATCH($C124,Mix_Code,0),1),""))</f>
        <v/>
      </c>
      <c r="G124" s="67" t="str">
        <f aca="false">IF(OR($C124="",$D124=""),"",IFERROR($D124*INDEX(Mix_Eff,MATCH($C124,Mix_Code,0),2),""))</f>
        <v/>
      </c>
      <c r="H124" s="67" t="str">
        <f aca="false">IF(OR($C124="",$D124=""),"",IFERROR($D124*INDEX(Mix_Eff,MATCH($C124,Mix_Code,0),3),""))</f>
        <v/>
      </c>
      <c r="I124" s="67" t="str">
        <f aca="false">IF(OR($C124="",$D124=""),"",IFERROR($D124*INDEX(Mix_Eff,MATCH($C124,Mix_Code,0),4),""))</f>
        <v/>
      </c>
      <c r="J124" s="67" t="str">
        <f aca="false">IF(OR($C124="",$D124=""),"",IFERROR($D124*INDEX(Mix_Eff,MATCH($C124,Mix_Code,0),5),""))</f>
        <v/>
      </c>
      <c r="K124" s="63"/>
      <c r="L124" s="16" t="str">
        <f aca="false">IF(AND($A124="",$B124="",$C124="",$D124=""),"",IF($A124="","⚠ Date missing",IF($B124="","⚠ Site missing",IF(ISNA(MATCH($C124,Mix_Code,0)),"⚠ Unknown mix code",IF($D124="","⚠ Enter m3 produced",IF(COUNTIF(CI_Site,$B124)=0,"⚠ Site not set up in Current Inventory",IF($A124&gt;AsOfDate,"Future date – not yet deducted","OK")))))))</f>
        <v/>
      </c>
    </row>
    <row r="125" customFormat="false" ht="15" hidden="false" customHeight="false" outlineLevel="0" collapsed="false">
      <c r="A125" s="65"/>
      <c r="B125" s="63"/>
      <c r="C125" s="70"/>
      <c r="D125" s="66"/>
      <c r="E125" s="16" t="str">
        <f aca="false">IF($C125="","",IFERROR(INDEX(Mix_Desc,MATCH($C125,Mix_Code,0)),"⚠ Unknown mix code"))</f>
        <v/>
      </c>
      <c r="F125" s="67" t="str">
        <f aca="false">IF(OR($C125="",$D125=""),"",IFERROR($D125*INDEX(Mix_Eff,MATCH($C125,Mix_Code,0),1),""))</f>
        <v/>
      </c>
      <c r="G125" s="67" t="str">
        <f aca="false">IF(OR($C125="",$D125=""),"",IFERROR($D125*INDEX(Mix_Eff,MATCH($C125,Mix_Code,0),2),""))</f>
        <v/>
      </c>
      <c r="H125" s="67" t="str">
        <f aca="false">IF(OR($C125="",$D125=""),"",IFERROR($D125*INDEX(Mix_Eff,MATCH($C125,Mix_Code,0),3),""))</f>
        <v/>
      </c>
      <c r="I125" s="67" t="str">
        <f aca="false">IF(OR($C125="",$D125=""),"",IFERROR($D125*INDEX(Mix_Eff,MATCH($C125,Mix_Code,0),4),""))</f>
        <v/>
      </c>
      <c r="J125" s="67" t="str">
        <f aca="false">IF(OR($C125="",$D125=""),"",IFERROR($D125*INDEX(Mix_Eff,MATCH($C125,Mix_Code,0),5),""))</f>
        <v/>
      </c>
      <c r="K125" s="63"/>
      <c r="L125" s="16" t="str">
        <f aca="false">IF(AND($A125="",$B125="",$C125="",$D125=""),"",IF($A125="","⚠ Date missing",IF($B125="","⚠ Site missing",IF(ISNA(MATCH($C125,Mix_Code,0)),"⚠ Unknown mix code",IF($D125="","⚠ Enter m3 produced",IF(COUNTIF(CI_Site,$B125)=0,"⚠ Site not set up in Current Inventory",IF($A125&gt;AsOfDate,"Future date – not yet deducted","OK")))))))</f>
        <v/>
      </c>
    </row>
    <row r="126" customFormat="false" ht="15" hidden="false" customHeight="false" outlineLevel="0" collapsed="false">
      <c r="A126" s="65"/>
      <c r="B126" s="63"/>
      <c r="C126" s="70"/>
      <c r="D126" s="66"/>
      <c r="E126" s="16" t="str">
        <f aca="false">IF($C126="","",IFERROR(INDEX(Mix_Desc,MATCH($C126,Mix_Code,0)),"⚠ Unknown mix code"))</f>
        <v/>
      </c>
      <c r="F126" s="67" t="str">
        <f aca="false">IF(OR($C126="",$D126=""),"",IFERROR($D126*INDEX(Mix_Eff,MATCH($C126,Mix_Code,0),1),""))</f>
        <v/>
      </c>
      <c r="G126" s="67" t="str">
        <f aca="false">IF(OR($C126="",$D126=""),"",IFERROR($D126*INDEX(Mix_Eff,MATCH($C126,Mix_Code,0),2),""))</f>
        <v/>
      </c>
      <c r="H126" s="67" t="str">
        <f aca="false">IF(OR($C126="",$D126=""),"",IFERROR($D126*INDEX(Mix_Eff,MATCH($C126,Mix_Code,0),3),""))</f>
        <v/>
      </c>
      <c r="I126" s="67" t="str">
        <f aca="false">IF(OR($C126="",$D126=""),"",IFERROR($D126*INDEX(Mix_Eff,MATCH($C126,Mix_Code,0),4),""))</f>
        <v/>
      </c>
      <c r="J126" s="67" t="str">
        <f aca="false">IF(OR($C126="",$D126=""),"",IFERROR($D126*INDEX(Mix_Eff,MATCH($C126,Mix_Code,0),5),""))</f>
        <v/>
      </c>
      <c r="K126" s="63"/>
      <c r="L126" s="16" t="str">
        <f aca="false">IF(AND($A126="",$B126="",$C126="",$D126=""),"",IF($A126="","⚠ Date missing",IF($B126="","⚠ Site missing",IF(ISNA(MATCH($C126,Mix_Code,0)),"⚠ Unknown mix code",IF($D126="","⚠ Enter m3 produced",IF(COUNTIF(CI_Site,$B126)=0,"⚠ Site not set up in Current Inventory",IF($A126&gt;AsOfDate,"Future date – not yet deducted","OK")))))))</f>
        <v/>
      </c>
    </row>
    <row r="127" customFormat="false" ht="15" hidden="false" customHeight="false" outlineLevel="0" collapsed="false">
      <c r="A127" s="65"/>
      <c r="B127" s="63"/>
      <c r="C127" s="70"/>
      <c r="D127" s="66"/>
      <c r="E127" s="16" t="str">
        <f aca="false">IF($C127="","",IFERROR(INDEX(Mix_Desc,MATCH($C127,Mix_Code,0)),"⚠ Unknown mix code"))</f>
        <v/>
      </c>
      <c r="F127" s="67" t="str">
        <f aca="false">IF(OR($C127="",$D127=""),"",IFERROR($D127*INDEX(Mix_Eff,MATCH($C127,Mix_Code,0),1),""))</f>
        <v/>
      </c>
      <c r="G127" s="67" t="str">
        <f aca="false">IF(OR($C127="",$D127=""),"",IFERROR($D127*INDEX(Mix_Eff,MATCH($C127,Mix_Code,0),2),""))</f>
        <v/>
      </c>
      <c r="H127" s="67" t="str">
        <f aca="false">IF(OR($C127="",$D127=""),"",IFERROR($D127*INDEX(Mix_Eff,MATCH($C127,Mix_Code,0),3),""))</f>
        <v/>
      </c>
      <c r="I127" s="67" t="str">
        <f aca="false">IF(OR($C127="",$D127=""),"",IFERROR($D127*INDEX(Mix_Eff,MATCH($C127,Mix_Code,0),4),""))</f>
        <v/>
      </c>
      <c r="J127" s="67" t="str">
        <f aca="false">IF(OR($C127="",$D127=""),"",IFERROR($D127*INDEX(Mix_Eff,MATCH($C127,Mix_Code,0),5),""))</f>
        <v/>
      </c>
      <c r="K127" s="63"/>
      <c r="L127" s="16" t="str">
        <f aca="false">IF(AND($A127="",$B127="",$C127="",$D127=""),"",IF($A127="","⚠ Date missing",IF($B127="","⚠ Site missing",IF(ISNA(MATCH($C127,Mix_Code,0)),"⚠ Unknown mix code",IF($D127="","⚠ Enter m3 produced",IF(COUNTIF(CI_Site,$B127)=0,"⚠ Site not set up in Current Inventory",IF($A127&gt;AsOfDate,"Future date – not yet deducted","OK")))))))</f>
        <v/>
      </c>
    </row>
    <row r="128" customFormat="false" ht="15" hidden="false" customHeight="false" outlineLevel="0" collapsed="false">
      <c r="A128" s="65"/>
      <c r="B128" s="63"/>
      <c r="C128" s="70"/>
      <c r="D128" s="66"/>
      <c r="E128" s="16" t="str">
        <f aca="false">IF($C128="","",IFERROR(INDEX(Mix_Desc,MATCH($C128,Mix_Code,0)),"⚠ Unknown mix code"))</f>
        <v/>
      </c>
      <c r="F128" s="67" t="str">
        <f aca="false">IF(OR($C128="",$D128=""),"",IFERROR($D128*INDEX(Mix_Eff,MATCH($C128,Mix_Code,0),1),""))</f>
        <v/>
      </c>
      <c r="G128" s="67" t="str">
        <f aca="false">IF(OR($C128="",$D128=""),"",IFERROR($D128*INDEX(Mix_Eff,MATCH($C128,Mix_Code,0),2),""))</f>
        <v/>
      </c>
      <c r="H128" s="67" t="str">
        <f aca="false">IF(OR($C128="",$D128=""),"",IFERROR($D128*INDEX(Mix_Eff,MATCH($C128,Mix_Code,0),3),""))</f>
        <v/>
      </c>
      <c r="I128" s="67" t="str">
        <f aca="false">IF(OR($C128="",$D128=""),"",IFERROR($D128*INDEX(Mix_Eff,MATCH($C128,Mix_Code,0),4),""))</f>
        <v/>
      </c>
      <c r="J128" s="67" t="str">
        <f aca="false">IF(OR($C128="",$D128=""),"",IFERROR($D128*INDEX(Mix_Eff,MATCH($C128,Mix_Code,0),5),""))</f>
        <v/>
      </c>
      <c r="K128" s="63"/>
      <c r="L128" s="16" t="str">
        <f aca="false">IF(AND($A128="",$B128="",$C128="",$D128=""),"",IF($A128="","⚠ Date missing",IF($B128="","⚠ Site missing",IF(ISNA(MATCH($C128,Mix_Code,0)),"⚠ Unknown mix code",IF($D128="","⚠ Enter m3 produced",IF(COUNTIF(CI_Site,$B128)=0,"⚠ Site not set up in Current Inventory",IF($A128&gt;AsOfDate,"Future date – not yet deducted","OK")))))))</f>
        <v/>
      </c>
    </row>
    <row r="129" customFormat="false" ht="15" hidden="false" customHeight="false" outlineLevel="0" collapsed="false">
      <c r="A129" s="65"/>
      <c r="B129" s="63"/>
      <c r="C129" s="70"/>
      <c r="D129" s="66"/>
      <c r="E129" s="16" t="str">
        <f aca="false">IF($C129="","",IFERROR(INDEX(Mix_Desc,MATCH($C129,Mix_Code,0)),"⚠ Unknown mix code"))</f>
        <v/>
      </c>
      <c r="F129" s="67" t="str">
        <f aca="false">IF(OR($C129="",$D129=""),"",IFERROR($D129*INDEX(Mix_Eff,MATCH($C129,Mix_Code,0),1),""))</f>
        <v/>
      </c>
      <c r="G129" s="67" t="str">
        <f aca="false">IF(OR($C129="",$D129=""),"",IFERROR($D129*INDEX(Mix_Eff,MATCH($C129,Mix_Code,0),2),""))</f>
        <v/>
      </c>
      <c r="H129" s="67" t="str">
        <f aca="false">IF(OR($C129="",$D129=""),"",IFERROR($D129*INDEX(Mix_Eff,MATCH($C129,Mix_Code,0),3),""))</f>
        <v/>
      </c>
      <c r="I129" s="67" t="str">
        <f aca="false">IF(OR($C129="",$D129=""),"",IFERROR($D129*INDEX(Mix_Eff,MATCH($C129,Mix_Code,0),4),""))</f>
        <v/>
      </c>
      <c r="J129" s="67" t="str">
        <f aca="false">IF(OR($C129="",$D129=""),"",IFERROR($D129*INDEX(Mix_Eff,MATCH($C129,Mix_Code,0),5),""))</f>
        <v/>
      </c>
      <c r="K129" s="63"/>
      <c r="L129" s="16" t="str">
        <f aca="false">IF(AND($A129="",$B129="",$C129="",$D129=""),"",IF($A129="","⚠ Date missing",IF($B129="","⚠ Site missing",IF(ISNA(MATCH($C129,Mix_Code,0)),"⚠ Unknown mix code",IF($D129="","⚠ Enter m3 produced",IF(COUNTIF(CI_Site,$B129)=0,"⚠ Site not set up in Current Inventory",IF($A129&gt;AsOfDate,"Future date – not yet deducted","OK")))))))</f>
        <v/>
      </c>
    </row>
    <row r="130" customFormat="false" ht="15" hidden="false" customHeight="false" outlineLevel="0" collapsed="false">
      <c r="A130" s="65"/>
      <c r="B130" s="63"/>
      <c r="C130" s="70"/>
      <c r="D130" s="66"/>
      <c r="E130" s="16" t="str">
        <f aca="false">IF($C130="","",IFERROR(INDEX(Mix_Desc,MATCH($C130,Mix_Code,0)),"⚠ Unknown mix code"))</f>
        <v/>
      </c>
      <c r="F130" s="67" t="str">
        <f aca="false">IF(OR($C130="",$D130=""),"",IFERROR($D130*INDEX(Mix_Eff,MATCH($C130,Mix_Code,0),1),""))</f>
        <v/>
      </c>
      <c r="G130" s="67" t="str">
        <f aca="false">IF(OR($C130="",$D130=""),"",IFERROR($D130*INDEX(Mix_Eff,MATCH($C130,Mix_Code,0),2),""))</f>
        <v/>
      </c>
      <c r="H130" s="67" t="str">
        <f aca="false">IF(OR($C130="",$D130=""),"",IFERROR($D130*INDEX(Mix_Eff,MATCH($C130,Mix_Code,0),3),""))</f>
        <v/>
      </c>
      <c r="I130" s="67" t="str">
        <f aca="false">IF(OR($C130="",$D130=""),"",IFERROR($D130*INDEX(Mix_Eff,MATCH($C130,Mix_Code,0),4),""))</f>
        <v/>
      </c>
      <c r="J130" s="67" t="str">
        <f aca="false">IF(OR($C130="",$D130=""),"",IFERROR($D130*INDEX(Mix_Eff,MATCH($C130,Mix_Code,0),5),""))</f>
        <v/>
      </c>
      <c r="K130" s="63"/>
      <c r="L130" s="16" t="str">
        <f aca="false">IF(AND($A130="",$B130="",$C130="",$D130=""),"",IF($A130="","⚠ Date missing",IF($B130="","⚠ Site missing",IF(ISNA(MATCH($C130,Mix_Code,0)),"⚠ Unknown mix code",IF($D130="","⚠ Enter m3 produced",IF(COUNTIF(CI_Site,$B130)=0,"⚠ Site not set up in Current Inventory",IF($A130&gt;AsOfDate,"Future date – not yet deducted","OK")))))))</f>
        <v/>
      </c>
    </row>
    <row r="131" customFormat="false" ht="15" hidden="false" customHeight="false" outlineLevel="0" collapsed="false">
      <c r="A131" s="65"/>
      <c r="B131" s="63"/>
      <c r="C131" s="70"/>
      <c r="D131" s="66"/>
      <c r="E131" s="16" t="str">
        <f aca="false">IF($C131="","",IFERROR(INDEX(Mix_Desc,MATCH($C131,Mix_Code,0)),"⚠ Unknown mix code"))</f>
        <v/>
      </c>
      <c r="F131" s="67" t="str">
        <f aca="false">IF(OR($C131="",$D131=""),"",IFERROR($D131*INDEX(Mix_Eff,MATCH($C131,Mix_Code,0),1),""))</f>
        <v/>
      </c>
      <c r="G131" s="67" t="str">
        <f aca="false">IF(OR($C131="",$D131=""),"",IFERROR($D131*INDEX(Mix_Eff,MATCH($C131,Mix_Code,0),2),""))</f>
        <v/>
      </c>
      <c r="H131" s="67" t="str">
        <f aca="false">IF(OR($C131="",$D131=""),"",IFERROR($D131*INDEX(Mix_Eff,MATCH($C131,Mix_Code,0),3),""))</f>
        <v/>
      </c>
      <c r="I131" s="67" t="str">
        <f aca="false">IF(OR($C131="",$D131=""),"",IFERROR($D131*INDEX(Mix_Eff,MATCH($C131,Mix_Code,0),4),""))</f>
        <v/>
      </c>
      <c r="J131" s="67" t="str">
        <f aca="false">IF(OR($C131="",$D131=""),"",IFERROR($D131*INDEX(Mix_Eff,MATCH($C131,Mix_Code,0),5),""))</f>
        <v/>
      </c>
      <c r="K131" s="63"/>
      <c r="L131" s="16" t="str">
        <f aca="false">IF(AND($A131="",$B131="",$C131="",$D131=""),"",IF($A131="","⚠ Date missing",IF($B131="","⚠ Site missing",IF(ISNA(MATCH($C131,Mix_Code,0)),"⚠ Unknown mix code",IF($D131="","⚠ Enter m3 produced",IF(COUNTIF(CI_Site,$B131)=0,"⚠ Site not set up in Current Inventory",IF($A131&gt;AsOfDate,"Future date – not yet deducted","OK")))))))</f>
        <v/>
      </c>
    </row>
    <row r="132" customFormat="false" ht="15" hidden="false" customHeight="false" outlineLevel="0" collapsed="false">
      <c r="A132" s="65"/>
      <c r="B132" s="63"/>
      <c r="C132" s="70"/>
      <c r="D132" s="66"/>
      <c r="E132" s="16" t="str">
        <f aca="false">IF($C132="","",IFERROR(INDEX(Mix_Desc,MATCH($C132,Mix_Code,0)),"⚠ Unknown mix code"))</f>
        <v/>
      </c>
      <c r="F132" s="67" t="str">
        <f aca="false">IF(OR($C132="",$D132=""),"",IFERROR($D132*INDEX(Mix_Eff,MATCH($C132,Mix_Code,0),1),""))</f>
        <v/>
      </c>
      <c r="G132" s="67" t="str">
        <f aca="false">IF(OR($C132="",$D132=""),"",IFERROR($D132*INDEX(Mix_Eff,MATCH($C132,Mix_Code,0),2),""))</f>
        <v/>
      </c>
      <c r="H132" s="67" t="str">
        <f aca="false">IF(OR($C132="",$D132=""),"",IFERROR($D132*INDEX(Mix_Eff,MATCH($C132,Mix_Code,0),3),""))</f>
        <v/>
      </c>
      <c r="I132" s="67" t="str">
        <f aca="false">IF(OR($C132="",$D132=""),"",IFERROR($D132*INDEX(Mix_Eff,MATCH($C132,Mix_Code,0),4),""))</f>
        <v/>
      </c>
      <c r="J132" s="67" t="str">
        <f aca="false">IF(OR($C132="",$D132=""),"",IFERROR($D132*INDEX(Mix_Eff,MATCH($C132,Mix_Code,0),5),""))</f>
        <v/>
      </c>
      <c r="K132" s="63"/>
      <c r="L132" s="16" t="str">
        <f aca="false">IF(AND($A132="",$B132="",$C132="",$D132=""),"",IF($A132="","⚠ Date missing",IF($B132="","⚠ Site missing",IF(ISNA(MATCH($C132,Mix_Code,0)),"⚠ Unknown mix code",IF($D132="","⚠ Enter m3 produced",IF(COUNTIF(CI_Site,$B132)=0,"⚠ Site not set up in Current Inventory",IF($A132&gt;AsOfDate,"Future date – not yet deducted","OK")))))))</f>
        <v/>
      </c>
    </row>
    <row r="133" customFormat="false" ht="15" hidden="false" customHeight="false" outlineLevel="0" collapsed="false">
      <c r="A133" s="65"/>
      <c r="B133" s="63"/>
      <c r="C133" s="70"/>
      <c r="D133" s="66"/>
      <c r="E133" s="16" t="str">
        <f aca="false">IF($C133="","",IFERROR(INDEX(Mix_Desc,MATCH($C133,Mix_Code,0)),"⚠ Unknown mix code"))</f>
        <v/>
      </c>
      <c r="F133" s="67" t="str">
        <f aca="false">IF(OR($C133="",$D133=""),"",IFERROR($D133*INDEX(Mix_Eff,MATCH($C133,Mix_Code,0),1),""))</f>
        <v/>
      </c>
      <c r="G133" s="67" t="str">
        <f aca="false">IF(OR($C133="",$D133=""),"",IFERROR($D133*INDEX(Mix_Eff,MATCH($C133,Mix_Code,0),2),""))</f>
        <v/>
      </c>
      <c r="H133" s="67" t="str">
        <f aca="false">IF(OR($C133="",$D133=""),"",IFERROR($D133*INDEX(Mix_Eff,MATCH($C133,Mix_Code,0),3),""))</f>
        <v/>
      </c>
      <c r="I133" s="67" t="str">
        <f aca="false">IF(OR($C133="",$D133=""),"",IFERROR($D133*INDEX(Mix_Eff,MATCH($C133,Mix_Code,0),4),""))</f>
        <v/>
      </c>
      <c r="J133" s="67" t="str">
        <f aca="false">IF(OR($C133="",$D133=""),"",IFERROR($D133*INDEX(Mix_Eff,MATCH($C133,Mix_Code,0),5),""))</f>
        <v/>
      </c>
      <c r="K133" s="63"/>
      <c r="L133" s="16" t="str">
        <f aca="false">IF(AND($A133="",$B133="",$C133="",$D133=""),"",IF($A133="","⚠ Date missing",IF($B133="","⚠ Site missing",IF(ISNA(MATCH($C133,Mix_Code,0)),"⚠ Unknown mix code",IF($D133="","⚠ Enter m3 produced",IF(COUNTIF(CI_Site,$B133)=0,"⚠ Site not set up in Current Inventory",IF($A133&gt;AsOfDate,"Future date – not yet deducted","OK")))))))</f>
        <v/>
      </c>
    </row>
    <row r="134" customFormat="false" ht="15" hidden="false" customHeight="false" outlineLevel="0" collapsed="false">
      <c r="A134" s="65"/>
      <c r="B134" s="63"/>
      <c r="C134" s="70"/>
      <c r="D134" s="66"/>
      <c r="E134" s="16" t="str">
        <f aca="false">IF($C134="","",IFERROR(INDEX(Mix_Desc,MATCH($C134,Mix_Code,0)),"⚠ Unknown mix code"))</f>
        <v/>
      </c>
      <c r="F134" s="67" t="str">
        <f aca="false">IF(OR($C134="",$D134=""),"",IFERROR($D134*INDEX(Mix_Eff,MATCH($C134,Mix_Code,0),1),""))</f>
        <v/>
      </c>
      <c r="G134" s="67" t="str">
        <f aca="false">IF(OR($C134="",$D134=""),"",IFERROR($D134*INDEX(Mix_Eff,MATCH($C134,Mix_Code,0),2),""))</f>
        <v/>
      </c>
      <c r="H134" s="67" t="str">
        <f aca="false">IF(OR($C134="",$D134=""),"",IFERROR($D134*INDEX(Mix_Eff,MATCH($C134,Mix_Code,0),3),""))</f>
        <v/>
      </c>
      <c r="I134" s="67" t="str">
        <f aca="false">IF(OR($C134="",$D134=""),"",IFERROR($D134*INDEX(Mix_Eff,MATCH($C134,Mix_Code,0),4),""))</f>
        <v/>
      </c>
      <c r="J134" s="67" t="str">
        <f aca="false">IF(OR($C134="",$D134=""),"",IFERROR($D134*INDEX(Mix_Eff,MATCH($C134,Mix_Code,0),5),""))</f>
        <v/>
      </c>
      <c r="K134" s="63"/>
      <c r="L134" s="16" t="str">
        <f aca="false">IF(AND($A134="",$B134="",$C134="",$D134=""),"",IF($A134="","⚠ Date missing",IF($B134="","⚠ Site missing",IF(ISNA(MATCH($C134,Mix_Code,0)),"⚠ Unknown mix code",IF($D134="","⚠ Enter m3 produced",IF(COUNTIF(CI_Site,$B134)=0,"⚠ Site not set up in Current Inventory",IF($A134&gt;AsOfDate,"Future date – not yet deducted","OK")))))))</f>
        <v/>
      </c>
    </row>
    <row r="135" customFormat="false" ht="15" hidden="false" customHeight="false" outlineLevel="0" collapsed="false">
      <c r="A135" s="65"/>
      <c r="B135" s="63"/>
      <c r="C135" s="70"/>
      <c r="D135" s="66"/>
      <c r="E135" s="16" t="str">
        <f aca="false">IF($C135="","",IFERROR(INDEX(Mix_Desc,MATCH($C135,Mix_Code,0)),"⚠ Unknown mix code"))</f>
        <v/>
      </c>
      <c r="F135" s="67" t="str">
        <f aca="false">IF(OR($C135="",$D135=""),"",IFERROR($D135*INDEX(Mix_Eff,MATCH($C135,Mix_Code,0),1),""))</f>
        <v/>
      </c>
      <c r="G135" s="67" t="str">
        <f aca="false">IF(OR($C135="",$D135=""),"",IFERROR($D135*INDEX(Mix_Eff,MATCH($C135,Mix_Code,0),2),""))</f>
        <v/>
      </c>
      <c r="H135" s="67" t="str">
        <f aca="false">IF(OR($C135="",$D135=""),"",IFERROR($D135*INDEX(Mix_Eff,MATCH($C135,Mix_Code,0),3),""))</f>
        <v/>
      </c>
      <c r="I135" s="67" t="str">
        <f aca="false">IF(OR($C135="",$D135=""),"",IFERROR($D135*INDEX(Mix_Eff,MATCH($C135,Mix_Code,0),4),""))</f>
        <v/>
      </c>
      <c r="J135" s="67" t="str">
        <f aca="false">IF(OR($C135="",$D135=""),"",IFERROR($D135*INDEX(Mix_Eff,MATCH($C135,Mix_Code,0),5),""))</f>
        <v/>
      </c>
      <c r="K135" s="63"/>
      <c r="L135" s="16" t="str">
        <f aca="false">IF(AND($A135="",$B135="",$C135="",$D135=""),"",IF($A135="","⚠ Date missing",IF($B135="","⚠ Site missing",IF(ISNA(MATCH($C135,Mix_Code,0)),"⚠ Unknown mix code",IF($D135="","⚠ Enter m3 produced",IF(COUNTIF(CI_Site,$B135)=0,"⚠ Site not set up in Current Inventory",IF($A135&gt;AsOfDate,"Future date – not yet deducted","OK")))))))</f>
        <v/>
      </c>
    </row>
    <row r="136" customFormat="false" ht="15" hidden="false" customHeight="false" outlineLevel="0" collapsed="false">
      <c r="A136" s="65"/>
      <c r="B136" s="63"/>
      <c r="C136" s="70"/>
      <c r="D136" s="66"/>
      <c r="E136" s="16" t="str">
        <f aca="false">IF($C136="","",IFERROR(INDEX(Mix_Desc,MATCH($C136,Mix_Code,0)),"⚠ Unknown mix code"))</f>
        <v/>
      </c>
      <c r="F136" s="67" t="str">
        <f aca="false">IF(OR($C136="",$D136=""),"",IFERROR($D136*INDEX(Mix_Eff,MATCH($C136,Mix_Code,0),1),""))</f>
        <v/>
      </c>
      <c r="G136" s="67" t="str">
        <f aca="false">IF(OR($C136="",$D136=""),"",IFERROR($D136*INDEX(Mix_Eff,MATCH($C136,Mix_Code,0),2),""))</f>
        <v/>
      </c>
      <c r="H136" s="67" t="str">
        <f aca="false">IF(OR($C136="",$D136=""),"",IFERROR($D136*INDEX(Mix_Eff,MATCH($C136,Mix_Code,0),3),""))</f>
        <v/>
      </c>
      <c r="I136" s="67" t="str">
        <f aca="false">IF(OR($C136="",$D136=""),"",IFERROR($D136*INDEX(Mix_Eff,MATCH($C136,Mix_Code,0),4),""))</f>
        <v/>
      </c>
      <c r="J136" s="67" t="str">
        <f aca="false">IF(OR($C136="",$D136=""),"",IFERROR($D136*INDEX(Mix_Eff,MATCH($C136,Mix_Code,0),5),""))</f>
        <v/>
      </c>
      <c r="K136" s="63"/>
      <c r="L136" s="16" t="str">
        <f aca="false">IF(AND($A136="",$B136="",$C136="",$D136=""),"",IF($A136="","⚠ Date missing",IF($B136="","⚠ Site missing",IF(ISNA(MATCH($C136,Mix_Code,0)),"⚠ Unknown mix code",IF($D136="","⚠ Enter m3 produced",IF(COUNTIF(CI_Site,$B136)=0,"⚠ Site not set up in Current Inventory",IF($A136&gt;AsOfDate,"Future date – not yet deducted","OK")))))))</f>
        <v/>
      </c>
    </row>
    <row r="137" customFormat="false" ht="15" hidden="false" customHeight="false" outlineLevel="0" collapsed="false">
      <c r="A137" s="65"/>
      <c r="B137" s="63"/>
      <c r="C137" s="70"/>
      <c r="D137" s="66"/>
      <c r="E137" s="16" t="str">
        <f aca="false">IF($C137="","",IFERROR(INDEX(Mix_Desc,MATCH($C137,Mix_Code,0)),"⚠ Unknown mix code"))</f>
        <v/>
      </c>
      <c r="F137" s="67" t="str">
        <f aca="false">IF(OR($C137="",$D137=""),"",IFERROR($D137*INDEX(Mix_Eff,MATCH($C137,Mix_Code,0),1),""))</f>
        <v/>
      </c>
      <c r="G137" s="67" t="str">
        <f aca="false">IF(OR($C137="",$D137=""),"",IFERROR($D137*INDEX(Mix_Eff,MATCH($C137,Mix_Code,0),2),""))</f>
        <v/>
      </c>
      <c r="H137" s="67" t="str">
        <f aca="false">IF(OR($C137="",$D137=""),"",IFERROR($D137*INDEX(Mix_Eff,MATCH($C137,Mix_Code,0),3),""))</f>
        <v/>
      </c>
      <c r="I137" s="67" t="str">
        <f aca="false">IF(OR($C137="",$D137=""),"",IFERROR($D137*INDEX(Mix_Eff,MATCH($C137,Mix_Code,0),4),""))</f>
        <v/>
      </c>
      <c r="J137" s="67" t="str">
        <f aca="false">IF(OR($C137="",$D137=""),"",IFERROR($D137*INDEX(Mix_Eff,MATCH($C137,Mix_Code,0),5),""))</f>
        <v/>
      </c>
      <c r="K137" s="63"/>
      <c r="L137" s="16" t="str">
        <f aca="false">IF(AND($A137="",$B137="",$C137="",$D137=""),"",IF($A137="","⚠ Date missing",IF($B137="","⚠ Site missing",IF(ISNA(MATCH($C137,Mix_Code,0)),"⚠ Unknown mix code",IF($D137="","⚠ Enter m3 produced",IF(COUNTIF(CI_Site,$B137)=0,"⚠ Site not set up in Current Inventory",IF($A137&gt;AsOfDate,"Future date – not yet deducted","OK")))))))</f>
        <v/>
      </c>
    </row>
    <row r="138" customFormat="false" ht="15" hidden="false" customHeight="false" outlineLevel="0" collapsed="false">
      <c r="A138" s="65"/>
      <c r="B138" s="63"/>
      <c r="C138" s="70"/>
      <c r="D138" s="66"/>
      <c r="E138" s="16" t="str">
        <f aca="false">IF($C138="","",IFERROR(INDEX(Mix_Desc,MATCH($C138,Mix_Code,0)),"⚠ Unknown mix code"))</f>
        <v/>
      </c>
      <c r="F138" s="67" t="str">
        <f aca="false">IF(OR($C138="",$D138=""),"",IFERROR($D138*INDEX(Mix_Eff,MATCH($C138,Mix_Code,0),1),""))</f>
        <v/>
      </c>
      <c r="G138" s="67" t="str">
        <f aca="false">IF(OR($C138="",$D138=""),"",IFERROR($D138*INDEX(Mix_Eff,MATCH($C138,Mix_Code,0),2),""))</f>
        <v/>
      </c>
      <c r="H138" s="67" t="str">
        <f aca="false">IF(OR($C138="",$D138=""),"",IFERROR($D138*INDEX(Mix_Eff,MATCH($C138,Mix_Code,0),3),""))</f>
        <v/>
      </c>
      <c r="I138" s="67" t="str">
        <f aca="false">IF(OR($C138="",$D138=""),"",IFERROR($D138*INDEX(Mix_Eff,MATCH($C138,Mix_Code,0),4),""))</f>
        <v/>
      </c>
      <c r="J138" s="67" t="str">
        <f aca="false">IF(OR($C138="",$D138=""),"",IFERROR($D138*INDEX(Mix_Eff,MATCH($C138,Mix_Code,0),5),""))</f>
        <v/>
      </c>
      <c r="K138" s="63"/>
      <c r="L138" s="16" t="str">
        <f aca="false">IF(AND($A138="",$B138="",$C138="",$D138=""),"",IF($A138="","⚠ Date missing",IF($B138="","⚠ Site missing",IF(ISNA(MATCH($C138,Mix_Code,0)),"⚠ Unknown mix code",IF($D138="","⚠ Enter m3 produced",IF(COUNTIF(CI_Site,$B138)=0,"⚠ Site not set up in Current Inventory",IF($A138&gt;AsOfDate,"Future date – not yet deducted","OK")))))))</f>
        <v/>
      </c>
    </row>
    <row r="139" customFormat="false" ht="15" hidden="false" customHeight="false" outlineLevel="0" collapsed="false">
      <c r="A139" s="65"/>
      <c r="B139" s="63"/>
      <c r="C139" s="70"/>
      <c r="D139" s="66"/>
      <c r="E139" s="16" t="str">
        <f aca="false">IF($C139="","",IFERROR(INDEX(Mix_Desc,MATCH($C139,Mix_Code,0)),"⚠ Unknown mix code"))</f>
        <v/>
      </c>
      <c r="F139" s="67" t="str">
        <f aca="false">IF(OR($C139="",$D139=""),"",IFERROR($D139*INDEX(Mix_Eff,MATCH($C139,Mix_Code,0),1),""))</f>
        <v/>
      </c>
      <c r="G139" s="67" t="str">
        <f aca="false">IF(OR($C139="",$D139=""),"",IFERROR($D139*INDEX(Mix_Eff,MATCH($C139,Mix_Code,0),2),""))</f>
        <v/>
      </c>
      <c r="H139" s="67" t="str">
        <f aca="false">IF(OR($C139="",$D139=""),"",IFERROR($D139*INDEX(Mix_Eff,MATCH($C139,Mix_Code,0),3),""))</f>
        <v/>
      </c>
      <c r="I139" s="67" t="str">
        <f aca="false">IF(OR($C139="",$D139=""),"",IFERROR($D139*INDEX(Mix_Eff,MATCH($C139,Mix_Code,0),4),""))</f>
        <v/>
      </c>
      <c r="J139" s="67" t="str">
        <f aca="false">IF(OR($C139="",$D139=""),"",IFERROR($D139*INDEX(Mix_Eff,MATCH($C139,Mix_Code,0),5),""))</f>
        <v/>
      </c>
      <c r="K139" s="63"/>
      <c r="L139" s="16" t="str">
        <f aca="false">IF(AND($A139="",$B139="",$C139="",$D139=""),"",IF($A139="","⚠ Date missing",IF($B139="","⚠ Site missing",IF(ISNA(MATCH($C139,Mix_Code,0)),"⚠ Unknown mix code",IF($D139="","⚠ Enter m3 produced",IF(COUNTIF(CI_Site,$B139)=0,"⚠ Site not set up in Current Inventory",IF($A139&gt;AsOfDate,"Future date – not yet deducted","OK")))))))</f>
        <v/>
      </c>
    </row>
    <row r="140" customFormat="false" ht="15" hidden="false" customHeight="false" outlineLevel="0" collapsed="false">
      <c r="A140" s="65"/>
      <c r="B140" s="63"/>
      <c r="C140" s="70"/>
      <c r="D140" s="66"/>
      <c r="E140" s="16" t="str">
        <f aca="false">IF($C140="","",IFERROR(INDEX(Mix_Desc,MATCH($C140,Mix_Code,0)),"⚠ Unknown mix code"))</f>
        <v/>
      </c>
      <c r="F140" s="67" t="str">
        <f aca="false">IF(OR($C140="",$D140=""),"",IFERROR($D140*INDEX(Mix_Eff,MATCH($C140,Mix_Code,0),1),""))</f>
        <v/>
      </c>
      <c r="G140" s="67" t="str">
        <f aca="false">IF(OR($C140="",$D140=""),"",IFERROR($D140*INDEX(Mix_Eff,MATCH($C140,Mix_Code,0),2),""))</f>
        <v/>
      </c>
      <c r="H140" s="67" t="str">
        <f aca="false">IF(OR($C140="",$D140=""),"",IFERROR($D140*INDEX(Mix_Eff,MATCH($C140,Mix_Code,0),3),""))</f>
        <v/>
      </c>
      <c r="I140" s="67" t="str">
        <f aca="false">IF(OR($C140="",$D140=""),"",IFERROR($D140*INDEX(Mix_Eff,MATCH($C140,Mix_Code,0),4),""))</f>
        <v/>
      </c>
      <c r="J140" s="67" t="str">
        <f aca="false">IF(OR($C140="",$D140=""),"",IFERROR($D140*INDEX(Mix_Eff,MATCH($C140,Mix_Code,0),5),""))</f>
        <v/>
      </c>
      <c r="K140" s="63"/>
      <c r="L140" s="16" t="str">
        <f aca="false">IF(AND($A140="",$B140="",$C140="",$D140=""),"",IF($A140="","⚠ Date missing",IF($B140="","⚠ Site missing",IF(ISNA(MATCH($C140,Mix_Code,0)),"⚠ Unknown mix code",IF($D140="","⚠ Enter m3 produced",IF(COUNTIF(CI_Site,$B140)=0,"⚠ Site not set up in Current Inventory",IF($A140&gt;AsOfDate,"Future date – not yet deducted","OK")))))))</f>
        <v/>
      </c>
    </row>
    <row r="141" customFormat="false" ht="15" hidden="false" customHeight="false" outlineLevel="0" collapsed="false">
      <c r="A141" s="65"/>
      <c r="B141" s="63"/>
      <c r="C141" s="70"/>
      <c r="D141" s="66"/>
      <c r="E141" s="16" t="str">
        <f aca="false">IF($C141="","",IFERROR(INDEX(Mix_Desc,MATCH($C141,Mix_Code,0)),"⚠ Unknown mix code"))</f>
        <v/>
      </c>
      <c r="F141" s="67" t="str">
        <f aca="false">IF(OR($C141="",$D141=""),"",IFERROR($D141*INDEX(Mix_Eff,MATCH($C141,Mix_Code,0),1),""))</f>
        <v/>
      </c>
      <c r="G141" s="67" t="str">
        <f aca="false">IF(OR($C141="",$D141=""),"",IFERROR($D141*INDEX(Mix_Eff,MATCH($C141,Mix_Code,0),2),""))</f>
        <v/>
      </c>
      <c r="H141" s="67" t="str">
        <f aca="false">IF(OR($C141="",$D141=""),"",IFERROR($D141*INDEX(Mix_Eff,MATCH($C141,Mix_Code,0),3),""))</f>
        <v/>
      </c>
      <c r="I141" s="67" t="str">
        <f aca="false">IF(OR($C141="",$D141=""),"",IFERROR($D141*INDEX(Mix_Eff,MATCH($C141,Mix_Code,0),4),""))</f>
        <v/>
      </c>
      <c r="J141" s="67" t="str">
        <f aca="false">IF(OR($C141="",$D141=""),"",IFERROR($D141*INDEX(Mix_Eff,MATCH($C141,Mix_Code,0),5),""))</f>
        <v/>
      </c>
      <c r="K141" s="63"/>
      <c r="L141" s="16" t="str">
        <f aca="false">IF(AND($A141="",$B141="",$C141="",$D141=""),"",IF($A141="","⚠ Date missing",IF($B141="","⚠ Site missing",IF(ISNA(MATCH($C141,Mix_Code,0)),"⚠ Unknown mix code",IF($D141="","⚠ Enter m3 produced",IF(COUNTIF(CI_Site,$B141)=0,"⚠ Site not set up in Current Inventory",IF($A141&gt;AsOfDate,"Future date – not yet deducted","OK")))))))</f>
        <v/>
      </c>
    </row>
    <row r="142" customFormat="false" ht="15" hidden="false" customHeight="false" outlineLevel="0" collapsed="false">
      <c r="A142" s="65"/>
      <c r="B142" s="63"/>
      <c r="C142" s="70"/>
      <c r="D142" s="66"/>
      <c r="E142" s="16" t="str">
        <f aca="false">IF($C142="","",IFERROR(INDEX(Mix_Desc,MATCH($C142,Mix_Code,0)),"⚠ Unknown mix code"))</f>
        <v/>
      </c>
      <c r="F142" s="67" t="str">
        <f aca="false">IF(OR($C142="",$D142=""),"",IFERROR($D142*INDEX(Mix_Eff,MATCH($C142,Mix_Code,0),1),""))</f>
        <v/>
      </c>
      <c r="G142" s="67" t="str">
        <f aca="false">IF(OR($C142="",$D142=""),"",IFERROR($D142*INDEX(Mix_Eff,MATCH($C142,Mix_Code,0),2),""))</f>
        <v/>
      </c>
      <c r="H142" s="67" t="str">
        <f aca="false">IF(OR($C142="",$D142=""),"",IFERROR($D142*INDEX(Mix_Eff,MATCH($C142,Mix_Code,0),3),""))</f>
        <v/>
      </c>
      <c r="I142" s="67" t="str">
        <f aca="false">IF(OR($C142="",$D142=""),"",IFERROR($D142*INDEX(Mix_Eff,MATCH($C142,Mix_Code,0),4),""))</f>
        <v/>
      </c>
      <c r="J142" s="67" t="str">
        <f aca="false">IF(OR($C142="",$D142=""),"",IFERROR($D142*INDEX(Mix_Eff,MATCH($C142,Mix_Code,0),5),""))</f>
        <v/>
      </c>
      <c r="K142" s="63"/>
      <c r="L142" s="16" t="str">
        <f aca="false">IF(AND($A142="",$B142="",$C142="",$D142=""),"",IF($A142="","⚠ Date missing",IF($B142="","⚠ Site missing",IF(ISNA(MATCH($C142,Mix_Code,0)),"⚠ Unknown mix code",IF($D142="","⚠ Enter m3 produced",IF(COUNTIF(CI_Site,$B142)=0,"⚠ Site not set up in Current Inventory",IF($A142&gt;AsOfDate,"Future date – not yet deducted","OK")))))))</f>
        <v/>
      </c>
    </row>
    <row r="143" customFormat="false" ht="15" hidden="false" customHeight="false" outlineLevel="0" collapsed="false">
      <c r="A143" s="65"/>
      <c r="B143" s="63"/>
      <c r="C143" s="70"/>
      <c r="D143" s="66"/>
      <c r="E143" s="16" t="str">
        <f aca="false">IF($C143="","",IFERROR(INDEX(Mix_Desc,MATCH($C143,Mix_Code,0)),"⚠ Unknown mix code"))</f>
        <v/>
      </c>
      <c r="F143" s="67" t="str">
        <f aca="false">IF(OR($C143="",$D143=""),"",IFERROR($D143*INDEX(Mix_Eff,MATCH($C143,Mix_Code,0),1),""))</f>
        <v/>
      </c>
      <c r="G143" s="67" t="str">
        <f aca="false">IF(OR($C143="",$D143=""),"",IFERROR($D143*INDEX(Mix_Eff,MATCH($C143,Mix_Code,0),2),""))</f>
        <v/>
      </c>
      <c r="H143" s="67" t="str">
        <f aca="false">IF(OR($C143="",$D143=""),"",IFERROR($D143*INDEX(Mix_Eff,MATCH($C143,Mix_Code,0),3),""))</f>
        <v/>
      </c>
      <c r="I143" s="67" t="str">
        <f aca="false">IF(OR($C143="",$D143=""),"",IFERROR($D143*INDEX(Mix_Eff,MATCH($C143,Mix_Code,0),4),""))</f>
        <v/>
      </c>
      <c r="J143" s="67" t="str">
        <f aca="false">IF(OR($C143="",$D143=""),"",IFERROR($D143*INDEX(Mix_Eff,MATCH($C143,Mix_Code,0),5),""))</f>
        <v/>
      </c>
      <c r="K143" s="63"/>
      <c r="L143" s="16" t="str">
        <f aca="false">IF(AND($A143="",$B143="",$C143="",$D143=""),"",IF($A143="","⚠ Date missing",IF($B143="","⚠ Site missing",IF(ISNA(MATCH($C143,Mix_Code,0)),"⚠ Unknown mix code",IF($D143="","⚠ Enter m3 produced",IF(COUNTIF(CI_Site,$B143)=0,"⚠ Site not set up in Current Inventory",IF($A143&gt;AsOfDate,"Future date – not yet deducted","OK")))))))</f>
        <v/>
      </c>
    </row>
    <row r="144" customFormat="false" ht="15" hidden="false" customHeight="false" outlineLevel="0" collapsed="false">
      <c r="A144" s="65"/>
      <c r="B144" s="63"/>
      <c r="C144" s="70"/>
      <c r="D144" s="66"/>
      <c r="E144" s="16" t="str">
        <f aca="false">IF($C144="","",IFERROR(INDEX(Mix_Desc,MATCH($C144,Mix_Code,0)),"⚠ Unknown mix code"))</f>
        <v/>
      </c>
      <c r="F144" s="67" t="str">
        <f aca="false">IF(OR($C144="",$D144=""),"",IFERROR($D144*INDEX(Mix_Eff,MATCH($C144,Mix_Code,0),1),""))</f>
        <v/>
      </c>
      <c r="G144" s="67" t="str">
        <f aca="false">IF(OR($C144="",$D144=""),"",IFERROR($D144*INDEX(Mix_Eff,MATCH($C144,Mix_Code,0),2),""))</f>
        <v/>
      </c>
      <c r="H144" s="67" t="str">
        <f aca="false">IF(OR($C144="",$D144=""),"",IFERROR($D144*INDEX(Mix_Eff,MATCH($C144,Mix_Code,0),3),""))</f>
        <v/>
      </c>
      <c r="I144" s="67" t="str">
        <f aca="false">IF(OR($C144="",$D144=""),"",IFERROR($D144*INDEX(Mix_Eff,MATCH($C144,Mix_Code,0),4),""))</f>
        <v/>
      </c>
      <c r="J144" s="67" t="str">
        <f aca="false">IF(OR($C144="",$D144=""),"",IFERROR($D144*INDEX(Mix_Eff,MATCH($C144,Mix_Code,0),5),""))</f>
        <v/>
      </c>
      <c r="K144" s="63"/>
      <c r="L144" s="16" t="str">
        <f aca="false">IF(AND($A144="",$B144="",$C144="",$D144=""),"",IF($A144="","⚠ Date missing",IF($B144="","⚠ Site missing",IF(ISNA(MATCH($C144,Mix_Code,0)),"⚠ Unknown mix code",IF($D144="","⚠ Enter m3 produced",IF(COUNTIF(CI_Site,$B144)=0,"⚠ Site not set up in Current Inventory",IF($A144&gt;AsOfDate,"Future date – not yet deducted","OK")))))))</f>
        <v/>
      </c>
    </row>
    <row r="145" customFormat="false" ht="15" hidden="false" customHeight="false" outlineLevel="0" collapsed="false">
      <c r="A145" s="65"/>
      <c r="B145" s="63"/>
      <c r="C145" s="70"/>
      <c r="D145" s="66"/>
      <c r="E145" s="16" t="str">
        <f aca="false">IF($C145="","",IFERROR(INDEX(Mix_Desc,MATCH($C145,Mix_Code,0)),"⚠ Unknown mix code"))</f>
        <v/>
      </c>
      <c r="F145" s="67" t="str">
        <f aca="false">IF(OR($C145="",$D145=""),"",IFERROR($D145*INDEX(Mix_Eff,MATCH($C145,Mix_Code,0),1),""))</f>
        <v/>
      </c>
      <c r="G145" s="67" t="str">
        <f aca="false">IF(OR($C145="",$D145=""),"",IFERROR($D145*INDEX(Mix_Eff,MATCH($C145,Mix_Code,0),2),""))</f>
        <v/>
      </c>
      <c r="H145" s="67" t="str">
        <f aca="false">IF(OR($C145="",$D145=""),"",IFERROR($D145*INDEX(Mix_Eff,MATCH($C145,Mix_Code,0),3),""))</f>
        <v/>
      </c>
      <c r="I145" s="67" t="str">
        <f aca="false">IF(OR($C145="",$D145=""),"",IFERROR($D145*INDEX(Mix_Eff,MATCH($C145,Mix_Code,0),4),""))</f>
        <v/>
      </c>
      <c r="J145" s="67" t="str">
        <f aca="false">IF(OR($C145="",$D145=""),"",IFERROR($D145*INDEX(Mix_Eff,MATCH($C145,Mix_Code,0),5),""))</f>
        <v/>
      </c>
      <c r="K145" s="63"/>
      <c r="L145" s="16" t="str">
        <f aca="false">IF(AND($A145="",$B145="",$C145="",$D145=""),"",IF($A145="","⚠ Date missing",IF($B145="","⚠ Site missing",IF(ISNA(MATCH($C145,Mix_Code,0)),"⚠ Unknown mix code",IF($D145="","⚠ Enter m3 produced",IF(COUNTIF(CI_Site,$B145)=0,"⚠ Site not set up in Current Inventory",IF($A145&gt;AsOfDate,"Future date – not yet deducted","OK")))))))</f>
        <v/>
      </c>
    </row>
    <row r="146" customFormat="false" ht="15" hidden="false" customHeight="false" outlineLevel="0" collapsed="false">
      <c r="A146" s="65"/>
      <c r="B146" s="63"/>
      <c r="C146" s="70"/>
      <c r="D146" s="66"/>
      <c r="E146" s="16" t="str">
        <f aca="false">IF($C146="","",IFERROR(INDEX(Mix_Desc,MATCH($C146,Mix_Code,0)),"⚠ Unknown mix code"))</f>
        <v/>
      </c>
      <c r="F146" s="67" t="str">
        <f aca="false">IF(OR($C146="",$D146=""),"",IFERROR($D146*INDEX(Mix_Eff,MATCH($C146,Mix_Code,0),1),""))</f>
        <v/>
      </c>
      <c r="G146" s="67" t="str">
        <f aca="false">IF(OR($C146="",$D146=""),"",IFERROR($D146*INDEX(Mix_Eff,MATCH($C146,Mix_Code,0),2),""))</f>
        <v/>
      </c>
      <c r="H146" s="67" t="str">
        <f aca="false">IF(OR($C146="",$D146=""),"",IFERROR($D146*INDEX(Mix_Eff,MATCH($C146,Mix_Code,0),3),""))</f>
        <v/>
      </c>
      <c r="I146" s="67" t="str">
        <f aca="false">IF(OR($C146="",$D146=""),"",IFERROR($D146*INDEX(Mix_Eff,MATCH($C146,Mix_Code,0),4),""))</f>
        <v/>
      </c>
      <c r="J146" s="67" t="str">
        <f aca="false">IF(OR($C146="",$D146=""),"",IFERROR($D146*INDEX(Mix_Eff,MATCH($C146,Mix_Code,0),5),""))</f>
        <v/>
      </c>
      <c r="K146" s="63"/>
      <c r="L146" s="16" t="str">
        <f aca="false">IF(AND($A146="",$B146="",$C146="",$D146=""),"",IF($A146="","⚠ Date missing",IF($B146="","⚠ Site missing",IF(ISNA(MATCH($C146,Mix_Code,0)),"⚠ Unknown mix code",IF($D146="","⚠ Enter m3 produced",IF(COUNTIF(CI_Site,$B146)=0,"⚠ Site not set up in Current Inventory",IF($A146&gt;AsOfDate,"Future date – not yet deducted","OK")))))))</f>
        <v/>
      </c>
    </row>
    <row r="147" customFormat="false" ht="15" hidden="false" customHeight="false" outlineLevel="0" collapsed="false">
      <c r="A147" s="65"/>
      <c r="B147" s="63"/>
      <c r="C147" s="70"/>
      <c r="D147" s="66"/>
      <c r="E147" s="16" t="str">
        <f aca="false">IF($C147="","",IFERROR(INDEX(Mix_Desc,MATCH($C147,Mix_Code,0)),"⚠ Unknown mix code"))</f>
        <v/>
      </c>
      <c r="F147" s="67" t="str">
        <f aca="false">IF(OR($C147="",$D147=""),"",IFERROR($D147*INDEX(Mix_Eff,MATCH($C147,Mix_Code,0),1),""))</f>
        <v/>
      </c>
      <c r="G147" s="67" t="str">
        <f aca="false">IF(OR($C147="",$D147=""),"",IFERROR($D147*INDEX(Mix_Eff,MATCH($C147,Mix_Code,0),2),""))</f>
        <v/>
      </c>
      <c r="H147" s="67" t="str">
        <f aca="false">IF(OR($C147="",$D147=""),"",IFERROR($D147*INDEX(Mix_Eff,MATCH($C147,Mix_Code,0),3),""))</f>
        <v/>
      </c>
      <c r="I147" s="67" t="str">
        <f aca="false">IF(OR($C147="",$D147=""),"",IFERROR($D147*INDEX(Mix_Eff,MATCH($C147,Mix_Code,0),4),""))</f>
        <v/>
      </c>
      <c r="J147" s="67" t="str">
        <f aca="false">IF(OR($C147="",$D147=""),"",IFERROR($D147*INDEX(Mix_Eff,MATCH($C147,Mix_Code,0),5),""))</f>
        <v/>
      </c>
      <c r="K147" s="63"/>
      <c r="L147" s="16" t="str">
        <f aca="false">IF(AND($A147="",$B147="",$C147="",$D147=""),"",IF($A147="","⚠ Date missing",IF($B147="","⚠ Site missing",IF(ISNA(MATCH($C147,Mix_Code,0)),"⚠ Unknown mix code",IF($D147="","⚠ Enter m3 produced",IF(COUNTIF(CI_Site,$B147)=0,"⚠ Site not set up in Current Inventory",IF($A147&gt;AsOfDate,"Future date – not yet deducted","OK")))))))</f>
        <v/>
      </c>
    </row>
    <row r="148" customFormat="false" ht="15" hidden="false" customHeight="false" outlineLevel="0" collapsed="false">
      <c r="A148" s="65"/>
      <c r="B148" s="63"/>
      <c r="C148" s="70"/>
      <c r="D148" s="66"/>
      <c r="E148" s="16" t="str">
        <f aca="false">IF($C148="","",IFERROR(INDEX(Mix_Desc,MATCH($C148,Mix_Code,0)),"⚠ Unknown mix code"))</f>
        <v/>
      </c>
      <c r="F148" s="67" t="str">
        <f aca="false">IF(OR($C148="",$D148=""),"",IFERROR($D148*INDEX(Mix_Eff,MATCH($C148,Mix_Code,0),1),""))</f>
        <v/>
      </c>
      <c r="G148" s="67" t="str">
        <f aca="false">IF(OR($C148="",$D148=""),"",IFERROR($D148*INDEX(Mix_Eff,MATCH($C148,Mix_Code,0),2),""))</f>
        <v/>
      </c>
      <c r="H148" s="67" t="str">
        <f aca="false">IF(OR($C148="",$D148=""),"",IFERROR($D148*INDEX(Mix_Eff,MATCH($C148,Mix_Code,0),3),""))</f>
        <v/>
      </c>
      <c r="I148" s="67" t="str">
        <f aca="false">IF(OR($C148="",$D148=""),"",IFERROR($D148*INDEX(Mix_Eff,MATCH($C148,Mix_Code,0),4),""))</f>
        <v/>
      </c>
      <c r="J148" s="67" t="str">
        <f aca="false">IF(OR($C148="",$D148=""),"",IFERROR($D148*INDEX(Mix_Eff,MATCH($C148,Mix_Code,0),5),""))</f>
        <v/>
      </c>
      <c r="K148" s="63"/>
      <c r="L148" s="16" t="str">
        <f aca="false">IF(AND($A148="",$B148="",$C148="",$D148=""),"",IF($A148="","⚠ Date missing",IF($B148="","⚠ Site missing",IF(ISNA(MATCH($C148,Mix_Code,0)),"⚠ Unknown mix code",IF($D148="","⚠ Enter m3 produced",IF(COUNTIF(CI_Site,$B148)=0,"⚠ Site not set up in Current Inventory",IF($A148&gt;AsOfDate,"Future date – not yet deducted","OK")))))))</f>
        <v/>
      </c>
    </row>
    <row r="149" customFormat="false" ht="15" hidden="false" customHeight="false" outlineLevel="0" collapsed="false">
      <c r="A149" s="65"/>
      <c r="B149" s="63"/>
      <c r="C149" s="70"/>
      <c r="D149" s="66"/>
      <c r="E149" s="16" t="str">
        <f aca="false">IF($C149="","",IFERROR(INDEX(Mix_Desc,MATCH($C149,Mix_Code,0)),"⚠ Unknown mix code"))</f>
        <v/>
      </c>
      <c r="F149" s="67" t="str">
        <f aca="false">IF(OR($C149="",$D149=""),"",IFERROR($D149*INDEX(Mix_Eff,MATCH($C149,Mix_Code,0),1),""))</f>
        <v/>
      </c>
      <c r="G149" s="67" t="str">
        <f aca="false">IF(OR($C149="",$D149=""),"",IFERROR($D149*INDEX(Mix_Eff,MATCH($C149,Mix_Code,0),2),""))</f>
        <v/>
      </c>
      <c r="H149" s="67" t="str">
        <f aca="false">IF(OR($C149="",$D149=""),"",IFERROR($D149*INDEX(Mix_Eff,MATCH($C149,Mix_Code,0),3),""))</f>
        <v/>
      </c>
      <c r="I149" s="67" t="str">
        <f aca="false">IF(OR($C149="",$D149=""),"",IFERROR($D149*INDEX(Mix_Eff,MATCH($C149,Mix_Code,0),4),""))</f>
        <v/>
      </c>
      <c r="J149" s="67" t="str">
        <f aca="false">IF(OR($C149="",$D149=""),"",IFERROR($D149*INDEX(Mix_Eff,MATCH($C149,Mix_Code,0),5),""))</f>
        <v/>
      </c>
      <c r="K149" s="63"/>
      <c r="L149" s="16" t="str">
        <f aca="false">IF(AND($A149="",$B149="",$C149="",$D149=""),"",IF($A149="","⚠ Date missing",IF($B149="","⚠ Site missing",IF(ISNA(MATCH($C149,Mix_Code,0)),"⚠ Unknown mix code",IF($D149="","⚠ Enter m3 produced",IF(COUNTIF(CI_Site,$B149)=0,"⚠ Site not set up in Current Inventory",IF($A149&gt;AsOfDate,"Future date – not yet deducted","OK")))))))</f>
        <v/>
      </c>
    </row>
    <row r="150" customFormat="false" ht="15" hidden="false" customHeight="false" outlineLevel="0" collapsed="false">
      <c r="A150" s="65"/>
      <c r="B150" s="63"/>
      <c r="C150" s="70"/>
      <c r="D150" s="66"/>
      <c r="E150" s="16" t="str">
        <f aca="false">IF($C150="","",IFERROR(INDEX(Mix_Desc,MATCH($C150,Mix_Code,0)),"⚠ Unknown mix code"))</f>
        <v/>
      </c>
      <c r="F150" s="67" t="str">
        <f aca="false">IF(OR($C150="",$D150=""),"",IFERROR($D150*INDEX(Mix_Eff,MATCH($C150,Mix_Code,0),1),""))</f>
        <v/>
      </c>
      <c r="G150" s="67" t="str">
        <f aca="false">IF(OR($C150="",$D150=""),"",IFERROR($D150*INDEX(Mix_Eff,MATCH($C150,Mix_Code,0),2),""))</f>
        <v/>
      </c>
      <c r="H150" s="67" t="str">
        <f aca="false">IF(OR($C150="",$D150=""),"",IFERROR($D150*INDEX(Mix_Eff,MATCH($C150,Mix_Code,0),3),""))</f>
        <v/>
      </c>
      <c r="I150" s="67" t="str">
        <f aca="false">IF(OR($C150="",$D150=""),"",IFERROR($D150*INDEX(Mix_Eff,MATCH($C150,Mix_Code,0),4),""))</f>
        <v/>
      </c>
      <c r="J150" s="67" t="str">
        <f aca="false">IF(OR($C150="",$D150=""),"",IFERROR($D150*INDEX(Mix_Eff,MATCH($C150,Mix_Code,0),5),""))</f>
        <v/>
      </c>
      <c r="K150" s="63"/>
      <c r="L150" s="16" t="str">
        <f aca="false">IF(AND($A150="",$B150="",$C150="",$D150=""),"",IF($A150="","⚠ Date missing",IF($B150="","⚠ Site missing",IF(ISNA(MATCH($C150,Mix_Code,0)),"⚠ Unknown mix code",IF($D150="","⚠ Enter m3 produced",IF(COUNTIF(CI_Site,$B150)=0,"⚠ Site not set up in Current Inventory",IF($A150&gt;AsOfDate,"Future date – not yet deducted","OK")))))))</f>
        <v/>
      </c>
    </row>
    <row r="151" customFormat="false" ht="15" hidden="false" customHeight="false" outlineLevel="0" collapsed="false">
      <c r="A151" s="65"/>
      <c r="B151" s="63"/>
      <c r="C151" s="70"/>
      <c r="D151" s="66"/>
      <c r="E151" s="16" t="str">
        <f aca="false">IF($C151="","",IFERROR(INDEX(Mix_Desc,MATCH($C151,Mix_Code,0)),"⚠ Unknown mix code"))</f>
        <v/>
      </c>
      <c r="F151" s="67" t="str">
        <f aca="false">IF(OR($C151="",$D151=""),"",IFERROR($D151*INDEX(Mix_Eff,MATCH($C151,Mix_Code,0),1),""))</f>
        <v/>
      </c>
      <c r="G151" s="67" t="str">
        <f aca="false">IF(OR($C151="",$D151=""),"",IFERROR($D151*INDEX(Mix_Eff,MATCH($C151,Mix_Code,0),2),""))</f>
        <v/>
      </c>
      <c r="H151" s="67" t="str">
        <f aca="false">IF(OR($C151="",$D151=""),"",IFERROR($D151*INDEX(Mix_Eff,MATCH($C151,Mix_Code,0),3),""))</f>
        <v/>
      </c>
      <c r="I151" s="67" t="str">
        <f aca="false">IF(OR($C151="",$D151=""),"",IFERROR($D151*INDEX(Mix_Eff,MATCH($C151,Mix_Code,0),4),""))</f>
        <v/>
      </c>
      <c r="J151" s="67" t="str">
        <f aca="false">IF(OR($C151="",$D151=""),"",IFERROR($D151*INDEX(Mix_Eff,MATCH($C151,Mix_Code,0),5),""))</f>
        <v/>
      </c>
      <c r="K151" s="63"/>
      <c r="L151" s="16" t="str">
        <f aca="false">IF(AND($A151="",$B151="",$C151="",$D151=""),"",IF($A151="","⚠ Date missing",IF($B151="","⚠ Site missing",IF(ISNA(MATCH($C151,Mix_Code,0)),"⚠ Unknown mix code",IF($D151="","⚠ Enter m3 produced",IF(COUNTIF(CI_Site,$B151)=0,"⚠ Site not set up in Current Inventory",IF($A151&gt;AsOfDate,"Future date – not yet deducted","OK")))))))</f>
        <v/>
      </c>
    </row>
    <row r="152" customFormat="false" ht="15" hidden="false" customHeight="false" outlineLevel="0" collapsed="false">
      <c r="A152" s="65"/>
      <c r="B152" s="63"/>
      <c r="C152" s="70"/>
      <c r="D152" s="66"/>
      <c r="E152" s="16" t="str">
        <f aca="false">IF($C152="","",IFERROR(INDEX(Mix_Desc,MATCH($C152,Mix_Code,0)),"⚠ Unknown mix code"))</f>
        <v/>
      </c>
      <c r="F152" s="67" t="str">
        <f aca="false">IF(OR($C152="",$D152=""),"",IFERROR($D152*INDEX(Mix_Eff,MATCH($C152,Mix_Code,0),1),""))</f>
        <v/>
      </c>
      <c r="G152" s="67" t="str">
        <f aca="false">IF(OR($C152="",$D152=""),"",IFERROR($D152*INDEX(Mix_Eff,MATCH($C152,Mix_Code,0),2),""))</f>
        <v/>
      </c>
      <c r="H152" s="67" t="str">
        <f aca="false">IF(OR($C152="",$D152=""),"",IFERROR($D152*INDEX(Mix_Eff,MATCH($C152,Mix_Code,0),3),""))</f>
        <v/>
      </c>
      <c r="I152" s="67" t="str">
        <f aca="false">IF(OR($C152="",$D152=""),"",IFERROR($D152*INDEX(Mix_Eff,MATCH($C152,Mix_Code,0),4),""))</f>
        <v/>
      </c>
      <c r="J152" s="67" t="str">
        <f aca="false">IF(OR($C152="",$D152=""),"",IFERROR($D152*INDEX(Mix_Eff,MATCH($C152,Mix_Code,0),5),""))</f>
        <v/>
      </c>
      <c r="K152" s="63"/>
      <c r="L152" s="16" t="str">
        <f aca="false">IF(AND($A152="",$B152="",$C152="",$D152=""),"",IF($A152="","⚠ Date missing",IF($B152="","⚠ Site missing",IF(ISNA(MATCH($C152,Mix_Code,0)),"⚠ Unknown mix code",IF($D152="","⚠ Enter m3 produced",IF(COUNTIF(CI_Site,$B152)=0,"⚠ Site not set up in Current Inventory",IF($A152&gt;AsOfDate,"Future date – not yet deducted","OK")))))))</f>
        <v/>
      </c>
    </row>
    <row r="153" customFormat="false" ht="15" hidden="false" customHeight="false" outlineLevel="0" collapsed="false">
      <c r="A153" s="65"/>
      <c r="B153" s="63"/>
      <c r="C153" s="70"/>
      <c r="D153" s="66"/>
      <c r="E153" s="16" t="str">
        <f aca="false">IF($C153="","",IFERROR(INDEX(Mix_Desc,MATCH($C153,Mix_Code,0)),"⚠ Unknown mix code"))</f>
        <v/>
      </c>
      <c r="F153" s="67" t="str">
        <f aca="false">IF(OR($C153="",$D153=""),"",IFERROR($D153*INDEX(Mix_Eff,MATCH($C153,Mix_Code,0),1),""))</f>
        <v/>
      </c>
      <c r="G153" s="67" t="str">
        <f aca="false">IF(OR($C153="",$D153=""),"",IFERROR($D153*INDEX(Mix_Eff,MATCH($C153,Mix_Code,0),2),""))</f>
        <v/>
      </c>
      <c r="H153" s="67" t="str">
        <f aca="false">IF(OR($C153="",$D153=""),"",IFERROR($D153*INDEX(Mix_Eff,MATCH($C153,Mix_Code,0),3),""))</f>
        <v/>
      </c>
      <c r="I153" s="67" t="str">
        <f aca="false">IF(OR($C153="",$D153=""),"",IFERROR($D153*INDEX(Mix_Eff,MATCH($C153,Mix_Code,0),4),""))</f>
        <v/>
      </c>
      <c r="J153" s="67" t="str">
        <f aca="false">IF(OR($C153="",$D153=""),"",IFERROR($D153*INDEX(Mix_Eff,MATCH($C153,Mix_Code,0),5),""))</f>
        <v/>
      </c>
      <c r="K153" s="63"/>
      <c r="L153" s="16" t="str">
        <f aca="false">IF(AND($A153="",$B153="",$C153="",$D153=""),"",IF($A153="","⚠ Date missing",IF($B153="","⚠ Site missing",IF(ISNA(MATCH($C153,Mix_Code,0)),"⚠ Unknown mix code",IF($D153="","⚠ Enter m3 produced",IF(COUNTIF(CI_Site,$B153)=0,"⚠ Site not set up in Current Inventory",IF($A153&gt;AsOfDate,"Future date – not yet deducted","OK")))))))</f>
        <v/>
      </c>
    </row>
    <row r="154" customFormat="false" ht="15" hidden="false" customHeight="false" outlineLevel="0" collapsed="false">
      <c r="A154" s="65"/>
      <c r="B154" s="63"/>
      <c r="C154" s="70"/>
      <c r="D154" s="66"/>
      <c r="E154" s="16" t="str">
        <f aca="false">IF($C154="","",IFERROR(INDEX(Mix_Desc,MATCH($C154,Mix_Code,0)),"⚠ Unknown mix code"))</f>
        <v/>
      </c>
      <c r="F154" s="67" t="str">
        <f aca="false">IF(OR($C154="",$D154=""),"",IFERROR($D154*INDEX(Mix_Eff,MATCH($C154,Mix_Code,0),1),""))</f>
        <v/>
      </c>
      <c r="G154" s="67" t="str">
        <f aca="false">IF(OR($C154="",$D154=""),"",IFERROR($D154*INDEX(Mix_Eff,MATCH($C154,Mix_Code,0),2),""))</f>
        <v/>
      </c>
      <c r="H154" s="67" t="str">
        <f aca="false">IF(OR($C154="",$D154=""),"",IFERROR($D154*INDEX(Mix_Eff,MATCH($C154,Mix_Code,0),3),""))</f>
        <v/>
      </c>
      <c r="I154" s="67" t="str">
        <f aca="false">IF(OR($C154="",$D154=""),"",IFERROR($D154*INDEX(Mix_Eff,MATCH($C154,Mix_Code,0),4),""))</f>
        <v/>
      </c>
      <c r="J154" s="67" t="str">
        <f aca="false">IF(OR($C154="",$D154=""),"",IFERROR($D154*INDEX(Mix_Eff,MATCH($C154,Mix_Code,0),5),""))</f>
        <v/>
      </c>
      <c r="K154" s="63"/>
      <c r="L154" s="16" t="str">
        <f aca="false">IF(AND($A154="",$B154="",$C154="",$D154=""),"",IF($A154="","⚠ Date missing",IF($B154="","⚠ Site missing",IF(ISNA(MATCH($C154,Mix_Code,0)),"⚠ Unknown mix code",IF($D154="","⚠ Enter m3 produced",IF(COUNTIF(CI_Site,$B154)=0,"⚠ Site not set up in Current Inventory",IF($A154&gt;AsOfDate,"Future date – not yet deducted","OK")))))))</f>
        <v/>
      </c>
    </row>
    <row r="155" customFormat="false" ht="15" hidden="false" customHeight="false" outlineLevel="0" collapsed="false">
      <c r="A155" s="65"/>
      <c r="B155" s="63"/>
      <c r="C155" s="70"/>
      <c r="D155" s="66"/>
      <c r="E155" s="16" t="str">
        <f aca="false">IF($C155="","",IFERROR(INDEX(Mix_Desc,MATCH($C155,Mix_Code,0)),"⚠ Unknown mix code"))</f>
        <v/>
      </c>
      <c r="F155" s="67" t="str">
        <f aca="false">IF(OR($C155="",$D155=""),"",IFERROR($D155*INDEX(Mix_Eff,MATCH($C155,Mix_Code,0),1),""))</f>
        <v/>
      </c>
      <c r="G155" s="67" t="str">
        <f aca="false">IF(OR($C155="",$D155=""),"",IFERROR($D155*INDEX(Mix_Eff,MATCH($C155,Mix_Code,0),2),""))</f>
        <v/>
      </c>
      <c r="H155" s="67" t="str">
        <f aca="false">IF(OR($C155="",$D155=""),"",IFERROR($D155*INDEX(Mix_Eff,MATCH($C155,Mix_Code,0),3),""))</f>
        <v/>
      </c>
      <c r="I155" s="67" t="str">
        <f aca="false">IF(OR($C155="",$D155=""),"",IFERROR($D155*INDEX(Mix_Eff,MATCH($C155,Mix_Code,0),4),""))</f>
        <v/>
      </c>
      <c r="J155" s="67" t="str">
        <f aca="false">IF(OR($C155="",$D155=""),"",IFERROR($D155*INDEX(Mix_Eff,MATCH($C155,Mix_Code,0),5),""))</f>
        <v/>
      </c>
      <c r="K155" s="63"/>
      <c r="L155" s="16" t="str">
        <f aca="false">IF(AND($A155="",$B155="",$C155="",$D155=""),"",IF($A155="","⚠ Date missing",IF($B155="","⚠ Site missing",IF(ISNA(MATCH($C155,Mix_Code,0)),"⚠ Unknown mix code",IF($D155="","⚠ Enter m3 produced",IF(COUNTIF(CI_Site,$B155)=0,"⚠ Site not set up in Current Inventory",IF($A155&gt;AsOfDate,"Future date – not yet deducted","OK")))))))</f>
        <v/>
      </c>
    </row>
    <row r="156" customFormat="false" ht="15" hidden="false" customHeight="false" outlineLevel="0" collapsed="false">
      <c r="A156" s="65"/>
      <c r="B156" s="63"/>
      <c r="C156" s="70"/>
      <c r="D156" s="66"/>
      <c r="E156" s="16" t="str">
        <f aca="false">IF($C156="","",IFERROR(INDEX(Mix_Desc,MATCH($C156,Mix_Code,0)),"⚠ Unknown mix code"))</f>
        <v/>
      </c>
      <c r="F156" s="67" t="str">
        <f aca="false">IF(OR($C156="",$D156=""),"",IFERROR($D156*INDEX(Mix_Eff,MATCH($C156,Mix_Code,0),1),""))</f>
        <v/>
      </c>
      <c r="G156" s="67" t="str">
        <f aca="false">IF(OR($C156="",$D156=""),"",IFERROR($D156*INDEX(Mix_Eff,MATCH($C156,Mix_Code,0),2),""))</f>
        <v/>
      </c>
      <c r="H156" s="67" t="str">
        <f aca="false">IF(OR($C156="",$D156=""),"",IFERROR($D156*INDEX(Mix_Eff,MATCH($C156,Mix_Code,0),3),""))</f>
        <v/>
      </c>
      <c r="I156" s="67" t="str">
        <f aca="false">IF(OR($C156="",$D156=""),"",IFERROR($D156*INDEX(Mix_Eff,MATCH($C156,Mix_Code,0),4),""))</f>
        <v/>
      </c>
      <c r="J156" s="67" t="str">
        <f aca="false">IF(OR($C156="",$D156=""),"",IFERROR($D156*INDEX(Mix_Eff,MATCH($C156,Mix_Code,0),5),""))</f>
        <v/>
      </c>
      <c r="K156" s="63"/>
      <c r="L156" s="16" t="str">
        <f aca="false">IF(AND($A156="",$B156="",$C156="",$D156=""),"",IF($A156="","⚠ Date missing",IF($B156="","⚠ Site missing",IF(ISNA(MATCH($C156,Mix_Code,0)),"⚠ Unknown mix code",IF($D156="","⚠ Enter m3 produced",IF(COUNTIF(CI_Site,$B156)=0,"⚠ Site not set up in Current Inventory",IF($A156&gt;AsOfDate,"Future date – not yet deducted","OK")))))))</f>
        <v/>
      </c>
    </row>
    <row r="157" customFormat="false" ht="15" hidden="false" customHeight="false" outlineLevel="0" collapsed="false">
      <c r="A157" s="65"/>
      <c r="B157" s="63"/>
      <c r="C157" s="70"/>
      <c r="D157" s="66"/>
      <c r="E157" s="16" t="str">
        <f aca="false">IF($C157="","",IFERROR(INDEX(Mix_Desc,MATCH($C157,Mix_Code,0)),"⚠ Unknown mix code"))</f>
        <v/>
      </c>
      <c r="F157" s="67" t="str">
        <f aca="false">IF(OR($C157="",$D157=""),"",IFERROR($D157*INDEX(Mix_Eff,MATCH($C157,Mix_Code,0),1),""))</f>
        <v/>
      </c>
      <c r="G157" s="67" t="str">
        <f aca="false">IF(OR($C157="",$D157=""),"",IFERROR($D157*INDEX(Mix_Eff,MATCH($C157,Mix_Code,0),2),""))</f>
        <v/>
      </c>
      <c r="H157" s="67" t="str">
        <f aca="false">IF(OR($C157="",$D157=""),"",IFERROR($D157*INDEX(Mix_Eff,MATCH($C157,Mix_Code,0),3),""))</f>
        <v/>
      </c>
      <c r="I157" s="67" t="str">
        <f aca="false">IF(OR($C157="",$D157=""),"",IFERROR($D157*INDEX(Mix_Eff,MATCH($C157,Mix_Code,0),4),""))</f>
        <v/>
      </c>
      <c r="J157" s="67" t="str">
        <f aca="false">IF(OR($C157="",$D157=""),"",IFERROR($D157*INDEX(Mix_Eff,MATCH($C157,Mix_Code,0),5),""))</f>
        <v/>
      </c>
      <c r="K157" s="63"/>
      <c r="L157" s="16" t="str">
        <f aca="false">IF(AND($A157="",$B157="",$C157="",$D157=""),"",IF($A157="","⚠ Date missing",IF($B157="","⚠ Site missing",IF(ISNA(MATCH($C157,Mix_Code,0)),"⚠ Unknown mix code",IF($D157="","⚠ Enter m3 produced",IF(COUNTIF(CI_Site,$B157)=0,"⚠ Site not set up in Current Inventory",IF($A157&gt;AsOfDate,"Future date – not yet deducted","OK")))))))</f>
        <v/>
      </c>
    </row>
    <row r="158" customFormat="false" ht="15" hidden="false" customHeight="false" outlineLevel="0" collapsed="false">
      <c r="A158" s="65"/>
      <c r="B158" s="63"/>
      <c r="C158" s="70"/>
      <c r="D158" s="66"/>
      <c r="E158" s="16" t="str">
        <f aca="false">IF($C158="","",IFERROR(INDEX(Mix_Desc,MATCH($C158,Mix_Code,0)),"⚠ Unknown mix code"))</f>
        <v/>
      </c>
      <c r="F158" s="67" t="str">
        <f aca="false">IF(OR($C158="",$D158=""),"",IFERROR($D158*INDEX(Mix_Eff,MATCH($C158,Mix_Code,0),1),""))</f>
        <v/>
      </c>
      <c r="G158" s="67" t="str">
        <f aca="false">IF(OR($C158="",$D158=""),"",IFERROR($D158*INDEX(Mix_Eff,MATCH($C158,Mix_Code,0),2),""))</f>
        <v/>
      </c>
      <c r="H158" s="67" t="str">
        <f aca="false">IF(OR($C158="",$D158=""),"",IFERROR($D158*INDEX(Mix_Eff,MATCH($C158,Mix_Code,0),3),""))</f>
        <v/>
      </c>
      <c r="I158" s="67" t="str">
        <f aca="false">IF(OR($C158="",$D158=""),"",IFERROR($D158*INDEX(Mix_Eff,MATCH($C158,Mix_Code,0),4),""))</f>
        <v/>
      </c>
      <c r="J158" s="67" t="str">
        <f aca="false">IF(OR($C158="",$D158=""),"",IFERROR($D158*INDEX(Mix_Eff,MATCH($C158,Mix_Code,0),5),""))</f>
        <v/>
      </c>
      <c r="K158" s="63"/>
      <c r="L158" s="16" t="str">
        <f aca="false">IF(AND($A158="",$B158="",$C158="",$D158=""),"",IF($A158="","⚠ Date missing",IF($B158="","⚠ Site missing",IF(ISNA(MATCH($C158,Mix_Code,0)),"⚠ Unknown mix code",IF($D158="","⚠ Enter m3 produced",IF(COUNTIF(CI_Site,$B158)=0,"⚠ Site not set up in Current Inventory",IF($A158&gt;AsOfDate,"Future date – not yet deducted","OK")))))))</f>
        <v/>
      </c>
    </row>
    <row r="159" customFormat="false" ht="15" hidden="false" customHeight="false" outlineLevel="0" collapsed="false">
      <c r="A159" s="65"/>
      <c r="B159" s="63"/>
      <c r="C159" s="70"/>
      <c r="D159" s="66"/>
      <c r="E159" s="16" t="str">
        <f aca="false">IF($C159="","",IFERROR(INDEX(Mix_Desc,MATCH($C159,Mix_Code,0)),"⚠ Unknown mix code"))</f>
        <v/>
      </c>
      <c r="F159" s="67" t="str">
        <f aca="false">IF(OR($C159="",$D159=""),"",IFERROR($D159*INDEX(Mix_Eff,MATCH($C159,Mix_Code,0),1),""))</f>
        <v/>
      </c>
      <c r="G159" s="67" t="str">
        <f aca="false">IF(OR($C159="",$D159=""),"",IFERROR($D159*INDEX(Mix_Eff,MATCH($C159,Mix_Code,0),2),""))</f>
        <v/>
      </c>
      <c r="H159" s="67" t="str">
        <f aca="false">IF(OR($C159="",$D159=""),"",IFERROR($D159*INDEX(Mix_Eff,MATCH($C159,Mix_Code,0),3),""))</f>
        <v/>
      </c>
      <c r="I159" s="67" t="str">
        <f aca="false">IF(OR($C159="",$D159=""),"",IFERROR($D159*INDEX(Mix_Eff,MATCH($C159,Mix_Code,0),4),""))</f>
        <v/>
      </c>
      <c r="J159" s="67" t="str">
        <f aca="false">IF(OR($C159="",$D159=""),"",IFERROR($D159*INDEX(Mix_Eff,MATCH($C159,Mix_Code,0),5),""))</f>
        <v/>
      </c>
      <c r="K159" s="63"/>
      <c r="L159" s="16" t="str">
        <f aca="false">IF(AND($A159="",$B159="",$C159="",$D159=""),"",IF($A159="","⚠ Date missing",IF($B159="","⚠ Site missing",IF(ISNA(MATCH($C159,Mix_Code,0)),"⚠ Unknown mix code",IF($D159="","⚠ Enter m3 produced",IF(COUNTIF(CI_Site,$B159)=0,"⚠ Site not set up in Current Inventory",IF($A159&gt;AsOfDate,"Future date – not yet deducted","OK")))))))</f>
        <v/>
      </c>
    </row>
    <row r="160" customFormat="false" ht="15" hidden="false" customHeight="false" outlineLevel="0" collapsed="false">
      <c r="A160" s="65"/>
      <c r="B160" s="63"/>
      <c r="C160" s="70"/>
      <c r="D160" s="66"/>
      <c r="E160" s="16" t="str">
        <f aca="false">IF($C160="","",IFERROR(INDEX(Mix_Desc,MATCH($C160,Mix_Code,0)),"⚠ Unknown mix code"))</f>
        <v/>
      </c>
      <c r="F160" s="67" t="str">
        <f aca="false">IF(OR($C160="",$D160=""),"",IFERROR($D160*INDEX(Mix_Eff,MATCH($C160,Mix_Code,0),1),""))</f>
        <v/>
      </c>
      <c r="G160" s="67" t="str">
        <f aca="false">IF(OR($C160="",$D160=""),"",IFERROR($D160*INDEX(Mix_Eff,MATCH($C160,Mix_Code,0),2),""))</f>
        <v/>
      </c>
      <c r="H160" s="67" t="str">
        <f aca="false">IF(OR($C160="",$D160=""),"",IFERROR($D160*INDEX(Mix_Eff,MATCH($C160,Mix_Code,0),3),""))</f>
        <v/>
      </c>
      <c r="I160" s="67" t="str">
        <f aca="false">IF(OR($C160="",$D160=""),"",IFERROR($D160*INDEX(Mix_Eff,MATCH($C160,Mix_Code,0),4),""))</f>
        <v/>
      </c>
      <c r="J160" s="67" t="str">
        <f aca="false">IF(OR($C160="",$D160=""),"",IFERROR($D160*INDEX(Mix_Eff,MATCH($C160,Mix_Code,0),5),""))</f>
        <v/>
      </c>
      <c r="K160" s="63"/>
      <c r="L160" s="16" t="str">
        <f aca="false">IF(AND($A160="",$B160="",$C160="",$D160=""),"",IF($A160="","⚠ Date missing",IF($B160="","⚠ Site missing",IF(ISNA(MATCH($C160,Mix_Code,0)),"⚠ Unknown mix code",IF($D160="","⚠ Enter m3 produced",IF(COUNTIF(CI_Site,$B160)=0,"⚠ Site not set up in Current Inventory",IF($A160&gt;AsOfDate,"Future date – not yet deducted","OK")))))))</f>
        <v/>
      </c>
    </row>
    <row r="161" customFormat="false" ht="15" hidden="false" customHeight="false" outlineLevel="0" collapsed="false">
      <c r="A161" s="65"/>
      <c r="B161" s="63"/>
      <c r="C161" s="70"/>
      <c r="D161" s="66"/>
      <c r="E161" s="16" t="str">
        <f aca="false">IF($C161="","",IFERROR(INDEX(Mix_Desc,MATCH($C161,Mix_Code,0)),"⚠ Unknown mix code"))</f>
        <v/>
      </c>
      <c r="F161" s="67" t="str">
        <f aca="false">IF(OR($C161="",$D161=""),"",IFERROR($D161*INDEX(Mix_Eff,MATCH($C161,Mix_Code,0),1),""))</f>
        <v/>
      </c>
      <c r="G161" s="67" t="str">
        <f aca="false">IF(OR($C161="",$D161=""),"",IFERROR($D161*INDEX(Mix_Eff,MATCH($C161,Mix_Code,0),2),""))</f>
        <v/>
      </c>
      <c r="H161" s="67" t="str">
        <f aca="false">IF(OR($C161="",$D161=""),"",IFERROR($D161*INDEX(Mix_Eff,MATCH($C161,Mix_Code,0),3),""))</f>
        <v/>
      </c>
      <c r="I161" s="67" t="str">
        <f aca="false">IF(OR($C161="",$D161=""),"",IFERROR($D161*INDEX(Mix_Eff,MATCH($C161,Mix_Code,0),4),""))</f>
        <v/>
      </c>
      <c r="J161" s="67" t="str">
        <f aca="false">IF(OR($C161="",$D161=""),"",IFERROR($D161*INDEX(Mix_Eff,MATCH($C161,Mix_Code,0),5),""))</f>
        <v/>
      </c>
      <c r="K161" s="63"/>
      <c r="L161" s="16" t="str">
        <f aca="false">IF(AND($A161="",$B161="",$C161="",$D161=""),"",IF($A161="","⚠ Date missing",IF($B161="","⚠ Site missing",IF(ISNA(MATCH($C161,Mix_Code,0)),"⚠ Unknown mix code",IF($D161="","⚠ Enter m3 produced",IF(COUNTIF(CI_Site,$B161)=0,"⚠ Site not set up in Current Inventory",IF($A161&gt;AsOfDate,"Future date – not yet deducted","OK")))))))</f>
        <v/>
      </c>
    </row>
    <row r="162" customFormat="false" ht="15" hidden="false" customHeight="false" outlineLevel="0" collapsed="false">
      <c r="A162" s="65"/>
      <c r="B162" s="63"/>
      <c r="C162" s="70"/>
      <c r="D162" s="66"/>
      <c r="E162" s="16" t="str">
        <f aca="false">IF($C162="","",IFERROR(INDEX(Mix_Desc,MATCH($C162,Mix_Code,0)),"⚠ Unknown mix code"))</f>
        <v/>
      </c>
      <c r="F162" s="67" t="str">
        <f aca="false">IF(OR($C162="",$D162=""),"",IFERROR($D162*INDEX(Mix_Eff,MATCH($C162,Mix_Code,0),1),""))</f>
        <v/>
      </c>
      <c r="G162" s="67" t="str">
        <f aca="false">IF(OR($C162="",$D162=""),"",IFERROR($D162*INDEX(Mix_Eff,MATCH($C162,Mix_Code,0),2),""))</f>
        <v/>
      </c>
      <c r="H162" s="67" t="str">
        <f aca="false">IF(OR($C162="",$D162=""),"",IFERROR($D162*INDEX(Mix_Eff,MATCH($C162,Mix_Code,0),3),""))</f>
        <v/>
      </c>
      <c r="I162" s="67" t="str">
        <f aca="false">IF(OR($C162="",$D162=""),"",IFERROR($D162*INDEX(Mix_Eff,MATCH($C162,Mix_Code,0),4),""))</f>
        <v/>
      </c>
      <c r="J162" s="67" t="str">
        <f aca="false">IF(OR($C162="",$D162=""),"",IFERROR($D162*INDEX(Mix_Eff,MATCH($C162,Mix_Code,0),5),""))</f>
        <v/>
      </c>
      <c r="K162" s="63"/>
      <c r="L162" s="16" t="str">
        <f aca="false">IF(AND($A162="",$B162="",$C162="",$D162=""),"",IF($A162="","⚠ Date missing",IF($B162="","⚠ Site missing",IF(ISNA(MATCH($C162,Mix_Code,0)),"⚠ Unknown mix code",IF($D162="","⚠ Enter m3 produced",IF(COUNTIF(CI_Site,$B162)=0,"⚠ Site not set up in Current Inventory",IF($A162&gt;AsOfDate,"Future date – not yet deducted","OK")))))))</f>
        <v/>
      </c>
    </row>
    <row r="163" customFormat="false" ht="15" hidden="false" customHeight="false" outlineLevel="0" collapsed="false">
      <c r="A163" s="65"/>
      <c r="B163" s="63"/>
      <c r="C163" s="70"/>
      <c r="D163" s="66"/>
      <c r="E163" s="16" t="str">
        <f aca="false">IF($C163="","",IFERROR(INDEX(Mix_Desc,MATCH($C163,Mix_Code,0)),"⚠ Unknown mix code"))</f>
        <v/>
      </c>
      <c r="F163" s="67" t="str">
        <f aca="false">IF(OR($C163="",$D163=""),"",IFERROR($D163*INDEX(Mix_Eff,MATCH($C163,Mix_Code,0),1),""))</f>
        <v/>
      </c>
      <c r="G163" s="67" t="str">
        <f aca="false">IF(OR($C163="",$D163=""),"",IFERROR($D163*INDEX(Mix_Eff,MATCH($C163,Mix_Code,0),2),""))</f>
        <v/>
      </c>
      <c r="H163" s="67" t="str">
        <f aca="false">IF(OR($C163="",$D163=""),"",IFERROR($D163*INDEX(Mix_Eff,MATCH($C163,Mix_Code,0),3),""))</f>
        <v/>
      </c>
      <c r="I163" s="67" t="str">
        <f aca="false">IF(OR($C163="",$D163=""),"",IFERROR($D163*INDEX(Mix_Eff,MATCH($C163,Mix_Code,0),4),""))</f>
        <v/>
      </c>
      <c r="J163" s="67" t="str">
        <f aca="false">IF(OR($C163="",$D163=""),"",IFERROR($D163*INDEX(Mix_Eff,MATCH($C163,Mix_Code,0),5),""))</f>
        <v/>
      </c>
      <c r="K163" s="63"/>
      <c r="L163" s="16" t="str">
        <f aca="false">IF(AND($A163="",$B163="",$C163="",$D163=""),"",IF($A163="","⚠ Date missing",IF($B163="","⚠ Site missing",IF(ISNA(MATCH($C163,Mix_Code,0)),"⚠ Unknown mix code",IF($D163="","⚠ Enter m3 produced",IF(COUNTIF(CI_Site,$B163)=0,"⚠ Site not set up in Current Inventory",IF($A163&gt;AsOfDate,"Future date – not yet deducted","OK")))))))</f>
        <v/>
      </c>
    </row>
    <row r="164" customFormat="false" ht="15" hidden="false" customHeight="false" outlineLevel="0" collapsed="false">
      <c r="A164" s="65"/>
      <c r="B164" s="63"/>
      <c r="C164" s="70"/>
      <c r="D164" s="66"/>
      <c r="E164" s="16" t="str">
        <f aca="false">IF($C164="","",IFERROR(INDEX(Mix_Desc,MATCH($C164,Mix_Code,0)),"⚠ Unknown mix code"))</f>
        <v/>
      </c>
      <c r="F164" s="67" t="str">
        <f aca="false">IF(OR($C164="",$D164=""),"",IFERROR($D164*INDEX(Mix_Eff,MATCH($C164,Mix_Code,0),1),""))</f>
        <v/>
      </c>
      <c r="G164" s="67" t="str">
        <f aca="false">IF(OR($C164="",$D164=""),"",IFERROR($D164*INDEX(Mix_Eff,MATCH($C164,Mix_Code,0),2),""))</f>
        <v/>
      </c>
      <c r="H164" s="67" t="str">
        <f aca="false">IF(OR($C164="",$D164=""),"",IFERROR($D164*INDEX(Mix_Eff,MATCH($C164,Mix_Code,0),3),""))</f>
        <v/>
      </c>
      <c r="I164" s="67" t="str">
        <f aca="false">IF(OR($C164="",$D164=""),"",IFERROR($D164*INDEX(Mix_Eff,MATCH($C164,Mix_Code,0),4),""))</f>
        <v/>
      </c>
      <c r="J164" s="67" t="str">
        <f aca="false">IF(OR($C164="",$D164=""),"",IFERROR($D164*INDEX(Mix_Eff,MATCH($C164,Mix_Code,0),5),""))</f>
        <v/>
      </c>
      <c r="K164" s="63"/>
      <c r="L164" s="16" t="str">
        <f aca="false">IF(AND($A164="",$B164="",$C164="",$D164=""),"",IF($A164="","⚠ Date missing",IF($B164="","⚠ Site missing",IF(ISNA(MATCH($C164,Mix_Code,0)),"⚠ Unknown mix code",IF($D164="","⚠ Enter m3 produced",IF(COUNTIF(CI_Site,$B164)=0,"⚠ Site not set up in Current Inventory",IF($A164&gt;AsOfDate,"Future date – not yet deducted","OK")))))))</f>
        <v/>
      </c>
    </row>
    <row r="165" customFormat="false" ht="15" hidden="false" customHeight="false" outlineLevel="0" collapsed="false">
      <c r="A165" s="65"/>
      <c r="B165" s="63"/>
      <c r="C165" s="70"/>
      <c r="D165" s="66"/>
      <c r="E165" s="16" t="str">
        <f aca="false">IF($C165="","",IFERROR(INDEX(Mix_Desc,MATCH($C165,Mix_Code,0)),"⚠ Unknown mix code"))</f>
        <v/>
      </c>
      <c r="F165" s="67" t="str">
        <f aca="false">IF(OR($C165="",$D165=""),"",IFERROR($D165*INDEX(Mix_Eff,MATCH($C165,Mix_Code,0),1),""))</f>
        <v/>
      </c>
      <c r="G165" s="67" t="str">
        <f aca="false">IF(OR($C165="",$D165=""),"",IFERROR($D165*INDEX(Mix_Eff,MATCH($C165,Mix_Code,0),2),""))</f>
        <v/>
      </c>
      <c r="H165" s="67" t="str">
        <f aca="false">IF(OR($C165="",$D165=""),"",IFERROR($D165*INDEX(Mix_Eff,MATCH($C165,Mix_Code,0),3),""))</f>
        <v/>
      </c>
      <c r="I165" s="67" t="str">
        <f aca="false">IF(OR($C165="",$D165=""),"",IFERROR($D165*INDEX(Mix_Eff,MATCH($C165,Mix_Code,0),4),""))</f>
        <v/>
      </c>
      <c r="J165" s="67" t="str">
        <f aca="false">IF(OR($C165="",$D165=""),"",IFERROR($D165*INDEX(Mix_Eff,MATCH($C165,Mix_Code,0),5),""))</f>
        <v/>
      </c>
      <c r="K165" s="63"/>
      <c r="L165" s="16" t="str">
        <f aca="false">IF(AND($A165="",$B165="",$C165="",$D165=""),"",IF($A165="","⚠ Date missing",IF($B165="","⚠ Site missing",IF(ISNA(MATCH($C165,Mix_Code,0)),"⚠ Unknown mix code",IF($D165="","⚠ Enter m3 produced",IF(COUNTIF(CI_Site,$B165)=0,"⚠ Site not set up in Current Inventory",IF($A165&gt;AsOfDate,"Future date – not yet deducted","OK")))))))</f>
        <v/>
      </c>
    </row>
    <row r="166" customFormat="false" ht="15" hidden="false" customHeight="false" outlineLevel="0" collapsed="false">
      <c r="A166" s="65"/>
      <c r="B166" s="63"/>
      <c r="C166" s="70"/>
      <c r="D166" s="66"/>
      <c r="E166" s="16" t="str">
        <f aca="false">IF($C166="","",IFERROR(INDEX(Mix_Desc,MATCH($C166,Mix_Code,0)),"⚠ Unknown mix code"))</f>
        <v/>
      </c>
      <c r="F166" s="67" t="str">
        <f aca="false">IF(OR($C166="",$D166=""),"",IFERROR($D166*INDEX(Mix_Eff,MATCH($C166,Mix_Code,0),1),""))</f>
        <v/>
      </c>
      <c r="G166" s="67" t="str">
        <f aca="false">IF(OR($C166="",$D166=""),"",IFERROR($D166*INDEX(Mix_Eff,MATCH($C166,Mix_Code,0),2),""))</f>
        <v/>
      </c>
      <c r="H166" s="67" t="str">
        <f aca="false">IF(OR($C166="",$D166=""),"",IFERROR($D166*INDEX(Mix_Eff,MATCH($C166,Mix_Code,0),3),""))</f>
        <v/>
      </c>
      <c r="I166" s="67" t="str">
        <f aca="false">IF(OR($C166="",$D166=""),"",IFERROR($D166*INDEX(Mix_Eff,MATCH($C166,Mix_Code,0),4),""))</f>
        <v/>
      </c>
      <c r="J166" s="67" t="str">
        <f aca="false">IF(OR($C166="",$D166=""),"",IFERROR($D166*INDEX(Mix_Eff,MATCH($C166,Mix_Code,0),5),""))</f>
        <v/>
      </c>
      <c r="K166" s="63"/>
      <c r="L166" s="16" t="str">
        <f aca="false">IF(AND($A166="",$B166="",$C166="",$D166=""),"",IF($A166="","⚠ Date missing",IF($B166="","⚠ Site missing",IF(ISNA(MATCH($C166,Mix_Code,0)),"⚠ Unknown mix code",IF($D166="","⚠ Enter m3 produced",IF(COUNTIF(CI_Site,$B166)=0,"⚠ Site not set up in Current Inventory",IF($A166&gt;AsOfDate,"Future date – not yet deducted","OK")))))))</f>
        <v/>
      </c>
    </row>
    <row r="167" customFormat="false" ht="15" hidden="false" customHeight="false" outlineLevel="0" collapsed="false">
      <c r="A167" s="65"/>
      <c r="B167" s="63"/>
      <c r="C167" s="70"/>
      <c r="D167" s="66"/>
      <c r="E167" s="16" t="str">
        <f aca="false">IF($C167="","",IFERROR(INDEX(Mix_Desc,MATCH($C167,Mix_Code,0)),"⚠ Unknown mix code"))</f>
        <v/>
      </c>
      <c r="F167" s="67" t="str">
        <f aca="false">IF(OR($C167="",$D167=""),"",IFERROR($D167*INDEX(Mix_Eff,MATCH($C167,Mix_Code,0),1),""))</f>
        <v/>
      </c>
      <c r="G167" s="67" t="str">
        <f aca="false">IF(OR($C167="",$D167=""),"",IFERROR($D167*INDEX(Mix_Eff,MATCH($C167,Mix_Code,0),2),""))</f>
        <v/>
      </c>
      <c r="H167" s="67" t="str">
        <f aca="false">IF(OR($C167="",$D167=""),"",IFERROR($D167*INDEX(Mix_Eff,MATCH($C167,Mix_Code,0),3),""))</f>
        <v/>
      </c>
      <c r="I167" s="67" t="str">
        <f aca="false">IF(OR($C167="",$D167=""),"",IFERROR($D167*INDEX(Mix_Eff,MATCH($C167,Mix_Code,0),4),""))</f>
        <v/>
      </c>
      <c r="J167" s="67" t="str">
        <f aca="false">IF(OR($C167="",$D167=""),"",IFERROR($D167*INDEX(Mix_Eff,MATCH($C167,Mix_Code,0),5),""))</f>
        <v/>
      </c>
      <c r="K167" s="63"/>
      <c r="L167" s="16" t="str">
        <f aca="false">IF(AND($A167="",$B167="",$C167="",$D167=""),"",IF($A167="","⚠ Date missing",IF($B167="","⚠ Site missing",IF(ISNA(MATCH($C167,Mix_Code,0)),"⚠ Unknown mix code",IF($D167="","⚠ Enter m3 produced",IF(COUNTIF(CI_Site,$B167)=0,"⚠ Site not set up in Current Inventory",IF($A167&gt;AsOfDate,"Future date – not yet deducted","OK")))))))</f>
        <v/>
      </c>
    </row>
    <row r="168" customFormat="false" ht="15" hidden="false" customHeight="false" outlineLevel="0" collapsed="false">
      <c r="A168" s="65"/>
      <c r="B168" s="63"/>
      <c r="C168" s="70"/>
      <c r="D168" s="66"/>
      <c r="E168" s="16" t="str">
        <f aca="false">IF($C168="","",IFERROR(INDEX(Mix_Desc,MATCH($C168,Mix_Code,0)),"⚠ Unknown mix code"))</f>
        <v/>
      </c>
      <c r="F168" s="67" t="str">
        <f aca="false">IF(OR($C168="",$D168=""),"",IFERROR($D168*INDEX(Mix_Eff,MATCH($C168,Mix_Code,0),1),""))</f>
        <v/>
      </c>
      <c r="G168" s="67" t="str">
        <f aca="false">IF(OR($C168="",$D168=""),"",IFERROR($D168*INDEX(Mix_Eff,MATCH($C168,Mix_Code,0),2),""))</f>
        <v/>
      </c>
      <c r="H168" s="67" t="str">
        <f aca="false">IF(OR($C168="",$D168=""),"",IFERROR($D168*INDEX(Mix_Eff,MATCH($C168,Mix_Code,0),3),""))</f>
        <v/>
      </c>
      <c r="I168" s="67" t="str">
        <f aca="false">IF(OR($C168="",$D168=""),"",IFERROR($D168*INDEX(Mix_Eff,MATCH($C168,Mix_Code,0),4),""))</f>
        <v/>
      </c>
      <c r="J168" s="67" t="str">
        <f aca="false">IF(OR($C168="",$D168=""),"",IFERROR($D168*INDEX(Mix_Eff,MATCH($C168,Mix_Code,0),5),""))</f>
        <v/>
      </c>
      <c r="K168" s="63"/>
      <c r="L168" s="16" t="str">
        <f aca="false">IF(AND($A168="",$B168="",$C168="",$D168=""),"",IF($A168="","⚠ Date missing",IF($B168="","⚠ Site missing",IF(ISNA(MATCH($C168,Mix_Code,0)),"⚠ Unknown mix code",IF($D168="","⚠ Enter m3 produced",IF(COUNTIF(CI_Site,$B168)=0,"⚠ Site not set up in Current Inventory",IF($A168&gt;AsOfDate,"Future date – not yet deducted","OK")))))))</f>
        <v/>
      </c>
    </row>
    <row r="169" customFormat="false" ht="15" hidden="false" customHeight="false" outlineLevel="0" collapsed="false">
      <c r="A169" s="65"/>
      <c r="B169" s="63"/>
      <c r="C169" s="70"/>
      <c r="D169" s="66"/>
      <c r="E169" s="16" t="str">
        <f aca="false">IF($C169="","",IFERROR(INDEX(Mix_Desc,MATCH($C169,Mix_Code,0)),"⚠ Unknown mix code"))</f>
        <v/>
      </c>
      <c r="F169" s="67" t="str">
        <f aca="false">IF(OR($C169="",$D169=""),"",IFERROR($D169*INDEX(Mix_Eff,MATCH($C169,Mix_Code,0),1),""))</f>
        <v/>
      </c>
      <c r="G169" s="67" t="str">
        <f aca="false">IF(OR($C169="",$D169=""),"",IFERROR($D169*INDEX(Mix_Eff,MATCH($C169,Mix_Code,0),2),""))</f>
        <v/>
      </c>
      <c r="H169" s="67" t="str">
        <f aca="false">IF(OR($C169="",$D169=""),"",IFERROR($D169*INDEX(Mix_Eff,MATCH($C169,Mix_Code,0),3),""))</f>
        <v/>
      </c>
      <c r="I169" s="67" t="str">
        <f aca="false">IF(OR($C169="",$D169=""),"",IFERROR($D169*INDEX(Mix_Eff,MATCH($C169,Mix_Code,0),4),""))</f>
        <v/>
      </c>
      <c r="J169" s="67" t="str">
        <f aca="false">IF(OR($C169="",$D169=""),"",IFERROR($D169*INDEX(Mix_Eff,MATCH($C169,Mix_Code,0),5),""))</f>
        <v/>
      </c>
      <c r="K169" s="63"/>
      <c r="L169" s="16" t="str">
        <f aca="false">IF(AND($A169="",$B169="",$C169="",$D169=""),"",IF($A169="","⚠ Date missing",IF($B169="","⚠ Site missing",IF(ISNA(MATCH($C169,Mix_Code,0)),"⚠ Unknown mix code",IF($D169="","⚠ Enter m3 produced",IF(COUNTIF(CI_Site,$B169)=0,"⚠ Site not set up in Current Inventory",IF($A169&gt;AsOfDate,"Future date – not yet deducted","OK")))))))</f>
        <v/>
      </c>
    </row>
    <row r="170" customFormat="false" ht="15" hidden="false" customHeight="false" outlineLevel="0" collapsed="false">
      <c r="A170" s="65"/>
      <c r="B170" s="63"/>
      <c r="C170" s="70"/>
      <c r="D170" s="66"/>
      <c r="E170" s="16" t="str">
        <f aca="false">IF($C170="","",IFERROR(INDEX(Mix_Desc,MATCH($C170,Mix_Code,0)),"⚠ Unknown mix code"))</f>
        <v/>
      </c>
      <c r="F170" s="67" t="str">
        <f aca="false">IF(OR($C170="",$D170=""),"",IFERROR($D170*INDEX(Mix_Eff,MATCH($C170,Mix_Code,0),1),""))</f>
        <v/>
      </c>
      <c r="G170" s="67" t="str">
        <f aca="false">IF(OR($C170="",$D170=""),"",IFERROR($D170*INDEX(Mix_Eff,MATCH($C170,Mix_Code,0),2),""))</f>
        <v/>
      </c>
      <c r="H170" s="67" t="str">
        <f aca="false">IF(OR($C170="",$D170=""),"",IFERROR($D170*INDEX(Mix_Eff,MATCH($C170,Mix_Code,0),3),""))</f>
        <v/>
      </c>
      <c r="I170" s="67" t="str">
        <f aca="false">IF(OR($C170="",$D170=""),"",IFERROR($D170*INDEX(Mix_Eff,MATCH($C170,Mix_Code,0),4),""))</f>
        <v/>
      </c>
      <c r="J170" s="67" t="str">
        <f aca="false">IF(OR($C170="",$D170=""),"",IFERROR($D170*INDEX(Mix_Eff,MATCH($C170,Mix_Code,0),5),""))</f>
        <v/>
      </c>
      <c r="K170" s="63"/>
      <c r="L170" s="16" t="str">
        <f aca="false">IF(AND($A170="",$B170="",$C170="",$D170=""),"",IF($A170="","⚠ Date missing",IF($B170="","⚠ Site missing",IF(ISNA(MATCH($C170,Mix_Code,0)),"⚠ Unknown mix code",IF($D170="","⚠ Enter m3 produced",IF(COUNTIF(CI_Site,$B170)=0,"⚠ Site not set up in Current Inventory",IF($A170&gt;AsOfDate,"Future date – not yet deducted","OK")))))))</f>
        <v/>
      </c>
    </row>
    <row r="171" customFormat="false" ht="15" hidden="false" customHeight="false" outlineLevel="0" collapsed="false">
      <c r="A171" s="65"/>
      <c r="B171" s="63"/>
      <c r="C171" s="70"/>
      <c r="D171" s="66"/>
      <c r="E171" s="16" t="str">
        <f aca="false">IF($C171="","",IFERROR(INDEX(Mix_Desc,MATCH($C171,Mix_Code,0)),"⚠ Unknown mix code"))</f>
        <v/>
      </c>
      <c r="F171" s="67" t="str">
        <f aca="false">IF(OR($C171="",$D171=""),"",IFERROR($D171*INDEX(Mix_Eff,MATCH($C171,Mix_Code,0),1),""))</f>
        <v/>
      </c>
      <c r="G171" s="67" t="str">
        <f aca="false">IF(OR($C171="",$D171=""),"",IFERROR($D171*INDEX(Mix_Eff,MATCH($C171,Mix_Code,0),2),""))</f>
        <v/>
      </c>
      <c r="H171" s="67" t="str">
        <f aca="false">IF(OR($C171="",$D171=""),"",IFERROR($D171*INDEX(Mix_Eff,MATCH($C171,Mix_Code,0),3),""))</f>
        <v/>
      </c>
      <c r="I171" s="67" t="str">
        <f aca="false">IF(OR($C171="",$D171=""),"",IFERROR($D171*INDEX(Mix_Eff,MATCH($C171,Mix_Code,0),4),""))</f>
        <v/>
      </c>
      <c r="J171" s="67" t="str">
        <f aca="false">IF(OR($C171="",$D171=""),"",IFERROR($D171*INDEX(Mix_Eff,MATCH($C171,Mix_Code,0),5),""))</f>
        <v/>
      </c>
      <c r="K171" s="63"/>
      <c r="L171" s="16" t="str">
        <f aca="false">IF(AND($A171="",$B171="",$C171="",$D171=""),"",IF($A171="","⚠ Date missing",IF($B171="","⚠ Site missing",IF(ISNA(MATCH($C171,Mix_Code,0)),"⚠ Unknown mix code",IF($D171="","⚠ Enter m3 produced",IF(COUNTIF(CI_Site,$B171)=0,"⚠ Site not set up in Current Inventory",IF($A171&gt;AsOfDate,"Future date – not yet deducted","OK")))))))</f>
        <v/>
      </c>
    </row>
    <row r="172" customFormat="false" ht="15" hidden="false" customHeight="false" outlineLevel="0" collapsed="false">
      <c r="A172" s="65"/>
      <c r="B172" s="63"/>
      <c r="C172" s="70"/>
      <c r="D172" s="66"/>
      <c r="E172" s="16" t="str">
        <f aca="false">IF($C172="","",IFERROR(INDEX(Mix_Desc,MATCH($C172,Mix_Code,0)),"⚠ Unknown mix code"))</f>
        <v/>
      </c>
      <c r="F172" s="67" t="str">
        <f aca="false">IF(OR($C172="",$D172=""),"",IFERROR($D172*INDEX(Mix_Eff,MATCH($C172,Mix_Code,0),1),""))</f>
        <v/>
      </c>
      <c r="G172" s="67" t="str">
        <f aca="false">IF(OR($C172="",$D172=""),"",IFERROR($D172*INDEX(Mix_Eff,MATCH($C172,Mix_Code,0),2),""))</f>
        <v/>
      </c>
      <c r="H172" s="67" t="str">
        <f aca="false">IF(OR($C172="",$D172=""),"",IFERROR($D172*INDEX(Mix_Eff,MATCH($C172,Mix_Code,0),3),""))</f>
        <v/>
      </c>
      <c r="I172" s="67" t="str">
        <f aca="false">IF(OR($C172="",$D172=""),"",IFERROR($D172*INDEX(Mix_Eff,MATCH($C172,Mix_Code,0),4),""))</f>
        <v/>
      </c>
      <c r="J172" s="67" t="str">
        <f aca="false">IF(OR($C172="",$D172=""),"",IFERROR($D172*INDEX(Mix_Eff,MATCH($C172,Mix_Code,0),5),""))</f>
        <v/>
      </c>
      <c r="K172" s="63"/>
      <c r="L172" s="16" t="str">
        <f aca="false">IF(AND($A172="",$B172="",$C172="",$D172=""),"",IF($A172="","⚠ Date missing",IF($B172="","⚠ Site missing",IF(ISNA(MATCH($C172,Mix_Code,0)),"⚠ Unknown mix code",IF($D172="","⚠ Enter m3 produced",IF(COUNTIF(CI_Site,$B172)=0,"⚠ Site not set up in Current Inventory",IF($A172&gt;AsOfDate,"Future date – not yet deducted","OK")))))))</f>
        <v/>
      </c>
    </row>
    <row r="173" customFormat="false" ht="15" hidden="false" customHeight="false" outlineLevel="0" collapsed="false">
      <c r="A173" s="65"/>
      <c r="B173" s="63"/>
      <c r="C173" s="70"/>
      <c r="D173" s="66"/>
      <c r="E173" s="16" t="str">
        <f aca="false">IF($C173="","",IFERROR(INDEX(Mix_Desc,MATCH($C173,Mix_Code,0)),"⚠ Unknown mix code"))</f>
        <v/>
      </c>
      <c r="F173" s="67" t="str">
        <f aca="false">IF(OR($C173="",$D173=""),"",IFERROR($D173*INDEX(Mix_Eff,MATCH($C173,Mix_Code,0),1),""))</f>
        <v/>
      </c>
      <c r="G173" s="67" t="str">
        <f aca="false">IF(OR($C173="",$D173=""),"",IFERROR($D173*INDEX(Mix_Eff,MATCH($C173,Mix_Code,0),2),""))</f>
        <v/>
      </c>
      <c r="H173" s="67" t="str">
        <f aca="false">IF(OR($C173="",$D173=""),"",IFERROR($D173*INDEX(Mix_Eff,MATCH($C173,Mix_Code,0),3),""))</f>
        <v/>
      </c>
      <c r="I173" s="67" t="str">
        <f aca="false">IF(OR($C173="",$D173=""),"",IFERROR($D173*INDEX(Mix_Eff,MATCH($C173,Mix_Code,0),4),""))</f>
        <v/>
      </c>
      <c r="J173" s="67" t="str">
        <f aca="false">IF(OR($C173="",$D173=""),"",IFERROR($D173*INDEX(Mix_Eff,MATCH($C173,Mix_Code,0),5),""))</f>
        <v/>
      </c>
      <c r="K173" s="63"/>
      <c r="L173" s="16" t="str">
        <f aca="false">IF(AND($A173="",$B173="",$C173="",$D173=""),"",IF($A173="","⚠ Date missing",IF($B173="","⚠ Site missing",IF(ISNA(MATCH($C173,Mix_Code,0)),"⚠ Unknown mix code",IF($D173="","⚠ Enter m3 produced",IF(COUNTIF(CI_Site,$B173)=0,"⚠ Site not set up in Current Inventory",IF($A173&gt;AsOfDate,"Future date – not yet deducted","OK")))))))</f>
        <v/>
      </c>
    </row>
    <row r="174" customFormat="false" ht="15" hidden="false" customHeight="false" outlineLevel="0" collapsed="false">
      <c r="A174" s="65"/>
      <c r="B174" s="63"/>
      <c r="C174" s="70"/>
      <c r="D174" s="66"/>
      <c r="E174" s="16" t="str">
        <f aca="false">IF($C174="","",IFERROR(INDEX(Mix_Desc,MATCH($C174,Mix_Code,0)),"⚠ Unknown mix code"))</f>
        <v/>
      </c>
      <c r="F174" s="67" t="str">
        <f aca="false">IF(OR($C174="",$D174=""),"",IFERROR($D174*INDEX(Mix_Eff,MATCH($C174,Mix_Code,0),1),""))</f>
        <v/>
      </c>
      <c r="G174" s="67" t="str">
        <f aca="false">IF(OR($C174="",$D174=""),"",IFERROR($D174*INDEX(Mix_Eff,MATCH($C174,Mix_Code,0),2),""))</f>
        <v/>
      </c>
      <c r="H174" s="67" t="str">
        <f aca="false">IF(OR($C174="",$D174=""),"",IFERROR($D174*INDEX(Mix_Eff,MATCH($C174,Mix_Code,0),3),""))</f>
        <v/>
      </c>
      <c r="I174" s="67" t="str">
        <f aca="false">IF(OR($C174="",$D174=""),"",IFERROR($D174*INDEX(Mix_Eff,MATCH($C174,Mix_Code,0),4),""))</f>
        <v/>
      </c>
      <c r="J174" s="67" t="str">
        <f aca="false">IF(OR($C174="",$D174=""),"",IFERROR($D174*INDEX(Mix_Eff,MATCH($C174,Mix_Code,0),5),""))</f>
        <v/>
      </c>
      <c r="K174" s="63"/>
      <c r="L174" s="16" t="str">
        <f aca="false">IF(AND($A174="",$B174="",$C174="",$D174=""),"",IF($A174="","⚠ Date missing",IF($B174="","⚠ Site missing",IF(ISNA(MATCH($C174,Mix_Code,0)),"⚠ Unknown mix code",IF($D174="","⚠ Enter m3 produced",IF(COUNTIF(CI_Site,$B174)=0,"⚠ Site not set up in Current Inventory",IF($A174&gt;AsOfDate,"Future date – not yet deducted","OK")))))))</f>
        <v/>
      </c>
    </row>
    <row r="175" customFormat="false" ht="15" hidden="false" customHeight="false" outlineLevel="0" collapsed="false">
      <c r="A175" s="65"/>
      <c r="B175" s="63"/>
      <c r="C175" s="70"/>
      <c r="D175" s="66"/>
      <c r="E175" s="16" t="str">
        <f aca="false">IF($C175="","",IFERROR(INDEX(Mix_Desc,MATCH($C175,Mix_Code,0)),"⚠ Unknown mix code"))</f>
        <v/>
      </c>
      <c r="F175" s="67" t="str">
        <f aca="false">IF(OR($C175="",$D175=""),"",IFERROR($D175*INDEX(Mix_Eff,MATCH($C175,Mix_Code,0),1),""))</f>
        <v/>
      </c>
      <c r="G175" s="67" t="str">
        <f aca="false">IF(OR($C175="",$D175=""),"",IFERROR($D175*INDEX(Mix_Eff,MATCH($C175,Mix_Code,0),2),""))</f>
        <v/>
      </c>
      <c r="H175" s="67" t="str">
        <f aca="false">IF(OR($C175="",$D175=""),"",IFERROR($D175*INDEX(Mix_Eff,MATCH($C175,Mix_Code,0),3),""))</f>
        <v/>
      </c>
      <c r="I175" s="67" t="str">
        <f aca="false">IF(OR($C175="",$D175=""),"",IFERROR($D175*INDEX(Mix_Eff,MATCH($C175,Mix_Code,0),4),""))</f>
        <v/>
      </c>
      <c r="J175" s="67" t="str">
        <f aca="false">IF(OR($C175="",$D175=""),"",IFERROR($D175*INDEX(Mix_Eff,MATCH($C175,Mix_Code,0),5),""))</f>
        <v/>
      </c>
      <c r="K175" s="63"/>
      <c r="L175" s="16" t="str">
        <f aca="false">IF(AND($A175="",$B175="",$C175="",$D175=""),"",IF($A175="","⚠ Date missing",IF($B175="","⚠ Site missing",IF(ISNA(MATCH($C175,Mix_Code,0)),"⚠ Unknown mix code",IF($D175="","⚠ Enter m3 produced",IF(COUNTIF(CI_Site,$B175)=0,"⚠ Site not set up in Current Inventory",IF($A175&gt;AsOfDate,"Future date – not yet deducted","OK")))))))</f>
        <v/>
      </c>
    </row>
    <row r="176" customFormat="false" ht="15" hidden="false" customHeight="false" outlineLevel="0" collapsed="false">
      <c r="A176" s="65"/>
      <c r="B176" s="63"/>
      <c r="C176" s="70"/>
      <c r="D176" s="66"/>
      <c r="E176" s="16" t="str">
        <f aca="false">IF($C176="","",IFERROR(INDEX(Mix_Desc,MATCH($C176,Mix_Code,0)),"⚠ Unknown mix code"))</f>
        <v/>
      </c>
      <c r="F176" s="67" t="str">
        <f aca="false">IF(OR($C176="",$D176=""),"",IFERROR($D176*INDEX(Mix_Eff,MATCH($C176,Mix_Code,0),1),""))</f>
        <v/>
      </c>
      <c r="G176" s="67" t="str">
        <f aca="false">IF(OR($C176="",$D176=""),"",IFERROR($D176*INDEX(Mix_Eff,MATCH($C176,Mix_Code,0),2),""))</f>
        <v/>
      </c>
      <c r="H176" s="67" t="str">
        <f aca="false">IF(OR($C176="",$D176=""),"",IFERROR($D176*INDEX(Mix_Eff,MATCH($C176,Mix_Code,0),3),""))</f>
        <v/>
      </c>
      <c r="I176" s="67" t="str">
        <f aca="false">IF(OR($C176="",$D176=""),"",IFERROR($D176*INDEX(Mix_Eff,MATCH($C176,Mix_Code,0),4),""))</f>
        <v/>
      </c>
      <c r="J176" s="67" t="str">
        <f aca="false">IF(OR($C176="",$D176=""),"",IFERROR($D176*INDEX(Mix_Eff,MATCH($C176,Mix_Code,0),5),""))</f>
        <v/>
      </c>
      <c r="K176" s="63"/>
      <c r="L176" s="16" t="str">
        <f aca="false">IF(AND($A176="",$B176="",$C176="",$D176=""),"",IF($A176="","⚠ Date missing",IF($B176="","⚠ Site missing",IF(ISNA(MATCH($C176,Mix_Code,0)),"⚠ Unknown mix code",IF($D176="","⚠ Enter m3 produced",IF(COUNTIF(CI_Site,$B176)=0,"⚠ Site not set up in Current Inventory",IF($A176&gt;AsOfDate,"Future date – not yet deducted","OK")))))))</f>
        <v/>
      </c>
    </row>
    <row r="177" customFormat="false" ht="15" hidden="false" customHeight="false" outlineLevel="0" collapsed="false">
      <c r="A177" s="65"/>
      <c r="B177" s="63"/>
      <c r="C177" s="70"/>
      <c r="D177" s="66"/>
      <c r="E177" s="16" t="str">
        <f aca="false">IF($C177="","",IFERROR(INDEX(Mix_Desc,MATCH($C177,Mix_Code,0)),"⚠ Unknown mix code"))</f>
        <v/>
      </c>
      <c r="F177" s="67" t="str">
        <f aca="false">IF(OR($C177="",$D177=""),"",IFERROR($D177*INDEX(Mix_Eff,MATCH($C177,Mix_Code,0),1),""))</f>
        <v/>
      </c>
      <c r="G177" s="67" t="str">
        <f aca="false">IF(OR($C177="",$D177=""),"",IFERROR($D177*INDEX(Mix_Eff,MATCH($C177,Mix_Code,0),2),""))</f>
        <v/>
      </c>
      <c r="H177" s="67" t="str">
        <f aca="false">IF(OR($C177="",$D177=""),"",IFERROR($D177*INDEX(Mix_Eff,MATCH($C177,Mix_Code,0),3),""))</f>
        <v/>
      </c>
      <c r="I177" s="67" t="str">
        <f aca="false">IF(OR($C177="",$D177=""),"",IFERROR($D177*INDEX(Mix_Eff,MATCH($C177,Mix_Code,0),4),""))</f>
        <v/>
      </c>
      <c r="J177" s="67" t="str">
        <f aca="false">IF(OR($C177="",$D177=""),"",IFERROR($D177*INDEX(Mix_Eff,MATCH($C177,Mix_Code,0),5),""))</f>
        <v/>
      </c>
      <c r="K177" s="63"/>
      <c r="L177" s="16" t="str">
        <f aca="false">IF(AND($A177="",$B177="",$C177="",$D177=""),"",IF($A177="","⚠ Date missing",IF($B177="","⚠ Site missing",IF(ISNA(MATCH($C177,Mix_Code,0)),"⚠ Unknown mix code",IF($D177="","⚠ Enter m3 produced",IF(COUNTIF(CI_Site,$B177)=0,"⚠ Site not set up in Current Inventory",IF($A177&gt;AsOfDate,"Future date – not yet deducted","OK")))))))</f>
        <v/>
      </c>
    </row>
    <row r="178" customFormat="false" ht="15" hidden="false" customHeight="false" outlineLevel="0" collapsed="false">
      <c r="A178" s="65"/>
      <c r="B178" s="63"/>
      <c r="C178" s="70"/>
      <c r="D178" s="66"/>
      <c r="E178" s="16" t="str">
        <f aca="false">IF($C178="","",IFERROR(INDEX(Mix_Desc,MATCH($C178,Mix_Code,0)),"⚠ Unknown mix code"))</f>
        <v/>
      </c>
      <c r="F178" s="67" t="str">
        <f aca="false">IF(OR($C178="",$D178=""),"",IFERROR($D178*INDEX(Mix_Eff,MATCH($C178,Mix_Code,0),1),""))</f>
        <v/>
      </c>
      <c r="G178" s="67" t="str">
        <f aca="false">IF(OR($C178="",$D178=""),"",IFERROR($D178*INDEX(Mix_Eff,MATCH($C178,Mix_Code,0),2),""))</f>
        <v/>
      </c>
      <c r="H178" s="67" t="str">
        <f aca="false">IF(OR($C178="",$D178=""),"",IFERROR($D178*INDEX(Mix_Eff,MATCH($C178,Mix_Code,0),3),""))</f>
        <v/>
      </c>
      <c r="I178" s="67" t="str">
        <f aca="false">IF(OR($C178="",$D178=""),"",IFERROR($D178*INDEX(Mix_Eff,MATCH($C178,Mix_Code,0),4),""))</f>
        <v/>
      </c>
      <c r="J178" s="67" t="str">
        <f aca="false">IF(OR($C178="",$D178=""),"",IFERROR($D178*INDEX(Mix_Eff,MATCH($C178,Mix_Code,0),5),""))</f>
        <v/>
      </c>
      <c r="K178" s="63"/>
      <c r="L178" s="16" t="str">
        <f aca="false">IF(AND($A178="",$B178="",$C178="",$D178=""),"",IF($A178="","⚠ Date missing",IF($B178="","⚠ Site missing",IF(ISNA(MATCH($C178,Mix_Code,0)),"⚠ Unknown mix code",IF($D178="","⚠ Enter m3 produced",IF(COUNTIF(CI_Site,$B178)=0,"⚠ Site not set up in Current Inventory",IF($A178&gt;AsOfDate,"Future date – not yet deducted","OK")))))))</f>
        <v/>
      </c>
    </row>
    <row r="179" customFormat="false" ht="15" hidden="false" customHeight="false" outlineLevel="0" collapsed="false">
      <c r="A179" s="65"/>
      <c r="B179" s="63"/>
      <c r="C179" s="70"/>
      <c r="D179" s="66"/>
      <c r="E179" s="16" t="str">
        <f aca="false">IF($C179="","",IFERROR(INDEX(Mix_Desc,MATCH($C179,Mix_Code,0)),"⚠ Unknown mix code"))</f>
        <v/>
      </c>
      <c r="F179" s="67" t="str">
        <f aca="false">IF(OR($C179="",$D179=""),"",IFERROR($D179*INDEX(Mix_Eff,MATCH($C179,Mix_Code,0),1),""))</f>
        <v/>
      </c>
      <c r="G179" s="67" t="str">
        <f aca="false">IF(OR($C179="",$D179=""),"",IFERROR($D179*INDEX(Mix_Eff,MATCH($C179,Mix_Code,0),2),""))</f>
        <v/>
      </c>
      <c r="H179" s="67" t="str">
        <f aca="false">IF(OR($C179="",$D179=""),"",IFERROR($D179*INDEX(Mix_Eff,MATCH($C179,Mix_Code,0),3),""))</f>
        <v/>
      </c>
      <c r="I179" s="67" t="str">
        <f aca="false">IF(OR($C179="",$D179=""),"",IFERROR($D179*INDEX(Mix_Eff,MATCH($C179,Mix_Code,0),4),""))</f>
        <v/>
      </c>
      <c r="J179" s="67" t="str">
        <f aca="false">IF(OR($C179="",$D179=""),"",IFERROR($D179*INDEX(Mix_Eff,MATCH($C179,Mix_Code,0),5),""))</f>
        <v/>
      </c>
      <c r="K179" s="63"/>
      <c r="L179" s="16" t="str">
        <f aca="false">IF(AND($A179="",$B179="",$C179="",$D179=""),"",IF($A179="","⚠ Date missing",IF($B179="","⚠ Site missing",IF(ISNA(MATCH($C179,Mix_Code,0)),"⚠ Unknown mix code",IF($D179="","⚠ Enter m3 produced",IF(COUNTIF(CI_Site,$B179)=0,"⚠ Site not set up in Current Inventory",IF($A179&gt;AsOfDate,"Future date – not yet deducted","OK")))))))</f>
        <v/>
      </c>
    </row>
    <row r="180" customFormat="false" ht="15" hidden="false" customHeight="false" outlineLevel="0" collapsed="false">
      <c r="A180" s="65"/>
      <c r="B180" s="63"/>
      <c r="C180" s="70"/>
      <c r="D180" s="66"/>
      <c r="E180" s="16" t="str">
        <f aca="false">IF($C180="","",IFERROR(INDEX(Mix_Desc,MATCH($C180,Mix_Code,0)),"⚠ Unknown mix code"))</f>
        <v/>
      </c>
      <c r="F180" s="67" t="str">
        <f aca="false">IF(OR($C180="",$D180=""),"",IFERROR($D180*INDEX(Mix_Eff,MATCH($C180,Mix_Code,0),1),""))</f>
        <v/>
      </c>
      <c r="G180" s="67" t="str">
        <f aca="false">IF(OR($C180="",$D180=""),"",IFERROR($D180*INDEX(Mix_Eff,MATCH($C180,Mix_Code,0),2),""))</f>
        <v/>
      </c>
      <c r="H180" s="67" t="str">
        <f aca="false">IF(OR($C180="",$D180=""),"",IFERROR($D180*INDEX(Mix_Eff,MATCH($C180,Mix_Code,0),3),""))</f>
        <v/>
      </c>
      <c r="I180" s="67" t="str">
        <f aca="false">IF(OR($C180="",$D180=""),"",IFERROR($D180*INDEX(Mix_Eff,MATCH($C180,Mix_Code,0),4),""))</f>
        <v/>
      </c>
      <c r="J180" s="67" t="str">
        <f aca="false">IF(OR($C180="",$D180=""),"",IFERROR($D180*INDEX(Mix_Eff,MATCH($C180,Mix_Code,0),5),""))</f>
        <v/>
      </c>
      <c r="K180" s="63"/>
      <c r="L180" s="16" t="str">
        <f aca="false">IF(AND($A180="",$B180="",$C180="",$D180=""),"",IF($A180="","⚠ Date missing",IF($B180="","⚠ Site missing",IF(ISNA(MATCH($C180,Mix_Code,0)),"⚠ Unknown mix code",IF($D180="","⚠ Enter m3 produced",IF(COUNTIF(CI_Site,$B180)=0,"⚠ Site not set up in Current Inventory",IF($A180&gt;AsOfDate,"Future date – not yet deducted","OK")))))))</f>
        <v/>
      </c>
    </row>
    <row r="181" customFormat="false" ht="15" hidden="false" customHeight="false" outlineLevel="0" collapsed="false">
      <c r="A181" s="65"/>
      <c r="B181" s="63"/>
      <c r="C181" s="70"/>
      <c r="D181" s="66"/>
      <c r="E181" s="16" t="str">
        <f aca="false">IF($C181="","",IFERROR(INDEX(Mix_Desc,MATCH($C181,Mix_Code,0)),"⚠ Unknown mix code"))</f>
        <v/>
      </c>
      <c r="F181" s="67" t="str">
        <f aca="false">IF(OR($C181="",$D181=""),"",IFERROR($D181*INDEX(Mix_Eff,MATCH($C181,Mix_Code,0),1),""))</f>
        <v/>
      </c>
      <c r="G181" s="67" t="str">
        <f aca="false">IF(OR($C181="",$D181=""),"",IFERROR($D181*INDEX(Mix_Eff,MATCH($C181,Mix_Code,0),2),""))</f>
        <v/>
      </c>
      <c r="H181" s="67" t="str">
        <f aca="false">IF(OR($C181="",$D181=""),"",IFERROR($D181*INDEX(Mix_Eff,MATCH($C181,Mix_Code,0),3),""))</f>
        <v/>
      </c>
      <c r="I181" s="67" t="str">
        <f aca="false">IF(OR($C181="",$D181=""),"",IFERROR($D181*INDEX(Mix_Eff,MATCH($C181,Mix_Code,0),4),""))</f>
        <v/>
      </c>
      <c r="J181" s="67" t="str">
        <f aca="false">IF(OR($C181="",$D181=""),"",IFERROR($D181*INDEX(Mix_Eff,MATCH($C181,Mix_Code,0),5),""))</f>
        <v/>
      </c>
      <c r="K181" s="63"/>
      <c r="L181" s="16" t="str">
        <f aca="false">IF(AND($A181="",$B181="",$C181="",$D181=""),"",IF($A181="","⚠ Date missing",IF($B181="","⚠ Site missing",IF(ISNA(MATCH($C181,Mix_Code,0)),"⚠ Unknown mix code",IF($D181="","⚠ Enter m3 produced",IF(COUNTIF(CI_Site,$B181)=0,"⚠ Site not set up in Current Inventory",IF($A181&gt;AsOfDate,"Future date – not yet deducted","OK")))))))</f>
        <v/>
      </c>
    </row>
    <row r="182" customFormat="false" ht="15" hidden="false" customHeight="false" outlineLevel="0" collapsed="false">
      <c r="A182" s="65"/>
      <c r="B182" s="63"/>
      <c r="C182" s="70"/>
      <c r="D182" s="66"/>
      <c r="E182" s="16" t="str">
        <f aca="false">IF($C182="","",IFERROR(INDEX(Mix_Desc,MATCH($C182,Mix_Code,0)),"⚠ Unknown mix code"))</f>
        <v/>
      </c>
      <c r="F182" s="67" t="str">
        <f aca="false">IF(OR($C182="",$D182=""),"",IFERROR($D182*INDEX(Mix_Eff,MATCH($C182,Mix_Code,0),1),""))</f>
        <v/>
      </c>
      <c r="G182" s="67" t="str">
        <f aca="false">IF(OR($C182="",$D182=""),"",IFERROR($D182*INDEX(Mix_Eff,MATCH($C182,Mix_Code,0),2),""))</f>
        <v/>
      </c>
      <c r="H182" s="67" t="str">
        <f aca="false">IF(OR($C182="",$D182=""),"",IFERROR($D182*INDEX(Mix_Eff,MATCH($C182,Mix_Code,0),3),""))</f>
        <v/>
      </c>
      <c r="I182" s="67" t="str">
        <f aca="false">IF(OR($C182="",$D182=""),"",IFERROR($D182*INDEX(Mix_Eff,MATCH($C182,Mix_Code,0),4),""))</f>
        <v/>
      </c>
      <c r="J182" s="67" t="str">
        <f aca="false">IF(OR($C182="",$D182=""),"",IFERROR($D182*INDEX(Mix_Eff,MATCH($C182,Mix_Code,0),5),""))</f>
        <v/>
      </c>
      <c r="K182" s="63"/>
      <c r="L182" s="16" t="str">
        <f aca="false">IF(AND($A182="",$B182="",$C182="",$D182=""),"",IF($A182="","⚠ Date missing",IF($B182="","⚠ Site missing",IF(ISNA(MATCH($C182,Mix_Code,0)),"⚠ Unknown mix code",IF($D182="","⚠ Enter m3 produced",IF(COUNTIF(CI_Site,$B182)=0,"⚠ Site not set up in Current Inventory",IF($A182&gt;AsOfDate,"Future date – not yet deducted","OK")))))))</f>
        <v/>
      </c>
    </row>
    <row r="183" customFormat="false" ht="15" hidden="false" customHeight="false" outlineLevel="0" collapsed="false">
      <c r="A183" s="65"/>
      <c r="B183" s="63"/>
      <c r="C183" s="70"/>
      <c r="D183" s="66"/>
      <c r="E183" s="16" t="str">
        <f aca="false">IF($C183="","",IFERROR(INDEX(Mix_Desc,MATCH($C183,Mix_Code,0)),"⚠ Unknown mix code"))</f>
        <v/>
      </c>
      <c r="F183" s="67" t="str">
        <f aca="false">IF(OR($C183="",$D183=""),"",IFERROR($D183*INDEX(Mix_Eff,MATCH($C183,Mix_Code,0),1),""))</f>
        <v/>
      </c>
      <c r="G183" s="67" t="str">
        <f aca="false">IF(OR($C183="",$D183=""),"",IFERROR($D183*INDEX(Mix_Eff,MATCH($C183,Mix_Code,0),2),""))</f>
        <v/>
      </c>
      <c r="H183" s="67" t="str">
        <f aca="false">IF(OR($C183="",$D183=""),"",IFERROR($D183*INDEX(Mix_Eff,MATCH($C183,Mix_Code,0),3),""))</f>
        <v/>
      </c>
      <c r="I183" s="67" t="str">
        <f aca="false">IF(OR($C183="",$D183=""),"",IFERROR($D183*INDEX(Mix_Eff,MATCH($C183,Mix_Code,0),4),""))</f>
        <v/>
      </c>
      <c r="J183" s="67" t="str">
        <f aca="false">IF(OR($C183="",$D183=""),"",IFERROR($D183*INDEX(Mix_Eff,MATCH($C183,Mix_Code,0),5),""))</f>
        <v/>
      </c>
      <c r="K183" s="63"/>
      <c r="L183" s="16" t="str">
        <f aca="false">IF(AND($A183="",$B183="",$C183="",$D183=""),"",IF($A183="","⚠ Date missing",IF($B183="","⚠ Site missing",IF(ISNA(MATCH($C183,Mix_Code,0)),"⚠ Unknown mix code",IF($D183="","⚠ Enter m3 produced",IF(COUNTIF(CI_Site,$B183)=0,"⚠ Site not set up in Current Inventory",IF($A183&gt;AsOfDate,"Future date – not yet deducted","OK")))))))</f>
        <v/>
      </c>
    </row>
    <row r="184" customFormat="false" ht="15" hidden="false" customHeight="false" outlineLevel="0" collapsed="false">
      <c r="A184" s="65"/>
      <c r="B184" s="63"/>
      <c r="C184" s="70"/>
      <c r="D184" s="66"/>
      <c r="E184" s="16" t="str">
        <f aca="false">IF($C184="","",IFERROR(INDEX(Mix_Desc,MATCH($C184,Mix_Code,0)),"⚠ Unknown mix code"))</f>
        <v/>
      </c>
      <c r="F184" s="67" t="str">
        <f aca="false">IF(OR($C184="",$D184=""),"",IFERROR($D184*INDEX(Mix_Eff,MATCH($C184,Mix_Code,0),1),""))</f>
        <v/>
      </c>
      <c r="G184" s="67" t="str">
        <f aca="false">IF(OR($C184="",$D184=""),"",IFERROR($D184*INDEX(Mix_Eff,MATCH($C184,Mix_Code,0),2),""))</f>
        <v/>
      </c>
      <c r="H184" s="67" t="str">
        <f aca="false">IF(OR($C184="",$D184=""),"",IFERROR($D184*INDEX(Mix_Eff,MATCH($C184,Mix_Code,0),3),""))</f>
        <v/>
      </c>
      <c r="I184" s="67" t="str">
        <f aca="false">IF(OR($C184="",$D184=""),"",IFERROR($D184*INDEX(Mix_Eff,MATCH($C184,Mix_Code,0),4),""))</f>
        <v/>
      </c>
      <c r="J184" s="67" t="str">
        <f aca="false">IF(OR($C184="",$D184=""),"",IFERROR($D184*INDEX(Mix_Eff,MATCH($C184,Mix_Code,0),5),""))</f>
        <v/>
      </c>
      <c r="K184" s="63"/>
      <c r="L184" s="16" t="str">
        <f aca="false">IF(AND($A184="",$B184="",$C184="",$D184=""),"",IF($A184="","⚠ Date missing",IF($B184="","⚠ Site missing",IF(ISNA(MATCH($C184,Mix_Code,0)),"⚠ Unknown mix code",IF($D184="","⚠ Enter m3 produced",IF(COUNTIF(CI_Site,$B184)=0,"⚠ Site not set up in Current Inventory",IF($A184&gt;AsOfDate,"Future date – not yet deducted","OK")))))))</f>
        <v/>
      </c>
    </row>
    <row r="185" customFormat="false" ht="15" hidden="false" customHeight="false" outlineLevel="0" collapsed="false">
      <c r="A185" s="65"/>
      <c r="B185" s="63"/>
      <c r="C185" s="70"/>
      <c r="D185" s="66"/>
      <c r="E185" s="16" t="str">
        <f aca="false">IF($C185="","",IFERROR(INDEX(Mix_Desc,MATCH($C185,Mix_Code,0)),"⚠ Unknown mix code"))</f>
        <v/>
      </c>
      <c r="F185" s="67" t="str">
        <f aca="false">IF(OR($C185="",$D185=""),"",IFERROR($D185*INDEX(Mix_Eff,MATCH($C185,Mix_Code,0),1),""))</f>
        <v/>
      </c>
      <c r="G185" s="67" t="str">
        <f aca="false">IF(OR($C185="",$D185=""),"",IFERROR($D185*INDEX(Mix_Eff,MATCH($C185,Mix_Code,0),2),""))</f>
        <v/>
      </c>
      <c r="H185" s="67" t="str">
        <f aca="false">IF(OR($C185="",$D185=""),"",IFERROR($D185*INDEX(Mix_Eff,MATCH($C185,Mix_Code,0),3),""))</f>
        <v/>
      </c>
      <c r="I185" s="67" t="str">
        <f aca="false">IF(OR($C185="",$D185=""),"",IFERROR($D185*INDEX(Mix_Eff,MATCH($C185,Mix_Code,0),4),""))</f>
        <v/>
      </c>
      <c r="J185" s="67" t="str">
        <f aca="false">IF(OR($C185="",$D185=""),"",IFERROR($D185*INDEX(Mix_Eff,MATCH($C185,Mix_Code,0),5),""))</f>
        <v/>
      </c>
      <c r="K185" s="63"/>
      <c r="L185" s="16" t="str">
        <f aca="false">IF(AND($A185="",$B185="",$C185="",$D185=""),"",IF($A185="","⚠ Date missing",IF($B185="","⚠ Site missing",IF(ISNA(MATCH($C185,Mix_Code,0)),"⚠ Unknown mix code",IF($D185="","⚠ Enter m3 produced",IF(COUNTIF(CI_Site,$B185)=0,"⚠ Site not set up in Current Inventory",IF($A185&gt;AsOfDate,"Future date – not yet deducted","OK")))))))</f>
        <v/>
      </c>
    </row>
    <row r="186" customFormat="false" ht="15" hidden="false" customHeight="false" outlineLevel="0" collapsed="false">
      <c r="A186" s="65"/>
      <c r="B186" s="63"/>
      <c r="C186" s="70"/>
      <c r="D186" s="66"/>
      <c r="E186" s="16" t="str">
        <f aca="false">IF($C186="","",IFERROR(INDEX(Mix_Desc,MATCH($C186,Mix_Code,0)),"⚠ Unknown mix code"))</f>
        <v/>
      </c>
      <c r="F186" s="67" t="str">
        <f aca="false">IF(OR($C186="",$D186=""),"",IFERROR($D186*INDEX(Mix_Eff,MATCH($C186,Mix_Code,0),1),""))</f>
        <v/>
      </c>
      <c r="G186" s="67" t="str">
        <f aca="false">IF(OR($C186="",$D186=""),"",IFERROR($D186*INDEX(Mix_Eff,MATCH($C186,Mix_Code,0),2),""))</f>
        <v/>
      </c>
      <c r="H186" s="67" t="str">
        <f aca="false">IF(OR($C186="",$D186=""),"",IFERROR($D186*INDEX(Mix_Eff,MATCH($C186,Mix_Code,0),3),""))</f>
        <v/>
      </c>
      <c r="I186" s="67" t="str">
        <f aca="false">IF(OR($C186="",$D186=""),"",IFERROR($D186*INDEX(Mix_Eff,MATCH($C186,Mix_Code,0),4),""))</f>
        <v/>
      </c>
      <c r="J186" s="67" t="str">
        <f aca="false">IF(OR($C186="",$D186=""),"",IFERROR($D186*INDEX(Mix_Eff,MATCH($C186,Mix_Code,0),5),""))</f>
        <v/>
      </c>
      <c r="K186" s="63"/>
      <c r="L186" s="16" t="str">
        <f aca="false">IF(AND($A186="",$B186="",$C186="",$D186=""),"",IF($A186="","⚠ Date missing",IF($B186="","⚠ Site missing",IF(ISNA(MATCH($C186,Mix_Code,0)),"⚠ Unknown mix code",IF($D186="","⚠ Enter m3 produced",IF(COUNTIF(CI_Site,$B186)=0,"⚠ Site not set up in Current Inventory",IF($A186&gt;AsOfDate,"Future date – not yet deducted","OK")))))))</f>
        <v/>
      </c>
    </row>
    <row r="187" customFormat="false" ht="15" hidden="false" customHeight="false" outlineLevel="0" collapsed="false">
      <c r="A187" s="65"/>
      <c r="B187" s="63"/>
      <c r="C187" s="70"/>
      <c r="D187" s="66"/>
      <c r="E187" s="16" t="str">
        <f aca="false">IF($C187="","",IFERROR(INDEX(Mix_Desc,MATCH($C187,Mix_Code,0)),"⚠ Unknown mix code"))</f>
        <v/>
      </c>
      <c r="F187" s="67" t="str">
        <f aca="false">IF(OR($C187="",$D187=""),"",IFERROR($D187*INDEX(Mix_Eff,MATCH($C187,Mix_Code,0),1),""))</f>
        <v/>
      </c>
      <c r="G187" s="67" t="str">
        <f aca="false">IF(OR($C187="",$D187=""),"",IFERROR($D187*INDEX(Mix_Eff,MATCH($C187,Mix_Code,0),2),""))</f>
        <v/>
      </c>
      <c r="H187" s="67" t="str">
        <f aca="false">IF(OR($C187="",$D187=""),"",IFERROR($D187*INDEX(Mix_Eff,MATCH($C187,Mix_Code,0),3),""))</f>
        <v/>
      </c>
      <c r="I187" s="67" t="str">
        <f aca="false">IF(OR($C187="",$D187=""),"",IFERROR($D187*INDEX(Mix_Eff,MATCH($C187,Mix_Code,0),4),""))</f>
        <v/>
      </c>
      <c r="J187" s="67" t="str">
        <f aca="false">IF(OR($C187="",$D187=""),"",IFERROR($D187*INDEX(Mix_Eff,MATCH($C187,Mix_Code,0),5),""))</f>
        <v/>
      </c>
      <c r="K187" s="63"/>
      <c r="L187" s="16" t="str">
        <f aca="false">IF(AND($A187="",$B187="",$C187="",$D187=""),"",IF($A187="","⚠ Date missing",IF($B187="","⚠ Site missing",IF(ISNA(MATCH($C187,Mix_Code,0)),"⚠ Unknown mix code",IF($D187="","⚠ Enter m3 produced",IF(COUNTIF(CI_Site,$B187)=0,"⚠ Site not set up in Current Inventory",IF($A187&gt;AsOfDate,"Future date – not yet deducted","OK")))))))</f>
        <v/>
      </c>
    </row>
    <row r="188" customFormat="false" ht="15" hidden="false" customHeight="false" outlineLevel="0" collapsed="false">
      <c r="A188" s="65"/>
      <c r="B188" s="63"/>
      <c r="C188" s="70"/>
      <c r="D188" s="66"/>
      <c r="E188" s="16" t="str">
        <f aca="false">IF($C188="","",IFERROR(INDEX(Mix_Desc,MATCH($C188,Mix_Code,0)),"⚠ Unknown mix code"))</f>
        <v/>
      </c>
      <c r="F188" s="67" t="str">
        <f aca="false">IF(OR($C188="",$D188=""),"",IFERROR($D188*INDEX(Mix_Eff,MATCH($C188,Mix_Code,0),1),""))</f>
        <v/>
      </c>
      <c r="G188" s="67" t="str">
        <f aca="false">IF(OR($C188="",$D188=""),"",IFERROR($D188*INDEX(Mix_Eff,MATCH($C188,Mix_Code,0),2),""))</f>
        <v/>
      </c>
      <c r="H188" s="67" t="str">
        <f aca="false">IF(OR($C188="",$D188=""),"",IFERROR($D188*INDEX(Mix_Eff,MATCH($C188,Mix_Code,0),3),""))</f>
        <v/>
      </c>
      <c r="I188" s="67" t="str">
        <f aca="false">IF(OR($C188="",$D188=""),"",IFERROR($D188*INDEX(Mix_Eff,MATCH($C188,Mix_Code,0),4),""))</f>
        <v/>
      </c>
      <c r="J188" s="67" t="str">
        <f aca="false">IF(OR($C188="",$D188=""),"",IFERROR($D188*INDEX(Mix_Eff,MATCH($C188,Mix_Code,0),5),""))</f>
        <v/>
      </c>
      <c r="K188" s="63"/>
      <c r="L188" s="16" t="str">
        <f aca="false">IF(AND($A188="",$B188="",$C188="",$D188=""),"",IF($A188="","⚠ Date missing",IF($B188="","⚠ Site missing",IF(ISNA(MATCH($C188,Mix_Code,0)),"⚠ Unknown mix code",IF($D188="","⚠ Enter m3 produced",IF(COUNTIF(CI_Site,$B188)=0,"⚠ Site not set up in Current Inventory",IF($A188&gt;AsOfDate,"Future date – not yet deducted","OK")))))))</f>
        <v/>
      </c>
    </row>
    <row r="189" customFormat="false" ht="15" hidden="false" customHeight="false" outlineLevel="0" collapsed="false">
      <c r="A189" s="65"/>
      <c r="B189" s="63"/>
      <c r="C189" s="70"/>
      <c r="D189" s="66"/>
      <c r="E189" s="16" t="str">
        <f aca="false">IF($C189="","",IFERROR(INDEX(Mix_Desc,MATCH($C189,Mix_Code,0)),"⚠ Unknown mix code"))</f>
        <v/>
      </c>
      <c r="F189" s="67" t="str">
        <f aca="false">IF(OR($C189="",$D189=""),"",IFERROR($D189*INDEX(Mix_Eff,MATCH($C189,Mix_Code,0),1),""))</f>
        <v/>
      </c>
      <c r="G189" s="67" t="str">
        <f aca="false">IF(OR($C189="",$D189=""),"",IFERROR($D189*INDEX(Mix_Eff,MATCH($C189,Mix_Code,0),2),""))</f>
        <v/>
      </c>
      <c r="H189" s="67" t="str">
        <f aca="false">IF(OR($C189="",$D189=""),"",IFERROR($D189*INDEX(Mix_Eff,MATCH($C189,Mix_Code,0),3),""))</f>
        <v/>
      </c>
      <c r="I189" s="67" t="str">
        <f aca="false">IF(OR($C189="",$D189=""),"",IFERROR($D189*INDEX(Mix_Eff,MATCH($C189,Mix_Code,0),4),""))</f>
        <v/>
      </c>
      <c r="J189" s="67" t="str">
        <f aca="false">IF(OR($C189="",$D189=""),"",IFERROR($D189*INDEX(Mix_Eff,MATCH($C189,Mix_Code,0),5),""))</f>
        <v/>
      </c>
      <c r="K189" s="63"/>
      <c r="L189" s="16" t="str">
        <f aca="false">IF(AND($A189="",$B189="",$C189="",$D189=""),"",IF($A189="","⚠ Date missing",IF($B189="","⚠ Site missing",IF(ISNA(MATCH($C189,Mix_Code,0)),"⚠ Unknown mix code",IF($D189="","⚠ Enter m3 produced",IF(COUNTIF(CI_Site,$B189)=0,"⚠ Site not set up in Current Inventory",IF($A189&gt;AsOfDate,"Future date – not yet deducted","OK")))))))</f>
        <v/>
      </c>
    </row>
    <row r="190" customFormat="false" ht="15" hidden="false" customHeight="false" outlineLevel="0" collapsed="false">
      <c r="A190" s="65"/>
      <c r="B190" s="63"/>
      <c r="C190" s="70"/>
      <c r="D190" s="66"/>
      <c r="E190" s="16" t="str">
        <f aca="false">IF($C190="","",IFERROR(INDEX(Mix_Desc,MATCH($C190,Mix_Code,0)),"⚠ Unknown mix code"))</f>
        <v/>
      </c>
      <c r="F190" s="67" t="str">
        <f aca="false">IF(OR($C190="",$D190=""),"",IFERROR($D190*INDEX(Mix_Eff,MATCH($C190,Mix_Code,0),1),""))</f>
        <v/>
      </c>
      <c r="G190" s="67" t="str">
        <f aca="false">IF(OR($C190="",$D190=""),"",IFERROR($D190*INDEX(Mix_Eff,MATCH($C190,Mix_Code,0),2),""))</f>
        <v/>
      </c>
      <c r="H190" s="67" t="str">
        <f aca="false">IF(OR($C190="",$D190=""),"",IFERROR($D190*INDEX(Mix_Eff,MATCH($C190,Mix_Code,0),3),""))</f>
        <v/>
      </c>
      <c r="I190" s="67" t="str">
        <f aca="false">IF(OR($C190="",$D190=""),"",IFERROR($D190*INDEX(Mix_Eff,MATCH($C190,Mix_Code,0),4),""))</f>
        <v/>
      </c>
      <c r="J190" s="67" t="str">
        <f aca="false">IF(OR($C190="",$D190=""),"",IFERROR($D190*INDEX(Mix_Eff,MATCH($C190,Mix_Code,0),5),""))</f>
        <v/>
      </c>
      <c r="K190" s="63"/>
      <c r="L190" s="16" t="str">
        <f aca="false">IF(AND($A190="",$B190="",$C190="",$D190=""),"",IF($A190="","⚠ Date missing",IF($B190="","⚠ Site missing",IF(ISNA(MATCH($C190,Mix_Code,0)),"⚠ Unknown mix code",IF($D190="","⚠ Enter m3 produced",IF(COUNTIF(CI_Site,$B190)=0,"⚠ Site not set up in Current Inventory",IF($A190&gt;AsOfDate,"Future date – not yet deducted","OK")))))))</f>
        <v/>
      </c>
    </row>
    <row r="191" customFormat="false" ht="15" hidden="false" customHeight="false" outlineLevel="0" collapsed="false">
      <c r="A191" s="65"/>
      <c r="B191" s="63"/>
      <c r="C191" s="70"/>
      <c r="D191" s="66"/>
      <c r="E191" s="16" t="str">
        <f aca="false">IF($C191="","",IFERROR(INDEX(Mix_Desc,MATCH($C191,Mix_Code,0)),"⚠ Unknown mix code"))</f>
        <v/>
      </c>
      <c r="F191" s="67" t="str">
        <f aca="false">IF(OR($C191="",$D191=""),"",IFERROR($D191*INDEX(Mix_Eff,MATCH($C191,Mix_Code,0),1),""))</f>
        <v/>
      </c>
      <c r="G191" s="67" t="str">
        <f aca="false">IF(OR($C191="",$D191=""),"",IFERROR($D191*INDEX(Mix_Eff,MATCH($C191,Mix_Code,0),2),""))</f>
        <v/>
      </c>
      <c r="H191" s="67" t="str">
        <f aca="false">IF(OR($C191="",$D191=""),"",IFERROR($D191*INDEX(Mix_Eff,MATCH($C191,Mix_Code,0),3),""))</f>
        <v/>
      </c>
      <c r="I191" s="67" t="str">
        <f aca="false">IF(OR($C191="",$D191=""),"",IFERROR($D191*INDEX(Mix_Eff,MATCH($C191,Mix_Code,0),4),""))</f>
        <v/>
      </c>
      <c r="J191" s="67" t="str">
        <f aca="false">IF(OR($C191="",$D191=""),"",IFERROR($D191*INDEX(Mix_Eff,MATCH($C191,Mix_Code,0),5),""))</f>
        <v/>
      </c>
      <c r="K191" s="63"/>
      <c r="L191" s="16" t="str">
        <f aca="false">IF(AND($A191="",$B191="",$C191="",$D191=""),"",IF($A191="","⚠ Date missing",IF($B191="","⚠ Site missing",IF(ISNA(MATCH($C191,Mix_Code,0)),"⚠ Unknown mix code",IF($D191="","⚠ Enter m3 produced",IF(COUNTIF(CI_Site,$B191)=0,"⚠ Site not set up in Current Inventory",IF($A191&gt;AsOfDate,"Future date – not yet deducted","OK")))))))</f>
        <v/>
      </c>
    </row>
    <row r="192" customFormat="false" ht="15" hidden="false" customHeight="false" outlineLevel="0" collapsed="false">
      <c r="A192" s="65"/>
      <c r="B192" s="63"/>
      <c r="C192" s="70"/>
      <c r="D192" s="66"/>
      <c r="E192" s="16" t="str">
        <f aca="false">IF($C192="","",IFERROR(INDEX(Mix_Desc,MATCH($C192,Mix_Code,0)),"⚠ Unknown mix code"))</f>
        <v/>
      </c>
      <c r="F192" s="67" t="str">
        <f aca="false">IF(OR($C192="",$D192=""),"",IFERROR($D192*INDEX(Mix_Eff,MATCH($C192,Mix_Code,0),1),""))</f>
        <v/>
      </c>
      <c r="G192" s="67" t="str">
        <f aca="false">IF(OR($C192="",$D192=""),"",IFERROR($D192*INDEX(Mix_Eff,MATCH($C192,Mix_Code,0),2),""))</f>
        <v/>
      </c>
      <c r="H192" s="67" t="str">
        <f aca="false">IF(OR($C192="",$D192=""),"",IFERROR($D192*INDEX(Mix_Eff,MATCH($C192,Mix_Code,0),3),""))</f>
        <v/>
      </c>
      <c r="I192" s="67" t="str">
        <f aca="false">IF(OR($C192="",$D192=""),"",IFERROR($D192*INDEX(Mix_Eff,MATCH($C192,Mix_Code,0),4),""))</f>
        <v/>
      </c>
      <c r="J192" s="67" t="str">
        <f aca="false">IF(OR($C192="",$D192=""),"",IFERROR($D192*INDEX(Mix_Eff,MATCH($C192,Mix_Code,0),5),""))</f>
        <v/>
      </c>
      <c r="K192" s="63"/>
      <c r="L192" s="16" t="str">
        <f aca="false">IF(AND($A192="",$B192="",$C192="",$D192=""),"",IF($A192="","⚠ Date missing",IF($B192="","⚠ Site missing",IF(ISNA(MATCH($C192,Mix_Code,0)),"⚠ Unknown mix code",IF($D192="","⚠ Enter m3 produced",IF(COUNTIF(CI_Site,$B192)=0,"⚠ Site not set up in Current Inventory",IF($A192&gt;AsOfDate,"Future date – not yet deducted","OK")))))))</f>
        <v/>
      </c>
    </row>
    <row r="193" customFormat="false" ht="15" hidden="false" customHeight="false" outlineLevel="0" collapsed="false">
      <c r="A193" s="65"/>
      <c r="B193" s="63"/>
      <c r="C193" s="70"/>
      <c r="D193" s="66"/>
      <c r="E193" s="16" t="str">
        <f aca="false">IF($C193="","",IFERROR(INDEX(Mix_Desc,MATCH($C193,Mix_Code,0)),"⚠ Unknown mix code"))</f>
        <v/>
      </c>
      <c r="F193" s="67" t="str">
        <f aca="false">IF(OR($C193="",$D193=""),"",IFERROR($D193*INDEX(Mix_Eff,MATCH($C193,Mix_Code,0),1),""))</f>
        <v/>
      </c>
      <c r="G193" s="67" t="str">
        <f aca="false">IF(OR($C193="",$D193=""),"",IFERROR($D193*INDEX(Mix_Eff,MATCH($C193,Mix_Code,0),2),""))</f>
        <v/>
      </c>
      <c r="H193" s="67" t="str">
        <f aca="false">IF(OR($C193="",$D193=""),"",IFERROR($D193*INDEX(Mix_Eff,MATCH($C193,Mix_Code,0),3),""))</f>
        <v/>
      </c>
      <c r="I193" s="67" t="str">
        <f aca="false">IF(OR($C193="",$D193=""),"",IFERROR($D193*INDEX(Mix_Eff,MATCH($C193,Mix_Code,0),4),""))</f>
        <v/>
      </c>
      <c r="J193" s="67" t="str">
        <f aca="false">IF(OR($C193="",$D193=""),"",IFERROR($D193*INDEX(Mix_Eff,MATCH($C193,Mix_Code,0),5),""))</f>
        <v/>
      </c>
      <c r="K193" s="63"/>
      <c r="L193" s="16" t="str">
        <f aca="false">IF(AND($A193="",$B193="",$C193="",$D193=""),"",IF($A193="","⚠ Date missing",IF($B193="","⚠ Site missing",IF(ISNA(MATCH($C193,Mix_Code,0)),"⚠ Unknown mix code",IF($D193="","⚠ Enter m3 produced",IF(COUNTIF(CI_Site,$B193)=0,"⚠ Site not set up in Current Inventory",IF($A193&gt;AsOfDate,"Future date – not yet deducted","OK")))))))</f>
        <v/>
      </c>
    </row>
    <row r="194" customFormat="false" ht="15" hidden="false" customHeight="false" outlineLevel="0" collapsed="false">
      <c r="A194" s="65"/>
      <c r="B194" s="63"/>
      <c r="C194" s="70"/>
      <c r="D194" s="66"/>
      <c r="E194" s="16" t="str">
        <f aca="false">IF($C194="","",IFERROR(INDEX(Mix_Desc,MATCH($C194,Mix_Code,0)),"⚠ Unknown mix code"))</f>
        <v/>
      </c>
      <c r="F194" s="67" t="str">
        <f aca="false">IF(OR($C194="",$D194=""),"",IFERROR($D194*INDEX(Mix_Eff,MATCH($C194,Mix_Code,0),1),""))</f>
        <v/>
      </c>
      <c r="G194" s="67" t="str">
        <f aca="false">IF(OR($C194="",$D194=""),"",IFERROR($D194*INDEX(Mix_Eff,MATCH($C194,Mix_Code,0),2),""))</f>
        <v/>
      </c>
      <c r="H194" s="67" t="str">
        <f aca="false">IF(OR($C194="",$D194=""),"",IFERROR($D194*INDEX(Mix_Eff,MATCH($C194,Mix_Code,0),3),""))</f>
        <v/>
      </c>
      <c r="I194" s="67" t="str">
        <f aca="false">IF(OR($C194="",$D194=""),"",IFERROR($D194*INDEX(Mix_Eff,MATCH($C194,Mix_Code,0),4),""))</f>
        <v/>
      </c>
      <c r="J194" s="67" t="str">
        <f aca="false">IF(OR($C194="",$D194=""),"",IFERROR($D194*INDEX(Mix_Eff,MATCH($C194,Mix_Code,0),5),""))</f>
        <v/>
      </c>
      <c r="K194" s="63"/>
      <c r="L194" s="16" t="str">
        <f aca="false">IF(AND($A194="",$B194="",$C194="",$D194=""),"",IF($A194="","⚠ Date missing",IF($B194="","⚠ Site missing",IF(ISNA(MATCH($C194,Mix_Code,0)),"⚠ Unknown mix code",IF($D194="","⚠ Enter m3 produced",IF(COUNTIF(CI_Site,$B194)=0,"⚠ Site not set up in Current Inventory",IF($A194&gt;AsOfDate,"Future date – not yet deducted","OK")))))))</f>
        <v/>
      </c>
    </row>
    <row r="195" customFormat="false" ht="15" hidden="false" customHeight="false" outlineLevel="0" collapsed="false">
      <c r="A195" s="65"/>
      <c r="B195" s="63"/>
      <c r="C195" s="70"/>
      <c r="D195" s="66"/>
      <c r="E195" s="16" t="str">
        <f aca="false">IF($C195="","",IFERROR(INDEX(Mix_Desc,MATCH($C195,Mix_Code,0)),"⚠ Unknown mix code"))</f>
        <v/>
      </c>
      <c r="F195" s="67" t="str">
        <f aca="false">IF(OR($C195="",$D195=""),"",IFERROR($D195*INDEX(Mix_Eff,MATCH($C195,Mix_Code,0),1),""))</f>
        <v/>
      </c>
      <c r="G195" s="67" t="str">
        <f aca="false">IF(OR($C195="",$D195=""),"",IFERROR($D195*INDEX(Mix_Eff,MATCH($C195,Mix_Code,0),2),""))</f>
        <v/>
      </c>
      <c r="H195" s="67" t="str">
        <f aca="false">IF(OR($C195="",$D195=""),"",IFERROR($D195*INDEX(Mix_Eff,MATCH($C195,Mix_Code,0),3),""))</f>
        <v/>
      </c>
      <c r="I195" s="67" t="str">
        <f aca="false">IF(OR($C195="",$D195=""),"",IFERROR($D195*INDEX(Mix_Eff,MATCH($C195,Mix_Code,0),4),""))</f>
        <v/>
      </c>
      <c r="J195" s="67" t="str">
        <f aca="false">IF(OR($C195="",$D195=""),"",IFERROR($D195*INDEX(Mix_Eff,MATCH($C195,Mix_Code,0),5),""))</f>
        <v/>
      </c>
      <c r="K195" s="63"/>
      <c r="L195" s="16" t="str">
        <f aca="false">IF(AND($A195="",$B195="",$C195="",$D195=""),"",IF($A195="","⚠ Date missing",IF($B195="","⚠ Site missing",IF(ISNA(MATCH($C195,Mix_Code,0)),"⚠ Unknown mix code",IF($D195="","⚠ Enter m3 produced",IF(COUNTIF(CI_Site,$B195)=0,"⚠ Site not set up in Current Inventory",IF($A195&gt;AsOfDate,"Future date – not yet deducted","OK")))))))</f>
        <v/>
      </c>
    </row>
    <row r="196" customFormat="false" ht="15" hidden="false" customHeight="false" outlineLevel="0" collapsed="false">
      <c r="A196" s="65"/>
      <c r="B196" s="63"/>
      <c r="C196" s="70"/>
      <c r="D196" s="66"/>
      <c r="E196" s="16" t="str">
        <f aca="false">IF($C196="","",IFERROR(INDEX(Mix_Desc,MATCH($C196,Mix_Code,0)),"⚠ Unknown mix code"))</f>
        <v/>
      </c>
      <c r="F196" s="67" t="str">
        <f aca="false">IF(OR($C196="",$D196=""),"",IFERROR($D196*INDEX(Mix_Eff,MATCH($C196,Mix_Code,0),1),""))</f>
        <v/>
      </c>
      <c r="G196" s="67" t="str">
        <f aca="false">IF(OR($C196="",$D196=""),"",IFERROR($D196*INDEX(Mix_Eff,MATCH($C196,Mix_Code,0),2),""))</f>
        <v/>
      </c>
      <c r="H196" s="67" t="str">
        <f aca="false">IF(OR($C196="",$D196=""),"",IFERROR($D196*INDEX(Mix_Eff,MATCH($C196,Mix_Code,0),3),""))</f>
        <v/>
      </c>
      <c r="I196" s="67" t="str">
        <f aca="false">IF(OR($C196="",$D196=""),"",IFERROR($D196*INDEX(Mix_Eff,MATCH($C196,Mix_Code,0),4),""))</f>
        <v/>
      </c>
      <c r="J196" s="67" t="str">
        <f aca="false">IF(OR($C196="",$D196=""),"",IFERROR($D196*INDEX(Mix_Eff,MATCH($C196,Mix_Code,0),5),""))</f>
        <v/>
      </c>
      <c r="K196" s="63"/>
      <c r="L196" s="16" t="str">
        <f aca="false">IF(AND($A196="",$B196="",$C196="",$D196=""),"",IF($A196="","⚠ Date missing",IF($B196="","⚠ Site missing",IF(ISNA(MATCH($C196,Mix_Code,0)),"⚠ Unknown mix code",IF($D196="","⚠ Enter m3 produced",IF(COUNTIF(CI_Site,$B196)=0,"⚠ Site not set up in Current Inventory",IF($A196&gt;AsOfDate,"Future date – not yet deducted","OK")))))))</f>
        <v/>
      </c>
    </row>
    <row r="197" customFormat="false" ht="15" hidden="false" customHeight="false" outlineLevel="0" collapsed="false">
      <c r="A197" s="65"/>
      <c r="B197" s="63"/>
      <c r="C197" s="70"/>
      <c r="D197" s="66"/>
      <c r="E197" s="16" t="str">
        <f aca="false">IF($C197="","",IFERROR(INDEX(Mix_Desc,MATCH($C197,Mix_Code,0)),"⚠ Unknown mix code"))</f>
        <v/>
      </c>
      <c r="F197" s="67" t="str">
        <f aca="false">IF(OR($C197="",$D197=""),"",IFERROR($D197*INDEX(Mix_Eff,MATCH($C197,Mix_Code,0),1),""))</f>
        <v/>
      </c>
      <c r="G197" s="67" t="str">
        <f aca="false">IF(OR($C197="",$D197=""),"",IFERROR($D197*INDEX(Mix_Eff,MATCH($C197,Mix_Code,0),2),""))</f>
        <v/>
      </c>
      <c r="H197" s="67" t="str">
        <f aca="false">IF(OR($C197="",$D197=""),"",IFERROR($D197*INDEX(Mix_Eff,MATCH($C197,Mix_Code,0),3),""))</f>
        <v/>
      </c>
      <c r="I197" s="67" t="str">
        <f aca="false">IF(OR($C197="",$D197=""),"",IFERROR($D197*INDEX(Mix_Eff,MATCH($C197,Mix_Code,0),4),""))</f>
        <v/>
      </c>
      <c r="J197" s="67" t="str">
        <f aca="false">IF(OR($C197="",$D197=""),"",IFERROR($D197*INDEX(Mix_Eff,MATCH($C197,Mix_Code,0),5),""))</f>
        <v/>
      </c>
      <c r="K197" s="63"/>
      <c r="L197" s="16" t="str">
        <f aca="false">IF(AND($A197="",$B197="",$C197="",$D197=""),"",IF($A197="","⚠ Date missing",IF($B197="","⚠ Site missing",IF(ISNA(MATCH($C197,Mix_Code,0)),"⚠ Unknown mix code",IF($D197="","⚠ Enter m3 produced",IF(COUNTIF(CI_Site,$B197)=0,"⚠ Site not set up in Current Inventory",IF($A197&gt;AsOfDate,"Future date – not yet deducted","OK")))))))</f>
        <v/>
      </c>
    </row>
    <row r="198" customFormat="false" ht="15" hidden="false" customHeight="false" outlineLevel="0" collapsed="false">
      <c r="A198" s="65"/>
      <c r="B198" s="63"/>
      <c r="C198" s="70"/>
      <c r="D198" s="66"/>
      <c r="E198" s="16" t="str">
        <f aca="false">IF($C198="","",IFERROR(INDEX(Mix_Desc,MATCH($C198,Mix_Code,0)),"⚠ Unknown mix code"))</f>
        <v/>
      </c>
      <c r="F198" s="67" t="str">
        <f aca="false">IF(OR($C198="",$D198=""),"",IFERROR($D198*INDEX(Mix_Eff,MATCH($C198,Mix_Code,0),1),""))</f>
        <v/>
      </c>
      <c r="G198" s="67" t="str">
        <f aca="false">IF(OR($C198="",$D198=""),"",IFERROR($D198*INDEX(Mix_Eff,MATCH($C198,Mix_Code,0),2),""))</f>
        <v/>
      </c>
      <c r="H198" s="67" t="str">
        <f aca="false">IF(OR($C198="",$D198=""),"",IFERROR($D198*INDEX(Mix_Eff,MATCH($C198,Mix_Code,0),3),""))</f>
        <v/>
      </c>
      <c r="I198" s="67" t="str">
        <f aca="false">IF(OR($C198="",$D198=""),"",IFERROR($D198*INDEX(Mix_Eff,MATCH($C198,Mix_Code,0),4),""))</f>
        <v/>
      </c>
      <c r="J198" s="67" t="str">
        <f aca="false">IF(OR($C198="",$D198=""),"",IFERROR($D198*INDEX(Mix_Eff,MATCH($C198,Mix_Code,0),5),""))</f>
        <v/>
      </c>
      <c r="K198" s="63"/>
      <c r="L198" s="16" t="str">
        <f aca="false">IF(AND($A198="",$B198="",$C198="",$D198=""),"",IF($A198="","⚠ Date missing",IF($B198="","⚠ Site missing",IF(ISNA(MATCH($C198,Mix_Code,0)),"⚠ Unknown mix code",IF($D198="","⚠ Enter m3 produced",IF(COUNTIF(CI_Site,$B198)=0,"⚠ Site not set up in Current Inventory",IF($A198&gt;AsOfDate,"Future date – not yet deducted","OK")))))))</f>
        <v/>
      </c>
    </row>
    <row r="199" customFormat="false" ht="15" hidden="false" customHeight="false" outlineLevel="0" collapsed="false">
      <c r="A199" s="65"/>
      <c r="B199" s="63"/>
      <c r="C199" s="70"/>
      <c r="D199" s="66"/>
      <c r="E199" s="16" t="str">
        <f aca="false">IF($C199="","",IFERROR(INDEX(Mix_Desc,MATCH($C199,Mix_Code,0)),"⚠ Unknown mix code"))</f>
        <v/>
      </c>
      <c r="F199" s="67" t="str">
        <f aca="false">IF(OR($C199="",$D199=""),"",IFERROR($D199*INDEX(Mix_Eff,MATCH($C199,Mix_Code,0),1),""))</f>
        <v/>
      </c>
      <c r="G199" s="67" t="str">
        <f aca="false">IF(OR($C199="",$D199=""),"",IFERROR($D199*INDEX(Mix_Eff,MATCH($C199,Mix_Code,0),2),""))</f>
        <v/>
      </c>
      <c r="H199" s="67" t="str">
        <f aca="false">IF(OR($C199="",$D199=""),"",IFERROR($D199*INDEX(Mix_Eff,MATCH($C199,Mix_Code,0),3),""))</f>
        <v/>
      </c>
      <c r="I199" s="67" t="str">
        <f aca="false">IF(OR($C199="",$D199=""),"",IFERROR($D199*INDEX(Mix_Eff,MATCH($C199,Mix_Code,0),4),""))</f>
        <v/>
      </c>
      <c r="J199" s="67" t="str">
        <f aca="false">IF(OR($C199="",$D199=""),"",IFERROR($D199*INDEX(Mix_Eff,MATCH($C199,Mix_Code,0),5),""))</f>
        <v/>
      </c>
      <c r="K199" s="63"/>
      <c r="L199" s="16" t="str">
        <f aca="false">IF(AND($A199="",$B199="",$C199="",$D199=""),"",IF($A199="","⚠ Date missing",IF($B199="","⚠ Site missing",IF(ISNA(MATCH($C199,Mix_Code,0)),"⚠ Unknown mix code",IF($D199="","⚠ Enter m3 produced",IF(COUNTIF(CI_Site,$B199)=0,"⚠ Site not set up in Current Inventory",IF($A199&gt;AsOfDate,"Future date – not yet deducted","OK")))))))</f>
        <v/>
      </c>
    </row>
    <row r="200" customFormat="false" ht="15" hidden="false" customHeight="false" outlineLevel="0" collapsed="false">
      <c r="A200" s="65"/>
      <c r="B200" s="63"/>
      <c r="C200" s="70"/>
      <c r="D200" s="66"/>
      <c r="E200" s="16" t="str">
        <f aca="false">IF($C200="","",IFERROR(INDEX(Mix_Desc,MATCH($C200,Mix_Code,0)),"⚠ Unknown mix code"))</f>
        <v/>
      </c>
      <c r="F200" s="67" t="str">
        <f aca="false">IF(OR($C200="",$D200=""),"",IFERROR($D200*INDEX(Mix_Eff,MATCH($C200,Mix_Code,0),1),""))</f>
        <v/>
      </c>
      <c r="G200" s="67" t="str">
        <f aca="false">IF(OR($C200="",$D200=""),"",IFERROR($D200*INDEX(Mix_Eff,MATCH($C200,Mix_Code,0),2),""))</f>
        <v/>
      </c>
      <c r="H200" s="67" t="str">
        <f aca="false">IF(OR($C200="",$D200=""),"",IFERROR($D200*INDEX(Mix_Eff,MATCH($C200,Mix_Code,0),3),""))</f>
        <v/>
      </c>
      <c r="I200" s="67" t="str">
        <f aca="false">IF(OR($C200="",$D200=""),"",IFERROR($D200*INDEX(Mix_Eff,MATCH($C200,Mix_Code,0),4),""))</f>
        <v/>
      </c>
      <c r="J200" s="67" t="str">
        <f aca="false">IF(OR($C200="",$D200=""),"",IFERROR($D200*INDEX(Mix_Eff,MATCH($C200,Mix_Code,0),5),""))</f>
        <v/>
      </c>
      <c r="K200" s="63"/>
      <c r="L200" s="16" t="str">
        <f aca="false">IF(AND($A200="",$B200="",$C200="",$D200=""),"",IF($A200="","⚠ Date missing",IF($B200="","⚠ Site missing",IF(ISNA(MATCH($C200,Mix_Code,0)),"⚠ Unknown mix code",IF($D200="","⚠ Enter m3 produced",IF(COUNTIF(CI_Site,$B200)=0,"⚠ Site not set up in Current Inventory",IF($A200&gt;AsOfDate,"Future date – not yet deducted","OK")))))))</f>
        <v/>
      </c>
    </row>
    <row r="201" customFormat="false" ht="15" hidden="false" customHeight="false" outlineLevel="0" collapsed="false">
      <c r="A201" s="65"/>
      <c r="B201" s="63"/>
      <c r="C201" s="70"/>
      <c r="D201" s="66"/>
      <c r="E201" s="16" t="str">
        <f aca="false">IF($C201="","",IFERROR(INDEX(Mix_Desc,MATCH($C201,Mix_Code,0)),"⚠ Unknown mix code"))</f>
        <v/>
      </c>
      <c r="F201" s="67" t="str">
        <f aca="false">IF(OR($C201="",$D201=""),"",IFERROR($D201*INDEX(Mix_Eff,MATCH($C201,Mix_Code,0),1),""))</f>
        <v/>
      </c>
      <c r="G201" s="67" t="str">
        <f aca="false">IF(OR($C201="",$D201=""),"",IFERROR($D201*INDEX(Mix_Eff,MATCH($C201,Mix_Code,0),2),""))</f>
        <v/>
      </c>
      <c r="H201" s="67" t="str">
        <f aca="false">IF(OR($C201="",$D201=""),"",IFERROR($D201*INDEX(Mix_Eff,MATCH($C201,Mix_Code,0),3),""))</f>
        <v/>
      </c>
      <c r="I201" s="67" t="str">
        <f aca="false">IF(OR($C201="",$D201=""),"",IFERROR($D201*INDEX(Mix_Eff,MATCH($C201,Mix_Code,0),4),""))</f>
        <v/>
      </c>
      <c r="J201" s="67" t="str">
        <f aca="false">IF(OR($C201="",$D201=""),"",IFERROR($D201*INDEX(Mix_Eff,MATCH($C201,Mix_Code,0),5),""))</f>
        <v/>
      </c>
      <c r="K201" s="63"/>
      <c r="L201" s="16" t="str">
        <f aca="false">IF(AND($A201="",$B201="",$C201="",$D201=""),"",IF($A201="","⚠ Date missing",IF($B201="","⚠ Site missing",IF(ISNA(MATCH($C201,Mix_Code,0)),"⚠ Unknown mix code",IF($D201="","⚠ Enter m3 produced",IF(COUNTIF(CI_Site,$B201)=0,"⚠ Site not set up in Current Inventory",IF($A201&gt;AsOfDate,"Future date – not yet deducted","OK")))))))</f>
        <v/>
      </c>
    </row>
    <row r="202" customFormat="false" ht="15" hidden="false" customHeight="false" outlineLevel="0" collapsed="false">
      <c r="A202" s="65"/>
      <c r="B202" s="63"/>
      <c r="C202" s="70"/>
      <c r="D202" s="66"/>
      <c r="E202" s="16" t="str">
        <f aca="false">IF($C202="","",IFERROR(INDEX(Mix_Desc,MATCH($C202,Mix_Code,0)),"⚠ Unknown mix code"))</f>
        <v/>
      </c>
      <c r="F202" s="67" t="str">
        <f aca="false">IF(OR($C202="",$D202=""),"",IFERROR($D202*INDEX(Mix_Eff,MATCH($C202,Mix_Code,0),1),""))</f>
        <v/>
      </c>
      <c r="G202" s="67" t="str">
        <f aca="false">IF(OR($C202="",$D202=""),"",IFERROR($D202*INDEX(Mix_Eff,MATCH($C202,Mix_Code,0),2),""))</f>
        <v/>
      </c>
      <c r="H202" s="67" t="str">
        <f aca="false">IF(OR($C202="",$D202=""),"",IFERROR($D202*INDEX(Mix_Eff,MATCH($C202,Mix_Code,0),3),""))</f>
        <v/>
      </c>
      <c r="I202" s="67" t="str">
        <f aca="false">IF(OR($C202="",$D202=""),"",IFERROR($D202*INDEX(Mix_Eff,MATCH($C202,Mix_Code,0),4),""))</f>
        <v/>
      </c>
      <c r="J202" s="67" t="str">
        <f aca="false">IF(OR($C202="",$D202=""),"",IFERROR($D202*INDEX(Mix_Eff,MATCH($C202,Mix_Code,0),5),""))</f>
        <v/>
      </c>
      <c r="K202" s="63"/>
      <c r="L202" s="16" t="str">
        <f aca="false">IF(AND($A202="",$B202="",$C202="",$D202=""),"",IF($A202="","⚠ Date missing",IF($B202="","⚠ Site missing",IF(ISNA(MATCH($C202,Mix_Code,0)),"⚠ Unknown mix code",IF($D202="","⚠ Enter m3 produced",IF(COUNTIF(CI_Site,$B202)=0,"⚠ Site not set up in Current Inventory",IF($A202&gt;AsOfDate,"Future date – not yet deducted","OK")))))))</f>
        <v/>
      </c>
    </row>
    <row r="203" customFormat="false" ht="15" hidden="false" customHeight="false" outlineLevel="0" collapsed="false">
      <c r="A203" s="65"/>
      <c r="B203" s="63"/>
      <c r="C203" s="70"/>
      <c r="D203" s="66"/>
      <c r="E203" s="16" t="str">
        <f aca="false">IF($C203="","",IFERROR(INDEX(Mix_Desc,MATCH($C203,Mix_Code,0)),"⚠ Unknown mix code"))</f>
        <v/>
      </c>
      <c r="F203" s="67" t="str">
        <f aca="false">IF(OR($C203="",$D203=""),"",IFERROR($D203*INDEX(Mix_Eff,MATCH($C203,Mix_Code,0),1),""))</f>
        <v/>
      </c>
      <c r="G203" s="67" t="str">
        <f aca="false">IF(OR($C203="",$D203=""),"",IFERROR($D203*INDEX(Mix_Eff,MATCH($C203,Mix_Code,0),2),""))</f>
        <v/>
      </c>
      <c r="H203" s="67" t="str">
        <f aca="false">IF(OR($C203="",$D203=""),"",IFERROR($D203*INDEX(Mix_Eff,MATCH($C203,Mix_Code,0),3),""))</f>
        <v/>
      </c>
      <c r="I203" s="67" t="str">
        <f aca="false">IF(OR($C203="",$D203=""),"",IFERROR($D203*INDEX(Mix_Eff,MATCH($C203,Mix_Code,0),4),""))</f>
        <v/>
      </c>
      <c r="J203" s="67" t="str">
        <f aca="false">IF(OR($C203="",$D203=""),"",IFERROR($D203*INDEX(Mix_Eff,MATCH($C203,Mix_Code,0),5),""))</f>
        <v/>
      </c>
      <c r="K203" s="63"/>
      <c r="L203" s="16" t="str">
        <f aca="false">IF(AND($A203="",$B203="",$C203="",$D203=""),"",IF($A203="","⚠ Date missing",IF($B203="","⚠ Site missing",IF(ISNA(MATCH($C203,Mix_Code,0)),"⚠ Unknown mix code",IF($D203="","⚠ Enter m3 produced",IF(COUNTIF(CI_Site,$B203)=0,"⚠ Site not set up in Current Inventory",IF($A203&gt;AsOfDate,"Future date – not yet deducted","OK")))))))</f>
        <v/>
      </c>
    </row>
    <row r="204" customFormat="false" ht="15" hidden="false" customHeight="false" outlineLevel="0" collapsed="false">
      <c r="A204" s="65"/>
      <c r="B204" s="63"/>
      <c r="C204" s="70"/>
      <c r="D204" s="66"/>
      <c r="E204" s="16" t="str">
        <f aca="false">IF($C204="","",IFERROR(INDEX(Mix_Desc,MATCH($C204,Mix_Code,0)),"⚠ Unknown mix code"))</f>
        <v/>
      </c>
      <c r="F204" s="67" t="str">
        <f aca="false">IF(OR($C204="",$D204=""),"",IFERROR($D204*INDEX(Mix_Eff,MATCH($C204,Mix_Code,0),1),""))</f>
        <v/>
      </c>
      <c r="G204" s="67" t="str">
        <f aca="false">IF(OR($C204="",$D204=""),"",IFERROR($D204*INDEX(Mix_Eff,MATCH($C204,Mix_Code,0),2),""))</f>
        <v/>
      </c>
      <c r="H204" s="67" t="str">
        <f aca="false">IF(OR($C204="",$D204=""),"",IFERROR($D204*INDEX(Mix_Eff,MATCH($C204,Mix_Code,0),3),""))</f>
        <v/>
      </c>
      <c r="I204" s="67" t="str">
        <f aca="false">IF(OR($C204="",$D204=""),"",IFERROR($D204*INDEX(Mix_Eff,MATCH($C204,Mix_Code,0),4),""))</f>
        <v/>
      </c>
      <c r="J204" s="67" t="str">
        <f aca="false">IF(OR($C204="",$D204=""),"",IFERROR($D204*INDEX(Mix_Eff,MATCH($C204,Mix_Code,0),5),""))</f>
        <v/>
      </c>
      <c r="K204" s="63"/>
      <c r="L204" s="16" t="str">
        <f aca="false">IF(AND($A204="",$B204="",$C204="",$D204=""),"",IF($A204="","⚠ Date missing",IF($B204="","⚠ Site missing",IF(ISNA(MATCH($C204,Mix_Code,0)),"⚠ Unknown mix code",IF($D204="","⚠ Enter m3 produced",IF(COUNTIF(CI_Site,$B204)=0,"⚠ Site not set up in Current Inventory",IF($A204&gt;AsOfDate,"Future date – not yet deducted","OK")))))))</f>
        <v/>
      </c>
    </row>
    <row r="205" customFormat="false" ht="15" hidden="false" customHeight="false" outlineLevel="0" collapsed="false">
      <c r="A205" s="65"/>
      <c r="B205" s="63"/>
      <c r="C205" s="70"/>
      <c r="D205" s="66"/>
      <c r="E205" s="16" t="str">
        <f aca="false">IF($C205="","",IFERROR(INDEX(Mix_Desc,MATCH($C205,Mix_Code,0)),"⚠ Unknown mix code"))</f>
        <v/>
      </c>
      <c r="F205" s="67" t="str">
        <f aca="false">IF(OR($C205="",$D205=""),"",IFERROR($D205*INDEX(Mix_Eff,MATCH($C205,Mix_Code,0),1),""))</f>
        <v/>
      </c>
      <c r="G205" s="67" t="str">
        <f aca="false">IF(OR($C205="",$D205=""),"",IFERROR($D205*INDEX(Mix_Eff,MATCH($C205,Mix_Code,0),2),""))</f>
        <v/>
      </c>
      <c r="H205" s="67" t="str">
        <f aca="false">IF(OR($C205="",$D205=""),"",IFERROR($D205*INDEX(Mix_Eff,MATCH($C205,Mix_Code,0),3),""))</f>
        <v/>
      </c>
      <c r="I205" s="67" t="str">
        <f aca="false">IF(OR($C205="",$D205=""),"",IFERROR($D205*INDEX(Mix_Eff,MATCH($C205,Mix_Code,0),4),""))</f>
        <v/>
      </c>
      <c r="J205" s="67" t="str">
        <f aca="false">IF(OR($C205="",$D205=""),"",IFERROR($D205*INDEX(Mix_Eff,MATCH($C205,Mix_Code,0),5),""))</f>
        <v/>
      </c>
      <c r="K205" s="63"/>
      <c r="L205" s="16" t="str">
        <f aca="false">IF(AND($A205="",$B205="",$C205="",$D205=""),"",IF($A205="","⚠ Date missing",IF($B205="","⚠ Site missing",IF(ISNA(MATCH($C205,Mix_Code,0)),"⚠ Unknown mix code",IF($D205="","⚠ Enter m3 produced",IF(COUNTIF(CI_Site,$B205)=0,"⚠ Site not set up in Current Inventory",IF($A205&gt;AsOfDate,"Future date – not yet deducted","OK")))))))</f>
        <v/>
      </c>
    </row>
    <row r="206" customFormat="false" ht="15" hidden="false" customHeight="false" outlineLevel="0" collapsed="false">
      <c r="A206" s="65"/>
      <c r="B206" s="63"/>
      <c r="C206" s="70"/>
      <c r="D206" s="66"/>
      <c r="E206" s="16" t="str">
        <f aca="false">IF($C206="","",IFERROR(INDEX(Mix_Desc,MATCH($C206,Mix_Code,0)),"⚠ Unknown mix code"))</f>
        <v/>
      </c>
      <c r="F206" s="67" t="str">
        <f aca="false">IF(OR($C206="",$D206=""),"",IFERROR($D206*INDEX(Mix_Eff,MATCH($C206,Mix_Code,0),1),""))</f>
        <v/>
      </c>
      <c r="G206" s="67" t="str">
        <f aca="false">IF(OR($C206="",$D206=""),"",IFERROR($D206*INDEX(Mix_Eff,MATCH($C206,Mix_Code,0),2),""))</f>
        <v/>
      </c>
      <c r="H206" s="67" t="str">
        <f aca="false">IF(OR($C206="",$D206=""),"",IFERROR($D206*INDEX(Mix_Eff,MATCH($C206,Mix_Code,0),3),""))</f>
        <v/>
      </c>
      <c r="I206" s="67" t="str">
        <f aca="false">IF(OR($C206="",$D206=""),"",IFERROR($D206*INDEX(Mix_Eff,MATCH($C206,Mix_Code,0),4),""))</f>
        <v/>
      </c>
      <c r="J206" s="67" t="str">
        <f aca="false">IF(OR($C206="",$D206=""),"",IFERROR($D206*INDEX(Mix_Eff,MATCH($C206,Mix_Code,0),5),""))</f>
        <v/>
      </c>
      <c r="K206" s="63"/>
      <c r="L206" s="16" t="str">
        <f aca="false">IF(AND($A206="",$B206="",$C206="",$D206=""),"",IF($A206="","⚠ Date missing",IF($B206="","⚠ Site missing",IF(ISNA(MATCH($C206,Mix_Code,0)),"⚠ Unknown mix code",IF($D206="","⚠ Enter m3 produced",IF(COUNTIF(CI_Site,$B206)=0,"⚠ Site not set up in Current Inventory",IF($A206&gt;AsOfDate,"Future date – not yet deducted","OK")))))))</f>
        <v/>
      </c>
    </row>
    <row r="207" customFormat="false" ht="15" hidden="false" customHeight="false" outlineLevel="0" collapsed="false">
      <c r="A207" s="65"/>
      <c r="B207" s="63"/>
      <c r="C207" s="70"/>
      <c r="D207" s="66"/>
      <c r="E207" s="16" t="str">
        <f aca="false">IF($C207="","",IFERROR(INDEX(Mix_Desc,MATCH($C207,Mix_Code,0)),"⚠ Unknown mix code"))</f>
        <v/>
      </c>
      <c r="F207" s="67" t="str">
        <f aca="false">IF(OR($C207="",$D207=""),"",IFERROR($D207*INDEX(Mix_Eff,MATCH($C207,Mix_Code,0),1),""))</f>
        <v/>
      </c>
      <c r="G207" s="67" t="str">
        <f aca="false">IF(OR($C207="",$D207=""),"",IFERROR($D207*INDEX(Mix_Eff,MATCH($C207,Mix_Code,0),2),""))</f>
        <v/>
      </c>
      <c r="H207" s="67" t="str">
        <f aca="false">IF(OR($C207="",$D207=""),"",IFERROR($D207*INDEX(Mix_Eff,MATCH($C207,Mix_Code,0),3),""))</f>
        <v/>
      </c>
      <c r="I207" s="67" t="str">
        <f aca="false">IF(OR($C207="",$D207=""),"",IFERROR($D207*INDEX(Mix_Eff,MATCH($C207,Mix_Code,0),4),""))</f>
        <v/>
      </c>
      <c r="J207" s="67" t="str">
        <f aca="false">IF(OR($C207="",$D207=""),"",IFERROR($D207*INDEX(Mix_Eff,MATCH($C207,Mix_Code,0),5),""))</f>
        <v/>
      </c>
      <c r="K207" s="63"/>
      <c r="L207" s="16" t="str">
        <f aca="false">IF(AND($A207="",$B207="",$C207="",$D207=""),"",IF($A207="","⚠ Date missing",IF($B207="","⚠ Site missing",IF(ISNA(MATCH($C207,Mix_Code,0)),"⚠ Unknown mix code",IF($D207="","⚠ Enter m3 produced",IF(COUNTIF(CI_Site,$B207)=0,"⚠ Site not set up in Current Inventory",IF($A207&gt;AsOfDate,"Future date – not yet deducted","OK")))))))</f>
        <v/>
      </c>
    </row>
    <row r="208" customFormat="false" ht="15" hidden="false" customHeight="false" outlineLevel="0" collapsed="false">
      <c r="A208" s="65"/>
      <c r="B208" s="63"/>
      <c r="C208" s="70"/>
      <c r="D208" s="66"/>
      <c r="E208" s="16" t="str">
        <f aca="false">IF($C208="","",IFERROR(INDEX(Mix_Desc,MATCH($C208,Mix_Code,0)),"⚠ Unknown mix code"))</f>
        <v/>
      </c>
      <c r="F208" s="67" t="str">
        <f aca="false">IF(OR($C208="",$D208=""),"",IFERROR($D208*INDEX(Mix_Eff,MATCH($C208,Mix_Code,0),1),""))</f>
        <v/>
      </c>
      <c r="G208" s="67" t="str">
        <f aca="false">IF(OR($C208="",$D208=""),"",IFERROR($D208*INDEX(Mix_Eff,MATCH($C208,Mix_Code,0),2),""))</f>
        <v/>
      </c>
      <c r="H208" s="67" t="str">
        <f aca="false">IF(OR($C208="",$D208=""),"",IFERROR($D208*INDEX(Mix_Eff,MATCH($C208,Mix_Code,0),3),""))</f>
        <v/>
      </c>
      <c r="I208" s="67" t="str">
        <f aca="false">IF(OR($C208="",$D208=""),"",IFERROR($D208*INDEX(Mix_Eff,MATCH($C208,Mix_Code,0),4),""))</f>
        <v/>
      </c>
      <c r="J208" s="67" t="str">
        <f aca="false">IF(OR($C208="",$D208=""),"",IFERROR($D208*INDEX(Mix_Eff,MATCH($C208,Mix_Code,0),5),""))</f>
        <v/>
      </c>
      <c r="K208" s="63"/>
      <c r="L208" s="16" t="str">
        <f aca="false">IF(AND($A208="",$B208="",$C208="",$D208=""),"",IF($A208="","⚠ Date missing",IF($B208="","⚠ Site missing",IF(ISNA(MATCH($C208,Mix_Code,0)),"⚠ Unknown mix code",IF($D208="","⚠ Enter m3 produced",IF(COUNTIF(CI_Site,$B208)=0,"⚠ Site not set up in Current Inventory",IF($A208&gt;AsOfDate,"Future date – not yet deducted","OK")))))))</f>
        <v/>
      </c>
    </row>
    <row r="209" customFormat="false" ht="15" hidden="false" customHeight="false" outlineLevel="0" collapsed="false">
      <c r="A209" s="65"/>
      <c r="B209" s="63"/>
      <c r="C209" s="70"/>
      <c r="D209" s="66"/>
      <c r="E209" s="16" t="str">
        <f aca="false">IF($C209="","",IFERROR(INDEX(Mix_Desc,MATCH($C209,Mix_Code,0)),"⚠ Unknown mix code"))</f>
        <v/>
      </c>
      <c r="F209" s="67" t="str">
        <f aca="false">IF(OR($C209="",$D209=""),"",IFERROR($D209*INDEX(Mix_Eff,MATCH($C209,Mix_Code,0),1),""))</f>
        <v/>
      </c>
      <c r="G209" s="67" t="str">
        <f aca="false">IF(OR($C209="",$D209=""),"",IFERROR($D209*INDEX(Mix_Eff,MATCH($C209,Mix_Code,0),2),""))</f>
        <v/>
      </c>
      <c r="H209" s="67" t="str">
        <f aca="false">IF(OR($C209="",$D209=""),"",IFERROR($D209*INDEX(Mix_Eff,MATCH($C209,Mix_Code,0),3),""))</f>
        <v/>
      </c>
      <c r="I209" s="67" t="str">
        <f aca="false">IF(OR($C209="",$D209=""),"",IFERROR($D209*INDEX(Mix_Eff,MATCH($C209,Mix_Code,0),4),""))</f>
        <v/>
      </c>
      <c r="J209" s="67" t="str">
        <f aca="false">IF(OR($C209="",$D209=""),"",IFERROR($D209*INDEX(Mix_Eff,MATCH($C209,Mix_Code,0),5),""))</f>
        <v/>
      </c>
      <c r="K209" s="63"/>
      <c r="L209" s="16" t="str">
        <f aca="false">IF(AND($A209="",$B209="",$C209="",$D209=""),"",IF($A209="","⚠ Date missing",IF($B209="","⚠ Site missing",IF(ISNA(MATCH($C209,Mix_Code,0)),"⚠ Unknown mix code",IF($D209="","⚠ Enter m3 produced",IF(COUNTIF(CI_Site,$B209)=0,"⚠ Site not set up in Current Inventory",IF($A209&gt;AsOfDate,"Future date – not yet deducted","OK")))))))</f>
        <v/>
      </c>
    </row>
    <row r="210" customFormat="false" ht="15" hidden="false" customHeight="false" outlineLevel="0" collapsed="false">
      <c r="A210" s="65"/>
      <c r="B210" s="63"/>
      <c r="C210" s="70"/>
      <c r="D210" s="66"/>
      <c r="E210" s="16" t="str">
        <f aca="false">IF($C210="","",IFERROR(INDEX(Mix_Desc,MATCH($C210,Mix_Code,0)),"⚠ Unknown mix code"))</f>
        <v/>
      </c>
      <c r="F210" s="67" t="str">
        <f aca="false">IF(OR($C210="",$D210=""),"",IFERROR($D210*INDEX(Mix_Eff,MATCH($C210,Mix_Code,0),1),""))</f>
        <v/>
      </c>
      <c r="G210" s="67" t="str">
        <f aca="false">IF(OR($C210="",$D210=""),"",IFERROR($D210*INDEX(Mix_Eff,MATCH($C210,Mix_Code,0),2),""))</f>
        <v/>
      </c>
      <c r="H210" s="67" t="str">
        <f aca="false">IF(OR($C210="",$D210=""),"",IFERROR($D210*INDEX(Mix_Eff,MATCH($C210,Mix_Code,0),3),""))</f>
        <v/>
      </c>
      <c r="I210" s="67" t="str">
        <f aca="false">IF(OR($C210="",$D210=""),"",IFERROR($D210*INDEX(Mix_Eff,MATCH($C210,Mix_Code,0),4),""))</f>
        <v/>
      </c>
      <c r="J210" s="67" t="str">
        <f aca="false">IF(OR($C210="",$D210=""),"",IFERROR($D210*INDEX(Mix_Eff,MATCH($C210,Mix_Code,0),5),""))</f>
        <v/>
      </c>
      <c r="K210" s="63"/>
      <c r="L210" s="16" t="str">
        <f aca="false">IF(AND($A210="",$B210="",$C210="",$D210=""),"",IF($A210="","⚠ Date missing",IF($B210="","⚠ Site missing",IF(ISNA(MATCH($C210,Mix_Code,0)),"⚠ Unknown mix code",IF($D210="","⚠ Enter m3 produced",IF(COUNTIF(CI_Site,$B210)=0,"⚠ Site not set up in Current Inventory",IF($A210&gt;AsOfDate,"Future date – not yet deducted","OK")))))))</f>
        <v/>
      </c>
    </row>
    <row r="211" customFormat="false" ht="15" hidden="false" customHeight="false" outlineLevel="0" collapsed="false">
      <c r="A211" s="65"/>
      <c r="B211" s="63"/>
      <c r="C211" s="70"/>
      <c r="D211" s="66"/>
      <c r="E211" s="16" t="str">
        <f aca="false">IF($C211="","",IFERROR(INDEX(Mix_Desc,MATCH($C211,Mix_Code,0)),"⚠ Unknown mix code"))</f>
        <v/>
      </c>
      <c r="F211" s="67" t="str">
        <f aca="false">IF(OR($C211="",$D211=""),"",IFERROR($D211*INDEX(Mix_Eff,MATCH($C211,Mix_Code,0),1),""))</f>
        <v/>
      </c>
      <c r="G211" s="67" t="str">
        <f aca="false">IF(OR($C211="",$D211=""),"",IFERROR($D211*INDEX(Mix_Eff,MATCH($C211,Mix_Code,0),2),""))</f>
        <v/>
      </c>
      <c r="H211" s="67" t="str">
        <f aca="false">IF(OR($C211="",$D211=""),"",IFERROR($D211*INDEX(Mix_Eff,MATCH($C211,Mix_Code,0),3),""))</f>
        <v/>
      </c>
      <c r="I211" s="67" t="str">
        <f aca="false">IF(OR($C211="",$D211=""),"",IFERROR($D211*INDEX(Mix_Eff,MATCH($C211,Mix_Code,0),4),""))</f>
        <v/>
      </c>
      <c r="J211" s="67" t="str">
        <f aca="false">IF(OR($C211="",$D211=""),"",IFERROR($D211*INDEX(Mix_Eff,MATCH($C211,Mix_Code,0),5),""))</f>
        <v/>
      </c>
      <c r="K211" s="63"/>
      <c r="L211" s="16" t="str">
        <f aca="false">IF(AND($A211="",$B211="",$C211="",$D211=""),"",IF($A211="","⚠ Date missing",IF($B211="","⚠ Site missing",IF(ISNA(MATCH($C211,Mix_Code,0)),"⚠ Unknown mix code",IF($D211="","⚠ Enter m3 produced",IF(COUNTIF(CI_Site,$B211)=0,"⚠ Site not set up in Current Inventory",IF($A211&gt;AsOfDate,"Future date – not yet deducted","OK")))))))</f>
        <v/>
      </c>
    </row>
    <row r="212" customFormat="false" ht="15" hidden="false" customHeight="false" outlineLevel="0" collapsed="false">
      <c r="A212" s="65"/>
      <c r="B212" s="63"/>
      <c r="C212" s="70"/>
      <c r="D212" s="66"/>
      <c r="E212" s="16" t="str">
        <f aca="false">IF($C212="","",IFERROR(INDEX(Mix_Desc,MATCH($C212,Mix_Code,0)),"⚠ Unknown mix code"))</f>
        <v/>
      </c>
      <c r="F212" s="67" t="str">
        <f aca="false">IF(OR($C212="",$D212=""),"",IFERROR($D212*INDEX(Mix_Eff,MATCH($C212,Mix_Code,0),1),""))</f>
        <v/>
      </c>
      <c r="G212" s="67" t="str">
        <f aca="false">IF(OR($C212="",$D212=""),"",IFERROR($D212*INDEX(Mix_Eff,MATCH($C212,Mix_Code,0),2),""))</f>
        <v/>
      </c>
      <c r="H212" s="67" t="str">
        <f aca="false">IF(OR($C212="",$D212=""),"",IFERROR($D212*INDEX(Mix_Eff,MATCH($C212,Mix_Code,0),3),""))</f>
        <v/>
      </c>
      <c r="I212" s="67" t="str">
        <f aca="false">IF(OR($C212="",$D212=""),"",IFERROR($D212*INDEX(Mix_Eff,MATCH($C212,Mix_Code,0),4),""))</f>
        <v/>
      </c>
      <c r="J212" s="67" t="str">
        <f aca="false">IF(OR($C212="",$D212=""),"",IFERROR($D212*INDEX(Mix_Eff,MATCH($C212,Mix_Code,0),5),""))</f>
        <v/>
      </c>
      <c r="K212" s="63"/>
      <c r="L212" s="16" t="str">
        <f aca="false">IF(AND($A212="",$B212="",$C212="",$D212=""),"",IF($A212="","⚠ Date missing",IF($B212="","⚠ Site missing",IF(ISNA(MATCH($C212,Mix_Code,0)),"⚠ Unknown mix code",IF($D212="","⚠ Enter m3 produced",IF(COUNTIF(CI_Site,$B212)=0,"⚠ Site not set up in Current Inventory",IF($A212&gt;AsOfDate,"Future date – not yet deducted","OK")))))))</f>
        <v/>
      </c>
    </row>
    <row r="213" customFormat="false" ht="15" hidden="false" customHeight="false" outlineLevel="0" collapsed="false">
      <c r="A213" s="65"/>
      <c r="B213" s="63"/>
      <c r="C213" s="70"/>
      <c r="D213" s="66"/>
      <c r="E213" s="16" t="str">
        <f aca="false">IF($C213="","",IFERROR(INDEX(Mix_Desc,MATCH($C213,Mix_Code,0)),"⚠ Unknown mix code"))</f>
        <v/>
      </c>
      <c r="F213" s="67" t="str">
        <f aca="false">IF(OR($C213="",$D213=""),"",IFERROR($D213*INDEX(Mix_Eff,MATCH($C213,Mix_Code,0),1),""))</f>
        <v/>
      </c>
      <c r="G213" s="67" t="str">
        <f aca="false">IF(OR($C213="",$D213=""),"",IFERROR($D213*INDEX(Mix_Eff,MATCH($C213,Mix_Code,0),2),""))</f>
        <v/>
      </c>
      <c r="H213" s="67" t="str">
        <f aca="false">IF(OR($C213="",$D213=""),"",IFERROR($D213*INDEX(Mix_Eff,MATCH($C213,Mix_Code,0),3),""))</f>
        <v/>
      </c>
      <c r="I213" s="67" t="str">
        <f aca="false">IF(OR($C213="",$D213=""),"",IFERROR($D213*INDEX(Mix_Eff,MATCH($C213,Mix_Code,0),4),""))</f>
        <v/>
      </c>
      <c r="J213" s="67" t="str">
        <f aca="false">IF(OR($C213="",$D213=""),"",IFERROR($D213*INDEX(Mix_Eff,MATCH($C213,Mix_Code,0),5),""))</f>
        <v/>
      </c>
      <c r="K213" s="63"/>
      <c r="L213" s="16" t="str">
        <f aca="false">IF(AND($A213="",$B213="",$C213="",$D213=""),"",IF($A213="","⚠ Date missing",IF($B213="","⚠ Site missing",IF(ISNA(MATCH($C213,Mix_Code,0)),"⚠ Unknown mix code",IF($D213="","⚠ Enter m3 produced",IF(COUNTIF(CI_Site,$B213)=0,"⚠ Site not set up in Current Inventory",IF($A213&gt;AsOfDate,"Future date – not yet deducted","OK")))))))</f>
        <v/>
      </c>
    </row>
    <row r="214" customFormat="false" ht="15" hidden="false" customHeight="false" outlineLevel="0" collapsed="false">
      <c r="A214" s="65"/>
      <c r="B214" s="63"/>
      <c r="C214" s="70"/>
      <c r="D214" s="66"/>
      <c r="E214" s="16" t="str">
        <f aca="false">IF($C214="","",IFERROR(INDEX(Mix_Desc,MATCH($C214,Mix_Code,0)),"⚠ Unknown mix code"))</f>
        <v/>
      </c>
      <c r="F214" s="67" t="str">
        <f aca="false">IF(OR($C214="",$D214=""),"",IFERROR($D214*INDEX(Mix_Eff,MATCH($C214,Mix_Code,0),1),""))</f>
        <v/>
      </c>
      <c r="G214" s="67" t="str">
        <f aca="false">IF(OR($C214="",$D214=""),"",IFERROR($D214*INDEX(Mix_Eff,MATCH($C214,Mix_Code,0),2),""))</f>
        <v/>
      </c>
      <c r="H214" s="67" t="str">
        <f aca="false">IF(OR($C214="",$D214=""),"",IFERROR($D214*INDEX(Mix_Eff,MATCH($C214,Mix_Code,0),3),""))</f>
        <v/>
      </c>
      <c r="I214" s="67" t="str">
        <f aca="false">IF(OR($C214="",$D214=""),"",IFERROR($D214*INDEX(Mix_Eff,MATCH($C214,Mix_Code,0),4),""))</f>
        <v/>
      </c>
      <c r="J214" s="67" t="str">
        <f aca="false">IF(OR($C214="",$D214=""),"",IFERROR($D214*INDEX(Mix_Eff,MATCH($C214,Mix_Code,0),5),""))</f>
        <v/>
      </c>
      <c r="K214" s="63"/>
      <c r="L214" s="16" t="str">
        <f aca="false">IF(AND($A214="",$B214="",$C214="",$D214=""),"",IF($A214="","⚠ Date missing",IF($B214="","⚠ Site missing",IF(ISNA(MATCH($C214,Mix_Code,0)),"⚠ Unknown mix code",IF($D214="","⚠ Enter m3 produced",IF(COUNTIF(CI_Site,$B214)=0,"⚠ Site not set up in Current Inventory",IF($A214&gt;AsOfDate,"Future date – not yet deducted","OK")))))))</f>
        <v/>
      </c>
    </row>
    <row r="215" customFormat="false" ht="15" hidden="false" customHeight="false" outlineLevel="0" collapsed="false">
      <c r="A215" s="65"/>
      <c r="B215" s="63"/>
      <c r="C215" s="70"/>
      <c r="D215" s="66"/>
      <c r="E215" s="16" t="str">
        <f aca="false">IF($C215="","",IFERROR(INDEX(Mix_Desc,MATCH($C215,Mix_Code,0)),"⚠ Unknown mix code"))</f>
        <v/>
      </c>
      <c r="F215" s="67" t="str">
        <f aca="false">IF(OR($C215="",$D215=""),"",IFERROR($D215*INDEX(Mix_Eff,MATCH($C215,Mix_Code,0),1),""))</f>
        <v/>
      </c>
      <c r="G215" s="67" t="str">
        <f aca="false">IF(OR($C215="",$D215=""),"",IFERROR($D215*INDEX(Mix_Eff,MATCH($C215,Mix_Code,0),2),""))</f>
        <v/>
      </c>
      <c r="H215" s="67" t="str">
        <f aca="false">IF(OR($C215="",$D215=""),"",IFERROR($D215*INDEX(Mix_Eff,MATCH($C215,Mix_Code,0),3),""))</f>
        <v/>
      </c>
      <c r="I215" s="67" t="str">
        <f aca="false">IF(OR($C215="",$D215=""),"",IFERROR($D215*INDEX(Mix_Eff,MATCH($C215,Mix_Code,0),4),""))</f>
        <v/>
      </c>
      <c r="J215" s="67" t="str">
        <f aca="false">IF(OR($C215="",$D215=""),"",IFERROR($D215*INDEX(Mix_Eff,MATCH($C215,Mix_Code,0),5),""))</f>
        <v/>
      </c>
      <c r="K215" s="63"/>
      <c r="L215" s="16" t="str">
        <f aca="false">IF(AND($A215="",$B215="",$C215="",$D215=""),"",IF($A215="","⚠ Date missing",IF($B215="","⚠ Site missing",IF(ISNA(MATCH($C215,Mix_Code,0)),"⚠ Unknown mix code",IF($D215="","⚠ Enter m3 produced",IF(COUNTIF(CI_Site,$B215)=0,"⚠ Site not set up in Current Inventory",IF($A215&gt;AsOfDate,"Future date – not yet deducted","OK")))))))</f>
        <v/>
      </c>
    </row>
    <row r="216" customFormat="false" ht="15" hidden="false" customHeight="false" outlineLevel="0" collapsed="false">
      <c r="A216" s="65"/>
      <c r="B216" s="63"/>
      <c r="C216" s="70"/>
      <c r="D216" s="66"/>
      <c r="E216" s="16" t="str">
        <f aca="false">IF($C216="","",IFERROR(INDEX(Mix_Desc,MATCH($C216,Mix_Code,0)),"⚠ Unknown mix code"))</f>
        <v/>
      </c>
      <c r="F216" s="67" t="str">
        <f aca="false">IF(OR($C216="",$D216=""),"",IFERROR($D216*INDEX(Mix_Eff,MATCH($C216,Mix_Code,0),1),""))</f>
        <v/>
      </c>
      <c r="G216" s="67" t="str">
        <f aca="false">IF(OR($C216="",$D216=""),"",IFERROR($D216*INDEX(Mix_Eff,MATCH($C216,Mix_Code,0),2),""))</f>
        <v/>
      </c>
      <c r="H216" s="67" t="str">
        <f aca="false">IF(OR($C216="",$D216=""),"",IFERROR($D216*INDEX(Mix_Eff,MATCH($C216,Mix_Code,0),3),""))</f>
        <v/>
      </c>
      <c r="I216" s="67" t="str">
        <f aca="false">IF(OR($C216="",$D216=""),"",IFERROR($D216*INDEX(Mix_Eff,MATCH($C216,Mix_Code,0),4),""))</f>
        <v/>
      </c>
      <c r="J216" s="67" t="str">
        <f aca="false">IF(OR($C216="",$D216=""),"",IFERROR($D216*INDEX(Mix_Eff,MATCH($C216,Mix_Code,0),5),""))</f>
        <v/>
      </c>
      <c r="K216" s="63"/>
      <c r="L216" s="16" t="str">
        <f aca="false">IF(AND($A216="",$B216="",$C216="",$D216=""),"",IF($A216="","⚠ Date missing",IF($B216="","⚠ Site missing",IF(ISNA(MATCH($C216,Mix_Code,0)),"⚠ Unknown mix code",IF($D216="","⚠ Enter m3 produced",IF(COUNTIF(CI_Site,$B216)=0,"⚠ Site not set up in Current Inventory",IF($A216&gt;AsOfDate,"Future date – not yet deducted","OK")))))))</f>
        <v/>
      </c>
    </row>
    <row r="217" customFormat="false" ht="15" hidden="false" customHeight="false" outlineLevel="0" collapsed="false">
      <c r="A217" s="65"/>
      <c r="B217" s="63"/>
      <c r="C217" s="70"/>
      <c r="D217" s="66"/>
      <c r="E217" s="16" t="str">
        <f aca="false">IF($C217="","",IFERROR(INDEX(Mix_Desc,MATCH($C217,Mix_Code,0)),"⚠ Unknown mix code"))</f>
        <v/>
      </c>
      <c r="F217" s="67" t="str">
        <f aca="false">IF(OR($C217="",$D217=""),"",IFERROR($D217*INDEX(Mix_Eff,MATCH($C217,Mix_Code,0),1),""))</f>
        <v/>
      </c>
      <c r="G217" s="67" t="str">
        <f aca="false">IF(OR($C217="",$D217=""),"",IFERROR($D217*INDEX(Mix_Eff,MATCH($C217,Mix_Code,0),2),""))</f>
        <v/>
      </c>
      <c r="H217" s="67" t="str">
        <f aca="false">IF(OR($C217="",$D217=""),"",IFERROR($D217*INDEX(Mix_Eff,MATCH($C217,Mix_Code,0),3),""))</f>
        <v/>
      </c>
      <c r="I217" s="67" t="str">
        <f aca="false">IF(OR($C217="",$D217=""),"",IFERROR($D217*INDEX(Mix_Eff,MATCH($C217,Mix_Code,0),4),""))</f>
        <v/>
      </c>
      <c r="J217" s="67" t="str">
        <f aca="false">IF(OR($C217="",$D217=""),"",IFERROR($D217*INDEX(Mix_Eff,MATCH($C217,Mix_Code,0),5),""))</f>
        <v/>
      </c>
      <c r="K217" s="63"/>
      <c r="L217" s="16" t="str">
        <f aca="false">IF(AND($A217="",$B217="",$C217="",$D217=""),"",IF($A217="","⚠ Date missing",IF($B217="","⚠ Site missing",IF(ISNA(MATCH($C217,Mix_Code,0)),"⚠ Unknown mix code",IF($D217="","⚠ Enter m3 produced",IF(COUNTIF(CI_Site,$B217)=0,"⚠ Site not set up in Current Inventory",IF($A217&gt;AsOfDate,"Future date – not yet deducted","OK")))))))</f>
        <v/>
      </c>
    </row>
    <row r="218" customFormat="false" ht="15" hidden="false" customHeight="false" outlineLevel="0" collapsed="false">
      <c r="A218" s="65"/>
      <c r="B218" s="63"/>
      <c r="C218" s="70"/>
      <c r="D218" s="66"/>
      <c r="E218" s="16" t="str">
        <f aca="false">IF($C218="","",IFERROR(INDEX(Mix_Desc,MATCH($C218,Mix_Code,0)),"⚠ Unknown mix code"))</f>
        <v/>
      </c>
      <c r="F218" s="67" t="str">
        <f aca="false">IF(OR($C218="",$D218=""),"",IFERROR($D218*INDEX(Mix_Eff,MATCH($C218,Mix_Code,0),1),""))</f>
        <v/>
      </c>
      <c r="G218" s="67" t="str">
        <f aca="false">IF(OR($C218="",$D218=""),"",IFERROR($D218*INDEX(Mix_Eff,MATCH($C218,Mix_Code,0),2),""))</f>
        <v/>
      </c>
      <c r="H218" s="67" t="str">
        <f aca="false">IF(OR($C218="",$D218=""),"",IFERROR($D218*INDEX(Mix_Eff,MATCH($C218,Mix_Code,0),3),""))</f>
        <v/>
      </c>
      <c r="I218" s="67" t="str">
        <f aca="false">IF(OR($C218="",$D218=""),"",IFERROR($D218*INDEX(Mix_Eff,MATCH($C218,Mix_Code,0),4),""))</f>
        <v/>
      </c>
      <c r="J218" s="67" t="str">
        <f aca="false">IF(OR($C218="",$D218=""),"",IFERROR($D218*INDEX(Mix_Eff,MATCH($C218,Mix_Code,0),5),""))</f>
        <v/>
      </c>
      <c r="K218" s="63"/>
      <c r="L218" s="16" t="str">
        <f aca="false">IF(AND($A218="",$B218="",$C218="",$D218=""),"",IF($A218="","⚠ Date missing",IF($B218="","⚠ Site missing",IF(ISNA(MATCH($C218,Mix_Code,0)),"⚠ Unknown mix code",IF($D218="","⚠ Enter m3 produced",IF(COUNTIF(CI_Site,$B218)=0,"⚠ Site not set up in Current Inventory",IF($A218&gt;AsOfDate,"Future date – not yet deducted","OK")))))))</f>
        <v/>
      </c>
    </row>
    <row r="219" customFormat="false" ht="15" hidden="false" customHeight="false" outlineLevel="0" collapsed="false">
      <c r="A219" s="65"/>
      <c r="B219" s="63"/>
      <c r="C219" s="70"/>
      <c r="D219" s="66"/>
      <c r="E219" s="16" t="str">
        <f aca="false">IF($C219="","",IFERROR(INDEX(Mix_Desc,MATCH($C219,Mix_Code,0)),"⚠ Unknown mix code"))</f>
        <v/>
      </c>
      <c r="F219" s="67" t="str">
        <f aca="false">IF(OR($C219="",$D219=""),"",IFERROR($D219*INDEX(Mix_Eff,MATCH($C219,Mix_Code,0),1),""))</f>
        <v/>
      </c>
      <c r="G219" s="67" t="str">
        <f aca="false">IF(OR($C219="",$D219=""),"",IFERROR($D219*INDEX(Mix_Eff,MATCH($C219,Mix_Code,0),2),""))</f>
        <v/>
      </c>
      <c r="H219" s="67" t="str">
        <f aca="false">IF(OR($C219="",$D219=""),"",IFERROR($D219*INDEX(Mix_Eff,MATCH($C219,Mix_Code,0),3),""))</f>
        <v/>
      </c>
      <c r="I219" s="67" t="str">
        <f aca="false">IF(OR($C219="",$D219=""),"",IFERROR($D219*INDEX(Mix_Eff,MATCH($C219,Mix_Code,0),4),""))</f>
        <v/>
      </c>
      <c r="J219" s="67" t="str">
        <f aca="false">IF(OR($C219="",$D219=""),"",IFERROR($D219*INDEX(Mix_Eff,MATCH($C219,Mix_Code,0),5),""))</f>
        <v/>
      </c>
      <c r="K219" s="63"/>
      <c r="L219" s="16" t="str">
        <f aca="false">IF(AND($A219="",$B219="",$C219="",$D219=""),"",IF($A219="","⚠ Date missing",IF($B219="","⚠ Site missing",IF(ISNA(MATCH($C219,Mix_Code,0)),"⚠ Unknown mix code",IF($D219="","⚠ Enter m3 produced",IF(COUNTIF(CI_Site,$B219)=0,"⚠ Site not set up in Current Inventory",IF($A219&gt;AsOfDate,"Future date – not yet deducted","OK")))))))</f>
        <v/>
      </c>
    </row>
    <row r="220" customFormat="false" ht="15" hidden="false" customHeight="false" outlineLevel="0" collapsed="false">
      <c r="A220" s="65"/>
      <c r="B220" s="63"/>
      <c r="C220" s="70"/>
      <c r="D220" s="66"/>
      <c r="E220" s="16" t="str">
        <f aca="false">IF($C220="","",IFERROR(INDEX(Mix_Desc,MATCH($C220,Mix_Code,0)),"⚠ Unknown mix code"))</f>
        <v/>
      </c>
      <c r="F220" s="67" t="str">
        <f aca="false">IF(OR($C220="",$D220=""),"",IFERROR($D220*INDEX(Mix_Eff,MATCH($C220,Mix_Code,0),1),""))</f>
        <v/>
      </c>
      <c r="G220" s="67" t="str">
        <f aca="false">IF(OR($C220="",$D220=""),"",IFERROR($D220*INDEX(Mix_Eff,MATCH($C220,Mix_Code,0),2),""))</f>
        <v/>
      </c>
      <c r="H220" s="67" t="str">
        <f aca="false">IF(OR($C220="",$D220=""),"",IFERROR($D220*INDEX(Mix_Eff,MATCH($C220,Mix_Code,0),3),""))</f>
        <v/>
      </c>
      <c r="I220" s="67" t="str">
        <f aca="false">IF(OR($C220="",$D220=""),"",IFERROR($D220*INDEX(Mix_Eff,MATCH($C220,Mix_Code,0),4),""))</f>
        <v/>
      </c>
      <c r="J220" s="67" t="str">
        <f aca="false">IF(OR($C220="",$D220=""),"",IFERROR($D220*INDEX(Mix_Eff,MATCH($C220,Mix_Code,0),5),""))</f>
        <v/>
      </c>
      <c r="K220" s="63"/>
      <c r="L220" s="16" t="str">
        <f aca="false">IF(AND($A220="",$B220="",$C220="",$D220=""),"",IF($A220="","⚠ Date missing",IF($B220="","⚠ Site missing",IF(ISNA(MATCH($C220,Mix_Code,0)),"⚠ Unknown mix code",IF($D220="","⚠ Enter m3 produced",IF(COUNTIF(CI_Site,$B220)=0,"⚠ Site not set up in Current Inventory",IF($A220&gt;AsOfDate,"Future date – not yet deducted","OK")))))))</f>
        <v/>
      </c>
    </row>
    <row r="221" customFormat="false" ht="15" hidden="false" customHeight="false" outlineLevel="0" collapsed="false">
      <c r="A221" s="65"/>
      <c r="B221" s="63"/>
      <c r="C221" s="70"/>
      <c r="D221" s="66"/>
      <c r="E221" s="16" t="str">
        <f aca="false">IF($C221="","",IFERROR(INDEX(Mix_Desc,MATCH($C221,Mix_Code,0)),"⚠ Unknown mix code"))</f>
        <v/>
      </c>
      <c r="F221" s="67" t="str">
        <f aca="false">IF(OR($C221="",$D221=""),"",IFERROR($D221*INDEX(Mix_Eff,MATCH($C221,Mix_Code,0),1),""))</f>
        <v/>
      </c>
      <c r="G221" s="67" t="str">
        <f aca="false">IF(OR($C221="",$D221=""),"",IFERROR($D221*INDEX(Mix_Eff,MATCH($C221,Mix_Code,0),2),""))</f>
        <v/>
      </c>
      <c r="H221" s="67" t="str">
        <f aca="false">IF(OR($C221="",$D221=""),"",IFERROR($D221*INDEX(Mix_Eff,MATCH($C221,Mix_Code,0),3),""))</f>
        <v/>
      </c>
      <c r="I221" s="67" t="str">
        <f aca="false">IF(OR($C221="",$D221=""),"",IFERROR($D221*INDEX(Mix_Eff,MATCH($C221,Mix_Code,0),4),""))</f>
        <v/>
      </c>
      <c r="J221" s="67" t="str">
        <f aca="false">IF(OR($C221="",$D221=""),"",IFERROR($D221*INDEX(Mix_Eff,MATCH($C221,Mix_Code,0),5),""))</f>
        <v/>
      </c>
      <c r="K221" s="63"/>
      <c r="L221" s="16" t="str">
        <f aca="false">IF(AND($A221="",$B221="",$C221="",$D221=""),"",IF($A221="","⚠ Date missing",IF($B221="","⚠ Site missing",IF(ISNA(MATCH($C221,Mix_Code,0)),"⚠ Unknown mix code",IF($D221="","⚠ Enter m3 produced",IF(COUNTIF(CI_Site,$B221)=0,"⚠ Site not set up in Current Inventory",IF($A221&gt;AsOfDate,"Future date – not yet deducted","OK")))))))</f>
        <v/>
      </c>
    </row>
    <row r="222" customFormat="false" ht="15" hidden="false" customHeight="false" outlineLevel="0" collapsed="false">
      <c r="A222" s="65"/>
      <c r="B222" s="63"/>
      <c r="C222" s="70"/>
      <c r="D222" s="66"/>
      <c r="E222" s="16" t="str">
        <f aca="false">IF($C222="","",IFERROR(INDEX(Mix_Desc,MATCH($C222,Mix_Code,0)),"⚠ Unknown mix code"))</f>
        <v/>
      </c>
      <c r="F222" s="67" t="str">
        <f aca="false">IF(OR($C222="",$D222=""),"",IFERROR($D222*INDEX(Mix_Eff,MATCH($C222,Mix_Code,0),1),""))</f>
        <v/>
      </c>
      <c r="G222" s="67" t="str">
        <f aca="false">IF(OR($C222="",$D222=""),"",IFERROR($D222*INDEX(Mix_Eff,MATCH($C222,Mix_Code,0),2),""))</f>
        <v/>
      </c>
      <c r="H222" s="67" t="str">
        <f aca="false">IF(OR($C222="",$D222=""),"",IFERROR($D222*INDEX(Mix_Eff,MATCH($C222,Mix_Code,0),3),""))</f>
        <v/>
      </c>
      <c r="I222" s="67" t="str">
        <f aca="false">IF(OR($C222="",$D222=""),"",IFERROR($D222*INDEX(Mix_Eff,MATCH($C222,Mix_Code,0),4),""))</f>
        <v/>
      </c>
      <c r="J222" s="67" t="str">
        <f aca="false">IF(OR($C222="",$D222=""),"",IFERROR($D222*INDEX(Mix_Eff,MATCH($C222,Mix_Code,0),5),""))</f>
        <v/>
      </c>
      <c r="K222" s="63"/>
      <c r="L222" s="16" t="str">
        <f aca="false">IF(AND($A222="",$B222="",$C222="",$D222=""),"",IF($A222="","⚠ Date missing",IF($B222="","⚠ Site missing",IF(ISNA(MATCH($C222,Mix_Code,0)),"⚠ Unknown mix code",IF($D222="","⚠ Enter m3 produced",IF(COUNTIF(CI_Site,$B222)=0,"⚠ Site not set up in Current Inventory",IF($A222&gt;AsOfDate,"Future date – not yet deducted","OK")))))))</f>
        <v/>
      </c>
    </row>
    <row r="223" customFormat="false" ht="15" hidden="false" customHeight="false" outlineLevel="0" collapsed="false">
      <c r="A223" s="65"/>
      <c r="B223" s="63"/>
      <c r="C223" s="70"/>
      <c r="D223" s="66"/>
      <c r="E223" s="16" t="str">
        <f aca="false">IF($C223="","",IFERROR(INDEX(Mix_Desc,MATCH($C223,Mix_Code,0)),"⚠ Unknown mix code"))</f>
        <v/>
      </c>
      <c r="F223" s="67" t="str">
        <f aca="false">IF(OR($C223="",$D223=""),"",IFERROR($D223*INDEX(Mix_Eff,MATCH($C223,Mix_Code,0),1),""))</f>
        <v/>
      </c>
      <c r="G223" s="67" t="str">
        <f aca="false">IF(OR($C223="",$D223=""),"",IFERROR($D223*INDEX(Mix_Eff,MATCH($C223,Mix_Code,0),2),""))</f>
        <v/>
      </c>
      <c r="H223" s="67" t="str">
        <f aca="false">IF(OR($C223="",$D223=""),"",IFERROR($D223*INDEX(Mix_Eff,MATCH($C223,Mix_Code,0),3),""))</f>
        <v/>
      </c>
      <c r="I223" s="67" t="str">
        <f aca="false">IF(OR($C223="",$D223=""),"",IFERROR($D223*INDEX(Mix_Eff,MATCH($C223,Mix_Code,0),4),""))</f>
        <v/>
      </c>
      <c r="J223" s="67" t="str">
        <f aca="false">IF(OR($C223="",$D223=""),"",IFERROR($D223*INDEX(Mix_Eff,MATCH($C223,Mix_Code,0),5),""))</f>
        <v/>
      </c>
      <c r="K223" s="63"/>
      <c r="L223" s="16" t="str">
        <f aca="false">IF(AND($A223="",$B223="",$C223="",$D223=""),"",IF($A223="","⚠ Date missing",IF($B223="","⚠ Site missing",IF(ISNA(MATCH($C223,Mix_Code,0)),"⚠ Unknown mix code",IF($D223="","⚠ Enter m3 produced",IF(COUNTIF(CI_Site,$B223)=0,"⚠ Site not set up in Current Inventory",IF($A223&gt;AsOfDate,"Future date – not yet deducted","OK")))))))</f>
        <v/>
      </c>
    </row>
    <row r="224" customFormat="false" ht="15" hidden="false" customHeight="false" outlineLevel="0" collapsed="false">
      <c r="A224" s="65"/>
      <c r="B224" s="63"/>
      <c r="C224" s="70"/>
      <c r="D224" s="66"/>
      <c r="E224" s="16" t="str">
        <f aca="false">IF($C224="","",IFERROR(INDEX(Mix_Desc,MATCH($C224,Mix_Code,0)),"⚠ Unknown mix code"))</f>
        <v/>
      </c>
      <c r="F224" s="67" t="str">
        <f aca="false">IF(OR($C224="",$D224=""),"",IFERROR($D224*INDEX(Mix_Eff,MATCH($C224,Mix_Code,0),1),""))</f>
        <v/>
      </c>
      <c r="G224" s="67" t="str">
        <f aca="false">IF(OR($C224="",$D224=""),"",IFERROR($D224*INDEX(Mix_Eff,MATCH($C224,Mix_Code,0),2),""))</f>
        <v/>
      </c>
      <c r="H224" s="67" t="str">
        <f aca="false">IF(OR($C224="",$D224=""),"",IFERROR($D224*INDEX(Mix_Eff,MATCH($C224,Mix_Code,0),3),""))</f>
        <v/>
      </c>
      <c r="I224" s="67" t="str">
        <f aca="false">IF(OR($C224="",$D224=""),"",IFERROR($D224*INDEX(Mix_Eff,MATCH($C224,Mix_Code,0),4),""))</f>
        <v/>
      </c>
      <c r="J224" s="67" t="str">
        <f aca="false">IF(OR($C224="",$D224=""),"",IFERROR($D224*INDEX(Mix_Eff,MATCH($C224,Mix_Code,0),5),""))</f>
        <v/>
      </c>
      <c r="K224" s="63"/>
      <c r="L224" s="16" t="str">
        <f aca="false">IF(AND($A224="",$B224="",$C224="",$D224=""),"",IF($A224="","⚠ Date missing",IF($B224="","⚠ Site missing",IF(ISNA(MATCH($C224,Mix_Code,0)),"⚠ Unknown mix code",IF($D224="","⚠ Enter m3 produced",IF(COUNTIF(CI_Site,$B224)=0,"⚠ Site not set up in Current Inventory",IF($A224&gt;AsOfDate,"Future date – not yet deducted","OK")))))))</f>
        <v/>
      </c>
    </row>
    <row r="225" customFormat="false" ht="15" hidden="false" customHeight="false" outlineLevel="0" collapsed="false">
      <c r="A225" s="65"/>
      <c r="B225" s="63"/>
      <c r="C225" s="70"/>
      <c r="D225" s="66"/>
      <c r="E225" s="16" t="str">
        <f aca="false">IF($C225="","",IFERROR(INDEX(Mix_Desc,MATCH($C225,Mix_Code,0)),"⚠ Unknown mix code"))</f>
        <v/>
      </c>
      <c r="F225" s="67" t="str">
        <f aca="false">IF(OR($C225="",$D225=""),"",IFERROR($D225*INDEX(Mix_Eff,MATCH($C225,Mix_Code,0),1),""))</f>
        <v/>
      </c>
      <c r="G225" s="67" t="str">
        <f aca="false">IF(OR($C225="",$D225=""),"",IFERROR($D225*INDEX(Mix_Eff,MATCH($C225,Mix_Code,0),2),""))</f>
        <v/>
      </c>
      <c r="H225" s="67" t="str">
        <f aca="false">IF(OR($C225="",$D225=""),"",IFERROR($D225*INDEX(Mix_Eff,MATCH($C225,Mix_Code,0),3),""))</f>
        <v/>
      </c>
      <c r="I225" s="67" t="str">
        <f aca="false">IF(OR($C225="",$D225=""),"",IFERROR($D225*INDEX(Mix_Eff,MATCH($C225,Mix_Code,0),4),""))</f>
        <v/>
      </c>
      <c r="J225" s="67" t="str">
        <f aca="false">IF(OR($C225="",$D225=""),"",IFERROR($D225*INDEX(Mix_Eff,MATCH($C225,Mix_Code,0),5),""))</f>
        <v/>
      </c>
      <c r="K225" s="63"/>
      <c r="L225" s="16" t="str">
        <f aca="false">IF(AND($A225="",$B225="",$C225="",$D225=""),"",IF($A225="","⚠ Date missing",IF($B225="","⚠ Site missing",IF(ISNA(MATCH($C225,Mix_Code,0)),"⚠ Unknown mix code",IF($D225="","⚠ Enter m3 produced",IF(COUNTIF(CI_Site,$B225)=0,"⚠ Site not set up in Current Inventory",IF($A225&gt;AsOfDate,"Future date – not yet deducted","OK")))))))</f>
        <v/>
      </c>
    </row>
    <row r="226" customFormat="false" ht="15" hidden="false" customHeight="false" outlineLevel="0" collapsed="false">
      <c r="A226" s="65"/>
      <c r="B226" s="63"/>
      <c r="C226" s="70"/>
      <c r="D226" s="66"/>
      <c r="E226" s="16" t="str">
        <f aca="false">IF($C226="","",IFERROR(INDEX(Mix_Desc,MATCH($C226,Mix_Code,0)),"⚠ Unknown mix code"))</f>
        <v/>
      </c>
      <c r="F226" s="67" t="str">
        <f aca="false">IF(OR($C226="",$D226=""),"",IFERROR($D226*INDEX(Mix_Eff,MATCH($C226,Mix_Code,0),1),""))</f>
        <v/>
      </c>
      <c r="G226" s="67" t="str">
        <f aca="false">IF(OR($C226="",$D226=""),"",IFERROR($D226*INDEX(Mix_Eff,MATCH($C226,Mix_Code,0),2),""))</f>
        <v/>
      </c>
      <c r="H226" s="67" t="str">
        <f aca="false">IF(OR($C226="",$D226=""),"",IFERROR($D226*INDEX(Mix_Eff,MATCH($C226,Mix_Code,0),3),""))</f>
        <v/>
      </c>
      <c r="I226" s="67" t="str">
        <f aca="false">IF(OR($C226="",$D226=""),"",IFERROR($D226*INDEX(Mix_Eff,MATCH($C226,Mix_Code,0),4),""))</f>
        <v/>
      </c>
      <c r="J226" s="67" t="str">
        <f aca="false">IF(OR($C226="",$D226=""),"",IFERROR($D226*INDEX(Mix_Eff,MATCH($C226,Mix_Code,0),5),""))</f>
        <v/>
      </c>
      <c r="K226" s="63"/>
      <c r="L226" s="16" t="str">
        <f aca="false">IF(AND($A226="",$B226="",$C226="",$D226=""),"",IF($A226="","⚠ Date missing",IF($B226="","⚠ Site missing",IF(ISNA(MATCH($C226,Mix_Code,0)),"⚠ Unknown mix code",IF($D226="","⚠ Enter m3 produced",IF(COUNTIF(CI_Site,$B226)=0,"⚠ Site not set up in Current Inventory",IF($A226&gt;AsOfDate,"Future date – not yet deducted","OK")))))))</f>
        <v/>
      </c>
    </row>
    <row r="227" customFormat="false" ht="15" hidden="false" customHeight="false" outlineLevel="0" collapsed="false">
      <c r="A227" s="65"/>
      <c r="B227" s="63"/>
      <c r="C227" s="70"/>
      <c r="D227" s="66"/>
      <c r="E227" s="16" t="str">
        <f aca="false">IF($C227="","",IFERROR(INDEX(Mix_Desc,MATCH($C227,Mix_Code,0)),"⚠ Unknown mix code"))</f>
        <v/>
      </c>
      <c r="F227" s="67" t="str">
        <f aca="false">IF(OR($C227="",$D227=""),"",IFERROR($D227*INDEX(Mix_Eff,MATCH($C227,Mix_Code,0),1),""))</f>
        <v/>
      </c>
      <c r="G227" s="67" t="str">
        <f aca="false">IF(OR($C227="",$D227=""),"",IFERROR($D227*INDEX(Mix_Eff,MATCH($C227,Mix_Code,0),2),""))</f>
        <v/>
      </c>
      <c r="H227" s="67" t="str">
        <f aca="false">IF(OR($C227="",$D227=""),"",IFERROR($D227*INDEX(Mix_Eff,MATCH($C227,Mix_Code,0),3),""))</f>
        <v/>
      </c>
      <c r="I227" s="67" t="str">
        <f aca="false">IF(OR($C227="",$D227=""),"",IFERROR($D227*INDEX(Mix_Eff,MATCH($C227,Mix_Code,0),4),""))</f>
        <v/>
      </c>
      <c r="J227" s="67" t="str">
        <f aca="false">IF(OR($C227="",$D227=""),"",IFERROR($D227*INDEX(Mix_Eff,MATCH($C227,Mix_Code,0),5),""))</f>
        <v/>
      </c>
      <c r="K227" s="63"/>
      <c r="L227" s="16" t="str">
        <f aca="false">IF(AND($A227="",$B227="",$C227="",$D227=""),"",IF($A227="","⚠ Date missing",IF($B227="","⚠ Site missing",IF(ISNA(MATCH($C227,Mix_Code,0)),"⚠ Unknown mix code",IF($D227="","⚠ Enter m3 produced",IF(COUNTIF(CI_Site,$B227)=0,"⚠ Site not set up in Current Inventory",IF($A227&gt;AsOfDate,"Future date – not yet deducted","OK")))))))</f>
        <v/>
      </c>
    </row>
    <row r="228" customFormat="false" ht="15" hidden="false" customHeight="false" outlineLevel="0" collapsed="false">
      <c r="A228" s="65"/>
      <c r="B228" s="63"/>
      <c r="C228" s="70"/>
      <c r="D228" s="66"/>
      <c r="E228" s="16" t="str">
        <f aca="false">IF($C228="","",IFERROR(INDEX(Mix_Desc,MATCH($C228,Mix_Code,0)),"⚠ Unknown mix code"))</f>
        <v/>
      </c>
      <c r="F228" s="67" t="str">
        <f aca="false">IF(OR($C228="",$D228=""),"",IFERROR($D228*INDEX(Mix_Eff,MATCH($C228,Mix_Code,0),1),""))</f>
        <v/>
      </c>
      <c r="G228" s="67" t="str">
        <f aca="false">IF(OR($C228="",$D228=""),"",IFERROR($D228*INDEX(Mix_Eff,MATCH($C228,Mix_Code,0),2),""))</f>
        <v/>
      </c>
      <c r="H228" s="67" t="str">
        <f aca="false">IF(OR($C228="",$D228=""),"",IFERROR($D228*INDEX(Mix_Eff,MATCH($C228,Mix_Code,0),3),""))</f>
        <v/>
      </c>
      <c r="I228" s="67" t="str">
        <f aca="false">IF(OR($C228="",$D228=""),"",IFERROR($D228*INDEX(Mix_Eff,MATCH($C228,Mix_Code,0),4),""))</f>
        <v/>
      </c>
      <c r="J228" s="67" t="str">
        <f aca="false">IF(OR($C228="",$D228=""),"",IFERROR($D228*INDEX(Mix_Eff,MATCH($C228,Mix_Code,0),5),""))</f>
        <v/>
      </c>
      <c r="K228" s="63"/>
      <c r="L228" s="16" t="str">
        <f aca="false">IF(AND($A228="",$B228="",$C228="",$D228=""),"",IF($A228="","⚠ Date missing",IF($B228="","⚠ Site missing",IF(ISNA(MATCH($C228,Mix_Code,0)),"⚠ Unknown mix code",IF($D228="","⚠ Enter m3 produced",IF(COUNTIF(CI_Site,$B228)=0,"⚠ Site not set up in Current Inventory",IF($A228&gt;AsOfDate,"Future date – not yet deducted","OK")))))))</f>
        <v/>
      </c>
    </row>
    <row r="229" customFormat="false" ht="15" hidden="false" customHeight="false" outlineLevel="0" collapsed="false">
      <c r="A229" s="65"/>
      <c r="B229" s="63"/>
      <c r="C229" s="70"/>
      <c r="D229" s="66"/>
      <c r="E229" s="16" t="str">
        <f aca="false">IF($C229="","",IFERROR(INDEX(Mix_Desc,MATCH($C229,Mix_Code,0)),"⚠ Unknown mix code"))</f>
        <v/>
      </c>
      <c r="F229" s="67" t="str">
        <f aca="false">IF(OR($C229="",$D229=""),"",IFERROR($D229*INDEX(Mix_Eff,MATCH($C229,Mix_Code,0),1),""))</f>
        <v/>
      </c>
      <c r="G229" s="67" t="str">
        <f aca="false">IF(OR($C229="",$D229=""),"",IFERROR($D229*INDEX(Mix_Eff,MATCH($C229,Mix_Code,0),2),""))</f>
        <v/>
      </c>
      <c r="H229" s="67" t="str">
        <f aca="false">IF(OR($C229="",$D229=""),"",IFERROR($D229*INDEX(Mix_Eff,MATCH($C229,Mix_Code,0),3),""))</f>
        <v/>
      </c>
      <c r="I229" s="67" t="str">
        <f aca="false">IF(OR($C229="",$D229=""),"",IFERROR($D229*INDEX(Mix_Eff,MATCH($C229,Mix_Code,0),4),""))</f>
        <v/>
      </c>
      <c r="J229" s="67" t="str">
        <f aca="false">IF(OR($C229="",$D229=""),"",IFERROR($D229*INDEX(Mix_Eff,MATCH($C229,Mix_Code,0),5),""))</f>
        <v/>
      </c>
      <c r="K229" s="63"/>
      <c r="L229" s="16" t="str">
        <f aca="false">IF(AND($A229="",$B229="",$C229="",$D229=""),"",IF($A229="","⚠ Date missing",IF($B229="","⚠ Site missing",IF(ISNA(MATCH($C229,Mix_Code,0)),"⚠ Unknown mix code",IF($D229="","⚠ Enter m3 produced",IF(COUNTIF(CI_Site,$B229)=0,"⚠ Site not set up in Current Inventory",IF($A229&gt;AsOfDate,"Future date – not yet deducted","OK")))))))</f>
        <v/>
      </c>
    </row>
    <row r="230" customFormat="false" ht="15" hidden="false" customHeight="false" outlineLevel="0" collapsed="false">
      <c r="A230" s="65"/>
      <c r="B230" s="63"/>
      <c r="C230" s="70"/>
      <c r="D230" s="66"/>
      <c r="E230" s="16" t="str">
        <f aca="false">IF($C230="","",IFERROR(INDEX(Mix_Desc,MATCH($C230,Mix_Code,0)),"⚠ Unknown mix code"))</f>
        <v/>
      </c>
      <c r="F230" s="67" t="str">
        <f aca="false">IF(OR($C230="",$D230=""),"",IFERROR($D230*INDEX(Mix_Eff,MATCH($C230,Mix_Code,0),1),""))</f>
        <v/>
      </c>
      <c r="G230" s="67" t="str">
        <f aca="false">IF(OR($C230="",$D230=""),"",IFERROR($D230*INDEX(Mix_Eff,MATCH($C230,Mix_Code,0),2),""))</f>
        <v/>
      </c>
      <c r="H230" s="67" t="str">
        <f aca="false">IF(OR($C230="",$D230=""),"",IFERROR($D230*INDEX(Mix_Eff,MATCH($C230,Mix_Code,0),3),""))</f>
        <v/>
      </c>
      <c r="I230" s="67" t="str">
        <f aca="false">IF(OR($C230="",$D230=""),"",IFERROR($D230*INDEX(Mix_Eff,MATCH($C230,Mix_Code,0),4),""))</f>
        <v/>
      </c>
      <c r="J230" s="67" t="str">
        <f aca="false">IF(OR($C230="",$D230=""),"",IFERROR($D230*INDEX(Mix_Eff,MATCH($C230,Mix_Code,0),5),""))</f>
        <v/>
      </c>
      <c r="K230" s="63"/>
      <c r="L230" s="16" t="str">
        <f aca="false">IF(AND($A230="",$B230="",$C230="",$D230=""),"",IF($A230="","⚠ Date missing",IF($B230="","⚠ Site missing",IF(ISNA(MATCH($C230,Mix_Code,0)),"⚠ Unknown mix code",IF($D230="","⚠ Enter m3 produced",IF(COUNTIF(CI_Site,$B230)=0,"⚠ Site not set up in Current Inventory",IF($A230&gt;AsOfDate,"Future date – not yet deducted","OK")))))))</f>
        <v/>
      </c>
    </row>
    <row r="231" customFormat="false" ht="15" hidden="false" customHeight="false" outlineLevel="0" collapsed="false">
      <c r="A231" s="65"/>
      <c r="B231" s="63"/>
      <c r="C231" s="70"/>
      <c r="D231" s="66"/>
      <c r="E231" s="16" t="str">
        <f aca="false">IF($C231="","",IFERROR(INDEX(Mix_Desc,MATCH($C231,Mix_Code,0)),"⚠ Unknown mix code"))</f>
        <v/>
      </c>
      <c r="F231" s="67" t="str">
        <f aca="false">IF(OR($C231="",$D231=""),"",IFERROR($D231*INDEX(Mix_Eff,MATCH($C231,Mix_Code,0),1),""))</f>
        <v/>
      </c>
      <c r="G231" s="67" t="str">
        <f aca="false">IF(OR($C231="",$D231=""),"",IFERROR($D231*INDEX(Mix_Eff,MATCH($C231,Mix_Code,0),2),""))</f>
        <v/>
      </c>
      <c r="H231" s="67" t="str">
        <f aca="false">IF(OR($C231="",$D231=""),"",IFERROR($D231*INDEX(Mix_Eff,MATCH($C231,Mix_Code,0),3),""))</f>
        <v/>
      </c>
      <c r="I231" s="67" t="str">
        <f aca="false">IF(OR($C231="",$D231=""),"",IFERROR($D231*INDEX(Mix_Eff,MATCH($C231,Mix_Code,0),4),""))</f>
        <v/>
      </c>
      <c r="J231" s="67" t="str">
        <f aca="false">IF(OR($C231="",$D231=""),"",IFERROR($D231*INDEX(Mix_Eff,MATCH($C231,Mix_Code,0),5),""))</f>
        <v/>
      </c>
      <c r="K231" s="63"/>
      <c r="L231" s="16" t="str">
        <f aca="false">IF(AND($A231="",$B231="",$C231="",$D231=""),"",IF($A231="","⚠ Date missing",IF($B231="","⚠ Site missing",IF(ISNA(MATCH($C231,Mix_Code,0)),"⚠ Unknown mix code",IF($D231="","⚠ Enter m3 produced",IF(COUNTIF(CI_Site,$B231)=0,"⚠ Site not set up in Current Inventory",IF($A231&gt;AsOfDate,"Future date – not yet deducted","OK")))))))</f>
        <v/>
      </c>
    </row>
    <row r="232" customFormat="false" ht="15" hidden="false" customHeight="false" outlineLevel="0" collapsed="false">
      <c r="A232" s="65"/>
      <c r="B232" s="63"/>
      <c r="C232" s="70"/>
      <c r="D232" s="66"/>
      <c r="E232" s="16" t="str">
        <f aca="false">IF($C232="","",IFERROR(INDEX(Mix_Desc,MATCH($C232,Mix_Code,0)),"⚠ Unknown mix code"))</f>
        <v/>
      </c>
      <c r="F232" s="67" t="str">
        <f aca="false">IF(OR($C232="",$D232=""),"",IFERROR($D232*INDEX(Mix_Eff,MATCH($C232,Mix_Code,0),1),""))</f>
        <v/>
      </c>
      <c r="G232" s="67" t="str">
        <f aca="false">IF(OR($C232="",$D232=""),"",IFERROR($D232*INDEX(Mix_Eff,MATCH($C232,Mix_Code,0),2),""))</f>
        <v/>
      </c>
      <c r="H232" s="67" t="str">
        <f aca="false">IF(OR($C232="",$D232=""),"",IFERROR($D232*INDEX(Mix_Eff,MATCH($C232,Mix_Code,0),3),""))</f>
        <v/>
      </c>
      <c r="I232" s="67" t="str">
        <f aca="false">IF(OR($C232="",$D232=""),"",IFERROR($D232*INDEX(Mix_Eff,MATCH($C232,Mix_Code,0),4),""))</f>
        <v/>
      </c>
      <c r="J232" s="67" t="str">
        <f aca="false">IF(OR($C232="",$D232=""),"",IFERROR($D232*INDEX(Mix_Eff,MATCH($C232,Mix_Code,0),5),""))</f>
        <v/>
      </c>
      <c r="K232" s="63"/>
      <c r="L232" s="16" t="str">
        <f aca="false">IF(AND($A232="",$B232="",$C232="",$D232=""),"",IF($A232="","⚠ Date missing",IF($B232="","⚠ Site missing",IF(ISNA(MATCH($C232,Mix_Code,0)),"⚠ Unknown mix code",IF($D232="","⚠ Enter m3 produced",IF(COUNTIF(CI_Site,$B232)=0,"⚠ Site not set up in Current Inventory",IF($A232&gt;AsOfDate,"Future date – not yet deducted","OK")))))))</f>
        <v/>
      </c>
    </row>
    <row r="233" customFormat="false" ht="15" hidden="false" customHeight="false" outlineLevel="0" collapsed="false">
      <c r="A233" s="65"/>
      <c r="B233" s="63"/>
      <c r="C233" s="70"/>
      <c r="D233" s="66"/>
      <c r="E233" s="16" t="str">
        <f aca="false">IF($C233="","",IFERROR(INDEX(Mix_Desc,MATCH($C233,Mix_Code,0)),"⚠ Unknown mix code"))</f>
        <v/>
      </c>
      <c r="F233" s="67" t="str">
        <f aca="false">IF(OR($C233="",$D233=""),"",IFERROR($D233*INDEX(Mix_Eff,MATCH($C233,Mix_Code,0),1),""))</f>
        <v/>
      </c>
      <c r="G233" s="67" t="str">
        <f aca="false">IF(OR($C233="",$D233=""),"",IFERROR($D233*INDEX(Mix_Eff,MATCH($C233,Mix_Code,0),2),""))</f>
        <v/>
      </c>
      <c r="H233" s="67" t="str">
        <f aca="false">IF(OR($C233="",$D233=""),"",IFERROR($D233*INDEX(Mix_Eff,MATCH($C233,Mix_Code,0),3),""))</f>
        <v/>
      </c>
      <c r="I233" s="67" t="str">
        <f aca="false">IF(OR($C233="",$D233=""),"",IFERROR($D233*INDEX(Mix_Eff,MATCH($C233,Mix_Code,0),4),""))</f>
        <v/>
      </c>
      <c r="J233" s="67" t="str">
        <f aca="false">IF(OR($C233="",$D233=""),"",IFERROR($D233*INDEX(Mix_Eff,MATCH($C233,Mix_Code,0),5),""))</f>
        <v/>
      </c>
      <c r="K233" s="63"/>
      <c r="L233" s="16" t="str">
        <f aca="false">IF(AND($A233="",$B233="",$C233="",$D233=""),"",IF($A233="","⚠ Date missing",IF($B233="","⚠ Site missing",IF(ISNA(MATCH($C233,Mix_Code,0)),"⚠ Unknown mix code",IF($D233="","⚠ Enter m3 produced",IF(COUNTIF(CI_Site,$B233)=0,"⚠ Site not set up in Current Inventory",IF($A233&gt;AsOfDate,"Future date – not yet deducted","OK")))))))</f>
        <v/>
      </c>
    </row>
    <row r="234" customFormat="false" ht="15" hidden="false" customHeight="false" outlineLevel="0" collapsed="false">
      <c r="A234" s="65"/>
      <c r="B234" s="63"/>
      <c r="C234" s="70"/>
      <c r="D234" s="66"/>
      <c r="E234" s="16" t="str">
        <f aca="false">IF($C234="","",IFERROR(INDEX(Mix_Desc,MATCH($C234,Mix_Code,0)),"⚠ Unknown mix code"))</f>
        <v/>
      </c>
      <c r="F234" s="67" t="str">
        <f aca="false">IF(OR($C234="",$D234=""),"",IFERROR($D234*INDEX(Mix_Eff,MATCH($C234,Mix_Code,0),1),""))</f>
        <v/>
      </c>
      <c r="G234" s="67" t="str">
        <f aca="false">IF(OR($C234="",$D234=""),"",IFERROR($D234*INDEX(Mix_Eff,MATCH($C234,Mix_Code,0),2),""))</f>
        <v/>
      </c>
      <c r="H234" s="67" t="str">
        <f aca="false">IF(OR($C234="",$D234=""),"",IFERROR($D234*INDEX(Mix_Eff,MATCH($C234,Mix_Code,0),3),""))</f>
        <v/>
      </c>
      <c r="I234" s="67" t="str">
        <f aca="false">IF(OR($C234="",$D234=""),"",IFERROR($D234*INDEX(Mix_Eff,MATCH($C234,Mix_Code,0),4),""))</f>
        <v/>
      </c>
      <c r="J234" s="67" t="str">
        <f aca="false">IF(OR($C234="",$D234=""),"",IFERROR($D234*INDEX(Mix_Eff,MATCH($C234,Mix_Code,0),5),""))</f>
        <v/>
      </c>
      <c r="K234" s="63"/>
      <c r="L234" s="16" t="str">
        <f aca="false">IF(AND($A234="",$B234="",$C234="",$D234=""),"",IF($A234="","⚠ Date missing",IF($B234="","⚠ Site missing",IF(ISNA(MATCH($C234,Mix_Code,0)),"⚠ Unknown mix code",IF($D234="","⚠ Enter m3 produced",IF(COUNTIF(CI_Site,$B234)=0,"⚠ Site not set up in Current Inventory",IF($A234&gt;AsOfDate,"Future date – not yet deducted","OK")))))))</f>
        <v/>
      </c>
    </row>
    <row r="235" customFormat="false" ht="15" hidden="false" customHeight="false" outlineLevel="0" collapsed="false">
      <c r="A235" s="65"/>
      <c r="B235" s="63"/>
      <c r="C235" s="70"/>
      <c r="D235" s="66"/>
      <c r="E235" s="16" t="str">
        <f aca="false">IF($C235="","",IFERROR(INDEX(Mix_Desc,MATCH($C235,Mix_Code,0)),"⚠ Unknown mix code"))</f>
        <v/>
      </c>
      <c r="F235" s="67" t="str">
        <f aca="false">IF(OR($C235="",$D235=""),"",IFERROR($D235*INDEX(Mix_Eff,MATCH($C235,Mix_Code,0),1),""))</f>
        <v/>
      </c>
      <c r="G235" s="67" t="str">
        <f aca="false">IF(OR($C235="",$D235=""),"",IFERROR($D235*INDEX(Mix_Eff,MATCH($C235,Mix_Code,0),2),""))</f>
        <v/>
      </c>
      <c r="H235" s="67" t="str">
        <f aca="false">IF(OR($C235="",$D235=""),"",IFERROR($D235*INDEX(Mix_Eff,MATCH($C235,Mix_Code,0),3),""))</f>
        <v/>
      </c>
      <c r="I235" s="67" t="str">
        <f aca="false">IF(OR($C235="",$D235=""),"",IFERROR($D235*INDEX(Mix_Eff,MATCH($C235,Mix_Code,0),4),""))</f>
        <v/>
      </c>
      <c r="J235" s="67" t="str">
        <f aca="false">IF(OR($C235="",$D235=""),"",IFERROR($D235*INDEX(Mix_Eff,MATCH($C235,Mix_Code,0),5),""))</f>
        <v/>
      </c>
      <c r="K235" s="63"/>
      <c r="L235" s="16" t="str">
        <f aca="false">IF(AND($A235="",$B235="",$C235="",$D235=""),"",IF($A235="","⚠ Date missing",IF($B235="","⚠ Site missing",IF(ISNA(MATCH($C235,Mix_Code,0)),"⚠ Unknown mix code",IF($D235="","⚠ Enter m3 produced",IF(COUNTIF(CI_Site,$B235)=0,"⚠ Site not set up in Current Inventory",IF($A235&gt;AsOfDate,"Future date – not yet deducted","OK")))))))</f>
        <v/>
      </c>
    </row>
    <row r="236" customFormat="false" ht="15" hidden="false" customHeight="false" outlineLevel="0" collapsed="false">
      <c r="A236" s="65"/>
      <c r="B236" s="63"/>
      <c r="C236" s="70"/>
      <c r="D236" s="66"/>
      <c r="E236" s="16" t="str">
        <f aca="false">IF($C236="","",IFERROR(INDEX(Mix_Desc,MATCH($C236,Mix_Code,0)),"⚠ Unknown mix code"))</f>
        <v/>
      </c>
      <c r="F236" s="67" t="str">
        <f aca="false">IF(OR($C236="",$D236=""),"",IFERROR($D236*INDEX(Mix_Eff,MATCH($C236,Mix_Code,0),1),""))</f>
        <v/>
      </c>
      <c r="G236" s="67" t="str">
        <f aca="false">IF(OR($C236="",$D236=""),"",IFERROR($D236*INDEX(Mix_Eff,MATCH($C236,Mix_Code,0),2),""))</f>
        <v/>
      </c>
      <c r="H236" s="67" t="str">
        <f aca="false">IF(OR($C236="",$D236=""),"",IFERROR($D236*INDEX(Mix_Eff,MATCH($C236,Mix_Code,0),3),""))</f>
        <v/>
      </c>
      <c r="I236" s="67" t="str">
        <f aca="false">IF(OR($C236="",$D236=""),"",IFERROR($D236*INDEX(Mix_Eff,MATCH($C236,Mix_Code,0),4),""))</f>
        <v/>
      </c>
      <c r="J236" s="67" t="str">
        <f aca="false">IF(OR($C236="",$D236=""),"",IFERROR($D236*INDEX(Mix_Eff,MATCH($C236,Mix_Code,0),5),""))</f>
        <v/>
      </c>
      <c r="K236" s="63"/>
      <c r="L236" s="16" t="str">
        <f aca="false">IF(AND($A236="",$B236="",$C236="",$D236=""),"",IF($A236="","⚠ Date missing",IF($B236="","⚠ Site missing",IF(ISNA(MATCH($C236,Mix_Code,0)),"⚠ Unknown mix code",IF($D236="","⚠ Enter m3 produced",IF(COUNTIF(CI_Site,$B236)=0,"⚠ Site not set up in Current Inventory",IF($A236&gt;AsOfDate,"Future date – not yet deducted","OK")))))))</f>
        <v/>
      </c>
    </row>
    <row r="237" customFormat="false" ht="15" hidden="false" customHeight="false" outlineLevel="0" collapsed="false">
      <c r="A237" s="65"/>
      <c r="B237" s="63"/>
      <c r="C237" s="70"/>
      <c r="D237" s="66"/>
      <c r="E237" s="16" t="str">
        <f aca="false">IF($C237="","",IFERROR(INDEX(Mix_Desc,MATCH($C237,Mix_Code,0)),"⚠ Unknown mix code"))</f>
        <v/>
      </c>
      <c r="F237" s="67" t="str">
        <f aca="false">IF(OR($C237="",$D237=""),"",IFERROR($D237*INDEX(Mix_Eff,MATCH($C237,Mix_Code,0),1),""))</f>
        <v/>
      </c>
      <c r="G237" s="67" t="str">
        <f aca="false">IF(OR($C237="",$D237=""),"",IFERROR($D237*INDEX(Mix_Eff,MATCH($C237,Mix_Code,0),2),""))</f>
        <v/>
      </c>
      <c r="H237" s="67" t="str">
        <f aca="false">IF(OR($C237="",$D237=""),"",IFERROR($D237*INDEX(Mix_Eff,MATCH($C237,Mix_Code,0),3),""))</f>
        <v/>
      </c>
      <c r="I237" s="67" t="str">
        <f aca="false">IF(OR($C237="",$D237=""),"",IFERROR($D237*INDEX(Mix_Eff,MATCH($C237,Mix_Code,0),4),""))</f>
        <v/>
      </c>
      <c r="J237" s="67" t="str">
        <f aca="false">IF(OR($C237="",$D237=""),"",IFERROR($D237*INDEX(Mix_Eff,MATCH($C237,Mix_Code,0),5),""))</f>
        <v/>
      </c>
      <c r="K237" s="63"/>
      <c r="L237" s="16" t="str">
        <f aca="false">IF(AND($A237="",$B237="",$C237="",$D237=""),"",IF($A237="","⚠ Date missing",IF($B237="","⚠ Site missing",IF(ISNA(MATCH($C237,Mix_Code,0)),"⚠ Unknown mix code",IF($D237="","⚠ Enter m3 produced",IF(COUNTIF(CI_Site,$B237)=0,"⚠ Site not set up in Current Inventory",IF($A237&gt;AsOfDate,"Future date – not yet deducted","OK")))))))</f>
        <v/>
      </c>
    </row>
    <row r="238" customFormat="false" ht="15" hidden="false" customHeight="false" outlineLevel="0" collapsed="false">
      <c r="A238" s="65"/>
      <c r="B238" s="63"/>
      <c r="C238" s="70"/>
      <c r="D238" s="66"/>
      <c r="E238" s="16" t="str">
        <f aca="false">IF($C238="","",IFERROR(INDEX(Mix_Desc,MATCH($C238,Mix_Code,0)),"⚠ Unknown mix code"))</f>
        <v/>
      </c>
      <c r="F238" s="67" t="str">
        <f aca="false">IF(OR($C238="",$D238=""),"",IFERROR($D238*INDEX(Mix_Eff,MATCH($C238,Mix_Code,0),1),""))</f>
        <v/>
      </c>
      <c r="G238" s="67" t="str">
        <f aca="false">IF(OR($C238="",$D238=""),"",IFERROR($D238*INDEX(Mix_Eff,MATCH($C238,Mix_Code,0),2),""))</f>
        <v/>
      </c>
      <c r="H238" s="67" t="str">
        <f aca="false">IF(OR($C238="",$D238=""),"",IFERROR($D238*INDEX(Mix_Eff,MATCH($C238,Mix_Code,0),3),""))</f>
        <v/>
      </c>
      <c r="I238" s="67" t="str">
        <f aca="false">IF(OR($C238="",$D238=""),"",IFERROR($D238*INDEX(Mix_Eff,MATCH($C238,Mix_Code,0),4),""))</f>
        <v/>
      </c>
      <c r="J238" s="67" t="str">
        <f aca="false">IF(OR($C238="",$D238=""),"",IFERROR($D238*INDEX(Mix_Eff,MATCH($C238,Mix_Code,0),5),""))</f>
        <v/>
      </c>
      <c r="K238" s="63"/>
      <c r="L238" s="16" t="str">
        <f aca="false">IF(AND($A238="",$B238="",$C238="",$D238=""),"",IF($A238="","⚠ Date missing",IF($B238="","⚠ Site missing",IF(ISNA(MATCH($C238,Mix_Code,0)),"⚠ Unknown mix code",IF($D238="","⚠ Enter m3 produced",IF(COUNTIF(CI_Site,$B238)=0,"⚠ Site not set up in Current Inventory",IF($A238&gt;AsOfDate,"Future date – not yet deducted","OK")))))))</f>
        <v/>
      </c>
    </row>
    <row r="239" customFormat="false" ht="15" hidden="false" customHeight="false" outlineLevel="0" collapsed="false">
      <c r="A239" s="65"/>
      <c r="B239" s="63"/>
      <c r="C239" s="70"/>
      <c r="D239" s="66"/>
      <c r="E239" s="16" t="str">
        <f aca="false">IF($C239="","",IFERROR(INDEX(Mix_Desc,MATCH($C239,Mix_Code,0)),"⚠ Unknown mix code"))</f>
        <v/>
      </c>
      <c r="F239" s="67" t="str">
        <f aca="false">IF(OR($C239="",$D239=""),"",IFERROR($D239*INDEX(Mix_Eff,MATCH($C239,Mix_Code,0),1),""))</f>
        <v/>
      </c>
      <c r="G239" s="67" t="str">
        <f aca="false">IF(OR($C239="",$D239=""),"",IFERROR($D239*INDEX(Mix_Eff,MATCH($C239,Mix_Code,0),2),""))</f>
        <v/>
      </c>
      <c r="H239" s="67" t="str">
        <f aca="false">IF(OR($C239="",$D239=""),"",IFERROR($D239*INDEX(Mix_Eff,MATCH($C239,Mix_Code,0),3),""))</f>
        <v/>
      </c>
      <c r="I239" s="67" t="str">
        <f aca="false">IF(OR($C239="",$D239=""),"",IFERROR($D239*INDEX(Mix_Eff,MATCH($C239,Mix_Code,0),4),""))</f>
        <v/>
      </c>
      <c r="J239" s="67" t="str">
        <f aca="false">IF(OR($C239="",$D239=""),"",IFERROR($D239*INDEX(Mix_Eff,MATCH($C239,Mix_Code,0),5),""))</f>
        <v/>
      </c>
      <c r="K239" s="63"/>
      <c r="L239" s="16" t="str">
        <f aca="false">IF(AND($A239="",$B239="",$C239="",$D239=""),"",IF($A239="","⚠ Date missing",IF($B239="","⚠ Site missing",IF(ISNA(MATCH($C239,Mix_Code,0)),"⚠ Unknown mix code",IF($D239="","⚠ Enter m3 produced",IF(COUNTIF(CI_Site,$B239)=0,"⚠ Site not set up in Current Inventory",IF($A239&gt;AsOfDate,"Future date – not yet deducted","OK")))))))</f>
        <v/>
      </c>
    </row>
    <row r="240" customFormat="false" ht="15" hidden="false" customHeight="false" outlineLevel="0" collapsed="false">
      <c r="A240" s="65"/>
      <c r="B240" s="63"/>
      <c r="C240" s="70"/>
      <c r="D240" s="66"/>
      <c r="E240" s="16" t="str">
        <f aca="false">IF($C240="","",IFERROR(INDEX(Mix_Desc,MATCH($C240,Mix_Code,0)),"⚠ Unknown mix code"))</f>
        <v/>
      </c>
      <c r="F240" s="67" t="str">
        <f aca="false">IF(OR($C240="",$D240=""),"",IFERROR($D240*INDEX(Mix_Eff,MATCH($C240,Mix_Code,0),1),""))</f>
        <v/>
      </c>
      <c r="G240" s="67" t="str">
        <f aca="false">IF(OR($C240="",$D240=""),"",IFERROR($D240*INDEX(Mix_Eff,MATCH($C240,Mix_Code,0),2),""))</f>
        <v/>
      </c>
      <c r="H240" s="67" t="str">
        <f aca="false">IF(OR($C240="",$D240=""),"",IFERROR($D240*INDEX(Mix_Eff,MATCH($C240,Mix_Code,0),3),""))</f>
        <v/>
      </c>
      <c r="I240" s="67" t="str">
        <f aca="false">IF(OR($C240="",$D240=""),"",IFERROR($D240*INDEX(Mix_Eff,MATCH($C240,Mix_Code,0),4),""))</f>
        <v/>
      </c>
      <c r="J240" s="67" t="str">
        <f aca="false">IF(OR($C240="",$D240=""),"",IFERROR($D240*INDEX(Mix_Eff,MATCH($C240,Mix_Code,0),5),""))</f>
        <v/>
      </c>
      <c r="K240" s="63"/>
      <c r="L240" s="16" t="str">
        <f aca="false">IF(AND($A240="",$B240="",$C240="",$D240=""),"",IF($A240="","⚠ Date missing",IF($B240="","⚠ Site missing",IF(ISNA(MATCH($C240,Mix_Code,0)),"⚠ Unknown mix code",IF($D240="","⚠ Enter m3 produced",IF(COUNTIF(CI_Site,$B240)=0,"⚠ Site not set up in Current Inventory",IF($A240&gt;AsOfDate,"Future date – not yet deducted","OK")))))))</f>
        <v/>
      </c>
    </row>
    <row r="241" customFormat="false" ht="15" hidden="false" customHeight="false" outlineLevel="0" collapsed="false">
      <c r="A241" s="65"/>
      <c r="B241" s="63"/>
      <c r="C241" s="70"/>
      <c r="D241" s="66"/>
      <c r="E241" s="16" t="str">
        <f aca="false">IF($C241="","",IFERROR(INDEX(Mix_Desc,MATCH($C241,Mix_Code,0)),"⚠ Unknown mix code"))</f>
        <v/>
      </c>
      <c r="F241" s="67" t="str">
        <f aca="false">IF(OR($C241="",$D241=""),"",IFERROR($D241*INDEX(Mix_Eff,MATCH($C241,Mix_Code,0),1),""))</f>
        <v/>
      </c>
      <c r="G241" s="67" t="str">
        <f aca="false">IF(OR($C241="",$D241=""),"",IFERROR($D241*INDEX(Mix_Eff,MATCH($C241,Mix_Code,0),2),""))</f>
        <v/>
      </c>
      <c r="H241" s="67" t="str">
        <f aca="false">IF(OR($C241="",$D241=""),"",IFERROR($D241*INDEX(Mix_Eff,MATCH($C241,Mix_Code,0),3),""))</f>
        <v/>
      </c>
      <c r="I241" s="67" t="str">
        <f aca="false">IF(OR($C241="",$D241=""),"",IFERROR($D241*INDEX(Mix_Eff,MATCH($C241,Mix_Code,0),4),""))</f>
        <v/>
      </c>
      <c r="J241" s="67" t="str">
        <f aca="false">IF(OR($C241="",$D241=""),"",IFERROR($D241*INDEX(Mix_Eff,MATCH($C241,Mix_Code,0),5),""))</f>
        <v/>
      </c>
      <c r="K241" s="63"/>
      <c r="L241" s="16" t="str">
        <f aca="false">IF(AND($A241="",$B241="",$C241="",$D241=""),"",IF($A241="","⚠ Date missing",IF($B241="","⚠ Site missing",IF(ISNA(MATCH($C241,Mix_Code,0)),"⚠ Unknown mix code",IF($D241="","⚠ Enter m3 produced",IF(COUNTIF(CI_Site,$B241)=0,"⚠ Site not set up in Current Inventory",IF($A241&gt;AsOfDate,"Future date – not yet deducted","OK")))))))</f>
        <v/>
      </c>
    </row>
    <row r="242" customFormat="false" ht="15" hidden="false" customHeight="false" outlineLevel="0" collapsed="false">
      <c r="A242" s="65"/>
      <c r="B242" s="63"/>
      <c r="C242" s="70"/>
      <c r="D242" s="66"/>
      <c r="E242" s="16" t="str">
        <f aca="false">IF($C242="","",IFERROR(INDEX(Mix_Desc,MATCH($C242,Mix_Code,0)),"⚠ Unknown mix code"))</f>
        <v/>
      </c>
      <c r="F242" s="67" t="str">
        <f aca="false">IF(OR($C242="",$D242=""),"",IFERROR($D242*INDEX(Mix_Eff,MATCH($C242,Mix_Code,0),1),""))</f>
        <v/>
      </c>
      <c r="G242" s="67" t="str">
        <f aca="false">IF(OR($C242="",$D242=""),"",IFERROR($D242*INDEX(Mix_Eff,MATCH($C242,Mix_Code,0),2),""))</f>
        <v/>
      </c>
      <c r="H242" s="67" t="str">
        <f aca="false">IF(OR($C242="",$D242=""),"",IFERROR($D242*INDEX(Mix_Eff,MATCH($C242,Mix_Code,0),3),""))</f>
        <v/>
      </c>
      <c r="I242" s="67" t="str">
        <f aca="false">IF(OR($C242="",$D242=""),"",IFERROR($D242*INDEX(Mix_Eff,MATCH($C242,Mix_Code,0),4),""))</f>
        <v/>
      </c>
      <c r="J242" s="67" t="str">
        <f aca="false">IF(OR($C242="",$D242=""),"",IFERROR($D242*INDEX(Mix_Eff,MATCH($C242,Mix_Code,0),5),""))</f>
        <v/>
      </c>
      <c r="K242" s="63"/>
      <c r="L242" s="16" t="str">
        <f aca="false">IF(AND($A242="",$B242="",$C242="",$D242=""),"",IF($A242="","⚠ Date missing",IF($B242="","⚠ Site missing",IF(ISNA(MATCH($C242,Mix_Code,0)),"⚠ Unknown mix code",IF($D242="","⚠ Enter m3 produced",IF(COUNTIF(CI_Site,$B242)=0,"⚠ Site not set up in Current Inventory",IF($A242&gt;AsOfDate,"Future date – not yet deducted","OK")))))))</f>
        <v/>
      </c>
    </row>
    <row r="243" customFormat="false" ht="15" hidden="false" customHeight="false" outlineLevel="0" collapsed="false">
      <c r="A243" s="65"/>
      <c r="B243" s="63"/>
      <c r="C243" s="70"/>
      <c r="D243" s="66"/>
      <c r="E243" s="16" t="str">
        <f aca="false">IF($C243="","",IFERROR(INDEX(Mix_Desc,MATCH($C243,Mix_Code,0)),"⚠ Unknown mix code"))</f>
        <v/>
      </c>
      <c r="F243" s="67" t="str">
        <f aca="false">IF(OR($C243="",$D243=""),"",IFERROR($D243*INDEX(Mix_Eff,MATCH($C243,Mix_Code,0),1),""))</f>
        <v/>
      </c>
      <c r="G243" s="67" t="str">
        <f aca="false">IF(OR($C243="",$D243=""),"",IFERROR($D243*INDEX(Mix_Eff,MATCH($C243,Mix_Code,0),2),""))</f>
        <v/>
      </c>
      <c r="H243" s="67" t="str">
        <f aca="false">IF(OR($C243="",$D243=""),"",IFERROR($D243*INDEX(Mix_Eff,MATCH($C243,Mix_Code,0),3),""))</f>
        <v/>
      </c>
      <c r="I243" s="67" t="str">
        <f aca="false">IF(OR($C243="",$D243=""),"",IFERROR($D243*INDEX(Mix_Eff,MATCH($C243,Mix_Code,0),4),""))</f>
        <v/>
      </c>
      <c r="J243" s="67" t="str">
        <f aca="false">IF(OR($C243="",$D243=""),"",IFERROR($D243*INDEX(Mix_Eff,MATCH($C243,Mix_Code,0),5),""))</f>
        <v/>
      </c>
      <c r="K243" s="63"/>
      <c r="L243" s="16" t="str">
        <f aca="false">IF(AND($A243="",$B243="",$C243="",$D243=""),"",IF($A243="","⚠ Date missing",IF($B243="","⚠ Site missing",IF(ISNA(MATCH($C243,Mix_Code,0)),"⚠ Unknown mix code",IF($D243="","⚠ Enter m3 produced",IF(COUNTIF(CI_Site,$B243)=0,"⚠ Site not set up in Current Inventory",IF($A243&gt;AsOfDate,"Future date – not yet deducted","OK")))))))</f>
        <v/>
      </c>
    </row>
    <row r="244" customFormat="false" ht="15" hidden="false" customHeight="false" outlineLevel="0" collapsed="false">
      <c r="A244" s="65"/>
      <c r="B244" s="63"/>
      <c r="C244" s="70"/>
      <c r="D244" s="66"/>
      <c r="E244" s="16" t="str">
        <f aca="false">IF($C244="","",IFERROR(INDEX(Mix_Desc,MATCH($C244,Mix_Code,0)),"⚠ Unknown mix code"))</f>
        <v/>
      </c>
      <c r="F244" s="67" t="str">
        <f aca="false">IF(OR($C244="",$D244=""),"",IFERROR($D244*INDEX(Mix_Eff,MATCH($C244,Mix_Code,0),1),""))</f>
        <v/>
      </c>
      <c r="G244" s="67" t="str">
        <f aca="false">IF(OR($C244="",$D244=""),"",IFERROR($D244*INDEX(Mix_Eff,MATCH($C244,Mix_Code,0),2),""))</f>
        <v/>
      </c>
      <c r="H244" s="67" t="str">
        <f aca="false">IF(OR($C244="",$D244=""),"",IFERROR($D244*INDEX(Mix_Eff,MATCH($C244,Mix_Code,0),3),""))</f>
        <v/>
      </c>
      <c r="I244" s="67" t="str">
        <f aca="false">IF(OR($C244="",$D244=""),"",IFERROR($D244*INDEX(Mix_Eff,MATCH($C244,Mix_Code,0),4),""))</f>
        <v/>
      </c>
      <c r="J244" s="67" t="str">
        <f aca="false">IF(OR($C244="",$D244=""),"",IFERROR($D244*INDEX(Mix_Eff,MATCH($C244,Mix_Code,0),5),""))</f>
        <v/>
      </c>
      <c r="K244" s="63"/>
      <c r="L244" s="16" t="str">
        <f aca="false">IF(AND($A244="",$B244="",$C244="",$D244=""),"",IF($A244="","⚠ Date missing",IF($B244="","⚠ Site missing",IF(ISNA(MATCH($C244,Mix_Code,0)),"⚠ Unknown mix code",IF($D244="","⚠ Enter m3 produced",IF(COUNTIF(CI_Site,$B244)=0,"⚠ Site not set up in Current Inventory",IF($A244&gt;AsOfDate,"Future date – not yet deducted","OK")))))))</f>
        <v/>
      </c>
    </row>
    <row r="245" customFormat="false" ht="15" hidden="false" customHeight="false" outlineLevel="0" collapsed="false">
      <c r="A245" s="65"/>
      <c r="B245" s="63"/>
      <c r="C245" s="70"/>
      <c r="D245" s="66"/>
      <c r="E245" s="16" t="str">
        <f aca="false">IF($C245="","",IFERROR(INDEX(Mix_Desc,MATCH($C245,Mix_Code,0)),"⚠ Unknown mix code"))</f>
        <v/>
      </c>
      <c r="F245" s="67" t="str">
        <f aca="false">IF(OR($C245="",$D245=""),"",IFERROR($D245*INDEX(Mix_Eff,MATCH($C245,Mix_Code,0),1),""))</f>
        <v/>
      </c>
      <c r="G245" s="67" t="str">
        <f aca="false">IF(OR($C245="",$D245=""),"",IFERROR($D245*INDEX(Mix_Eff,MATCH($C245,Mix_Code,0),2),""))</f>
        <v/>
      </c>
      <c r="H245" s="67" t="str">
        <f aca="false">IF(OR($C245="",$D245=""),"",IFERROR($D245*INDEX(Mix_Eff,MATCH($C245,Mix_Code,0),3),""))</f>
        <v/>
      </c>
      <c r="I245" s="67" t="str">
        <f aca="false">IF(OR($C245="",$D245=""),"",IFERROR($D245*INDEX(Mix_Eff,MATCH($C245,Mix_Code,0),4),""))</f>
        <v/>
      </c>
      <c r="J245" s="67" t="str">
        <f aca="false">IF(OR($C245="",$D245=""),"",IFERROR($D245*INDEX(Mix_Eff,MATCH($C245,Mix_Code,0),5),""))</f>
        <v/>
      </c>
      <c r="K245" s="63"/>
      <c r="L245" s="16" t="str">
        <f aca="false">IF(AND($A245="",$B245="",$C245="",$D245=""),"",IF($A245="","⚠ Date missing",IF($B245="","⚠ Site missing",IF(ISNA(MATCH($C245,Mix_Code,0)),"⚠ Unknown mix code",IF($D245="","⚠ Enter m3 produced",IF(COUNTIF(CI_Site,$B245)=0,"⚠ Site not set up in Current Inventory",IF($A245&gt;AsOfDate,"Future date – not yet deducted","OK")))))))</f>
        <v/>
      </c>
    </row>
    <row r="246" customFormat="false" ht="15" hidden="false" customHeight="false" outlineLevel="0" collapsed="false">
      <c r="A246" s="65"/>
      <c r="B246" s="63"/>
      <c r="C246" s="70"/>
      <c r="D246" s="66"/>
      <c r="E246" s="16" t="str">
        <f aca="false">IF($C246="","",IFERROR(INDEX(Mix_Desc,MATCH($C246,Mix_Code,0)),"⚠ Unknown mix code"))</f>
        <v/>
      </c>
      <c r="F246" s="67" t="str">
        <f aca="false">IF(OR($C246="",$D246=""),"",IFERROR($D246*INDEX(Mix_Eff,MATCH($C246,Mix_Code,0),1),""))</f>
        <v/>
      </c>
      <c r="G246" s="67" t="str">
        <f aca="false">IF(OR($C246="",$D246=""),"",IFERROR($D246*INDEX(Mix_Eff,MATCH($C246,Mix_Code,0),2),""))</f>
        <v/>
      </c>
      <c r="H246" s="67" t="str">
        <f aca="false">IF(OR($C246="",$D246=""),"",IFERROR($D246*INDEX(Mix_Eff,MATCH($C246,Mix_Code,0),3),""))</f>
        <v/>
      </c>
      <c r="I246" s="67" t="str">
        <f aca="false">IF(OR($C246="",$D246=""),"",IFERROR($D246*INDEX(Mix_Eff,MATCH($C246,Mix_Code,0),4),""))</f>
        <v/>
      </c>
      <c r="J246" s="67" t="str">
        <f aca="false">IF(OR($C246="",$D246=""),"",IFERROR($D246*INDEX(Mix_Eff,MATCH($C246,Mix_Code,0),5),""))</f>
        <v/>
      </c>
      <c r="K246" s="63"/>
      <c r="L246" s="16" t="str">
        <f aca="false">IF(AND($A246="",$B246="",$C246="",$D246=""),"",IF($A246="","⚠ Date missing",IF($B246="","⚠ Site missing",IF(ISNA(MATCH($C246,Mix_Code,0)),"⚠ Unknown mix code",IF($D246="","⚠ Enter m3 produced",IF(COUNTIF(CI_Site,$B246)=0,"⚠ Site not set up in Current Inventory",IF($A246&gt;AsOfDate,"Future date – not yet deducted","OK")))))))</f>
        <v/>
      </c>
    </row>
    <row r="247" customFormat="false" ht="15" hidden="false" customHeight="false" outlineLevel="0" collapsed="false">
      <c r="A247" s="65"/>
      <c r="B247" s="63"/>
      <c r="C247" s="70"/>
      <c r="D247" s="66"/>
      <c r="E247" s="16" t="str">
        <f aca="false">IF($C247="","",IFERROR(INDEX(Mix_Desc,MATCH($C247,Mix_Code,0)),"⚠ Unknown mix code"))</f>
        <v/>
      </c>
      <c r="F247" s="67" t="str">
        <f aca="false">IF(OR($C247="",$D247=""),"",IFERROR($D247*INDEX(Mix_Eff,MATCH($C247,Mix_Code,0),1),""))</f>
        <v/>
      </c>
      <c r="G247" s="67" t="str">
        <f aca="false">IF(OR($C247="",$D247=""),"",IFERROR($D247*INDEX(Mix_Eff,MATCH($C247,Mix_Code,0),2),""))</f>
        <v/>
      </c>
      <c r="H247" s="67" t="str">
        <f aca="false">IF(OR($C247="",$D247=""),"",IFERROR($D247*INDEX(Mix_Eff,MATCH($C247,Mix_Code,0),3),""))</f>
        <v/>
      </c>
      <c r="I247" s="67" t="str">
        <f aca="false">IF(OR($C247="",$D247=""),"",IFERROR($D247*INDEX(Mix_Eff,MATCH($C247,Mix_Code,0),4),""))</f>
        <v/>
      </c>
      <c r="J247" s="67" t="str">
        <f aca="false">IF(OR($C247="",$D247=""),"",IFERROR($D247*INDEX(Mix_Eff,MATCH($C247,Mix_Code,0),5),""))</f>
        <v/>
      </c>
      <c r="K247" s="63"/>
      <c r="L247" s="16" t="str">
        <f aca="false">IF(AND($A247="",$B247="",$C247="",$D247=""),"",IF($A247="","⚠ Date missing",IF($B247="","⚠ Site missing",IF(ISNA(MATCH($C247,Mix_Code,0)),"⚠ Unknown mix code",IF($D247="","⚠ Enter m3 produced",IF(COUNTIF(CI_Site,$B247)=0,"⚠ Site not set up in Current Inventory",IF($A247&gt;AsOfDate,"Future date – not yet deducted","OK")))))))</f>
        <v/>
      </c>
    </row>
    <row r="248" customFormat="false" ht="15" hidden="false" customHeight="false" outlineLevel="0" collapsed="false">
      <c r="A248" s="65"/>
      <c r="B248" s="63"/>
      <c r="C248" s="70"/>
      <c r="D248" s="66"/>
      <c r="E248" s="16" t="str">
        <f aca="false">IF($C248="","",IFERROR(INDEX(Mix_Desc,MATCH($C248,Mix_Code,0)),"⚠ Unknown mix code"))</f>
        <v/>
      </c>
      <c r="F248" s="67" t="str">
        <f aca="false">IF(OR($C248="",$D248=""),"",IFERROR($D248*INDEX(Mix_Eff,MATCH($C248,Mix_Code,0),1),""))</f>
        <v/>
      </c>
      <c r="G248" s="67" t="str">
        <f aca="false">IF(OR($C248="",$D248=""),"",IFERROR($D248*INDEX(Mix_Eff,MATCH($C248,Mix_Code,0),2),""))</f>
        <v/>
      </c>
      <c r="H248" s="67" t="str">
        <f aca="false">IF(OR($C248="",$D248=""),"",IFERROR($D248*INDEX(Mix_Eff,MATCH($C248,Mix_Code,0),3),""))</f>
        <v/>
      </c>
      <c r="I248" s="67" t="str">
        <f aca="false">IF(OR($C248="",$D248=""),"",IFERROR($D248*INDEX(Mix_Eff,MATCH($C248,Mix_Code,0),4),""))</f>
        <v/>
      </c>
      <c r="J248" s="67" t="str">
        <f aca="false">IF(OR($C248="",$D248=""),"",IFERROR($D248*INDEX(Mix_Eff,MATCH($C248,Mix_Code,0),5),""))</f>
        <v/>
      </c>
      <c r="K248" s="63"/>
      <c r="L248" s="16" t="str">
        <f aca="false">IF(AND($A248="",$B248="",$C248="",$D248=""),"",IF($A248="","⚠ Date missing",IF($B248="","⚠ Site missing",IF(ISNA(MATCH($C248,Mix_Code,0)),"⚠ Unknown mix code",IF($D248="","⚠ Enter m3 produced",IF(COUNTIF(CI_Site,$B248)=0,"⚠ Site not set up in Current Inventory",IF($A248&gt;AsOfDate,"Future date – not yet deducted","OK")))))))</f>
        <v/>
      </c>
    </row>
    <row r="249" customFormat="false" ht="15" hidden="false" customHeight="false" outlineLevel="0" collapsed="false">
      <c r="A249" s="65"/>
      <c r="B249" s="63"/>
      <c r="C249" s="70"/>
      <c r="D249" s="66"/>
      <c r="E249" s="16" t="str">
        <f aca="false">IF($C249="","",IFERROR(INDEX(Mix_Desc,MATCH($C249,Mix_Code,0)),"⚠ Unknown mix code"))</f>
        <v/>
      </c>
      <c r="F249" s="67" t="str">
        <f aca="false">IF(OR($C249="",$D249=""),"",IFERROR($D249*INDEX(Mix_Eff,MATCH($C249,Mix_Code,0),1),""))</f>
        <v/>
      </c>
      <c r="G249" s="67" t="str">
        <f aca="false">IF(OR($C249="",$D249=""),"",IFERROR($D249*INDEX(Mix_Eff,MATCH($C249,Mix_Code,0),2),""))</f>
        <v/>
      </c>
      <c r="H249" s="67" t="str">
        <f aca="false">IF(OR($C249="",$D249=""),"",IFERROR($D249*INDEX(Mix_Eff,MATCH($C249,Mix_Code,0),3),""))</f>
        <v/>
      </c>
      <c r="I249" s="67" t="str">
        <f aca="false">IF(OR($C249="",$D249=""),"",IFERROR($D249*INDEX(Mix_Eff,MATCH($C249,Mix_Code,0),4),""))</f>
        <v/>
      </c>
      <c r="J249" s="67" t="str">
        <f aca="false">IF(OR($C249="",$D249=""),"",IFERROR($D249*INDEX(Mix_Eff,MATCH($C249,Mix_Code,0),5),""))</f>
        <v/>
      </c>
      <c r="K249" s="63"/>
      <c r="L249" s="16" t="str">
        <f aca="false">IF(AND($A249="",$B249="",$C249="",$D249=""),"",IF($A249="","⚠ Date missing",IF($B249="","⚠ Site missing",IF(ISNA(MATCH($C249,Mix_Code,0)),"⚠ Unknown mix code",IF($D249="","⚠ Enter m3 produced",IF(COUNTIF(CI_Site,$B249)=0,"⚠ Site not set up in Current Inventory",IF($A249&gt;AsOfDate,"Future date – not yet deducted","OK")))))))</f>
        <v/>
      </c>
    </row>
    <row r="250" customFormat="false" ht="15" hidden="false" customHeight="false" outlineLevel="0" collapsed="false">
      <c r="A250" s="65"/>
      <c r="B250" s="63"/>
      <c r="C250" s="70"/>
      <c r="D250" s="66"/>
      <c r="E250" s="16" t="str">
        <f aca="false">IF($C250="","",IFERROR(INDEX(Mix_Desc,MATCH($C250,Mix_Code,0)),"⚠ Unknown mix code"))</f>
        <v/>
      </c>
      <c r="F250" s="67" t="str">
        <f aca="false">IF(OR($C250="",$D250=""),"",IFERROR($D250*INDEX(Mix_Eff,MATCH($C250,Mix_Code,0),1),""))</f>
        <v/>
      </c>
      <c r="G250" s="67" t="str">
        <f aca="false">IF(OR($C250="",$D250=""),"",IFERROR($D250*INDEX(Mix_Eff,MATCH($C250,Mix_Code,0),2),""))</f>
        <v/>
      </c>
      <c r="H250" s="67" t="str">
        <f aca="false">IF(OR($C250="",$D250=""),"",IFERROR($D250*INDEX(Mix_Eff,MATCH($C250,Mix_Code,0),3),""))</f>
        <v/>
      </c>
      <c r="I250" s="67" t="str">
        <f aca="false">IF(OR($C250="",$D250=""),"",IFERROR($D250*INDEX(Mix_Eff,MATCH($C250,Mix_Code,0),4),""))</f>
        <v/>
      </c>
      <c r="J250" s="67" t="str">
        <f aca="false">IF(OR($C250="",$D250=""),"",IFERROR($D250*INDEX(Mix_Eff,MATCH($C250,Mix_Code,0),5),""))</f>
        <v/>
      </c>
      <c r="K250" s="63"/>
      <c r="L250" s="16" t="str">
        <f aca="false">IF(AND($A250="",$B250="",$C250="",$D250=""),"",IF($A250="","⚠ Date missing",IF($B250="","⚠ Site missing",IF(ISNA(MATCH($C250,Mix_Code,0)),"⚠ Unknown mix code",IF($D250="","⚠ Enter m3 produced",IF(COUNTIF(CI_Site,$B250)=0,"⚠ Site not set up in Current Inventory",IF($A250&gt;AsOfDate,"Future date – not yet deducted","OK")))))))</f>
        <v/>
      </c>
    </row>
    <row r="251" customFormat="false" ht="15" hidden="false" customHeight="false" outlineLevel="0" collapsed="false">
      <c r="A251" s="65"/>
      <c r="B251" s="63"/>
      <c r="C251" s="70"/>
      <c r="D251" s="66"/>
      <c r="E251" s="16" t="str">
        <f aca="false">IF($C251="","",IFERROR(INDEX(Mix_Desc,MATCH($C251,Mix_Code,0)),"⚠ Unknown mix code"))</f>
        <v/>
      </c>
      <c r="F251" s="67" t="str">
        <f aca="false">IF(OR($C251="",$D251=""),"",IFERROR($D251*INDEX(Mix_Eff,MATCH($C251,Mix_Code,0),1),""))</f>
        <v/>
      </c>
      <c r="G251" s="67" t="str">
        <f aca="false">IF(OR($C251="",$D251=""),"",IFERROR($D251*INDEX(Mix_Eff,MATCH($C251,Mix_Code,0),2),""))</f>
        <v/>
      </c>
      <c r="H251" s="67" t="str">
        <f aca="false">IF(OR($C251="",$D251=""),"",IFERROR($D251*INDEX(Mix_Eff,MATCH($C251,Mix_Code,0),3),""))</f>
        <v/>
      </c>
      <c r="I251" s="67" t="str">
        <f aca="false">IF(OR($C251="",$D251=""),"",IFERROR($D251*INDEX(Mix_Eff,MATCH($C251,Mix_Code,0),4),""))</f>
        <v/>
      </c>
      <c r="J251" s="67" t="str">
        <f aca="false">IF(OR($C251="",$D251=""),"",IFERROR($D251*INDEX(Mix_Eff,MATCH($C251,Mix_Code,0),5),""))</f>
        <v/>
      </c>
      <c r="K251" s="63"/>
      <c r="L251" s="16" t="str">
        <f aca="false">IF(AND($A251="",$B251="",$C251="",$D251=""),"",IF($A251="","⚠ Date missing",IF($B251="","⚠ Site missing",IF(ISNA(MATCH($C251,Mix_Code,0)),"⚠ Unknown mix code",IF($D251="","⚠ Enter m3 produced",IF(COUNTIF(CI_Site,$B251)=0,"⚠ Site not set up in Current Inventory",IF($A251&gt;AsOfDate,"Future date – not yet deducted","OK")))))))</f>
        <v/>
      </c>
    </row>
    <row r="252" customFormat="false" ht="15" hidden="false" customHeight="false" outlineLevel="0" collapsed="false">
      <c r="A252" s="65"/>
      <c r="B252" s="63"/>
      <c r="C252" s="70"/>
      <c r="D252" s="66"/>
      <c r="E252" s="16" t="str">
        <f aca="false">IF($C252="","",IFERROR(INDEX(Mix_Desc,MATCH($C252,Mix_Code,0)),"⚠ Unknown mix code"))</f>
        <v/>
      </c>
      <c r="F252" s="67" t="str">
        <f aca="false">IF(OR($C252="",$D252=""),"",IFERROR($D252*INDEX(Mix_Eff,MATCH($C252,Mix_Code,0),1),""))</f>
        <v/>
      </c>
      <c r="G252" s="67" t="str">
        <f aca="false">IF(OR($C252="",$D252=""),"",IFERROR($D252*INDEX(Mix_Eff,MATCH($C252,Mix_Code,0),2),""))</f>
        <v/>
      </c>
      <c r="H252" s="67" t="str">
        <f aca="false">IF(OR($C252="",$D252=""),"",IFERROR($D252*INDEX(Mix_Eff,MATCH($C252,Mix_Code,0),3),""))</f>
        <v/>
      </c>
      <c r="I252" s="67" t="str">
        <f aca="false">IF(OR($C252="",$D252=""),"",IFERROR($D252*INDEX(Mix_Eff,MATCH($C252,Mix_Code,0),4),""))</f>
        <v/>
      </c>
      <c r="J252" s="67" t="str">
        <f aca="false">IF(OR($C252="",$D252=""),"",IFERROR($D252*INDEX(Mix_Eff,MATCH($C252,Mix_Code,0),5),""))</f>
        <v/>
      </c>
      <c r="K252" s="63"/>
      <c r="L252" s="16" t="str">
        <f aca="false">IF(AND($A252="",$B252="",$C252="",$D252=""),"",IF($A252="","⚠ Date missing",IF($B252="","⚠ Site missing",IF(ISNA(MATCH($C252,Mix_Code,0)),"⚠ Unknown mix code",IF($D252="","⚠ Enter m3 produced",IF(COUNTIF(CI_Site,$B252)=0,"⚠ Site not set up in Current Inventory",IF($A252&gt;AsOfDate,"Future date – not yet deducted","OK")))))))</f>
        <v/>
      </c>
    </row>
    <row r="253" customFormat="false" ht="15" hidden="false" customHeight="false" outlineLevel="0" collapsed="false">
      <c r="A253" s="65"/>
      <c r="B253" s="63"/>
      <c r="C253" s="70"/>
      <c r="D253" s="66"/>
      <c r="E253" s="16" t="str">
        <f aca="false">IF($C253="","",IFERROR(INDEX(Mix_Desc,MATCH($C253,Mix_Code,0)),"⚠ Unknown mix code"))</f>
        <v/>
      </c>
      <c r="F253" s="67" t="str">
        <f aca="false">IF(OR($C253="",$D253=""),"",IFERROR($D253*INDEX(Mix_Eff,MATCH($C253,Mix_Code,0),1),""))</f>
        <v/>
      </c>
      <c r="G253" s="67" t="str">
        <f aca="false">IF(OR($C253="",$D253=""),"",IFERROR($D253*INDEX(Mix_Eff,MATCH($C253,Mix_Code,0),2),""))</f>
        <v/>
      </c>
      <c r="H253" s="67" t="str">
        <f aca="false">IF(OR($C253="",$D253=""),"",IFERROR($D253*INDEX(Mix_Eff,MATCH($C253,Mix_Code,0),3),""))</f>
        <v/>
      </c>
      <c r="I253" s="67" t="str">
        <f aca="false">IF(OR($C253="",$D253=""),"",IFERROR($D253*INDEX(Mix_Eff,MATCH($C253,Mix_Code,0),4),""))</f>
        <v/>
      </c>
      <c r="J253" s="67" t="str">
        <f aca="false">IF(OR($C253="",$D253=""),"",IFERROR($D253*INDEX(Mix_Eff,MATCH($C253,Mix_Code,0),5),""))</f>
        <v/>
      </c>
      <c r="K253" s="63"/>
      <c r="L253" s="16" t="str">
        <f aca="false">IF(AND($A253="",$B253="",$C253="",$D253=""),"",IF($A253="","⚠ Date missing",IF($B253="","⚠ Site missing",IF(ISNA(MATCH($C253,Mix_Code,0)),"⚠ Unknown mix code",IF($D253="","⚠ Enter m3 produced",IF(COUNTIF(CI_Site,$B253)=0,"⚠ Site not set up in Current Inventory",IF($A253&gt;AsOfDate,"Future date – not yet deducted","OK")))))))</f>
        <v/>
      </c>
    </row>
    <row r="254" customFormat="false" ht="15" hidden="false" customHeight="false" outlineLevel="0" collapsed="false">
      <c r="A254" s="65"/>
      <c r="B254" s="63"/>
      <c r="C254" s="70"/>
      <c r="D254" s="66"/>
      <c r="E254" s="16" t="str">
        <f aca="false">IF($C254="","",IFERROR(INDEX(Mix_Desc,MATCH($C254,Mix_Code,0)),"⚠ Unknown mix code"))</f>
        <v/>
      </c>
      <c r="F254" s="67" t="str">
        <f aca="false">IF(OR($C254="",$D254=""),"",IFERROR($D254*INDEX(Mix_Eff,MATCH($C254,Mix_Code,0),1),""))</f>
        <v/>
      </c>
      <c r="G254" s="67" t="str">
        <f aca="false">IF(OR($C254="",$D254=""),"",IFERROR($D254*INDEX(Mix_Eff,MATCH($C254,Mix_Code,0),2),""))</f>
        <v/>
      </c>
      <c r="H254" s="67" t="str">
        <f aca="false">IF(OR($C254="",$D254=""),"",IFERROR($D254*INDEX(Mix_Eff,MATCH($C254,Mix_Code,0),3),""))</f>
        <v/>
      </c>
      <c r="I254" s="67" t="str">
        <f aca="false">IF(OR($C254="",$D254=""),"",IFERROR($D254*INDEX(Mix_Eff,MATCH($C254,Mix_Code,0),4),""))</f>
        <v/>
      </c>
      <c r="J254" s="67" t="str">
        <f aca="false">IF(OR($C254="",$D254=""),"",IFERROR($D254*INDEX(Mix_Eff,MATCH($C254,Mix_Code,0),5),""))</f>
        <v/>
      </c>
      <c r="K254" s="63"/>
      <c r="L254" s="16" t="str">
        <f aca="false">IF(AND($A254="",$B254="",$C254="",$D254=""),"",IF($A254="","⚠ Date missing",IF($B254="","⚠ Site missing",IF(ISNA(MATCH($C254,Mix_Code,0)),"⚠ Unknown mix code",IF($D254="","⚠ Enter m3 produced",IF(COUNTIF(CI_Site,$B254)=0,"⚠ Site not set up in Current Inventory",IF($A254&gt;AsOfDate,"Future date – not yet deducted","OK")))))))</f>
        <v/>
      </c>
    </row>
    <row r="255" customFormat="false" ht="15" hidden="false" customHeight="false" outlineLevel="0" collapsed="false">
      <c r="A255" s="65"/>
      <c r="B255" s="63"/>
      <c r="C255" s="70"/>
      <c r="D255" s="66"/>
      <c r="E255" s="16" t="str">
        <f aca="false">IF($C255="","",IFERROR(INDEX(Mix_Desc,MATCH($C255,Mix_Code,0)),"⚠ Unknown mix code"))</f>
        <v/>
      </c>
      <c r="F255" s="67" t="str">
        <f aca="false">IF(OR($C255="",$D255=""),"",IFERROR($D255*INDEX(Mix_Eff,MATCH($C255,Mix_Code,0),1),""))</f>
        <v/>
      </c>
      <c r="G255" s="67" t="str">
        <f aca="false">IF(OR($C255="",$D255=""),"",IFERROR($D255*INDEX(Mix_Eff,MATCH($C255,Mix_Code,0),2),""))</f>
        <v/>
      </c>
      <c r="H255" s="67" t="str">
        <f aca="false">IF(OR($C255="",$D255=""),"",IFERROR($D255*INDEX(Mix_Eff,MATCH($C255,Mix_Code,0),3),""))</f>
        <v/>
      </c>
      <c r="I255" s="67" t="str">
        <f aca="false">IF(OR($C255="",$D255=""),"",IFERROR($D255*INDEX(Mix_Eff,MATCH($C255,Mix_Code,0),4),""))</f>
        <v/>
      </c>
      <c r="J255" s="67" t="str">
        <f aca="false">IF(OR($C255="",$D255=""),"",IFERROR($D255*INDEX(Mix_Eff,MATCH($C255,Mix_Code,0),5),""))</f>
        <v/>
      </c>
      <c r="K255" s="63"/>
      <c r="L255" s="16" t="str">
        <f aca="false">IF(AND($A255="",$B255="",$C255="",$D255=""),"",IF($A255="","⚠ Date missing",IF($B255="","⚠ Site missing",IF(ISNA(MATCH($C255,Mix_Code,0)),"⚠ Unknown mix code",IF($D255="","⚠ Enter m3 produced",IF(COUNTIF(CI_Site,$B255)=0,"⚠ Site not set up in Current Inventory",IF($A255&gt;AsOfDate,"Future date – not yet deducted","OK")))))))</f>
        <v/>
      </c>
    </row>
    <row r="256" customFormat="false" ht="15" hidden="false" customHeight="false" outlineLevel="0" collapsed="false">
      <c r="A256" s="65"/>
      <c r="B256" s="63"/>
      <c r="C256" s="70"/>
      <c r="D256" s="66"/>
      <c r="E256" s="16" t="str">
        <f aca="false">IF($C256="","",IFERROR(INDEX(Mix_Desc,MATCH($C256,Mix_Code,0)),"⚠ Unknown mix code"))</f>
        <v/>
      </c>
      <c r="F256" s="67" t="str">
        <f aca="false">IF(OR($C256="",$D256=""),"",IFERROR($D256*INDEX(Mix_Eff,MATCH($C256,Mix_Code,0),1),""))</f>
        <v/>
      </c>
      <c r="G256" s="67" t="str">
        <f aca="false">IF(OR($C256="",$D256=""),"",IFERROR($D256*INDEX(Mix_Eff,MATCH($C256,Mix_Code,0),2),""))</f>
        <v/>
      </c>
      <c r="H256" s="67" t="str">
        <f aca="false">IF(OR($C256="",$D256=""),"",IFERROR($D256*INDEX(Mix_Eff,MATCH($C256,Mix_Code,0),3),""))</f>
        <v/>
      </c>
      <c r="I256" s="67" t="str">
        <f aca="false">IF(OR($C256="",$D256=""),"",IFERROR($D256*INDEX(Mix_Eff,MATCH($C256,Mix_Code,0),4),""))</f>
        <v/>
      </c>
      <c r="J256" s="67" t="str">
        <f aca="false">IF(OR($C256="",$D256=""),"",IFERROR($D256*INDEX(Mix_Eff,MATCH($C256,Mix_Code,0),5),""))</f>
        <v/>
      </c>
      <c r="K256" s="63"/>
      <c r="L256" s="16" t="str">
        <f aca="false">IF(AND($A256="",$B256="",$C256="",$D256=""),"",IF($A256="","⚠ Date missing",IF($B256="","⚠ Site missing",IF(ISNA(MATCH($C256,Mix_Code,0)),"⚠ Unknown mix code",IF($D256="","⚠ Enter m3 produced",IF(COUNTIF(CI_Site,$B256)=0,"⚠ Site not set up in Current Inventory",IF($A256&gt;AsOfDate,"Future date – not yet deducted","OK")))))))</f>
        <v/>
      </c>
    </row>
    <row r="257" customFormat="false" ht="15" hidden="false" customHeight="false" outlineLevel="0" collapsed="false">
      <c r="A257" s="65"/>
      <c r="B257" s="63"/>
      <c r="C257" s="70"/>
      <c r="D257" s="66"/>
      <c r="E257" s="16" t="str">
        <f aca="false">IF($C257="","",IFERROR(INDEX(Mix_Desc,MATCH($C257,Mix_Code,0)),"⚠ Unknown mix code"))</f>
        <v/>
      </c>
      <c r="F257" s="67" t="str">
        <f aca="false">IF(OR($C257="",$D257=""),"",IFERROR($D257*INDEX(Mix_Eff,MATCH($C257,Mix_Code,0),1),""))</f>
        <v/>
      </c>
      <c r="G257" s="67" t="str">
        <f aca="false">IF(OR($C257="",$D257=""),"",IFERROR($D257*INDEX(Mix_Eff,MATCH($C257,Mix_Code,0),2),""))</f>
        <v/>
      </c>
      <c r="H257" s="67" t="str">
        <f aca="false">IF(OR($C257="",$D257=""),"",IFERROR($D257*INDEX(Mix_Eff,MATCH($C257,Mix_Code,0),3),""))</f>
        <v/>
      </c>
      <c r="I257" s="67" t="str">
        <f aca="false">IF(OR($C257="",$D257=""),"",IFERROR($D257*INDEX(Mix_Eff,MATCH($C257,Mix_Code,0),4),""))</f>
        <v/>
      </c>
      <c r="J257" s="67" t="str">
        <f aca="false">IF(OR($C257="",$D257=""),"",IFERROR($D257*INDEX(Mix_Eff,MATCH($C257,Mix_Code,0),5),""))</f>
        <v/>
      </c>
      <c r="K257" s="63"/>
      <c r="L257" s="16" t="str">
        <f aca="false">IF(AND($A257="",$B257="",$C257="",$D257=""),"",IF($A257="","⚠ Date missing",IF($B257="","⚠ Site missing",IF(ISNA(MATCH($C257,Mix_Code,0)),"⚠ Unknown mix code",IF($D257="","⚠ Enter m3 produced",IF(COUNTIF(CI_Site,$B257)=0,"⚠ Site not set up in Current Inventory",IF($A257&gt;AsOfDate,"Future date – not yet deducted","OK")))))))</f>
        <v/>
      </c>
    </row>
    <row r="258" customFormat="false" ht="15" hidden="false" customHeight="false" outlineLevel="0" collapsed="false">
      <c r="A258" s="65"/>
      <c r="B258" s="63"/>
      <c r="C258" s="70"/>
      <c r="D258" s="66"/>
      <c r="E258" s="16" t="str">
        <f aca="false">IF($C258="","",IFERROR(INDEX(Mix_Desc,MATCH($C258,Mix_Code,0)),"⚠ Unknown mix code"))</f>
        <v/>
      </c>
      <c r="F258" s="67" t="str">
        <f aca="false">IF(OR($C258="",$D258=""),"",IFERROR($D258*INDEX(Mix_Eff,MATCH($C258,Mix_Code,0),1),""))</f>
        <v/>
      </c>
      <c r="G258" s="67" t="str">
        <f aca="false">IF(OR($C258="",$D258=""),"",IFERROR($D258*INDEX(Mix_Eff,MATCH($C258,Mix_Code,0),2),""))</f>
        <v/>
      </c>
      <c r="H258" s="67" t="str">
        <f aca="false">IF(OR($C258="",$D258=""),"",IFERROR($D258*INDEX(Mix_Eff,MATCH($C258,Mix_Code,0),3),""))</f>
        <v/>
      </c>
      <c r="I258" s="67" t="str">
        <f aca="false">IF(OR($C258="",$D258=""),"",IFERROR($D258*INDEX(Mix_Eff,MATCH($C258,Mix_Code,0),4),""))</f>
        <v/>
      </c>
      <c r="J258" s="67" t="str">
        <f aca="false">IF(OR($C258="",$D258=""),"",IFERROR($D258*INDEX(Mix_Eff,MATCH($C258,Mix_Code,0),5),""))</f>
        <v/>
      </c>
      <c r="K258" s="63"/>
      <c r="L258" s="16" t="str">
        <f aca="false">IF(AND($A258="",$B258="",$C258="",$D258=""),"",IF($A258="","⚠ Date missing",IF($B258="","⚠ Site missing",IF(ISNA(MATCH($C258,Mix_Code,0)),"⚠ Unknown mix code",IF($D258="","⚠ Enter m3 produced",IF(COUNTIF(CI_Site,$B258)=0,"⚠ Site not set up in Current Inventory",IF($A258&gt;AsOfDate,"Future date – not yet deducted","OK")))))))</f>
        <v/>
      </c>
    </row>
    <row r="259" customFormat="false" ht="15" hidden="false" customHeight="false" outlineLevel="0" collapsed="false">
      <c r="A259" s="65"/>
      <c r="B259" s="63"/>
      <c r="C259" s="70"/>
      <c r="D259" s="66"/>
      <c r="E259" s="16" t="str">
        <f aca="false">IF($C259="","",IFERROR(INDEX(Mix_Desc,MATCH($C259,Mix_Code,0)),"⚠ Unknown mix code"))</f>
        <v/>
      </c>
      <c r="F259" s="67" t="str">
        <f aca="false">IF(OR($C259="",$D259=""),"",IFERROR($D259*INDEX(Mix_Eff,MATCH($C259,Mix_Code,0),1),""))</f>
        <v/>
      </c>
      <c r="G259" s="67" t="str">
        <f aca="false">IF(OR($C259="",$D259=""),"",IFERROR($D259*INDEX(Mix_Eff,MATCH($C259,Mix_Code,0),2),""))</f>
        <v/>
      </c>
      <c r="H259" s="67" t="str">
        <f aca="false">IF(OR($C259="",$D259=""),"",IFERROR($D259*INDEX(Mix_Eff,MATCH($C259,Mix_Code,0),3),""))</f>
        <v/>
      </c>
      <c r="I259" s="67" t="str">
        <f aca="false">IF(OR($C259="",$D259=""),"",IFERROR($D259*INDEX(Mix_Eff,MATCH($C259,Mix_Code,0),4),""))</f>
        <v/>
      </c>
      <c r="J259" s="67" t="str">
        <f aca="false">IF(OR($C259="",$D259=""),"",IFERROR($D259*INDEX(Mix_Eff,MATCH($C259,Mix_Code,0),5),""))</f>
        <v/>
      </c>
      <c r="K259" s="63"/>
      <c r="L259" s="16" t="str">
        <f aca="false">IF(AND($A259="",$B259="",$C259="",$D259=""),"",IF($A259="","⚠ Date missing",IF($B259="","⚠ Site missing",IF(ISNA(MATCH($C259,Mix_Code,0)),"⚠ Unknown mix code",IF($D259="","⚠ Enter m3 produced",IF(COUNTIF(CI_Site,$B259)=0,"⚠ Site not set up in Current Inventory",IF($A259&gt;AsOfDate,"Future date – not yet deducted","OK")))))))</f>
        <v/>
      </c>
    </row>
    <row r="260" customFormat="false" ht="15" hidden="false" customHeight="false" outlineLevel="0" collapsed="false">
      <c r="A260" s="65"/>
      <c r="B260" s="63"/>
      <c r="C260" s="70"/>
      <c r="D260" s="66"/>
      <c r="E260" s="16" t="str">
        <f aca="false">IF($C260="","",IFERROR(INDEX(Mix_Desc,MATCH($C260,Mix_Code,0)),"⚠ Unknown mix code"))</f>
        <v/>
      </c>
      <c r="F260" s="67" t="str">
        <f aca="false">IF(OR($C260="",$D260=""),"",IFERROR($D260*INDEX(Mix_Eff,MATCH($C260,Mix_Code,0),1),""))</f>
        <v/>
      </c>
      <c r="G260" s="67" t="str">
        <f aca="false">IF(OR($C260="",$D260=""),"",IFERROR($D260*INDEX(Mix_Eff,MATCH($C260,Mix_Code,0),2),""))</f>
        <v/>
      </c>
      <c r="H260" s="67" t="str">
        <f aca="false">IF(OR($C260="",$D260=""),"",IFERROR($D260*INDEX(Mix_Eff,MATCH($C260,Mix_Code,0),3),""))</f>
        <v/>
      </c>
      <c r="I260" s="67" t="str">
        <f aca="false">IF(OR($C260="",$D260=""),"",IFERROR($D260*INDEX(Mix_Eff,MATCH($C260,Mix_Code,0),4),""))</f>
        <v/>
      </c>
      <c r="J260" s="67" t="str">
        <f aca="false">IF(OR($C260="",$D260=""),"",IFERROR($D260*INDEX(Mix_Eff,MATCH($C260,Mix_Code,0),5),""))</f>
        <v/>
      </c>
      <c r="K260" s="63"/>
      <c r="L260" s="16" t="str">
        <f aca="false">IF(AND($A260="",$B260="",$C260="",$D260=""),"",IF($A260="","⚠ Date missing",IF($B260="","⚠ Site missing",IF(ISNA(MATCH($C260,Mix_Code,0)),"⚠ Unknown mix code",IF($D260="","⚠ Enter m3 produced",IF(COUNTIF(CI_Site,$B260)=0,"⚠ Site not set up in Current Inventory",IF($A260&gt;AsOfDate,"Future date – not yet deducted","OK")))))))</f>
        <v/>
      </c>
    </row>
    <row r="261" customFormat="false" ht="15" hidden="false" customHeight="false" outlineLevel="0" collapsed="false">
      <c r="A261" s="65"/>
      <c r="B261" s="63"/>
      <c r="C261" s="70"/>
      <c r="D261" s="66"/>
      <c r="E261" s="16" t="str">
        <f aca="false">IF($C261="","",IFERROR(INDEX(Mix_Desc,MATCH($C261,Mix_Code,0)),"⚠ Unknown mix code"))</f>
        <v/>
      </c>
      <c r="F261" s="67" t="str">
        <f aca="false">IF(OR($C261="",$D261=""),"",IFERROR($D261*INDEX(Mix_Eff,MATCH($C261,Mix_Code,0),1),""))</f>
        <v/>
      </c>
      <c r="G261" s="67" t="str">
        <f aca="false">IF(OR($C261="",$D261=""),"",IFERROR($D261*INDEX(Mix_Eff,MATCH($C261,Mix_Code,0),2),""))</f>
        <v/>
      </c>
      <c r="H261" s="67" t="str">
        <f aca="false">IF(OR($C261="",$D261=""),"",IFERROR($D261*INDEX(Mix_Eff,MATCH($C261,Mix_Code,0),3),""))</f>
        <v/>
      </c>
      <c r="I261" s="67" t="str">
        <f aca="false">IF(OR($C261="",$D261=""),"",IFERROR($D261*INDEX(Mix_Eff,MATCH($C261,Mix_Code,0),4),""))</f>
        <v/>
      </c>
      <c r="J261" s="67" t="str">
        <f aca="false">IF(OR($C261="",$D261=""),"",IFERROR($D261*INDEX(Mix_Eff,MATCH($C261,Mix_Code,0),5),""))</f>
        <v/>
      </c>
      <c r="K261" s="63"/>
      <c r="L261" s="16" t="str">
        <f aca="false">IF(AND($A261="",$B261="",$C261="",$D261=""),"",IF($A261="","⚠ Date missing",IF($B261="","⚠ Site missing",IF(ISNA(MATCH($C261,Mix_Code,0)),"⚠ Unknown mix code",IF($D261="","⚠ Enter m3 produced",IF(COUNTIF(CI_Site,$B261)=0,"⚠ Site not set up in Current Inventory",IF($A261&gt;AsOfDate,"Future date – not yet deducted","OK")))))))</f>
        <v/>
      </c>
    </row>
    <row r="262" customFormat="false" ht="15" hidden="false" customHeight="false" outlineLevel="0" collapsed="false">
      <c r="A262" s="65"/>
      <c r="B262" s="63"/>
      <c r="C262" s="70"/>
      <c r="D262" s="66"/>
      <c r="E262" s="16" t="str">
        <f aca="false">IF($C262="","",IFERROR(INDEX(Mix_Desc,MATCH($C262,Mix_Code,0)),"⚠ Unknown mix code"))</f>
        <v/>
      </c>
      <c r="F262" s="67" t="str">
        <f aca="false">IF(OR($C262="",$D262=""),"",IFERROR($D262*INDEX(Mix_Eff,MATCH($C262,Mix_Code,0),1),""))</f>
        <v/>
      </c>
      <c r="G262" s="67" t="str">
        <f aca="false">IF(OR($C262="",$D262=""),"",IFERROR($D262*INDEX(Mix_Eff,MATCH($C262,Mix_Code,0),2),""))</f>
        <v/>
      </c>
      <c r="H262" s="67" t="str">
        <f aca="false">IF(OR($C262="",$D262=""),"",IFERROR($D262*INDEX(Mix_Eff,MATCH($C262,Mix_Code,0),3),""))</f>
        <v/>
      </c>
      <c r="I262" s="67" t="str">
        <f aca="false">IF(OR($C262="",$D262=""),"",IFERROR($D262*INDEX(Mix_Eff,MATCH($C262,Mix_Code,0),4),""))</f>
        <v/>
      </c>
      <c r="J262" s="67" t="str">
        <f aca="false">IF(OR($C262="",$D262=""),"",IFERROR($D262*INDEX(Mix_Eff,MATCH($C262,Mix_Code,0),5),""))</f>
        <v/>
      </c>
      <c r="K262" s="63"/>
      <c r="L262" s="16" t="str">
        <f aca="false">IF(AND($A262="",$B262="",$C262="",$D262=""),"",IF($A262="","⚠ Date missing",IF($B262="","⚠ Site missing",IF(ISNA(MATCH($C262,Mix_Code,0)),"⚠ Unknown mix code",IF($D262="","⚠ Enter m3 produced",IF(COUNTIF(CI_Site,$B262)=0,"⚠ Site not set up in Current Inventory",IF($A262&gt;AsOfDate,"Future date – not yet deducted","OK")))))))</f>
        <v/>
      </c>
    </row>
    <row r="263" customFormat="false" ht="15" hidden="false" customHeight="false" outlineLevel="0" collapsed="false">
      <c r="A263" s="65"/>
      <c r="B263" s="63"/>
      <c r="C263" s="70"/>
      <c r="D263" s="66"/>
      <c r="E263" s="16" t="str">
        <f aca="false">IF($C263="","",IFERROR(INDEX(Mix_Desc,MATCH($C263,Mix_Code,0)),"⚠ Unknown mix code"))</f>
        <v/>
      </c>
      <c r="F263" s="67" t="str">
        <f aca="false">IF(OR($C263="",$D263=""),"",IFERROR($D263*INDEX(Mix_Eff,MATCH($C263,Mix_Code,0),1),""))</f>
        <v/>
      </c>
      <c r="G263" s="67" t="str">
        <f aca="false">IF(OR($C263="",$D263=""),"",IFERROR($D263*INDEX(Mix_Eff,MATCH($C263,Mix_Code,0),2),""))</f>
        <v/>
      </c>
      <c r="H263" s="67" t="str">
        <f aca="false">IF(OR($C263="",$D263=""),"",IFERROR($D263*INDEX(Mix_Eff,MATCH($C263,Mix_Code,0),3),""))</f>
        <v/>
      </c>
      <c r="I263" s="67" t="str">
        <f aca="false">IF(OR($C263="",$D263=""),"",IFERROR($D263*INDEX(Mix_Eff,MATCH($C263,Mix_Code,0),4),""))</f>
        <v/>
      </c>
      <c r="J263" s="67" t="str">
        <f aca="false">IF(OR($C263="",$D263=""),"",IFERROR($D263*INDEX(Mix_Eff,MATCH($C263,Mix_Code,0),5),""))</f>
        <v/>
      </c>
      <c r="K263" s="63"/>
      <c r="L263" s="16" t="str">
        <f aca="false">IF(AND($A263="",$B263="",$C263="",$D263=""),"",IF($A263="","⚠ Date missing",IF($B263="","⚠ Site missing",IF(ISNA(MATCH($C263,Mix_Code,0)),"⚠ Unknown mix code",IF($D263="","⚠ Enter m3 produced",IF(COUNTIF(CI_Site,$B263)=0,"⚠ Site not set up in Current Inventory",IF($A263&gt;AsOfDate,"Future date – not yet deducted","OK")))))))</f>
        <v/>
      </c>
    </row>
    <row r="264" customFormat="false" ht="15" hidden="false" customHeight="false" outlineLevel="0" collapsed="false">
      <c r="A264" s="65"/>
      <c r="B264" s="63"/>
      <c r="C264" s="70"/>
      <c r="D264" s="66"/>
      <c r="E264" s="16" t="str">
        <f aca="false">IF($C264="","",IFERROR(INDEX(Mix_Desc,MATCH($C264,Mix_Code,0)),"⚠ Unknown mix code"))</f>
        <v/>
      </c>
      <c r="F264" s="67" t="str">
        <f aca="false">IF(OR($C264="",$D264=""),"",IFERROR($D264*INDEX(Mix_Eff,MATCH($C264,Mix_Code,0),1),""))</f>
        <v/>
      </c>
      <c r="G264" s="67" t="str">
        <f aca="false">IF(OR($C264="",$D264=""),"",IFERROR($D264*INDEX(Mix_Eff,MATCH($C264,Mix_Code,0),2),""))</f>
        <v/>
      </c>
      <c r="H264" s="67" t="str">
        <f aca="false">IF(OR($C264="",$D264=""),"",IFERROR($D264*INDEX(Mix_Eff,MATCH($C264,Mix_Code,0),3),""))</f>
        <v/>
      </c>
      <c r="I264" s="67" t="str">
        <f aca="false">IF(OR($C264="",$D264=""),"",IFERROR($D264*INDEX(Mix_Eff,MATCH($C264,Mix_Code,0),4),""))</f>
        <v/>
      </c>
      <c r="J264" s="67" t="str">
        <f aca="false">IF(OR($C264="",$D264=""),"",IFERROR($D264*INDEX(Mix_Eff,MATCH($C264,Mix_Code,0),5),""))</f>
        <v/>
      </c>
      <c r="K264" s="63"/>
      <c r="L264" s="16" t="str">
        <f aca="false">IF(AND($A264="",$B264="",$C264="",$D264=""),"",IF($A264="","⚠ Date missing",IF($B264="","⚠ Site missing",IF(ISNA(MATCH($C264,Mix_Code,0)),"⚠ Unknown mix code",IF($D264="","⚠ Enter m3 produced",IF(COUNTIF(CI_Site,$B264)=0,"⚠ Site not set up in Current Inventory",IF($A264&gt;AsOfDate,"Future date – not yet deducted","OK")))))))</f>
        <v/>
      </c>
    </row>
    <row r="265" customFormat="false" ht="15" hidden="false" customHeight="false" outlineLevel="0" collapsed="false">
      <c r="A265" s="65"/>
      <c r="B265" s="63"/>
      <c r="C265" s="70"/>
      <c r="D265" s="66"/>
      <c r="E265" s="16" t="str">
        <f aca="false">IF($C265="","",IFERROR(INDEX(Mix_Desc,MATCH($C265,Mix_Code,0)),"⚠ Unknown mix code"))</f>
        <v/>
      </c>
      <c r="F265" s="67" t="str">
        <f aca="false">IF(OR($C265="",$D265=""),"",IFERROR($D265*INDEX(Mix_Eff,MATCH($C265,Mix_Code,0),1),""))</f>
        <v/>
      </c>
      <c r="G265" s="67" t="str">
        <f aca="false">IF(OR($C265="",$D265=""),"",IFERROR($D265*INDEX(Mix_Eff,MATCH($C265,Mix_Code,0),2),""))</f>
        <v/>
      </c>
      <c r="H265" s="67" t="str">
        <f aca="false">IF(OR($C265="",$D265=""),"",IFERROR($D265*INDEX(Mix_Eff,MATCH($C265,Mix_Code,0),3),""))</f>
        <v/>
      </c>
      <c r="I265" s="67" t="str">
        <f aca="false">IF(OR($C265="",$D265=""),"",IFERROR($D265*INDEX(Mix_Eff,MATCH($C265,Mix_Code,0),4),""))</f>
        <v/>
      </c>
      <c r="J265" s="67" t="str">
        <f aca="false">IF(OR($C265="",$D265=""),"",IFERROR($D265*INDEX(Mix_Eff,MATCH($C265,Mix_Code,0),5),""))</f>
        <v/>
      </c>
      <c r="K265" s="63"/>
      <c r="L265" s="16" t="str">
        <f aca="false">IF(AND($A265="",$B265="",$C265="",$D265=""),"",IF($A265="","⚠ Date missing",IF($B265="","⚠ Site missing",IF(ISNA(MATCH($C265,Mix_Code,0)),"⚠ Unknown mix code",IF($D265="","⚠ Enter m3 produced",IF(COUNTIF(CI_Site,$B265)=0,"⚠ Site not set up in Current Inventory",IF($A265&gt;AsOfDate,"Future date – not yet deducted","OK")))))))</f>
        <v/>
      </c>
    </row>
    <row r="266" customFormat="false" ht="15" hidden="false" customHeight="false" outlineLevel="0" collapsed="false">
      <c r="A266" s="65"/>
      <c r="B266" s="63"/>
      <c r="C266" s="70"/>
      <c r="D266" s="66"/>
      <c r="E266" s="16" t="str">
        <f aca="false">IF($C266="","",IFERROR(INDEX(Mix_Desc,MATCH($C266,Mix_Code,0)),"⚠ Unknown mix code"))</f>
        <v/>
      </c>
      <c r="F266" s="67" t="str">
        <f aca="false">IF(OR($C266="",$D266=""),"",IFERROR($D266*INDEX(Mix_Eff,MATCH($C266,Mix_Code,0),1),""))</f>
        <v/>
      </c>
      <c r="G266" s="67" t="str">
        <f aca="false">IF(OR($C266="",$D266=""),"",IFERROR($D266*INDEX(Mix_Eff,MATCH($C266,Mix_Code,0),2),""))</f>
        <v/>
      </c>
      <c r="H266" s="67" t="str">
        <f aca="false">IF(OR($C266="",$D266=""),"",IFERROR($D266*INDEX(Mix_Eff,MATCH($C266,Mix_Code,0),3),""))</f>
        <v/>
      </c>
      <c r="I266" s="67" t="str">
        <f aca="false">IF(OR($C266="",$D266=""),"",IFERROR($D266*INDEX(Mix_Eff,MATCH($C266,Mix_Code,0),4),""))</f>
        <v/>
      </c>
      <c r="J266" s="67" t="str">
        <f aca="false">IF(OR($C266="",$D266=""),"",IFERROR($D266*INDEX(Mix_Eff,MATCH($C266,Mix_Code,0),5),""))</f>
        <v/>
      </c>
      <c r="K266" s="63"/>
      <c r="L266" s="16" t="str">
        <f aca="false">IF(AND($A266="",$B266="",$C266="",$D266=""),"",IF($A266="","⚠ Date missing",IF($B266="","⚠ Site missing",IF(ISNA(MATCH($C266,Mix_Code,0)),"⚠ Unknown mix code",IF($D266="","⚠ Enter m3 produced",IF(COUNTIF(CI_Site,$B266)=0,"⚠ Site not set up in Current Inventory",IF($A266&gt;AsOfDate,"Future date – not yet deducted","OK")))))))</f>
        <v/>
      </c>
    </row>
    <row r="267" customFormat="false" ht="15" hidden="false" customHeight="false" outlineLevel="0" collapsed="false">
      <c r="A267" s="65"/>
      <c r="B267" s="63"/>
      <c r="C267" s="70"/>
      <c r="D267" s="66"/>
      <c r="E267" s="16" t="str">
        <f aca="false">IF($C267="","",IFERROR(INDEX(Mix_Desc,MATCH($C267,Mix_Code,0)),"⚠ Unknown mix code"))</f>
        <v/>
      </c>
      <c r="F267" s="67" t="str">
        <f aca="false">IF(OR($C267="",$D267=""),"",IFERROR($D267*INDEX(Mix_Eff,MATCH($C267,Mix_Code,0),1),""))</f>
        <v/>
      </c>
      <c r="G267" s="67" t="str">
        <f aca="false">IF(OR($C267="",$D267=""),"",IFERROR($D267*INDEX(Mix_Eff,MATCH($C267,Mix_Code,0),2),""))</f>
        <v/>
      </c>
      <c r="H267" s="67" t="str">
        <f aca="false">IF(OR($C267="",$D267=""),"",IFERROR($D267*INDEX(Mix_Eff,MATCH($C267,Mix_Code,0),3),""))</f>
        <v/>
      </c>
      <c r="I267" s="67" t="str">
        <f aca="false">IF(OR($C267="",$D267=""),"",IFERROR($D267*INDEX(Mix_Eff,MATCH($C267,Mix_Code,0),4),""))</f>
        <v/>
      </c>
      <c r="J267" s="67" t="str">
        <f aca="false">IF(OR($C267="",$D267=""),"",IFERROR($D267*INDEX(Mix_Eff,MATCH($C267,Mix_Code,0),5),""))</f>
        <v/>
      </c>
      <c r="K267" s="63"/>
      <c r="L267" s="16" t="str">
        <f aca="false">IF(AND($A267="",$B267="",$C267="",$D267=""),"",IF($A267="","⚠ Date missing",IF($B267="","⚠ Site missing",IF(ISNA(MATCH($C267,Mix_Code,0)),"⚠ Unknown mix code",IF($D267="","⚠ Enter m3 produced",IF(COUNTIF(CI_Site,$B267)=0,"⚠ Site not set up in Current Inventory",IF($A267&gt;AsOfDate,"Future date – not yet deducted","OK")))))))</f>
        <v/>
      </c>
    </row>
    <row r="268" customFormat="false" ht="15" hidden="false" customHeight="false" outlineLevel="0" collapsed="false">
      <c r="A268" s="65"/>
      <c r="B268" s="63"/>
      <c r="C268" s="70"/>
      <c r="D268" s="66"/>
      <c r="E268" s="16" t="str">
        <f aca="false">IF($C268="","",IFERROR(INDEX(Mix_Desc,MATCH($C268,Mix_Code,0)),"⚠ Unknown mix code"))</f>
        <v/>
      </c>
      <c r="F268" s="67" t="str">
        <f aca="false">IF(OR($C268="",$D268=""),"",IFERROR($D268*INDEX(Mix_Eff,MATCH($C268,Mix_Code,0),1),""))</f>
        <v/>
      </c>
      <c r="G268" s="67" t="str">
        <f aca="false">IF(OR($C268="",$D268=""),"",IFERROR($D268*INDEX(Mix_Eff,MATCH($C268,Mix_Code,0),2),""))</f>
        <v/>
      </c>
      <c r="H268" s="67" t="str">
        <f aca="false">IF(OR($C268="",$D268=""),"",IFERROR($D268*INDEX(Mix_Eff,MATCH($C268,Mix_Code,0),3),""))</f>
        <v/>
      </c>
      <c r="I268" s="67" t="str">
        <f aca="false">IF(OR($C268="",$D268=""),"",IFERROR($D268*INDEX(Mix_Eff,MATCH($C268,Mix_Code,0),4),""))</f>
        <v/>
      </c>
      <c r="J268" s="67" t="str">
        <f aca="false">IF(OR($C268="",$D268=""),"",IFERROR($D268*INDEX(Mix_Eff,MATCH($C268,Mix_Code,0),5),""))</f>
        <v/>
      </c>
      <c r="K268" s="63"/>
      <c r="L268" s="16" t="str">
        <f aca="false">IF(AND($A268="",$B268="",$C268="",$D268=""),"",IF($A268="","⚠ Date missing",IF($B268="","⚠ Site missing",IF(ISNA(MATCH($C268,Mix_Code,0)),"⚠ Unknown mix code",IF($D268="","⚠ Enter m3 produced",IF(COUNTIF(CI_Site,$B268)=0,"⚠ Site not set up in Current Inventory",IF($A268&gt;AsOfDate,"Future date – not yet deducted","OK")))))))</f>
        <v/>
      </c>
    </row>
    <row r="269" customFormat="false" ht="15" hidden="false" customHeight="false" outlineLevel="0" collapsed="false">
      <c r="A269" s="65"/>
      <c r="B269" s="63"/>
      <c r="C269" s="70"/>
      <c r="D269" s="66"/>
      <c r="E269" s="16" t="str">
        <f aca="false">IF($C269="","",IFERROR(INDEX(Mix_Desc,MATCH($C269,Mix_Code,0)),"⚠ Unknown mix code"))</f>
        <v/>
      </c>
      <c r="F269" s="67" t="str">
        <f aca="false">IF(OR($C269="",$D269=""),"",IFERROR($D269*INDEX(Mix_Eff,MATCH($C269,Mix_Code,0),1),""))</f>
        <v/>
      </c>
      <c r="G269" s="67" t="str">
        <f aca="false">IF(OR($C269="",$D269=""),"",IFERROR($D269*INDEX(Mix_Eff,MATCH($C269,Mix_Code,0),2),""))</f>
        <v/>
      </c>
      <c r="H269" s="67" t="str">
        <f aca="false">IF(OR($C269="",$D269=""),"",IFERROR($D269*INDEX(Mix_Eff,MATCH($C269,Mix_Code,0),3),""))</f>
        <v/>
      </c>
      <c r="I269" s="67" t="str">
        <f aca="false">IF(OR($C269="",$D269=""),"",IFERROR($D269*INDEX(Mix_Eff,MATCH($C269,Mix_Code,0),4),""))</f>
        <v/>
      </c>
      <c r="J269" s="67" t="str">
        <f aca="false">IF(OR($C269="",$D269=""),"",IFERROR($D269*INDEX(Mix_Eff,MATCH($C269,Mix_Code,0),5),""))</f>
        <v/>
      </c>
      <c r="K269" s="63"/>
      <c r="L269" s="16" t="str">
        <f aca="false">IF(AND($A269="",$B269="",$C269="",$D269=""),"",IF($A269="","⚠ Date missing",IF($B269="","⚠ Site missing",IF(ISNA(MATCH($C269,Mix_Code,0)),"⚠ Unknown mix code",IF($D269="","⚠ Enter m3 produced",IF(COUNTIF(CI_Site,$B269)=0,"⚠ Site not set up in Current Inventory",IF($A269&gt;AsOfDate,"Future date – not yet deducted","OK")))))))</f>
        <v/>
      </c>
    </row>
    <row r="270" customFormat="false" ht="15" hidden="false" customHeight="false" outlineLevel="0" collapsed="false">
      <c r="A270" s="65"/>
      <c r="B270" s="63"/>
      <c r="C270" s="70"/>
      <c r="D270" s="66"/>
      <c r="E270" s="16" t="str">
        <f aca="false">IF($C270="","",IFERROR(INDEX(Mix_Desc,MATCH($C270,Mix_Code,0)),"⚠ Unknown mix code"))</f>
        <v/>
      </c>
      <c r="F270" s="67" t="str">
        <f aca="false">IF(OR($C270="",$D270=""),"",IFERROR($D270*INDEX(Mix_Eff,MATCH($C270,Mix_Code,0),1),""))</f>
        <v/>
      </c>
      <c r="G270" s="67" t="str">
        <f aca="false">IF(OR($C270="",$D270=""),"",IFERROR($D270*INDEX(Mix_Eff,MATCH($C270,Mix_Code,0),2),""))</f>
        <v/>
      </c>
      <c r="H270" s="67" t="str">
        <f aca="false">IF(OR($C270="",$D270=""),"",IFERROR($D270*INDEX(Mix_Eff,MATCH($C270,Mix_Code,0),3),""))</f>
        <v/>
      </c>
      <c r="I270" s="67" t="str">
        <f aca="false">IF(OR($C270="",$D270=""),"",IFERROR($D270*INDEX(Mix_Eff,MATCH($C270,Mix_Code,0),4),""))</f>
        <v/>
      </c>
      <c r="J270" s="67" t="str">
        <f aca="false">IF(OR($C270="",$D270=""),"",IFERROR($D270*INDEX(Mix_Eff,MATCH($C270,Mix_Code,0),5),""))</f>
        <v/>
      </c>
      <c r="K270" s="63"/>
      <c r="L270" s="16" t="str">
        <f aca="false">IF(AND($A270="",$B270="",$C270="",$D270=""),"",IF($A270="","⚠ Date missing",IF($B270="","⚠ Site missing",IF(ISNA(MATCH($C270,Mix_Code,0)),"⚠ Unknown mix code",IF($D270="","⚠ Enter m3 produced",IF(COUNTIF(CI_Site,$B270)=0,"⚠ Site not set up in Current Inventory",IF($A270&gt;AsOfDate,"Future date – not yet deducted","OK")))))))</f>
        <v/>
      </c>
    </row>
    <row r="271" customFormat="false" ht="15" hidden="false" customHeight="false" outlineLevel="0" collapsed="false">
      <c r="A271" s="65"/>
      <c r="B271" s="63"/>
      <c r="C271" s="70"/>
      <c r="D271" s="66"/>
      <c r="E271" s="16" t="str">
        <f aca="false">IF($C271="","",IFERROR(INDEX(Mix_Desc,MATCH($C271,Mix_Code,0)),"⚠ Unknown mix code"))</f>
        <v/>
      </c>
      <c r="F271" s="67" t="str">
        <f aca="false">IF(OR($C271="",$D271=""),"",IFERROR($D271*INDEX(Mix_Eff,MATCH($C271,Mix_Code,0),1),""))</f>
        <v/>
      </c>
      <c r="G271" s="67" t="str">
        <f aca="false">IF(OR($C271="",$D271=""),"",IFERROR($D271*INDEX(Mix_Eff,MATCH($C271,Mix_Code,0),2),""))</f>
        <v/>
      </c>
      <c r="H271" s="67" t="str">
        <f aca="false">IF(OR($C271="",$D271=""),"",IFERROR($D271*INDEX(Mix_Eff,MATCH($C271,Mix_Code,0),3),""))</f>
        <v/>
      </c>
      <c r="I271" s="67" t="str">
        <f aca="false">IF(OR($C271="",$D271=""),"",IFERROR($D271*INDEX(Mix_Eff,MATCH($C271,Mix_Code,0),4),""))</f>
        <v/>
      </c>
      <c r="J271" s="67" t="str">
        <f aca="false">IF(OR($C271="",$D271=""),"",IFERROR($D271*INDEX(Mix_Eff,MATCH($C271,Mix_Code,0),5),""))</f>
        <v/>
      </c>
      <c r="K271" s="63"/>
      <c r="L271" s="16" t="str">
        <f aca="false">IF(AND($A271="",$B271="",$C271="",$D271=""),"",IF($A271="","⚠ Date missing",IF($B271="","⚠ Site missing",IF(ISNA(MATCH($C271,Mix_Code,0)),"⚠ Unknown mix code",IF($D271="","⚠ Enter m3 produced",IF(COUNTIF(CI_Site,$B271)=0,"⚠ Site not set up in Current Inventory",IF($A271&gt;AsOfDate,"Future date – not yet deducted","OK")))))))</f>
        <v/>
      </c>
    </row>
    <row r="272" customFormat="false" ht="15" hidden="false" customHeight="false" outlineLevel="0" collapsed="false">
      <c r="A272" s="65"/>
      <c r="B272" s="63"/>
      <c r="C272" s="70"/>
      <c r="D272" s="66"/>
      <c r="E272" s="16" t="str">
        <f aca="false">IF($C272="","",IFERROR(INDEX(Mix_Desc,MATCH($C272,Mix_Code,0)),"⚠ Unknown mix code"))</f>
        <v/>
      </c>
      <c r="F272" s="67" t="str">
        <f aca="false">IF(OR($C272="",$D272=""),"",IFERROR($D272*INDEX(Mix_Eff,MATCH($C272,Mix_Code,0),1),""))</f>
        <v/>
      </c>
      <c r="G272" s="67" t="str">
        <f aca="false">IF(OR($C272="",$D272=""),"",IFERROR($D272*INDEX(Mix_Eff,MATCH($C272,Mix_Code,0),2),""))</f>
        <v/>
      </c>
      <c r="H272" s="67" t="str">
        <f aca="false">IF(OR($C272="",$D272=""),"",IFERROR($D272*INDEX(Mix_Eff,MATCH($C272,Mix_Code,0),3),""))</f>
        <v/>
      </c>
      <c r="I272" s="67" t="str">
        <f aca="false">IF(OR($C272="",$D272=""),"",IFERROR($D272*INDEX(Mix_Eff,MATCH($C272,Mix_Code,0),4),""))</f>
        <v/>
      </c>
      <c r="J272" s="67" t="str">
        <f aca="false">IF(OR($C272="",$D272=""),"",IFERROR($D272*INDEX(Mix_Eff,MATCH($C272,Mix_Code,0),5),""))</f>
        <v/>
      </c>
      <c r="K272" s="63"/>
      <c r="L272" s="16" t="str">
        <f aca="false">IF(AND($A272="",$B272="",$C272="",$D272=""),"",IF($A272="","⚠ Date missing",IF($B272="","⚠ Site missing",IF(ISNA(MATCH($C272,Mix_Code,0)),"⚠ Unknown mix code",IF($D272="","⚠ Enter m3 produced",IF(COUNTIF(CI_Site,$B272)=0,"⚠ Site not set up in Current Inventory",IF($A272&gt;AsOfDate,"Future date – not yet deducted","OK")))))))</f>
        <v/>
      </c>
    </row>
    <row r="273" customFormat="false" ht="15" hidden="false" customHeight="false" outlineLevel="0" collapsed="false">
      <c r="A273" s="65"/>
      <c r="B273" s="63"/>
      <c r="C273" s="70"/>
      <c r="D273" s="66"/>
      <c r="E273" s="16" t="str">
        <f aca="false">IF($C273="","",IFERROR(INDEX(Mix_Desc,MATCH($C273,Mix_Code,0)),"⚠ Unknown mix code"))</f>
        <v/>
      </c>
      <c r="F273" s="67" t="str">
        <f aca="false">IF(OR($C273="",$D273=""),"",IFERROR($D273*INDEX(Mix_Eff,MATCH($C273,Mix_Code,0),1),""))</f>
        <v/>
      </c>
      <c r="G273" s="67" t="str">
        <f aca="false">IF(OR($C273="",$D273=""),"",IFERROR($D273*INDEX(Mix_Eff,MATCH($C273,Mix_Code,0),2),""))</f>
        <v/>
      </c>
      <c r="H273" s="67" t="str">
        <f aca="false">IF(OR($C273="",$D273=""),"",IFERROR($D273*INDEX(Mix_Eff,MATCH($C273,Mix_Code,0),3),""))</f>
        <v/>
      </c>
      <c r="I273" s="67" t="str">
        <f aca="false">IF(OR($C273="",$D273=""),"",IFERROR($D273*INDEX(Mix_Eff,MATCH($C273,Mix_Code,0),4),""))</f>
        <v/>
      </c>
      <c r="J273" s="67" t="str">
        <f aca="false">IF(OR($C273="",$D273=""),"",IFERROR($D273*INDEX(Mix_Eff,MATCH($C273,Mix_Code,0),5),""))</f>
        <v/>
      </c>
      <c r="K273" s="63"/>
      <c r="L273" s="16" t="str">
        <f aca="false">IF(AND($A273="",$B273="",$C273="",$D273=""),"",IF($A273="","⚠ Date missing",IF($B273="","⚠ Site missing",IF(ISNA(MATCH($C273,Mix_Code,0)),"⚠ Unknown mix code",IF($D273="","⚠ Enter m3 produced",IF(COUNTIF(CI_Site,$B273)=0,"⚠ Site not set up in Current Inventory",IF($A273&gt;AsOfDate,"Future date – not yet deducted","OK")))))))</f>
        <v/>
      </c>
    </row>
    <row r="274" customFormat="false" ht="15" hidden="false" customHeight="false" outlineLevel="0" collapsed="false">
      <c r="A274" s="65"/>
      <c r="B274" s="63"/>
      <c r="C274" s="70"/>
      <c r="D274" s="66"/>
      <c r="E274" s="16" t="str">
        <f aca="false">IF($C274="","",IFERROR(INDEX(Mix_Desc,MATCH($C274,Mix_Code,0)),"⚠ Unknown mix code"))</f>
        <v/>
      </c>
      <c r="F274" s="67" t="str">
        <f aca="false">IF(OR($C274="",$D274=""),"",IFERROR($D274*INDEX(Mix_Eff,MATCH($C274,Mix_Code,0),1),""))</f>
        <v/>
      </c>
      <c r="G274" s="67" t="str">
        <f aca="false">IF(OR($C274="",$D274=""),"",IFERROR($D274*INDEX(Mix_Eff,MATCH($C274,Mix_Code,0),2),""))</f>
        <v/>
      </c>
      <c r="H274" s="67" t="str">
        <f aca="false">IF(OR($C274="",$D274=""),"",IFERROR($D274*INDEX(Mix_Eff,MATCH($C274,Mix_Code,0),3),""))</f>
        <v/>
      </c>
      <c r="I274" s="67" t="str">
        <f aca="false">IF(OR($C274="",$D274=""),"",IFERROR($D274*INDEX(Mix_Eff,MATCH($C274,Mix_Code,0),4),""))</f>
        <v/>
      </c>
      <c r="J274" s="67" t="str">
        <f aca="false">IF(OR($C274="",$D274=""),"",IFERROR($D274*INDEX(Mix_Eff,MATCH($C274,Mix_Code,0),5),""))</f>
        <v/>
      </c>
      <c r="K274" s="63"/>
      <c r="L274" s="16" t="str">
        <f aca="false">IF(AND($A274="",$B274="",$C274="",$D274=""),"",IF($A274="","⚠ Date missing",IF($B274="","⚠ Site missing",IF(ISNA(MATCH($C274,Mix_Code,0)),"⚠ Unknown mix code",IF($D274="","⚠ Enter m3 produced",IF(COUNTIF(CI_Site,$B274)=0,"⚠ Site not set up in Current Inventory",IF($A274&gt;AsOfDate,"Future date – not yet deducted","OK")))))))</f>
        <v/>
      </c>
    </row>
    <row r="275" customFormat="false" ht="15" hidden="false" customHeight="false" outlineLevel="0" collapsed="false">
      <c r="A275" s="65"/>
      <c r="B275" s="63"/>
      <c r="C275" s="70"/>
      <c r="D275" s="66"/>
      <c r="E275" s="16" t="str">
        <f aca="false">IF($C275="","",IFERROR(INDEX(Mix_Desc,MATCH($C275,Mix_Code,0)),"⚠ Unknown mix code"))</f>
        <v/>
      </c>
      <c r="F275" s="67" t="str">
        <f aca="false">IF(OR($C275="",$D275=""),"",IFERROR($D275*INDEX(Mix_Eff,MATCH($C275,Mix_Code,0),1),""))</f>
        <v/>
      </c>
      <c r="G275" s="67" t="str">
        <f aca="false">IF(OR($C275="",$D275=""),"",IFERROR($D275*INDEX(Mix_Eff,MATCH($C275,Mix_Code,0),2),""))</f>
        <v/>
      </c>
      <c r="H275" s="67" t="str">
        <f aca="false">IF(OR($C275="",$D275=""),"",IFERROR($D275*INDEX(Mix_Eff,MATCH($C275,Mix_Code,0),3),""))</f>
        <v/>
      </c>
      <c r="I275" s="67" t="str">
        <f aca="false">IF(OR($C275="",$D275=""),"",IFERROR($D275*INDEX(Mix_Eff,MATCH($C275,Mix_Code,0),4),""))</f>
        <v/>
      </c>
      <c r="J275" s="67" t="str">
        <f aca="false">IF(OR($C275="",$D275=""),"",IFERROR($D275*INDEX(Mix_Eff,MATCH($C275,Mix_Code,0),5),""))</f>
        <v/>
      </c>
      <c r="K275" s="63"/>
      <c r="L275" s="16" t="str">
        <f aca="false">IF(AND($A275="",$B275="",$C275="",$D275=""),"",IF($A275="","⚠ Date missing",IF($B275="","⚠ Site missing",IF(ISNA(MATCH($C275,Mix_Code,0)),"⚠ Unknown mix code",IF($D275="","⚠ Enter m3 produced",IF(COUNTIF(CI_Site,$B275)=0,"⚠ Site not set up in Current Inventory",IF($A275&gt;AsOfDate,"Future date – not yet deducted","OK")))))))</f>
        <v/>
      </c>
    </row>
    <row r="276" customFormat="false" ht="15" hidden="false" customHeight="false" outlineLevel="0" collapsed="false">
      <c r="A276" s="65"/>
      <c r="B276" s="63"/>
      <c r="C276" s="70"/>
      <c r="D276" s="66"/>
      <c r="E276" s="16" t="str">
        <f aca="false">IF($C276="","",IFERROR(INDEX(Mix_Desc,MATCH($C276,Mix_Code,0)),"⚠ Unknown mix code"))</f>
        <v/>
      </c>
      <c r="F276" s="67" t="str">
        <f aca="false">IF(OR($C276="",$D276=""),"",IFERROR($D276*INDEX(Mix_Eff,MATCH($C276,Mix_Code,0),1),""))</f>
        <v/>
      </c>
      <c r="G276" s="67" t="str">
        <f aca="false">IF(OR($C276="",$D276=""),"",IFERROR($D276*INDEX(Mix_Eff,MATCH($C276,Mix_Code,0),2),""))</f>
        <v/>
      </c>
      <c r="H276" s="67" t="str">
        <f aca="false">IF(OR($C276="",$D276=""),"",IFERROR($D276*INDEX(Mix_Eff,MATCH($C276,Mix_Code,0),3),""))</f>
        <v/>
      </c>
      <c r="I276" s="67" t="str">
        <f aca="false">IF(OR($C276="",$D276=""),"",IFERROR($D276*INDEX(Mix_Eff,MATCH($C276,Mix_Code,0),4),""))</f>
        <v/>
      </c>
      <c r="J276" s="67" t="str">
        <f aca="false">IF(OR($C276="",$D276=""),"",IFERROR($D276*INDEX(Mix_Eff,MATCH($C276,Mix_Code,0),5),""))</f>
        <v/>
      </c>
      <c r="K276" s="63"/>
      <c r="L276" s="16" t="str">
        <f aca="false">IF(AND($A276="",$B276="",$C276="",$D276=""),"",IF($A276="","⚠ Date missing",IF($B276="","⚠ Site missing",IF(ISNA(MATCH($C276,Mix_Code,0)),"⚠ Unknown mix code",IF($D276="","⚠ Enter m3 produced",IF(COUNTIF(CI_Site,$B276)=0,"⚠ Site not set up in Current Inventory",IF($A276&gt;AsOfDate,"Future date – not yet deducted","OK")))))))</f>
        <v/>
      </c>
    </row>
    <row r="277" customFormat="false" ht="15" hidden="false" customHeight="false" outlineLevel="0" collapsed="false">
      <c r="A277" s="65"/>
      <c r="B277" s="63"/>
      <c r="C277" s="70"/>
      <c r="D277" s="66"/>
      <c r="E277" s="16" t="str">
        <f aca="false">IF($C277="","",IFERROR(INDEX(Mix_Desc,MATCH($C277,Mix_Code,0)),"⚠ Unknown mix code"))</f>
        <v/>
      </c>
      <c r="F277" s="67" t="str">
        <f aca="false">IF(OR($C277="",$D277=""),"",IFERROR($D277*INDEX(Mix_Eff,MATCH($C277,Mix_Code,0),1),""))</f>
        <v/>
      </c>
      <c r="G277" s="67" t="str">
        <f aca="false">IF(OR($C277="",$D277=""),"",IFERROR($D277*INDEX(Mix_Eff,MATCH($C277,Mix_Code,0),2),""))</f>
        <v/>
      </c>
      <c r="H277" s="67" t="str">
        <f aca="false">IF(OR($C277="",$D277=""),"",IFERROR($D277*INDEX(Mix_Eff,MATCH($C277,Mix_Code,0),3),""))</f>
        <v/>
      </c>
      <c r="I277" s="67" t="str">
        <f aca="false">IF(OR($C277="",$D277=""),"",IFERROR($D277*INDEX(Mix_Eff,MATCH($C277,Mix_Code,0),4),""))</f>
        <v/>
      </c>
      <c r="J277" s="67" t="str">
        <f aca="false">IF(OR($C277="",$D277=""),"",IFERROR($D277*INDEX(Mix_Eff,MATCH($C277,Mix_Code,0),5),""))</f>
        <v/>
      </c>
      <c r="K277" s="63"/>
      <c r="L277" s="16" t="str">
        <f aca="false">IF(AND($A277="",$B277="",$C277="",$D277=""),"",IF($A277="","⚠ Date missing",IF($B277="","⚠ Site missing",IF(ISNA(MATCH($C277,Mix_Code,0)),"⚠ Unknown mix code",IF($D277="","⚠ Enter m3 produced",IF(COUNTIF(CI_Site,$B277)=0,"⚠ Site not set up in Current Inventory",IF($A277&gt;AsOfDate,"Future date – not yet deducted","OK")))))))</f>
        <v/>
      </c>
    </row>
    <row r="278" customFormat="false" ht="15" hidden="false" customHeight="false" outlineLevel="0" collapsed="false">
      <c r="A278" s="65"/>
      <c r="B278" s="63"/>
      <c r="C278" s="70"/>
      <c r="D278" s="66"/>
      <c r="E278" s="16" t="str">
        <f aca="false">IF($C278="","",IFERROR(INDEX(Mix_Desc,MATCH($C278,Mix_Code,0)),"⚠ Unknown mix code"))</f>
        <v/>
      </c>
      <c r="F278" s="67" t="str">
        <f aca="false">IF(OR($C278="",$D278=""),"",IFERROR($D278*INDEX(Mix_Eff,MATCH($C278,Mix_Code,0),1),""))</f>
        <v/>
      </c>
      <c r="G278" s="67" t="str">
        <f aca="false">IF(OR($C278="",$D278=""),"",IFERROR($D278*INDEX(Mix_Eff,MATCH($C278,Mix_Code,0),2),""))</f>
        <v/>
      </c>
      <c r="H278" s="67" t="str">
        <f aca="false">IF(OR($C278="",$D278=""),"",IFERROR($D278*INDEX(Mix_Eff,MATCH($C278,Mix_Code,0),3),""))</f>
        <v/>
      </c>
      <c r="I278" s="67" t="str">
        <f aca="false">IF(OR($C278="",$D278=""),"",IFERROR($D278*INDEX(Mix_Eff,MATCH($C278,Mix_Code,0),4),""))</f>
        <v/>
      </c>
      <c r="J278" s="67" t="str">
        <f aca="false">IF(OR($C278="",$D278=""),"",IFERROR($D278*INDEX(Mix_Eff,MATCH($C278,Mix_Code,0),5),""))</f>
        <v/>
      </c>
      <c r="K278" s="63"/>
      <c r="L278" s="16" t="str">
        <f aca="false">IF(AND($A278="",$B278="",$C278="",$D278=""),"",IF($A278="","⚠ Date missing",IF($B278="","⚠ Site missing",IF(ISNA(MATCH($C278,Mix_Code,0)),"⚠ Unknown mix code",IF($D278="","⚠ Enter m3 produced",IF(COUNTIF(CI_Site,$B278)=0,"⚠ Site not set up in Current Inventory",IF($A278&gt;AsOfDate,"Future date – not yet deducted","OK")))))))</f>
        <v/>
      </c>
    </row>
    <row r="279" customFormat="false" ht="15" hidden="false" customHeight="false" outlineLevel="0" collapsed="false">
      <c r="A279" s="65"/>
      <c r="B279" s="63"/>
      <c r="C279" s="70"/>
      <c r="D279" s="66"/>
      <c r="E279" s="16" t="str">
        <f aca="false">IF($C279="","",IFERROR(INDEX(Mix_Desc,MATCH($C279,Mix_Code,0)),"⚠ Unknown mix code"))</f>
        <v/>
      </c>
      <c r="F279" s="67" t="str">
        <f aca="false">IF(OR($C279="",$D279=""),"",IFERROR($D279*INDEX(Mix_Eff,MATCH($C279,Mix_Code,0),1),""))</f>
        <v/>
      </c>
      <c r="G279" s="67" t="str">
        <f aca="false">IF(OR($C279="",$D279=""),"",IFERROR($D279*INDEX(Mix_Eff,MATCH($C279,Mix_Code,0),2),""))</f>
        <v/>
      </c>
      <c r="H279" s="67" t="str">
        <f aca="false">IF(OR($C279="",$D279=""),"",IFERROR($D279*INDEX(Mix_Eff,MATCH($C279,Mix_Code,0),3),""))</f>
        <v/>
      </c>
      <c r="I279" s="67" t="str">
        <f aca="false">IF(OR($C279="",$D279=""),"",IFERROR($D279*INDEX(Mix_Eff,MATCH($C279,Mix_Code,0),4),""))</f>
        <v/>
      </c>
      <c r="J279" s="67" t="str">
        <f aca="false">IF(OR($C279="",$D279=""),"",IFERROR($D279*INDEX(Mix_Eff,MATCH($C279,Mix_Code,0),5),""))</f>
        <v/>
      </c>
      <c r="K279" s="63"/>
      <c r="L279" s="16" t="str">
        <f aca="false">IF(AND($A279="",$B279="",$C279="",$D279=""),"",IF($A279="","⚠ Date missing",IF($B279="","⚠ Site missing",IF(ISNA(MATCH($C279,Mix_Code,0)),"⚠ Unknown mix code",IF($D279="","⚠ Enter m3 produced",IF(COUNTIF(CI_Site,$B279)=0,"⚠ Site not set up in Current Inventory",IF($A279&gt;AsOfDate,"Future date – not yet deducted","OK")))))))</f>
        <v/>
      </c>
    </row>
    <row r="280" customFormat="false" ht="15" hidden="false" customHeight="false" outlineLevel="0" collapsed="false">
      <c r="A280" s="65"/>
      <c r="B280" s="63"/>
      <c r="C280" s="70"/>
      <c r="D280" s="66"/>
      <c r="E280" s="16" t="str">
        <f aca="false">IF($C280="","",IFERROR(INDEX(Mix_Desc,MATCH($C280,Mix_Code,0)),"⚠ Unknown mix code"))</f>
        <v/>
      </c>
      <c r="F280" s="67" t="str">
        <f aca="false">IF(OR($C280="",$D280=""),"",IFERROR($D280*INDEX(Mix_Eff,MATCH($C280,Mix_Code,0),1),""))</f>
        <v/>
      </c>
      <c r="G280" s="67" t="str">
        <f aca="false">IF(OR($C280="",$D280=""),"",IFERROR($D280*INDEX(Mix_Eff,MATCH($C280,Mix_Code,0),2),""))</f>
        <v/>
      </c>
      <c r="H280" s="67" t="str">
        <f aca="false">IF(OR($C280="",$D280=""),"",IFERROR($D280*INDEX(Mix_Eff,MATCH($C280,Mix_Code,0),3),""))</f>
        <v/>
      </c>
      <c r="I280" s="67" t="str">
        <f aca="false">IF(OR($C280="",$D280=""),"",IFERROR($D280*INDEX(Mix_Eff,MATCH($C280,Mix_Code,0),4),""))</f>
        <v/>
      </c>
      <c r="J280" s="67" t="str">
        <f aca="false">IF(OR($C280="",$D280=""),"",IFERROR($D280*INDEX(Mix_Eff,MATCH($C280,Mix_Code,0),5),""))</f>
        <v/>
      </c>
      <c r="K280" s="63"/>
      <c r="L280" s="16" t="str">
        <f aca="false">IF(AND($A280="",$B280="",$C280="",$D280=""),"",IF($A280="","⚠ Date missing",IF($B280="","⚠ Site missing",IF(ISNA(MATCH($C280,Mix_Code,0)),"⚠ Unknown mix code",IF($D280="","⚠ Enter m3 produced",IF(COUNTIF(CI_Site,$B280)=0,"⚠ Site not set up in Current Inventory",IF($A280&gt;AsOfDate,"Future date – not yet deducted","OK")))))))</f>
        <v/>
      </c>
    </row>
    <row r="281" customFormat="false" ht="15" hidden="false" customHeight="false" outlineLevel="0" collapsed="false">
      <c r="A281" s="65"/>
      <c r="B281" s="63"/>
      <c r="C281" s="70"/>
      <c r="D281" s="66"/>
      <c r="E281" s="16" t="str">
        <f aca="false">IF($C281="","",IFERROR(INDEX(Mix_Desc,MATCH($C281,Mix_Code,0)),"⚠ Unknown mix code"))</f>
        <v/>
      </c>
      <c r="F281" s="67" t="str">
        <f aca="false">IF(OR($C281="",$D281=""),"",IFERROR($D281*INDEX(Mix_Eff,MATCH($C281,Mix_Code,0),1),""))</f>
        <v/>
      </c>
      <c r="G281" s="67" t="str">
        <f aca="false">IF(OR($C281="",$D281=""),"",IFERROR($D281*INDEX(Mix_Eff,MATCH($C281,Mix_Code,0),2),""))</f>
        <v/>
      </c>
      <c r="H281" s="67" t="str">
        <f aca="false">IF(OR($C281="",$D281=""),"",IFERROR($D281*INDEX(Mix_Eff,MATCH($C281,Mix_Code,0),3),""))</f>
        <v/>
      </c>
      <c r="I281" s="67" t="str">
        <f aca="false">IF(OR($C281="",$D281=""),"",IFERROR($D281*INDEX(Mix_Eff,MATCH($C281,Mix_Code,0),4),""))</f>
        <v/>
      </c>
      <c r="J281" s="67" t="str">
        <f aca="false">IF(OR($C281="",$D281=""),"",IFERROR($D281*INDEX(Mix_Eff,MATCH($C281,Mix_Code,0),5),""))</f>
        <v/>
      </c>
      <c r="K281" s="63"/>
      <c r="L281" s="16" t="str">
        <f aca="false">IF(AND($A281="",$B281="",$C281="",$D281=""),"",IF($A281="","⚠ Date missing",IF($B281="","⚠ Site missing",IF(ISNA(MATCH($C281,Mix_Code,0)),"⚠ Unknown mix code",IF($D281="","⚠ Enter m3 produced",IF(COUNTIF(CI_Site,$B281)=0,"⚠ Site not set up in Current Inventory",IF($A281&gt;AsOfDate,"Future date – not yet deducted","OK")))))))</f>
        <v/>
      </c>
    </row>
    <row r="282" customFormat="false" ht="15" hidden="false" customHeight="false" outlineLevel="0" collapsed="false">
      <c r="A282" s="65"/>
      <c r="B282" s="63"/>
      <c r="C282" s="70"/>
      <c r="D282" s="66"/>
      <c r="E282" s="16" t="str">
        <f aca="false">IF($C282="","",IFERROR(INDEX(Mix_Desc,MATCH($C282,Mix_Code,0)),"⚠ Unknown mix code"))</f>
        <v/>
      </c>
      <c r="F282" s="67" t="str">
        <f aca="false">IF(OR($C282="",$D282=""),"",IFERROR($D282*INDEX(Mix_Eff,MATCH($C282,Mix_Code,0),1),""))</f>
        <v/>
      </c>
      <c r="G282" s="67" t="str">
        <f aca="false">IF(OR($C282="",$D282=""),"",IFERROR($D282*INDEX(Mix_Eff,MATCH($C282,Mix_Code,0),2),""))</f>
        <v/>
      </c>
      <c r="H282" s="67" t="str">
        <f aca="false">IF(OR($C282="",$D282=""),"",IFERROR($D282*INDEX(Mix_Eff,MATCH($C282,Mix_Code,0),3),""))</f>
        <v/>
      </c>
      <c r="I282" s="67" t="str">
        <f aca="false">IF(OR($C282="",$D282=""),"",IFERROR($D282*INDEX(Mix_Eff,MATCH($C282,Mix_Code,0),4),""))</f>
        <v/>
      </c>
      <c r="J282" s="67" t="str">
        <f aca="false">IF(OR($C282="",$D282=""),"",IFERROR($D282*INDEX(Mix_Eff,MATCH($C282,Mix_Code,0),5),""))</f>
        <v/>
      </c>
      <c r="K282" s="63"/>
      <c r="L282" s="16" t="str">
        <f aca="false">IF(AND($A282="",$B282="",$C282="",$D282=""),"",IF($A282="","⚠ Date missing",IF($B282="","⚠ Site missing",IF(ISNA(MATCH($C282,Mix_Code,0)),"⚠ Unknown mix code",IF($D282="","⚠ Enter m3 produced",IF(COUNTIF(CI_Site,$B282)=0,"⚠ Site not set up in Current Inventory",IF($A282&gt;AsOfDate,"Future date – not yet deducted","OK")))))))</f>
        <v/>
      </c>
    </row>
    <row r="283" customFormat="false" ht="15" hidden="false" customHeight="false" outlineLevel="0" collapsed="false">
      <c r="A283" s="65"/>
      <c r="B283" s="63"/>
      <c r="C283" s="70"/>
      <c r="D283" s="66"/>
      <c r="E283" s="16" t="str">
        <f aca="false">IF($C283="","",IFERROR(INDEX(Mix_Desc,MATCH($C283,Mix_Code,0)),"⚠ Unknown mix code"))</f>
        <v/>
      </c>
      <c r="F283" s="67" t="str">
        <f aca="false">IF(OR($C283="",$D283=""),"",IFERROR($D283*INDEX(Mix_Eff,MATCH($C283,Mix_Code,0),1),""))</f>
        <v/>
      </c>
      <c r="G283" s="67" t="str">
        <f aca="false">IF(OR($C283="",$D283=""),"",IFERROR($D283*INDEX(Mix_Eff,MATCH($C283,Mix_Code,0),2),""))</f>
        <v/>
      </c>
      <c r="H283" s="67" t="str">
        <f aca="false">IF(OR($C283="",$D283=""),"",IFERROR($D283*INDEX(Mix_Eff,MATCH($C283,Mix_Code,0),3),""))</f>
        <v/>
      </c>
      <c r="I283" s="67" t="str">
        <f aca="false">IF(OR($C283="",$D283=""),"",IFERROR($D283*INDEX(Mix_Eff,MATCH($C283,Mix_Code,0),4),""))</f>
        <v/>
      </c>
      <c r="J283" s="67" t="str">
        <f aca="false">IF(OR($C283="",$D283=""),"",IFERROR($D283*INDEX(Mix_Eff,MATCH($C283,Mix_Code,0),5),""))</f>
        <v/>
      </c>
      <c r="K283" s="63"/>
      <c r="L283" s="16" t="str">
        <f aca="false">IF(AND($A283="",$B283="",$C283="",$D283=""),"",IF($A283="","⚠ Date missing",IF($B283="","⚠ Site missing",IF(ISNA(MATCH($C283,Mix_Code,0)),"⚠ Unknown mix code",IF($D283="","⚠ Enter m3 produced",IF(COUNTIF(CI_Site,$B283)=0,"⚠ Site not set up in Current Inventory",IF($A283&gt;AsOfDate,"Future date – not yet deducted","OK")))))))</f>
        <v/>
      </c>
    </row>
    <row r="284" customFormat="false" ht="15" hidden="false" customHeight="false" outlineLevel="0" collapsed="false">
      <c r="A284" s="65"/>
      <c r="B284" s="63"/>
      <c r="C284" s="70"/>
      <c r="D284" s="66"/>
      <c r="E284" s="16" t="str">
        <f aca="false">IF($C284="","",IFERROR(INDEX(Mix_Desc,MATCH($C284,Mix_Code,0)),"⚠ Unknown mix code"))</f>
        <v/>
      </c>
      <c r="F284" s="67" t="str">
        <f aca="false">IF(OR($C284="",$D284=""),"",IFERROR($D284*INDEX(Mix_Eff,MATCH($C284,Mix_Code,0),1),""))</f>
        <v/>
      </c>
      <c r="G284" s="67" t="str">
        <f aca="false">IF(OR($C284="",$D284=""),"",IFERROR($D284*INDEX(Mix_Eff,MATCH($C284,Mix_Code,0),2),""))</f>
        <v/>
      </c>
      <c r="H284" s="67" t="str">
        <f aca="false">IF(OR($C284="",$D284=""),"",IFERROR($D284*INDEX(Mix_Eff,MATCH($C284,Mix_Code,0),3),""))</f>
        <v/>
      </c>
      <c r="I284" s="67" t="str">
        <f aca="false">IF(OR($C284="",$D284=""),"",IFERROR($D284*INDEX(Mix_Eff,MATCH($C284,Mix_Code,0),4),""))</f>
        <v/>
      </c>
      <c r="J284" s="67" t="str">
        <f aca="false">IF(OR($C284="",$D284=""),"",IFERROR($D284*INDEX(Mix_Eff,MATCH($C284,Mix_Code,0),5),""))</f>
        <v/>
      </c>
      <c r="K284" s="63"/>
      <c r="L284" s="16" t="str">
        <f aca="false">IF(AND($A284="",$B284="",$C284="",$D284=""),"",IF($A284="","⚠ Date missing",IF($B284="","⚠ Site missing",IF(ISNA(MATCH($C284,Mix_Code,0)),"⚠ Unknown mix code",IF($D284="","⚠ Enter m3 produced",IF(COUNTIF(CI_Site,$B284)=0,"⚠ Site not set up in Current Inventory",IF($A284&gt;AsOfDate,"Future date – not yet deducted","OK")))))))</f>
        <v/>
      </c>
    </row>
    <row r="285" customFormat="false" ht="15" hidden="false" customHeight="false" outlineLevel="0" collapsed="false">
      <c r="A285" s="65"/>
      <c r="B285" s="63"/>
      <c r="C285" s="70"/>
      <c r="D285" s="66"/>
      <c r="E285" s="16" t="str">
        <f aca="false">IF($C285="","",IFERROR(INDEX(Mix_Desc,MATCH($C285,Mix_Code,0)),"⚠ Unknown mix code"))</f>
        <v/>
      </c>
      <c r="F285" s="67" t="str">
        <f aca="false">IF(OR($C285="",$D285=""),"",IFERROR($D285*INDEX(Mix_Eff,MATCH($C285,Mix_Code,0),1),""))</f>
        <v/>
      </c>
      <c r="G285" s="67" t="str">
        <f aca="false">IF(OR($C285="",$D285=""),"",IFERROR($D285*INDEX(Mix_Eff,MATCH($C285,Mix_Code,0),2),""))</f>
        <v/>
      </c>
      <c r="H285" s="67" t="str">
        <f aca="false">IF(OR($C285="",$D285=""),"",IFERROR($D285*INDEX(Mix_Eff,MATCH($C285,Mix_Code,0),3),""))</f>
        <v/>
      </c>
      <c r="I285" s="67" t="str">
        <f aca="false">IF(OR($C285="",$D285=""),"",IFERROR($D285*INDEX(Mix_Eff,MATCH($C285,Mix_Code,0),4),""))</f>
        <v/>
      </c>
      <c r="J285" s="67" t="str">
        <f aca="false">IF(OR($C285="",$D285=""),"",IFERROR($D285*INDEX(Mix_Eff,MATCH($C285,Mix_Code,0),5),""))</f>
        <v/>
      </c>
      <c r="K285" s="63"/>
      <c r="L285" s="16" t="str">
        <f aca="false">IF(AND($A285="",$B285="",$C285="",$D285=""),"",IF($A285="","⚠ Date missing",IF($B285="","⚠ Site missing",IF(ISNA(MATCH($C285,Mix_Code,0)),"⚠ Unknown mix code",IF($D285="","⚠ Enter m3 produced",IF(COUNTIF(CI_Site,$B285)=0,"⚠ Site not set up in Current Inventory",IF($A285&gt;AsOfDate,"Future date – not yet deducted","OK")))))))</f>
        <v/>
      </c>
    </row>
    <row r="286" customFormat="false" ht="15" hidden="false" customHeight="false" outlineLevel="0" collapsed="false">
      <c r="A286" s="65"/>
      <c r="B286" s="63"/>
      <c r="C286" s="70"/>
      <c r="D286" s="66"/>
      <c r="E286" s="16" t="str">
        <f aca="false">IF($C286="","",IFERROR(INDEX(Mix_Desc,MATCH($C286,Mix_Code,0)),"⚠ Unknown mix code"))</f>
        <v/>
      </c>
      <c r="F286" s="67" t="str">
        <f aca="false">IF(OR($C286="",$D286=""),"",IFERROR($D286*INDEX(Mix_Eff,MATCH($C286,Mix_Code,0),1),""))</f>
        <v/>
      </c>
      <c r="G286" s="67" t="str">
        <f aca="false">IF(OR($C286="",$D286=""),"",IFERROR($D286*INDEX(Mix_Eff,MATCH($C286,Mix_Code,0),2),""))</f>
        <v/>
      </c>
      <c r="H286" s="67" t="str">
        <f aca="false">IF(OR($C286="",$D286=""),"",IFERROR($D286*INDEX(Mix_Eff,MATCH($C286,Mix_Code,0),3),""))</f>
        <v/>
      </c>
      <c r="I286" s="67" t="str">
        <f aca="false">IF(OR($C286="",$D286=""),"",IFERROR($D286*INDEX(Mix_Eff,MATCH($C286,Mix_Code,0),4),""))</f>
        <v/>
      </c>
      <c r="J286" s="67" t="str">
        <f aca="false">IF(OR($C286="",$D286=""),"",IFERROR($D286*INDEX(Mix_Eff,MATCH($C286,Mix_Code,0),5),""))</f>
        <v/>
      </c>
      <c r="K286" s="63"/>
      <c r="L286" s="16" t="str">
        <f aca="false">IF(AND($A286="",$B286="",$C286="",$D286=""),"",IF($A286="","⚠ Date missing",IF($B286="","⚠ Site missing",IF(ISNA(MATCH($C286,Mix_Code,0)),"⚠ Unknown mix code",IF($D286="","⚠ Enter m3 produced",IF(COUNTIF(CI_Site,$B286)=0,"⚠ Site not set up in Current Inventory",IF($A286&gt;AsOfDate,"Future date – not yet deducted","OK")))))))</f>
        <v/>
      </c>
    </row>
    <row r="287" customFormat="false" ht="15" hidden="false" customHeight="false" outlineLevel="0" collapsed="false">
      <c r="A287" s="65"/>
      <c r="B287" s="63"/>
      <c r="C287" s="70"/>
      <c r="D287" s="66"/>
      <c r="E287" s="16" t="str">
        <f aca="false">IF($C287="","",IFERROR(INDEX(Mix_Desc,MATCH($C287,Mix_Code,0)),"⚠ Unknown mix code"))</f>
        <v/>
      </c>
      <c r="F287" s="67" t="str">
        <f aca="false">IF(OR($C287="",$D287=""),"",IFERROR($D287*INDEX(Mix_Eff,MATCH($C287,Mix_Code,0),1),""))</f>
        <v/>
      </c>
      <c r="G287" s="67" t="str">
        <f aca="false">IF(OR($C287="",$D287=""),"",IFERROR($D287*INDEX(Mix_Eff,MATCH($C287,Mix_Code,0),2),""))</f>
        <v/>
      </c>
      <c r="H287" s="67" t="str">
        <f aca="false">IF(OR($C287="",$D287=""),"",IFERROR($D287*INDEX(Mix_Eff,MATCH($C287,Mix_Code,0),3),""))</f>
        <v/>
      </c>
      <c r="I287" s="67" t="str">
        <f aca="false">IF(OR($C287="",$D287=""),"",IFERROR($D287*INDEX(Mix_Eff,MATCH($C287,Mix_Code,0),4),""))</f>
        <v/>
      </c>
      <c r="J287" s="67" t="str">
        <f aca="false">IF(OR($C287="",$D287=""),"",IFERROR($D287*INDEX(Mix_Eff,MATCH($C287,Mix_Code,0),5),""))</f>
        <v/>
      </c>
      <c r="K287" s="63"/>
      <c r="L287" s="16" t="str">
        <f aca="false">IF(AND($A287="",$B287="",$C287="",$D287=""),"",IF($A287="","⚠ Date missing",IF($B287="","⚠ Site missing",IF(ISNA(MATCH($C287,Mix_Code,0)),"⚠ Unknown mix code",IF($D287="","⚠ Enter m3 produced",IF(COUNTIF(CI_Site,$B287)=0,"⚠ Site not set up in Current Inventory",IF($A287&gt;AsOfDate,"Future date – not yet deducted","OK")))))))</f>
        <v/>
      </c>
    </row>
    <row r="288" customFormat="false" ht="15" hidden="false" customHeight="false" outlineLevel="0" collapsed="false">
      <c r="A288" s="65"/>
      <c r="B288" s="63"/>
      <c r="C288" s="70"/>
      <c r="D288" s="66"/>
      <c r="E288" s="16" t="str">
        <f aca="false">IF($C288="","",IFERROR(INDEX(Mix_Desc,MATCH($C288,Mix_Code,0)),"⚠ Unknown mix code"))</f>
        <v/>
      </c>
      <c r="F288" s="67" t="str">
        <f aca="false">IF(OR($C288="",$D288=""),"",IFERROR($D288*INDEX(Mix_Eff,MATCH($C288,Mix_Code,0),1),""))</f>
        <v/>
      </c>
      <c r="G288" s="67" t="str">
        <f aca="false">IF(OR($C288="",$D288=""),"",IFERROR($D288*INDEX(Mix_Eff,MATCH($C288,Mix_Code,0),2),""))</f>
        <v/>
      </c>
      <c r="H288" s="67" t="str">
        <f aca="false">IF(OR($C288="",$D288=""),"",IFERROR($D288*INDEX(Mix_Eff,MATCH($C288,Mix_Code,0),3),""))</f>
        <v/>
      </c>
      <c r="I288" s="67" t="str">
        <f aca="false">IF(OR($C288="",$D288=""),"",IFERROR($D288*INDEX(Mix_Eff,MATCH($C288,Mix_Code,0),4),""))</f>
        <v/>
      </c>
      <c r="J288" s="67" t="str">
        <f aca="false">IF(OR($C288="",$D288=""),"",IFERROR($D288*INDEX(Mix_Eff,MATCH($C288,Mix_Code,0),5),""))</f>
        <v/>
      </c>
      <c r="K288" s="63"/>
      <c r="L288" s="16" t="str">
        <f aca="false">IF(AND($A288="",$B288="",$C288="",$D288=""),"",IF($A288="","⚠ Date missing",IF($B288="","⚠ Site missing",IF(ISNA(MATCH($C288,Mix_Code,0)),"⚠ Unknown mix code",IF($D288="","⚠ Enter m3 produced",IF(COUNTIF(CI_Site,$B288)=0,"⚠ Site not set up in Current Inventory",IF($A288&gt;AsOfDate,"Future date – not yet deducted","OK")))))))</f>
        <v/>
      </c>
    </row>
    <row r="289" customFormat="false" ht="15" hidden="false" customHeight="false" outlineLevel="0" collapsed="false">
      <c r="A289" s="65"/>
      <c r="B289" s="63"/>
      <c r="C289" s="70"/>
      <c r="D289" s="66"/>
      <c r="E289" s="16" t="str">
        <f aca="false">IF($C289="","",IFERROR(INDEX(Mix_Desc,MATCH($C289,Mix_Code,0)),"⚠ Unknown mix code"))</f>
        <v/>
      </c>
      <c r="F289" s="67" t="str">
        <f aca="false">IF(OR($C289="",$D289=""),"",IFERROR($D289*INDEX(Mix_Eff,MATCH($C289,Mix_Code,0),1),""))</f>
        <v/>
      </c>
      <c r="G289" s="67" t="str">
        <f aca="false">IF(OR($C289="",$D289=""),"",IFERROR($D289*INDEX(Mix_Eff,MATCH($C289,Mix_Code,0),2),""))</f>
        <v/>
      </c>
      <c r="H289" s="67" t="str">
        <f aca="false">IF(OR($C289="",$D289=""),"",IFERROR($D289*INDEX(Mix_Eff,MATCH($C289,Mix_Code,0),3),""))</f>
        <v/>
      </c>
      <c r="I289" s="67" t="str">
        <f aca="false">IF(OR($C289="",$D289=""),"",IFERROR($D289*INDEX(Mix_Eff,MATCH($C289,Mix_Code,0),4),""))</f>
        <v/>
      </c>
      <c r="J289" s="67" t="str">
        <f aca="false">IF(OR($C289="",$D289=""),"",IFERROR($D289*INDEX(Mix_Eff,MATCH($C289,Mix_Code,0),5),""))</f>
        <v/>
      </c>
      <c r="K289" s="63"/>
      <c r="L289" s="16" t="str">
        <f aca="false">IF(AND($A289="",$B289="",$C289="",$D289=""),"",IF($A289="","⚠ Date missing",IF($B289="","⚠ Site missing",IF(ISNA(MATCH($C289,Mix_Code,0)),"⚠ Unknown mix code",IF($D289="","⚠ Enter m3 produced",IF(COUNTIF(CI_Site,$B289)=0,"⚠ Site not set up in Current Inventory",IF($A289&gt;AsOfDate,"Future date – not yet deducted","OK")))))))</f>
        <v/>
      </c>
    </row>
    <row r="290" customFormat="false" ht="15" hidden="false" customHeight="false" outlineLevel="0" collapsed="false">
      <c r="A290" s="65"/>
      <c r="B290" s="63"/>
      <c r="C290" s="70"/>
      <c r="D290" s="66"/>
      <c r="E290" s="16" t="str">
        <f aca="false">IF($C290="","",IFERROR(INDEX(Mix_Desc,MATCH($C290,Mix_Code,0)),"⚠ Unknown mix code"))</f>
        <v/>
      </c>
      <c r="F290" s="67" t="str">
        <f aca="false">IF(OR($C290="",$D290=""),"",IFERROR($D290*INDEX(Mix_Eff,MATCH($C290,Mix_Code,0),1),""))</f>
        <v/>
      </c>
      <c r="G290" s="67" t="str">
        <f aca="false">IF(OR($C290="",$D290=""),"",IFERROR($D290*INDEX(Mix_Eff,MATCH($C290,Mix_Code,0),2),""))</f>
        <v/>
      </c>
      <c r="H290" s="67" t="str">
        <f aca="false">IF(OR($C290="",$D290=""),"",IFERROR($D290*INDEX(Mix_Eff,MATCH($C290,Mix_Code,0),3),""))</f>
        <v/>
      </c>
      <c r="I290" s="67" t="str">
        <f aca="false">IF(OR($C290="",$D290=""),"",IFERROR($D290*INDEX(Mix_Eff,MATCH($C290,Mix_Code,0),4),""))</f>
        <v/>
      </c>
      <c r="J290" s="67" t="str">
        <f aca="false">IF(OR($C290="",$D290=""),"",IFERROR($D290*INDEX(Mix_Eff,MATCH($C290,Mix_Code,0),5),""))</f>
        <v/>
      </c>
      <c r="K290" s="63"/>
      <c r="L290" s="16" t="str">
        <f aca="false">IF(AND($A290="",$B290="",$C290="",$D290=""),"",IF($A290="","⚠ Date missing",IF($B290="","⚠ Site missing",IF(ISNA(MATCH($C290,Mix_Code,0)),"⚠ Unknown mix code",IF($D290="","⚠ Enter m3 produced",IF(COUNTIF(CI_Site,$B290)=0,"⚠ Site not set up in Current Inventory",IF($A290&gt;AsOfDate,"Future date – not yet deducted","OK")))))))</f>
        <v/>
      </c>
    </row>
    <row r="291" customFormat="false" ht="15" hidden="false" customHeight="false" outlineLevel="0" collapsed="false">
      <c r="A291" s="65"/>
      <c r="B291" s="63"/>
      <c r="C291" s="70"/>
      <c r="D291" s="66"/>
      <c r="E291" s="16" t="str">
        <f aca="false">IF($C291="","",IFERROR(INDEX(Mix_Desc,MATCH($C291,Mix_Code,0)),"⚠ Unknown mix code"))</f>
        <v/>
      </c>
      <c r="F291" s="67" t="str">
        <f aca="false">IF(OR($C291="",$D291=""),"",IFERROR($D291*INDEX(Mix_Eff,MATCH($C291,Mix_Code,0),1),""))</f>
        <v/>
      </c>
      <c r="G291" s="67" t="str">
        <f aca="false">IF(OR($C291="",$D291=""),"",IFERROR($D291*INDEX(Mix_Eff,MATCH($C291,Mix_Code,0),2),""))</f>
        <v/>
      </c>
      <c r="H291" s="67" t="str">
        <f aca="false">IF(OR($C291="",$D291=""),"",IFERROR($D291*INDEX(Mix_Eff,MATCH($C291,Mix_Code,0),3),""))</f>
        <v/>
      </c>
      <c r="I291" s="67" t="str">
        <f aca="false">IF(OR($C291="",$D291=""),"",IFERROR($D291*INDEX(Mix_Eff,MATCH($C291,Mix_Code,0),4),""))</f>
        <v/>
      </c>
      <c r="J291" s="67" t="str">
        <f aca="false">IF(OR($C291="",$D291=""),"",IFERROR($D291*INDEX(Mix_Eff,MATCH($C291,Mix_Code,0),5),""))</f>
        <v/>
      </c>
      <c r="K291" s="63"/>
      <c r="L291" s="16" t="str">
        <f aca="false">IF(AND($A291="",$B291="",$C291="",$D291=""),"",IF($A291="","⚠ Date missing",IF($B291="","⚠ Site missing",IF(ISNA(MATCH($C291,Mix_Code,0)),"⚠ Unknown mix code",IF($D291="","⚠ Enter m3 produced",IF(COUNTIF(CI_Site,$B291)=0,"⚠ Site not set up in Current Inventory",IF($A291&gt;AsOfDate,"Future date – not yet deducted","OK")))))))</f>
        <v/>
      </c>
    </row>
    <row r="292" customFormat="false" ht="15" hidden="false" customHeight="false" outlineLevel="0" collapsed="false">
      <c r="A292" s="65"/>
      <c r="B292" s="63"/>
      <c r="C292" s="70"/>
      <c r="D292" s="66"/>
      <c r="E292" s="16" t="str">
        <f aca="false">IF($C292="","",IFERROR(INDEX(Mix_Desc,MATCH($C292,Mix_Code,0)),"⚠ Unknown mix code"))</f>
        <v/>
      </c>
      <c r="F292" s="67" t="str">
        <f aca="false">IF(OR($C292="",$D292=""),"",IFERROR($D292*INDEX(Mix_Eff,MATCH($C292,Mix_Code,0),1),""))</f>
        <v/>
      </c>
      <c r="G292" s="67" t="str">
        <f aca="false">IF(OR($C292="",$D292=""),"",IFERROR($D292*INDEX(Mix_Eff,MATCH($C292,Mix_Code,0),2),""))</f>
        <v/>
      </c>
      <c r="H292" s="67" t="str">
        <f aca="false">IF(OR($C292="",$D292=""),"",IFERROR($D292*INDEX(Mix_Eff,MATCH($C292,Mix_Code,0),3),""))</f>
        <v/>
      </c>
      <c r="I292" s="67" t="str">
        <f aca="false">IF(OR($C292="",$D292=""),"",IFERROR($D292*INDEX(Mix_Eff,MATCH($C292,Mix_Code,0),4),""))</f>
        <v/>
      </c>
      <c r="J292" s="67" t="str">
        <f aca="false">IF(OR($C292="",$D292=""),"",IFERROR($D292*INDEX(Mix_Eff,MATCH($C292,Mix_Code,0),5),""))</f>
        <v/>
      </c>
      <c r="K292" s="63"/>
      <c r="L292" s="16" t="str">
        <f aca="false">IF(AND($A292="",$B292="",$C292="",$D292=""),"",IF($A292="","⚠ Date missing",IF($B292="","⚠ Site missing",IF(ISNA(MATCH($C292,Mix_Code,0)),"⚠ Unknown mix code",IF($D292="","⚠ Enter m3 produced",IF(COUNTIF(CI_Site,$B292)=0,"⚠ Site not set up in Current Inventory",IF($A292&gt;AsOfDate,"Future date – not yet deducted","OK")))))))</f>
        <v/>
      </c>
    </row>
    <row r="293" customFormat="false" ht="15" hidden="false" customHeight="false" outlineLevel="0" collapsed="false">
      <c r="A293" s="65"/>
      <c r="B293" s="63"/>
      <c r="C293" s="70"/>
      <c r="D293" s="66"/>
      <c r="E293" s="16" t="str">
        <f aca="false">IF($C293="","",IFERROR(INDEX(Mix_Desc,MATCH($C293,Mix_Code,0)),"⚠ Unknown mix code"))</f>
        <v/>
      </c>
      <c r="F293" s="67" t="str">
        <f aca="false">IF(OR($C293="",$D293=""),"",IFERROR($D293*INDEX(Mix_Eff,MATCH($C293,Mix_Code,0),1),""))</f>
        <v/>
      </c>
      <c r="G293" s="67" t="str">
        <f aca="false">IF(OR($C293="",$D293=""),"",IFERROR($D293*INDEX(Mix_Eff,MATCH($C293,Mix_Code,0),2),""))</f>
        <v/>
      </c>
      <c r="H293" s="67" t="str">
        <f aca="false">IF(OR($C293="",$D293=""),"",IFERROR($D293*INDEX(Mix_Eff,MATCH($C293,Mix_Code,0),3),""))</f>
        <v/>
      </c>
      <c r="I293" s="67" t="str">
        <f aca="false">IF(OR($C293="",$D293=""),"",IFERROR($D293*INDEX(Mix_Eff,MATCH($C293,Mix_Code,0),4),""))</f>
        <v/>
      </c>
      <c r="J293" s="67" t="str">
        <f aca="false">IF(OR($C293="",$D293=""),"",IFERROR($D293*INDEX(Mix_Eff,MATCH($C293,Mix_Code,0),5),""))</f>
        <v/>
      </c>
      <c r="K293" s="63"/>
      <c r="L293" s="16" t="str">
        <f aca="false">IF(AND($A293="",$B293="",$C293="",$D293=""),"",IF($A293="","⚠ Date missing",IF($B293="","⚠ Site missing",IF(ISNA(MATCH($C293,Mix_Code,0)),"⚠ Unknown mix code",IF($D293="","⚠ Enter m3 produced",IF(COUNTIF(CI_Site,$B293)=0,"⚠ Site not set up in Current Inventory",IF($A293&gt;AsOfDate,"Future date – not yet deducted","OK")))))))</f>
        <v/>
      </c>
    </row>
    <row r="294" customFormat="false" ht="15" hidden="false" customHeight="false" outlineLevel="0" collapsed="false">
      <c r="A294" s="65"/>
      <c r="B294" s="63"/>
      <c r="C294" s="70"/>
      <c r="D294" s="66"/>
      <c r="E294" s="16" t="str">
        <f aca="false">IF($C294="","",IFERROR(INDEX(Mix_Desc,MATCH($C294,Mix_Code,0)),"⚠ Unknown mix code"))</f>
        <v/>
      </c>
      <c r="F294" s="67" t="str">
        <f aca="false">IF(OR($C294="",$D294=""),"",IFERROR($D294*INDEX(Mix_Eff,MATCH($C294,Mix_Code,0),1),""))</f>
        <v/>
      </c>
      <c r="G294" s="67" t="str">
        <f aca="false">IF(OR($C294="",$D294=""),"",IFERROR($D294*INDEX(Mix_Eff,MATCH($C294,Mix_Code,0),2),""))</f>
        <v/>
      </c>
      <c r="H294" s="67" t="str">
        <f aca="false">IF(OR($C294="",$D294=""),"",IFERROR($D294*INDEX(Mix_Eff,MATCH($C294,Mix_Code,0),3),""))</f>
        <v/>
      </c>
      <c r="I294" s="67" t="str">
        <f aca="false">IF(OR($C294="",$D294=""),"",IFERROR($D294*INDEX(Mix_Eff,MATCH($C294,Mix_Code,0),4),""))</f>
        <v/>
      </c>
      <c r="J294" s="67" t="str">
        <f aca="false">IF(OR($C294="",$D294=""),"",IFERROR($D294*INDEX(Mix_Eff,MATCH($C294,Mix_Code,0),5),""))</f>
        <v/>
      </c>
      <c r="K294" s="63"/>
      <c r="L294" s="16" t="str">
        <f aca="false">IF(AND($A294="",$B294="",$C294="",$D294=""),"",IF($A294="","⚠ Date missing",IF($B294="","⚠ Site missing",IF(ISNA(MATCH($C294,Mix_Code,0)),"⚠ Unknown mix code",IF($D294="","⚠ Enter m3 produced",IF(COUNTIF(CI_Site,$B294)=0,"⚠ Site not set up in Current Inventory",IF($A294&gt;AsOfDate,"Future date – not yet deducted","OK")))))))</f>
        <v/>
      </c>
    </row>
    <row r="295" customFormat="false" ht="15" hidden="false" customHeight="false" outlineLevel="0" collapsed="false">
      <c r="A295" s="65"/>
      <c r="B295" s="63"/>
      <c r="C295" s="70"/>
      <c r="D295" s="66"/>
      <c r="E295" s="16" t="str">
        <f aca="false">IF($C295="","",IFERROR(INDEX(Mix_Desc,MATCH($C295,Mix_Code,0)),"⚠ Unknown mix code"))</f>
        <v/>
      </c>
      <c r="F295" s="67" t="str">
        <f aca="false">IF(OR($C295="",$D295=""),"",IFERROR($D295*INDEX(Mix_Eff,MATCH($C295,Mix_Code,0),1),""))</f>
        <v/>
      </c>
      <c r="G295" s="67" t="str">
        <f aca="false">IF(OR($C295="",$D295=""),"",IFERROR($D295*INDEX(Mix_Eff,MATCH($C295,Mix_Code,0),2),""))</f>
        <v/>
      </c>
      <c r="H295" s="67" t="str">
        <f aca="false">IF(OR($C295="",$D295=""),"",IFERROR($D295*INDEX(Mix_Eff,MATCH($C295,Mix_Code,0),3),""))</f>
        <v/>
      </c>
      <c r="I295" s="67" t="str">
        <f aca="false">IF(OR($C295="",$D295=""),"",IFERROR($D295*INDEX(Mix_Eff,MATCH($C295,Mix_Code,0),4),""))</f>
        <v/>
      </c>
      <c r="J295" s="67" t="str">
        <f aca="false">IF(OR($C295="",$D295=""),"",IFERROR($D295*INDEX(Mix_Eff,MATCH($C295,Mix_Code,0),5),""))</f>
        <v/>
      </c>
      <c r="K295" s="63"/>
      <c r="L295" s="16" t="str">
        <f aca="false">IF(AND($A295="",$B295="",$C295="",$D295=""),"",IF($A295="","⚠ Date missing",IF($B295="","⚠ Site missing",IF(ISNA(MATCH($C295,Mix_Code,0)),"⚠ Unknown mix code",IF($D295="","⚠ Enter m3 produced",IF(COUNTIF(CI_Site,$B295)=0,"⚠ Site not set up in Current Inventory",IF($A295&gt;AsOfDate,"Future date – not yet deducted","OK")))))))</f>
        <v/>
      </c>
    </row>
    <row r="296" customFormat="false" ht="15" hidden="false" customHeight="false" outlineLevel="0" collapsed="false">
      <c r="A296" s="65"/>
      <c r="B296" s="63"/>
      <c r="C296" s="70"/>
      <c r="D296" s="66"/>
      <c r="E296" s="16" t="str">
        <f aca="false">IF($C296="","",IFERROR(INDEX(Mix_Desc,MATCH($C296,Mix_Code,0)),"⚠ Unknown mix code"))</f>
        <v/>
      </c>
      <c r="F296" s="67" t="str">
        <f aca="false">IF(OR($C296="",$D296=""),"",IFERROR($D296*INDEX(Mix_Eff,MATCH($C296,Mix_Code,0),1),""))</f>
        <v/>
      </c>
      <c r="G296" s="67" t="str">
        <f aca="false">IF(OR($C296="",$D296=""),"",IFERROR($D296*INDEX(Mix_Eff,MATCH($C296,Mix_Code,0),2),""))</f>
        <v/>
      </c>
      <c r="H296" s="67" t="str">
        <f aca="false">IF(OR($C296="",$D296=""),"",IFERROR($D296*INDEX(Mix_Eff,MATCH($C296,Mix_Code,0),3),""))</f>
        <v/>
      </c>
      <c r="I296" s="67" t="str">
        <f aca="false">IF(OR($C296="",$D296=""),"",IFERROR($D296*INDEX(Mix_Eff,MATCH($C296,Mix_Code,0),4),""))</f>
        <v/>
      </c>
      <c r="J296" s="67" t="str">
        <f aca="false">IF(OR($C296="",$D296=""),"",IFERROR($D296*INDEX(Mix_Eff,MATCH($C296,Mix_Code,0),5),""))</f>
        <v/>
      </c>
      <c r="K296" s="63"/>
      <c r="L296" s="16" t="str">
        <f aca="false">IF(AND($A296="",$B296="",$C296="",$D296=""),"",IF($A296="","⚠ Date missing",IF($B296="","⚠ Site missing",IF(ISNA(MATCH($C296,Mix_Code,0)),"⚠ Unknown mix code",IF($D296="","⚠ Enter m3 produced",IF(COUNTIF(CI_Site,$B296)=0,"⚠ Site not set up in Current Inventory",IF($A296&gt;AsOfDate,"Future date – not yet deducted","OK")))))))</f>
        <v/>
      </c>
    </row>
    <row r="297" customFormat="false" ht="15" hidden="false" customHeight="false" outlineLevel="0" collapsed="false">
      <c r="A297" s="65"/>
      <c r="B297" s="63"/>
      <c r="C297" s="70"/>
      <c r="D297" s="66"/>
      <c r="E297" s="16" t="str">
        <f aca="false">IF($C297="","",IFERROR(INDEX(Mix_Desc,MATCH($C297,Mix_Code,0)),"⚠ Unknown mix code"))</f>
        <v/>
      </c>
      <c r="F297" s="67" t="str">
        <f aca="false">IF(OR($C297="",$D297=""),"",IFERROR($D297*INDEX(Mix_Eff,MATCH($C297,Mix_Code,0),1),""))</f>
        <v/>
      </c>
      <c r="G297" s="67" t="str">
        <f aca="false">IF(OR($C297="",$D297=""),"",IFERROR($D297*INDEX(Mix_Eff,MATCH($C297,Mix_Code,0),2),""))</f>
        <v/>
      </c>
      <c r="H297" s="67" t="str">
        <f aca="false">IF(OR($C297="",$D297=""),"",IFERROR($D297*INDEX(Mix_Eff,MATCH($C297,Mix_Code,0),3),""))</f>
        <v/>
      </c>
      <c r="I297" s="67" t="str">
        <f aca="false">IF(OR($C297="",$D297=""),"",IFERROR($D297*INDEX(Mix_Eff,MATCH($C297,Mix_Code,0),4),""))</f>
        <v/>
      </c>
      <c r="J297" s="67" t="str">
        <f aca="false">IF(OR($C297="",$D297=""),"",IFERROR($D297*INDEX(Mix_Eff,MATCH($C297,Mix_Code,0),5),""))</f>
        <v/>
      </c>
      <c r="K297" s="63"/>
      <c r="L297" s="16" t="str">
        <f aca="false">IF(AND($A297="",$B297="",$C297="",$D297=""),"",IF($A297="","⚠ Date missing",IF($B297="","⚠ Site missing",IF(ISNA(MATCH($C297,Mix_Code,0)),"⚠ Unknown mix code",IF($D297="","⚠ Enter m3 produced",IF(COUNTIF(CI_Site,$B297)=0,"⚠ Site not set up in Current Inventory",IF($A297&gt;AsOfDate,"Future date – not yet deducted","OK")))))))</f>
        <v/>
      </c>
    </row>
    <row r="298" customFormat="false" ht="15" hidden="false" customHeight="false" outlineLevel="0" collapsed="false">
      <c r="A298" s="65"/>
      <c r="B298" s="63"/>
      <c r="C298" s="70"/>
      <c r="D298" s="66"/>
      <c r="E298" s="16" t="str">
        <f aca="false">IF($C298="","",IFERROR(INDEX(Mix_Desc,MATCH($C298,Mix_Code,0)),"⚠ Unknown mix code"))</f>
        <v/>
      </c>
      <c r="F298" s="67" t="str">
        <f aca="false">IF(OR($C298="",$D298=""),"",IFERROR($D298*INDEX(Mix_Eff,MATCH($C298,Mix_Code,0),1),""))</f>
        <v/>
      </c>
      <c r="G298" s="67" t="str">
        <f aca="false">IF(OR($C298="",$D298=""),"",IFERROR($D298*INDEX(Mix_Eff,MATCH($C298,Mix_Code,0),2),""))</f>
        <v/>
      </c>
      <c r="H298" s="67" t="str">
        <f aca="false">IF(OR($C298="",$D298=""),"",IFERROR($D298*INDEX(Mix_Eff,MATCH($C298,Mix_Code,0),3),""))</f>
        <v/>
      </c>
      <c r="I298" s="67" t="str">
        <f aca="false">IF(OR($C298="",$D298=""),"",IFERROR($D298*INDEX(Mix_Eff,MATCH($C298,Mix_Code,0),4),""))</f>
        <v/>
      </c>
      <c r="J298" s="67" t="str">
        <f aca="false">IF(OR($C298="",$D298=""),"",IFERROR($D298*INDEX(Mix_Eff,MATCH($C298,Mix_Code,0),5),""))</f>
        <v/>
      </c>
      <c r="K298" s="63"/>
      <c r="L298" s="16" t="str">
        <f aca="false">IF(AND($A298="",$B298="",$C298="",$D298=""),"",IF($A298="","⚠ Date missing",IF($B298="","⚠ Site missing",IF(ISNA(MATCH($C298,Mix_Code,0)),"⚠ Unknown mix code",IF($D298="","⚠ Enter m3 produced",IF(COUNTIF(CI_Site,$B298)=0,"⚠ Site not set up in Current Inventory",IF($A298&gt;AsOfDate,"Future date – not yet deducted","OK")))))))</f>
        <v/>
      </c>
    </row>
    <row r="299" customFormat="false" ht="15" hidden="false" customHeight="false" outlineLevel="0" collapsed="false">
      <c r="A299" s="65"/>
      <c r="B299" s="63"/>
      <c r="C299" s="70"/>
      <c r="D299" s="66"/>
      <c r="E299" s="16" t="str">
        <f aca="false">IF($C299="","",IFERROR(INDEX(Mix_Desc,MATCH($C299,Mix_Code,0)),"⚠ Unknown mix code"))</f>
        <v/>
      </c>
      <c r="F299" s="67" t="str">
        <f aca="false">IF(OR($C299="",$D299=""),"",IFERROR($D299*INDEX(Mix_Eff,MATCH($C299,Mix_Code,0),1),""))</f>
        <v/>
      </c>
      <c r="G299" s="67" t="str">
        <f aca="false">IF(OR($C299="",$D299=""),"",IFERROR($D299*INDEX(Mix_Eff,MATCH($C299,Mix_Code,0),2),""))</f>
        <v/>
      </c>
      <c r="H299" s="67" t="str">
        <f aca="false">IF(OR($C299="",$D299=""),"",IFERROR($D299*INDEX(Mix_Eff,MATCH($C299,Mix_Code,0),3),""))</f>
        <v/>
      </c>
      <c r="I299" s="67" t="str">
        <f aca="false">IF(OR($C299="",$D299=""),"",IFERROR($D299*INDEX(Mix_Eff,MATCH($C299,Mix_Code,0),4),""))</f>
        <v/>
      </c>
      <c r="J299" s="67" t="str">
        <f aca="false">IF(OR($C299="",$D299=""),"",IFERROR($D299*INDEX(Mix_Eff,MATCH($C299,Mix_Code,0),5),""))</f>
        <v/>
      </c>
      <c r="K299" s="63"/>
      <c r="L299" s="16" t="str">
        <f aca="false">IF(AND($A299="",$B299="",$C299="",$D299=""),"",IF($A299="","⚠ Date missing",IF($B299="","⚠ Site missing",IF(ISNA(MATCH($C299,Mix_Code,0)),"⚠ Unknown mix code",IF($D299="","⚠ Enter m3 produced",IF(COUNTIF(CI_Site,$B299)=0,"⚠ Site not set up in Current Inventory",IF($A299&gt;AsOfDate,"Future date – not yet deducted","OK")))))))</f>
        <v/>
      </c>
    </row>
    <row r="300" customFormat="false" ht="15" hidden="false" customHeight="false" outlineLevel="0" collapsed="false">
      <c r="A300" s="65"/>
      <c r="B300" s="63"/>
      <c r="C300" s="70"/>
      <c r="D300" s="66"/>
      <c r="E300" s="16" t="str">
        <f aca="false">IF($C300="","",IFERROR(INDEX(Mix_Desc,MATCH($C300,Mix_Code,0)),"⚠ Unknown mix code"))</f>
        <v/>
      </c>
      <c r="F300" s="67" t="str">
        <f aca="false">IF(OR($C300="",$D300=""),"",IFERROR($D300*INDEX(Mix_Eff,MATCH($C300,Mix_Code,0),1),""))</f>
        <v/>
      </c>
      <c r="G300" s="67" t="str">
        <f aca="false">IF(OR($C300="",$D300=""),"",IFERROR($D300*INDEX(Mix_Eff,MATCH($C300,Mix_Code,0),2),""))</f>
        <v/>
      </c>
      <c r="H300" s="67" t="str">
        <f aca="false">IF(OR($C300="",$D300=""),"",IFERROR($D300*INDEX(Mix_Eff,MATCH($C300,Mix_Code,0),3),""))</f>
        <v/>
      </c>
      <c r="I300" s="67" t="str">
        <f aca="false">IF(OR($C300="",$D300=""),"",IFERROR($D300*INDEX(Mix_Eff,MATCH($C300,Mix_Code,0),4),""))</f>
        <v/>
      </c>
      <c r="J300" s="67" t="str">
        <f aca="false">IF(OR($C300="",$D300=""),"",IFERROR($D300*INDEX(Mix_Eff,MATCH($C300,Mix_Code,0),5),""))</f>
        <v/>
      </c>
      <c r="K300" s="63"/>
      <c r="L300" s="16" t="str">
        <f aca="false">IF(AND($A300="",$B300="",$C300="",$D300=""),"",IF($A300="","⚠ Date missing",IF($B300="","⚠ Site missing",IF(ISNA(MATCH($C300,Mix_Code,0)),"⚠ Unknown mix code",IF($D300="","⚠ Enter m3 produced",IF(COUNTIF(CI_Site,$B300)=0,"⚠ Site not set up in Current Inventory",IF($A300&gt;AsOfDate,"Future date – not yet deducted","OK")))))))</f>
        <v/>
      </c>
    </row>
    <row r="301" customFormat="false" ht="15" hidden="false" customHeight="false" outlineLevel="0" collapsed="false">
      <c r="A301" s="65"/>
      <c r="B301" s="63"/>
      <c r="C301" s="70"/>
      <c r="D301" s="66"/>
      <c r="E301" s="16" t="str">
        <f aca="false">IF($C301="","",IFERROR(INDEX(Mix_Desc,MATCH($C301,Mix_Code,0)),"⚠ Unknown mix code"))</f>
        <v/>
      </c>
      <c r="F301" s="67" t="str">
        <f aca="false">IF(OR($C301="",$D301=""),"",IFERROR($D301*INDEX(Mix_Eff,MATCH($C301,Mix_Code,0),1),""))</f>
        <v/>
      </c>
      <c r="G301" s="67" t="str">
        <f aca="false">IF(OR($C301="",$D301=""),"",IFERROR($D301*INDEX(Mix_Eff,MATCH($C301,Mix_Code,0),2),""))</f>
        <v/>
      </c>
      <c r="H301" s="67" t="str">
        <f aca="false">IF(OR($C301="",$D301=""),"",IFERROR($D301*INDEX(Mix_Eff,MATCH($C301,Mix_Code,0),3),""))</f>
        <v/>
      </c>
      <c r="I301" s="67" t="str">
        <f aca="false">IF(OR($C301="",$D301=""),"",IFERROR($D301*INDEX(Mix_Eff,MATCH($C301,Mix_Code,0),4),""))</f>
        <v/>
      </c>
      <c r="J301" s="67" t="str">
        <f aca="false">IF(OR($C301="",$D301=""),"",IFERROR($D301*INDEX(Mix_Eff,MATCH($C301,Mix_Code,0),5),""))</f>
        <v/>
      </c>
      <c r="K301" s="63"/>
      <c r="L301" s="16" t="str">
        <f aca="false">IF(AND($A301="",$B301="",$C301="",$D301=""),"",IF($A301="","⚠ Date missing",IF($B301="","⚠ Site missing",IF(ISNA(MATCH($C301,Mix_Code,0)),"⚠ Unknown mix code",IF($D301="","⚠ Enter m3 produced",IF(COUNTIF(CI_Site,$B301)=0,"⚠ Site not set up in Current Inventory",IF($A301&gt;AsOfDate,"Future date – not yet deducted","OK")))))))</f>
        <v/>
      </c>
    </row>
    <row r="302" customFormat="false" ht="15" hidden="false" customHeight="false" outlineLevel="0" collapsed="false">
      <c r="A302" s="65"/>
      <c r="B302" s="63"/>
      <c r="C302" s="70"/>
      <c r="D302" s="66"/>
      <c r="E302" s="16" t="str">
        <f aca="false">IF($C302="","",IFERROR(INDEX(Mix_Desc,MATCH($C302,Mix_Code,0)),"⚠ Unknown mix code"))</f>
        <v/>
      </c>
      <c r="F302" s="67" t="str">
        <f aca="false">IF(OR($C302="",$D302=""),"",IFERROR($D302*INDEX(Mix_Eff,MATCH($C302,Mix_Code,0),1),""))</f>
        <v/>
      </c>
      <c r="G302" s="67" t="str">
        <f aca="false">IF(OR($C302="",$D302=""),"",IFERROR($D302*INDEX(Mix_Eff,MATCH($C302,Mix_Code,0),2),""))</f>
        <v/>
      </c>
      <c r="H302" s="67" t="str">
        <f aca="false">IF(OR($C302="",$D302=""),"",IFERROR($D302*INDEX(Mix_Eff,MATCH($C302,Mix_Code,0),3),""))</f>
        <v/>
      </c>
      <c r="I302" s="67" t="str">
        <f aca="false">IF(OR($C302="",$D302=""),"",IFERROR($D302*INDEX(Mix_Eff,MATCH($C302,Mix_Code,0),4),""))</f>
        <v/>
      </c>
      <c r="J302" s="67" t="str">
        <f aca="false">IF(OR($C302="",$D302=""),"",IFERROR($D302*INDEX(Mix_Eff,MATCH($C302,Mix_Code,0),5),""))</f>
        <v/>
      </c>
      <c r="K302" s="63"/>
      <c r="L302" s="16" t="str">
        <f aca="false">IF(AND($A302="",$B302="",$C302="",$D302=""),"",IF($A302="","⚠ Date missing",IF($B302="","⚠ Site missing",IF(ISNA(MATCH($C302,Mix_Code,0)),"⚠ Unknown mix code",IF($D302="","⚠ Enter m3 produced",IF(COUNTIF(CI_Site,$B302)=0,"⚠ Site not set up in Current Inventory",IF($A302&gt;AsOfDate,"Future date – not yet deducted","OK")))))))</f>
        <v/>
      </c>
    </row>
    <row r="303" customFormat="false" ht="15" hidden="false" customHeight="false" outlineLevel="0" collapsed="false">
      <c r="A303" s="65"/>
      <c r="B303" s="63"/>
      <c r="C303" s="70"/>
      <c r="D303" s="66"/>
      <c r="E303" s="16" t="str">
        <f aca="false">IF($C303="","",IFERROR(INDEX(Mix_Desc,MATCH($C303,Mix_Code,0)),"⚠ Unknown mix code"))</f>
        <v/>
      </c>
      <c r="F303" s="67" t="str">
        <f aca="false">IF(OR($C303="",$D303=""),"",IFERROR($D303*INDEX(Mix_Eff,MATCH($C303,Mix_Code,0),1),""))</f>
        <v/>
      </c>
      <c r="G303" s="67" t="str">
        <f aca="false">IF(OR($C303="",$D303=""),"",IFERROR($D303*INDEX(Mix_Eff,MATCH($C303,Mix_Code,0),2),""))</f>
        <v/>
      </c>
      <c r="H303" s="67" t="str">
        <f aca="false">IF(OR($C303="",$D303=""),"",IFERROR($D303*INDEX(Mix_Eff,MATCH($C303,Mix_Code,0),3),""))</f>
        <v/>
      </c>
      <c r="I303" s="67" t="str">
        <f aca="false">IF(OR($C303="",$D303=""),"",IFERROR($D303*INDEX(Mix_Eff,MATCH($C303,Mix_Code,0),4),""))</f>
        <v/>
      </c>
      <c r="J303" s="67" t="str">
        <f aca="false">IF(OR($C303="",$D303=""),"",IFERROR($D303*INDEX(Mix_Eff,MATCH($C303,Mix_Code,0),5),""))</f>
        <v/>
      </c>
      <c r="K303" s="63"/>
      <c r="L303" s="16" t="str">
        <f aca="false">IF(AND($A303="",$B303="",$C303="",$D303=""),"",IF($A303="","⚠ Date missing",IF($B303="","⚠ Site missing",IF(ISNA(MATCH($C303,Mix_Code,0)),"⚠ Unknown mix code",IF($D303="","⚠ Enter m3 produced",IF(COUNTIF(CI_Site,$B303)=0,"⚠ Site not set up in Current Inventory",IF($A303&gt;AsOfDate,"Future date – not yet deducted","OK")))))))</f>
        <v/>
      </c>
    </row>
    <row r="304" customFormat="false" ht="15" hidden="false" customHeight="false" outlineLevel="0" collapsed="false">
      <c r="A304" s="65"/>
      <c r="B304" s="63"/>
      <c r="C304" s="70"/>
      <c r="D304" s="66"/>
      <c r="E304" s="16" t="str">
        <f aca="false">IF($C304="","",IFERROR(INDEX(Mix_Desc,MATCH($C304,Mix_Code,0)),"⚠ Unknown mix code"))</f>
        <v/>
      </c>
      <c r="F304" s="67" t="str">
        <f aca="false">IF(OR($C304="",$D304=""),"",IFERROR($D304*INDEX(Mix_Eff,MATCH($C304,Mix_Code,0),1),""))</f>
        <v/>
      </c>
      <c r="G304" s="67" t="str">
        <f aca="false">IF(OR($C304="",$D304=""),"",IFERROR($D304*INDEX(Mix_Eff,MATCH($C304,Mix_Code,0),2),""))</f>
        <v/>
      </c>
      <c r="H304" s="67" t="str">
        <f aca="false">IF(OR($C304="",$D304=""),"",IFERROR($D304*INDEX(Mix_Eff,MATCH($C304,Mix_Code,0),3),""))</f>
        <v/>
      </c>
      <c r="I304" s="67" t="str">
        <f aca="false">IF(OR($C304="",$D304=""),"",IFERROR($D304*INDEX(Mix_Eff,MATCH($C304,Mix_Code,0),4),""))</f>
        <v/>
      </c>
      <c r="J304" s="67" t="str">
        <f aca="false">IF(OR($C304="",$D304=""),"",IFERROR($D304*INDEX(Mix_Eff,MATCH($C304,Mix_Code,0),5),""))</f>
        <v/>
      </c>
      <c r="K304" s="63"/>
      <c r="L304" s="16" t="str">
        <f aca="false">IF(AND($A304="",$B304="",$C304="",$D304=""),"",IF($A304="","⚠ Date missing",IF($B304="","⚠ Site missing",IF(ISNA(MATCH($C304,Mix_Code,0)),"⚠ Unknown mix code",IF($D304="","⚠ Enter m3 produced",IF(COUNTIF(CI_Site,$B304)=0,"⚠ Site not set up in Current Inventory",IF($A304&gt;AsOfDate,"Future date – not yet deducted","OK")))))))</f>
        <v/>
      </c>
    </row>
    <row r="305" customFormat="false" ht="15" hidden="false" customHeight="false" outlineLevel="0" collapsed="false">
      <c r="A305" s="65"/>
      <c r="B305" s="63"/>
      <c r="C305" s="70"/>
      <c r="D305" s="66"/>
      <c r="E305" s="16" t="str">
        <f aca="false">IF($C305="","",IFERROR(INDEX(Mix_Desc,MATCH($C305,Mix_Code,0)),"⚠ Unknown mix code"))</f>
        <v/>
      </c>
      <c r="F305" s="67" t="str">
        <f aca="false">IF(OR($C305="",$D305=""),"",IFERROR($D305*INDEX(Mix_Eff,MATCH($C305,Mix_Code,0),1),""))</f>
        <v/>
      </c>
      <c r="G305" s="67" t="str">
        <f aca="false">IF(OR($C305="",$D305=""),"",IFERROR($D305*INDEX(Mix_Eff,MATCH($C305,Mix_Code,0),2),""))</f>
        <v/>
      </c>
      <c r="H305" s="67" t="str">
        <f aca="false">IF(OR($C305="",$D305=""),"",IFERROR($D305*INDEX(Mix_Eff,MATCH($C305,Mix_Code,0),3),""))</f>
        <v/>
      </c>
      <c r="I305" s="67" t="str">
        <f aca="false">IF(OR($C305="",$D305=""),"",IFERROR($D305*INDEX(Mix_Eff,MATCH($C305,Mix_Code,0),4),""))</f>
        <v/>
      </c>
      <c r="J305" s="67" t="str">
        <f aca="false">IF(OR($C305="",$D305=""),"",IFERROR($D305*INDEX(Mix_Eff,MATCH($C305,Mix_Code,0),5),""))</f>
        <v/>
      </c>
      <c r="K305" s="63"/>
      <c r="L305" s="16" t="str">
        <f aca="false">IF(AND($A305="",$B305="",$C305="",$D305=""),"",IF($A305="","⚠ Date missing",IF($B305="","⚠ Site missing",IF(ISNA(MATCH($C305,Mix_Code,0)),"⚠ Unknown mix code",IF($D305="","⚠ Enter m3 produced",IF(COUNTIF(CI_Site,$B305)=0,"⚠ Site not set up in Current Inventory",IF($A305&gt;AsOfDate,"Future date – not yet deducted","OK")))))))</f>
        <v/>
      </c>
    </row>
    <row r="306" customFormat="false" ht="15" hidden="false" customHeight="false" outlineLevel="0" collapsed="false">
      <c r="A306" s="65"/>
      <c r="B306" s="63"/>
      <c r="C306" s="70"/>
      <c r="D306" s="66"/>
      <c r="E306" s="16" t="str">
        <f aca="false">IF($C306="","",IFERROR(INDEX(Mix_Desc,MATCH($C306,Mix_Code,0)),"⚠ Unknown mix code"))</f>
        <v/>
      </c>
      <c r="F306" s="67" t="str">
        <f aca="false">IF(OR($C306="",$D306=""),"",IFERROR($D306*INDEX(Mix_Eff,MATCH($C306,Mix_Code,0),1),""))</f>
        <v/>
      </c>
      <c r="G306" s="67" t="str">
        <f aca="false">IF(OR($C306="",$D306=""),"",IFERROR($D306*INDEX(Mix_Eff,MATCH($C306,Mix_Code,0),2),""))</f>
        <v/>
      </c>
      <c r="H306" s="67" t="str">
        <f aca="false">IF(OR($C306="",$D306=""),"",IFERROR($D306*INDEX(Mix_Eff,MATCH($C306,Mix_Code,0),3),""))</f>
        <v/>
      </c>
      <c r="I306" s="67" t="str">
        <f aca="false">IF(OR($C306="",$D306=""),"",IFERROR($D306*INDEX(Mix_Eff,MATCH($C306,Mix_Code,0),4),""))</f>
        <v/>
      </c>
      <c r="J306" s="67" t="str">
        <f aca="false">IF(OR($C306="",$D306=""),"",IFERROR($D306*INDEX(Mix_Eff,MATCH($C306,Mix_Code,0),5),""))</f>
        <v/>
      </c>
      <c r="K306" s="63"/>
      <c r="L306" s="16" t="str">
        <f aca="false">IF(AND($A306="",$B306="",$C306="",$D306=""),"",IF($A306="","⚠ Date missing",IF($B306="","⚠ Site missing",IF(ISNA(MATCH($C306,Mix_Code,0)),"⚠ Unknown mix code",IF($D306="","⚠ Enter m3 produced",IF(COUNTIF(CI_Site,$B306)=0,"⚠ Site not set up in Current Inventory",IF($A306&gt;AsOfDate,"Future date – not yet deducted","OK")))))))</f>
        <v/>
      </c>
    </row>
    <row r="307" customFormat="false" ht="15" hidden="false" customHeight="false" outlineLevel="0" collapsed="false">
      <c r="A307" s="65"/>
      <c r="B307" s="63"/>
      <c r="C307" s="70"/>
      <c r="D307" s="66"/>
      <c r="E307" s="16" t="str">
        <f aca="false">IF($C307="","",IFERROR(INDEX(Mix_Desc,MATCH($C307,Mix_Code,0)),"⚠ Unknown mix code"))</f>
        <v/>
      </c>
      <c r="F307" s="67" t="str">
        <f aca="false">IF(OR($C307="",$D307=""),"",IFERROR($D307*INDEX(Mix_Eff,MATCH($C307,Mix_Code,0),1),""))</f>
        <v/>
      </c>
      <c r="G307" s="67" t="str">
        <f aca="false">IF(OR($C307="",$D307=""),"",IFERROR($D307*INDEX(Mix_Eff,MATCH($C307,Mix_Code,0),2),""))</f>
        <v/>
      </c>
      <c r="H307" s="67" t="str">
        <f aca="false">IF(OR($C307="",$D307=""),"",IFERROR($D307*INDEX(Mix_Eff,MATCH($C307,Mix_Code,0),3),""))</f>
        <v/>
      </c>
      <c r="I307" s="67" t="str">
        <f aca="false">IF(OR($C307="",$D307=""),"",IFERROR($D307*INDEX(Mix_Eff,MATCH($C307,Mix_Code,0),4),""))</f>
        <v/>
      </c>
      <c r="J307" s="67" t="str">
        <f aca="false">IF(OR($C307="",$D307=""),"",IFERROR($D307*INDEX(Mix_Eff,MATCH($C307,Mix_Code,0),5),""))</f>
        <v/>
      </c>
      <c r="K307" s="63"/>
      <c r="L307" s="16" t="str">
        <f aca="false">IF(AND($A307="",$B307="",$C307="",$D307=""),"",IF($A307="","⚠ Date missing",IF($B307="","⚠ Site missing",IF(ISNA(MATCH($C307,Mix_Code,0)),"⚠ Unknown mix code",IF($D307="","⚠ Enter m3 produced",IF(COUNTIF(CI_Site,$B307)=0,"⚠ Site not set up in Current Inventory",IF($A307&gt;AsOfDate,"Future date – not yet deducted","OK")))))))</f>
        <v/>
      </c>
    </row>
    <row r="308" customFormat="false" ht="15" hidden="false" customHeight="false" outlineLevel="0" collapsed="false">
      <c r="A308" s="65"/>
      <c r="B308" s="63"/>
      <c r="C308" s="70"/>
      <c r="D308" s="66"/>
      <c r="E308" s="16" t="str">
        <f aca="false">IF($C308="","",IFERROR(INDEX(Mix_Desc,MATCH($C308,Mix_Code,0)),"⚠ Unknown mix code"))</f>
        <v/>
      </c>
      <c r="F308" s="67" t="str">
        <f aca="false">IF(OR($C308="",$D308=""),"",IFERROR($D308*INDEX(Mix_Eff,MATCH($C308,Mix_Code,0),1),""))</f>
        <v/>
      </c>
      <c r="G308" s="67" t="str">
        <f aca="false">IF(OR($C308="",$D308=""),"",IFERROR($D308*INDEX(Mix_Eff,MATCH($C308,Mix_Code,0),2),""))</f>
        <v/>
      </c>
      <c r="H308" s="67" t="str">
        <f aca="false">IF(OR($C308="",$D308=""),"",IFERROR($D308*INDEX(Mix_Eff,MATCH($C308,Mix_Code,0),3),""))</f>
        <v/>
      </c>
      <c r="I308" s="67" t="str">
        <f aca="false">IF(OR($C308="",$D308=""),"",IFERROR($D308*INDEX(Mix_Eff,MATCH($C308,Mix_Code,0),4),""))</f>
        <v/>
      </c>
      <c r="J308" s="67" t="str">
        <f aca="false">IF(OR($C308="",$D308=""),"",IFERROR($D308*INDEX(Mix_Eff,MATCH($C308,Mix_Code,0),5),""))</f>
        <v/>
      </c>
      <c r="K308" s="63"/>
      <c r="L308" s="16" t="str">
        <f aca="false">IF(AND($A308="",$B308="",$C308="",$D308=""),"",IF($A308="","⚠ Date missing",IF($B308="","⚠ Site missing",IF(ISNA(MATCH($C308,Mix_Code,0)),"⚠ Unknown mix code",IF($D308="","⚠ Enter m3 produced",IF(COUNTIF(CI_Site,$B308)=0,"⚠ Site not set up in Current Inventory",IF($A308&gt;AsOfDate,"Future date – not yet deducted","OK")))))))</f>
        <v/>
      </c>
    </row>
    <row r="309" customFormat="false" ht="15" hidden="false" customHeight="false" outlineLevel="0" collapsed="false">
      <c r="A309" s="65"/>
      <c r="B309" s="63"/>
      <c r="C309" s="70"/>
      <c r="D309" s="66"/>
      <c r="E309" s="16" t="str">
        <f aca="false">IF($C309="","",IFERROR(INDEX(Mix_Desc,MATCH($C309,Mix_Code,0)),"⚠ Unknown mix code"))</f>
        <v/>
      </c>
      <c r="F309" s="67" t="str">
        <f aca="false">IF(OR($C309="",$D309=""),"",IFERROR($D309*INDEX(Mix_Eff,MATCH($C309,Mix_Code,0),1),""))</f>
        <v/>
      </c>
      <c r="G309" s="67" t="str">
        <f aca="false">IF(OR($C309="",$D309=""),"",IFERROR($D309*INDEX(Mix_Eff,MATCH($C309,Mix_Code,0),2),""))</f>
        <v/>
      </c>
      <c r="H309" s="67" t="str">
        <f aca="false">IF(OR($C309="",$D309=""),"",IFERROR($D309*INDEX(Mix_Eff,MATCH($C309,Mix_Code,0),3),""))</f>
        <v/>
      </c>
      <c r="I309" s="67" t="str">
        <f aca="false">IF(OR($C309="",$D309=""),"",IFERROR($D309*INDEX(Mix_Eff,MATCH($C309,Mix_Code,0),4),""))</f>
        <v/>
      </c>
      <c r="J309" s="67" t="str">
        <f aca="false">IF(OR($C309="",$D309=""),"",IFERROR($D309*INDEX(Mix_Eff,MATCH($C309,Mix_Code,0),5),""))</f>
        <v/>
      </c>
      <c r="K309" s="63"/>
      <c r="L309" s="16" t="str">
        <f aca="false">IF(AND($A309="",$B309="",$C309="",$D309=""),"",IF($A309="","⚠ Date missing",IF($B309="","⚠ Site missing",IF(ISNA(MATCH($C309,Mix_Code,0)),"⚠ Unknown mix code",IF($D309="","⚠ Enter m3 produced",IF(COUNTIF(CI_Site,$B309)=0,"⚠ Site not set up in Current Inventory",IF($A309&gt;AsOfDate,"Future date – not yet deducted","OK")))))))</f>
        <v/>
      </c>
    </row>
    <row r="310" customFormat="false" ht="15" hidden="false" customHeight="false" outlineLevel="0" collapsed="false">
      <c r="A310" s="65"/>
      <c r="B310" s="63"/>
      <c r="C310" s="70"/>
      <c r="D310" s="66"/>
      <c r="E310" s="16" t="str">
        <f aca="false">IF($C310="","",IFERROR(INDEX(Mix_Desc,MATCH($C310,Mix_Code,0)),"⚠ Unknown mix code"))</f>
        <v/>
      </c>
      <c r="F310" s="67" t="str">
        <f aca="false">IF(OR($C310="",$D310=""),"",IFERROR($D310*INDEX(Mix_Eff,MATCH($C310,Mix_Code,0),1),""))</f>
        <v/>
      </c>
      <c r="G310" s="67" t="str">
        <f aca="false">IF(OR($C310="",$D310=""),"",IFERROR($D310*INDEX(Mix_Eff,MATCH($C310,Mix_Code,0),2),""))</f>
        <v/>
      </c>
      <c r="H310" s="67" t="str">
        <f aca="false">IF(OR($C310="",$D310=""),"",IFERROR($D310*INDEX(Mix_Eff,MATCH($C310,Mix_Code,0),3),""))</f>
        <v/>
      </c>
      <c r="I310" s="67" t="str">
        <f aca="false">IF(OR($C310="",$D310=""),"",IFERROR($D310*INDEX(Mix_Eff,MATCH($C310,Mix_Code,0),4),""))</f>
        <v/>
      </c>
      <c r="J310" s="67" t="str">
        <f aca="false">IF(OR($C310="",$D310=""),"",IFERROR($D310*INDEX(Mix_Eff,MATCH($C310,Mix_Code,0),5),""))</f>
        <v/>
      </c>
      <c r="K310" s="63"/>
      <c r="L310" s="16" t="str">
        <f aca="false">IF(AND($A310="",$B310="",$C310="",$D310=""),"",IF($A310="","⚠ Date missing",IF($B310="","⚠ Site missing",IF(ISNA(MATCH($C310,Mix_Code,0)),"⚠ Unknown mix code",IF($D310="","⚠ Enter m3 produced",IF(COUNTIF(CI_Site,$B310)=0,"⚠ Site not set up in Current Inventory",IF($A310&gt;AsOfDate,"Future date – not yet deducted","OK")))))))</f>
        <v/>
      </c>
    </row>
    <row r="311" customFormat="false" ht="15" hidden="false" customHeight="false" outlineLevel="0" collapsed="false">
      <c r="A311" s="65"/>
      <c r="B311" s="63"/>
      <c r="C311" s="70"/>
      <c r="D311" s="66"/>
      <c r="E311" s="16" t="str">
        <f aca="false">IF($C311="","",IFERROR(INDEX(Mix_Desc,MATCH($C311,Mix_Code,0)),"⚠ Unknown mix code"))</f>
        <v/>
      </c>
      <c r="F311" s="67" t="str">
        <f aca="false">IF(OR($C311="",$D311=""),"",IFERROR($D311*INDEX(Mix_Eff,MATCH($C311,Mix_Code,0),1),""))</f>
        <v/>
      </c>
      <c r="G311" s="67" t="str">
        <f aca="false">IF(OR($C311="",$D311=""),"",IFERROR($D311*INDEX(Mix_Eff,MATCH($C311,Mix_Code,0),2),""))</f>
        <v/>
      </c>
      <c r="H311" s="67" t="str">
        <f aca="false">IF(OR($C311="",$D311=""),"",IFERROR($D311*INDEX(Mix_Eff,MATCH($C311,Mix_Code,0),3),""))</f>
        <v/>
      </c>
      <c r="I311" s="67" t="str">
        <f aca="false">IF(OR($C311="",$D311=""),"",IFERROR($D311*INDEX(Mix_Eff,MATCH($C311,Mix_Code,0),4),""))</f>
        <v/>
      </c>
      <c r="J311" s="67" t="str">
        <f aca="false">IF(OR($C311="",$D311=""),"",IFERROR($D311*INDEX(Mix_Eff,MATCH($C311,Mix_Code,0),5),""))</f>
        <v/>
      </c>
      <c r="K311" s="63"/>
      <c r="L311" s="16" t="str">
        <f aca="false">IF(AND($A311="",$B311="",$C311="",$D311=""),"",IF($A311="","⚠ Date missing",IF($B311="","⚠ Site missing",IF(ISNA(MATCH($C311,Mix_Code,0)),"⚠ Unknown mix code",IF($D311="","⚠ Enter m3 produced",IF(COUNTIF(CI_Site,$B311)=0,"⚠ Site not set up in Current Inventory",IF($A311&gt;AsOfDate,"Future date – not yet deducted","OK")))))))</f>
        <v/>
      </c>
    </row>
    <row r="312" customFormat="false" ht="15" hidden="false" customHeight="false" outlineLevel="0" collapsed="false">
      <c r="A312" s="65"/>
      <c r="B312" s="63"/>
      <c r="C312" s="70"/>
      <c r="D312" s="66"/>
      <c r="E312" s="16" t="str">
        <f aca="false">IF($C312="","",IFERROR(INDEX(Mix_Desc,MATCH($C312,Mix_Code,0)),"⚠ Unknown mix code"))</f>
        <v/>
      </c>
      <c r="F312" s="67" t="str">
        <f aca="false">IF(OR($C312="",$D312=""),"",IFERROR($D312*INDEX(Mix_Eff,MATCH($C312,Mix_Code,0),1),""))</f>
        <v/>
      </c>
      <c r="G312" s="67" t="str">
        <f aca="false">IF(OR($C312="",$D312=""),"",IFERROR($D312*INDEX(Mix_Eff,MATCH($C312,Mix_Code,0),2),""))</f>
        <v/>
      </c>
      <c r="H312" s="67" t="str">
        <f aca="false">IF(OR($C312="",$D312=""),"",IFERROR($D312*INDEX(Mix_Eff,MATCH($C312,Mix_Code,0),3),""))</f>
        <v/>
      </c>
      <c r="I312" s="67" t="str">
        <f aca="false">IF(OR($C312="",$D312=""),"",IFERROR($D312*INDEX(Mix_Eff,MATCH($C312,Mix_Code,0),4),""))</f>
        <v/>
      </c>
      <c r="J312" s="67" t="str">
        <f aca="false">IF(OR($C312="",$D312=""),"",IFERROR($D312*INDEX(Mix_Eff,MATCH($C312,Mix_Code,0),5),""))</f>
        <v/>
      </c>
      <c r="K312" s="63"/>
      <c r="L312" s="16" t="str">
        <f aca="false">IF(AND($A312="",$B312="",$C312="",$D312=""),"",IF($A312="","⚠ Date missing",IF($B312="","⚠ Site missing",IF(ISNA(MATCH($C312,Mix_Code,0)),"⚠ Unknown mix code",IF($D312="","⚠ Enter m3 produced",IF(COUNTIF(CI_Site,$B312)=0,"⚠ Site not set up in Current Inventory",IF($A312&gt;AsOfDate,"Future date – not yet deducted","OK")))))))</f>
        <v/>
      </c>
    </row>
    <row r="313" customFormat="false" ht="15" hidden="false" customHeight="false" outlineLevel="0" collapsed="false">
      <c r="A313" s="65"/>
      <c r="B313" s="63"/>
      <c r="C313" s="70"/>
      <c r="D313" s="66"/>
      <c r="E313" s="16" t="str">
        <f aca="false">IF($C313="","",IFERROR(INDEX(Mix_Desc,MATCH($C313,Mix_Code,0)),"⚠ Unknown mix code"))</f>
        <v/>
      </c>
      <c r="F313" s="67" t="str">
        <f aca="false">IF(OR($C313="",$D313=""),"",IFERROR($D313*INDEX(Mix_Eff,MATCH($C313,Mix_Code,0),1),""))</f>
        <v/>
      </c>
      <c r="G313" s="67" t="str">
        <f aca="false">IF(OR($C313="",$D313=""),"",IFERROR($D313*INDEX(Mix_Eff,MATCH($C313,Mix_Code,0),2),""))</f>
        <v/>
      </c>
      <c r="H313" s="67" t="str">
        <f aca="false">IF(OR($C313="",$D313=""),"",IFERROR($D313*INDEX(Mix_Eff,MATCH($C313,Mix_Code,0),3),""))</f>
        <v/>
      </c>
      <c r="I313" s="67" t="str">
        <f aca="false">IF(OR($C313="",$D313=""),"",IFERROR($D313*INDEX(Mix_Eff,MATCH($C313,Mix_Code,0),4),""))</f>
        <v/>
      </c>
      <c r="J313" s="67" t="str">
        <f aca="false">IF(OR($C313="",$D313=""),"",IFERROR($D313*INDEX(Mix_Eff,MATCH($C313,Mix_Code,0),5),""))</f>
        <v/>
      </c>
      <c r="K313" s="63"/>
      <c r="L313" s="16" t="str">
        <f aca="false">IF(AND($A313="",$B313="",$C313="",$D313=""),"",IF($A313="","⚠ Date missing",IF($B313="","⚠ Site missing",IF(ISNA(MATCH($C313,Mix_Code,0)),"⚠ Unknown mix code",IF($D313="","⚠ Enter m3 produced",IF(COUNTIF(CI_Site,$B313)=0,"⚠ Site not set up in Current Inventory",IF($A313&gt;AsOfDate,"Future date – not yet deducted","OK")))))))</f>
        <v/>
      </c>
    </row>
    <row r="314" customFormat="false" ht="15" hidden="false" customHeight="false" outlineLevel="0" collapsed="false">
      <c r="A314" s="65"/>
      <c r="B314" s="63"/>
      <c r="C314" s="70"/>
      <c r="D314" s="66"/>
      <c r="E314" s="16" t="str">
        <f aca="false">IF($C314="","",IFERROR(INDEX(Mix_Desc,MATCH($C314,Mix_Code,0)),"⚠ Unknown mix code"))</f>
        <v/>
      </c>
      <c r="F314" s="67" t="str">
        <f aca="false">IF(OR($C314="",$D314=""),"",IFERROR($D314*INDEX(Mix_Eff,MATCH($C314,Mix_Code,0),1),""))</f>
        <v/>
      </c>
      <c r="G314" s="67" t="str">
        <f aca="false">IF(OR($C314="",$D314=""),"",IFERROR($D314*INDEX(Mix_Eff,MATCH($C314,Mix_Code,0),2),""))</f>
        <v/>
      </c>
      <c r="H314" s="67" t="str">
        <f aca="false">IF(OR($C314="",$D314=""),"",IFERROR($D314*INDEX(Mix_Eff,MATCH($C314,Mix_Code,0),3),""))</f>
        <v/>
      </c>
      <c r="I314" s="67" t="str">
        <f aca="false">IF(OR($C314="",$D314=""),"",IFERROR($D314*INDEX(Mix_Eff,MATCH($C314,Mix_Code,0),4),""))</f>
        <v/>
      </c>
      <c r="J314" s="67" t="str">
        <f aca="false">IF(OR($C314="",$D314=""),"",IFERROR($D314*INDEX(Mix_Eff,MATCH($C314,Mix_Code,0),5),""))</f>
        <v/>
      </c>
      <c r="K314" s="63"/>
      <c r="L314" s="16" t="str">
        <f aca="false">IF(AND($A314="",$B314="",$C314="",$D314=""),"",IF($A314="","⚠ Date missing",IF($B314="","⚠ Site missing",IF(ISNA(MATCH($C314,Mix_Code,0)),"⚠ Unknown mix code",IF($D314="","⚠ Enter m3 produced",IF(COUNTIF(CI_Site,$B314)=0,"⚠ Site not set up in Current Inventory",IF($A314&gt;AsOfDate,"Future date – not yet deducted","OK")))))))</f>
        <v/>
      </c>
    </row>
    <row r="315" customFormat="false" ht="15" hidden="false" customHeight="false" outlineLevel="0" collapsed="false">
      <c r="A315" s="65"/>
      <c r="B315" s="63"/>
      <c r="C315" s="70"/>
      <c r="D315" s="66"/>
      <c r="E315" s="16" t="str">
        <f aca="false">IF($C315="","",IFERROR(INDEX(Mix_Desc,MATCH($C315,Mix_Code,0)),"⚠ Unknown mix code"))</f>
        <v/>
      </c>
      <c r="F315" s="67" t="str">
        <f aca="false">IF(OR($C315="",$D315=""),"",IFERROR($D315*INDEX(Mix_Eff,MATCH($C315,Mix_Code,0),1),""))</f>
        <v/>
      </c>
      <c r="G315" s="67" t="str">
        <f aca="false">IF(OR($C315="",$D315=""),"",IFERROR($D315*INDEX(Mix_Eff,MATCH($C315,Mix_Code,0),2),""))</f>
        <v/>
      </c>
      <c r="H315" s="67" t="str">
        <f aca="false">IF(OR($C315="",$D315=""),"",IFERROR($D315*INDEX(Mix_Eff,MATCH($C315,Mix_Code,0),3),""))</f>
        <v/>
      </c>
      <c r="I315" s="67" t="str">
        <f aca="false">IF(OR($C315="",$D315=""),"",IFERROR($D315*INDEX(Mix_Eff,MATCH($C315,Mix_Code,0),4),""))</f>
        <v/>
      </c>
      <c r="J315" s="67" t="str">
        <f aca="false">IF(OR($C315="",$D315=""),"",IFERROR($D315*INDEX(Mix_Eff,MATCH($C315,Mix_Code,0),5),""))</f>
        <v/>
      </c>
      <c r="K315" s="63"/>
      <c r="L315" s="16" t="str">
        <f aca="false">IF(AND($A315="",$B315="",$C315="",$D315=""),"",IF($A315="","⚠ Date missing",IF($B315="","⚠ Site missing",IF(ISNA(MATCH($C315,Mix_Code,0)),"⚠ Unknown mix code",IF($D315="","⚠ Enter m3 produced",IF(COUNTIF(CI_Site,$B315)=0,"⚠ Site not set up in Current Inventory",IF($A315&gt;AsOfDate,"Future date – not yet deducted","OK")))))))</f>
        <v/>
      </c>
    </row>
    <row r="316" customFormat="false" ht="15" hidden="false" customHeight="false" outlineLevel="0" collapsed="false">
      <c r="A316" s="65"/>
      <c r="B316" s="63"/>
      <c r="C316" s="70"/>
      <c r="D316" s="66"/>
      <c r="E316" s="16" t="str">
        <f aca="false">IF($C316="","",IFERROR(INDEX(Mix_Desc,MATCH($C316,Mix_Code,0)),"⚠ Unknown mix code"))</f>
        <v/>
      </c>
      <c r="F316" s="67" t="str">
        <f aca="false">IF(OR($C316="",$D316=""),"",IFERROR($D316*INDEX(Mix_Eff,MATCH($C316,Mix_Code,0),1),""))</f>
        <v/>
      </c>
      <c r="G316" s="67" t="str">
        <f aca="false">IF(OR($C316="",$D316=""),"",IFERROR($D316*INDEX(Mix_Eff,MATCH($C316,Mix_Code,0),2),""))</f>
        <v/>
      </c>
      <c r="H316" s="67" t="str">
        <f aca="false">IF(OR($C316="",$D316=""),"",IFERROR($D316*INDEX(Mix_Eff,MATCH($C316,Mix_Code,0),3),""))</f>
        <v/>
      </c>
      <c r="I316" s="67" t="str">
        <f aca="false">IF(OR($C316="",$D316=""),"",IFERROR($D316*INDEX(Mix_Eff,MATCH($C316,Mix_Code,0),4),""))</f>
        <v/>
      </c>
      <c r="J316" s="67" t="str">
        <f aca="false">IF(OR($C316="",$D316=""),"",IFERROR($D316*INDEX(Mix_Eff,MATCH($C316,Mix_Code,0),5),""))</f>
        <v/>
      </c>
      <c r="K316" s="63"/>
      <c r="L316" s="16" t="str">
        <f aca="false">IF(AND($A316="",$B316="",$C316="",$D316=""),"",IF($A316="","⚠ Date missing",IF($B316="","⚠ Site missing",IF(ISNA(MATCH($C316,Mix_Code,0)),"⚠ Unknown mix code",IF($D316="","⚠ Enter m3 produced",IF(COUNTIF(CI_Site,$B316)=0,"⚠ Site not set up in Current Inventory",IF($A316&gt;AsOfDate,"Future date – not yet deducted","OK")))))))</f>
        <v/>
      </c>
    </row>
    <row r="317" customFormat="false" ht="15" hidden="false" customHeight="false" outlineLevel="0" collapsed="false">
      <c r="A317" s="65"/>
      <c r="B317" s="63"/>
      <c r="C317" s="70"/>
      <c r="D317" s="66"/>
      <c r="E317" s="16" t="str">
        <f aca="false">IF($C317="","",IFERROR(INDEX(Mix_Desc,MATCH($C317,Mix_Code,0)),"⚠ Unknown mix code"))</f>
        <v/>
      </c>
      <c r="F317" s="67" t="str">
        <f aca="false">IF(OR($C317="",$D317=""),"",IFERROR($D317*INDEX(Mix_Eff,MATCH($C317,Mix_Code,0),1),""))</f>
        <v/>
      </c>
      <c r="G317" s="67" t="str">
        <f aca="false">IF(OR($C317="",$D317=""),"",IFERROR($D317*INDEX(Mix_Eff,MATCH($C317,Mix_Code,0),2),""))</f>
        <v/>
      </c>
      <c r="H317" s="67" t="str">
        <f aca="false">IF(OR($C317="",$D317=""),"",IFERROR($D317*INDEX(Mix_Eff,MATCH($C317,Mix_Code,0),3),""))</f>
        <v/>
      </c>
      <c r="I317" s="67" t="str">
        <f aca="false">IF(OR($C317="",$D317=""),"",IFERROR($D317*INDEX(Mix_Eff,MATCH($C317,Mix_Code,0),4),""))</f>
        <v/>
      </c>
      <c r="J317" s="67" t="str">
        <f aca="false">IF(OR($C317="",$D317=""),"",IFERROR($D317*INDEX(Mix_Eff,MATCH($C317,Mix_Code,0),5),""))</f>
        <v/>
      </c>
      <c r="K317" s="63"/>
      <c r="L317" s="16" t="str">
        <f aca="false">IF(AND($A317="",$B317="",$C317="",$D317=""),"",IF($A317="","⚠ Date missing",IF($B317="","⚠ Site missing",IF(ISNA(MATCH($C317,Mix_Code,0)),"⚠ Unknown mix code",IF($D317="","⚠ Enter m3 produced",IF(COUNTIF(CI_Site,$B317)=0,"⚠ Site not set up in Current Inventory",IF($A317&gt;AsOfDate,"Future date – not yet deducted","OK")))))))</f>
        <v/>
      </c>
    </row>
    <row r="318" customFormat="false" ht="15" hidden="false" customHeight="false" outlineLevel="0" collapsed="false">
      <c r="A318" s="65"/>
      <c r="B318" s="63"/>
      <c r="C318" s="70"/>
      <c r="D318" s="66"/>
      <c r="E318" s="16" t="str">
        <f aca="false">IF($C318="","",IFERROR(INDEX(Mix_Desc,MATCH($C318,Mix_Code,0)),"⚠ Unknown mix code"))</f>
        <v/>
      </c>
      <c r="F318" s="67" t="str">
        <f aca="false">IF(OR($C318="",$D318=""),"",IFERROR($D318*INDEX(Mix_Eff,MATCH($C318,Mix_Code,0),1),""))</f>
        <v/>
      </c>
      <c r="G318" s="67" t="str">
        <f aca="false">IF(OR($C318="",$D318=""),"",IFERROR($D318*INDEX(Mix_Eff,MATCH($C318,Mix_Code,0),2),""))</f>
        <v/>
      </c>
      <c r="H318" s="67" t="str">
        <f aca="false">IF(OR($C318="",$D318=""),"",IFERROR($D318*INDEX(Mix_Eff,MATCH($C318,Mix_Code,0),3),""))</f>
        <v/>
      </c>
      <c r="I318" s="67" t="str">
        <f aca="false">IF(OR($C318="",$D318=""),"",IFERROR($D318*INDEX(Mix_Eff,MATCH($C318,Mix_Code,0),4),""))</f>
        <v/>
      </c>
      <c r="J318" s="67" t="str">
        <f aca="false">IF(OR($C318="",$D318=""),"",IFERROR($D318*INDEX(Mix_Eff,MATCH($C318,Mix_Code,0),5),""))</f>
        <v/>
      </c>
      <c r="K318" s="63"/>
      <c r="L318" s="16" t="str">
        <f aca="false">IF(AND($A318="",$B318="",$C318="",$D318=""),"",IF($A318="","⚠ Date missing",IF($B318="","⚠ Site missing",IF(ISNA(MATCH($C318,Mix_Code,0)),"⚠ Unknown mix code",IF($D318="","⚠ Enter m3 produced",IF(COUNTIF(CI_Site,$B318)=0,"⚠ Site not set up in Current Inventory",IF($A318&gt;AsOfDate,"Future date – not yet deducted","OK")))))))</f>
        <v/>
      </c>
    </row>
    <row r="319" customFormat="false" ht="15" hidden="false" customHeight="false" outlineLevel="0" collapsed="false">
      <c r="A319" s="65"/>
      <c r="B319" s="63"/>
      <c r="C319" s="70"/>
      <c r="D319" s="66"/>
      <c r="E319" s="16" t="str">
        <f aca="false">IF($C319="","",IFERROR(INDEX(Mix_Desc,MATCH($C319,Mix_Code,0)),"⚠ Unknown mix code"))</f>
        <v/>
      </c>
      <c r="F319" s="67" t="str">
        <f aca="false">IF(OR($C319="",$D319=""),"",IFERROR($D319*INDEX(Mix_Eff,MATCH($C319,Mix_Code,0),1),""))</f>
        <v/>
      </c>
      <c r="G319" s="67" t="str">
        <f aca="false">IF(OR($C319="",$D319=""),"",IFERROR($D319*INDEX(Mix_Eff,MATCH($C319,Mix_Code,0),2),""))</f>
        <v/>
      </c>
      <c r="H319" s="67" t="str">
        <f aca="false">IF(OR($C319="",$D319=""),"",IFERROR($D319*INDEX(Mix_Eff,MATCH($C319,Mix_Code,0),3),""))</f>
        <v/>
      </c>
      <c r="I319" s="67" t="str">
        <f aca="false">IF(OR($C319="",$D319=""),"",IFERROR($D319*INDEX(Mix_Eff,MATCH($C319,Mix_Code,0),4),""))</f>
        <v/>
      </c>
      <c r="J319" s="67" t="str">
        <f aca="false">IF(OR($C319="",$D319=""),"",IFERROR($D319*INDEX(Mix_Eff,MATCH($C319,Mix_Code,0),5),""))</f>
        <v/>
      </c>
      <c r="K319" s="63"/>
      <c r="L319" s="16" t="str">
        <f aca="false">IF(AND($A319="",$B319="",$C319="",$D319=""),"",IF($A319="","⚠ Date missing",IF($B319="","⚠ Site missing",IF(ISNA(MATCH($C319,Mix_Code,0)),"⚠ Unknown mix code",IF($D319="","⚠ Enter m3 produced",IF(COUNTIF(CI_Site,$B319)=0,"⚠ Site not set up in Current Inventory",IF($A319&gt;AsOfDate,"Future date – not yet deducted","OK")))))))</f>
        <v/>
      </c>
    </row>
    <row r="320" customFormat="false" ht="15" hidden="false" customHeight="false" outlineLevel="0" collapsed="false">
      <c r="A320" s="65"/>
      <c r="B320" s="63"/>
      <c r="C320" s="70"/>
      <c r="D320" s="66"/>
      <c r="E320" s="16" t="str">
        <f aca="false">IF($C320="","",IFERROR(INDEX(Mix_Desc,MATCH($C320,Mix_Code,0)),"⚠ Unknown mix code"))</f>
        <v/>
      </c>
      <c r="F320" s="67" t="str">
        <f aca="false">IF(OR($C320="",$D320=""),"",IFERROR($D320*INDEX(Mix_Eff,MATCH($C320,Mix_Code,0),1),""))</f>
        <v/>
      </c>
      <c r="G320" s="67" t="str">
        <f aca="false">IF(OR($C320="",$D320=""),"",IFERROR($D320*INDEX(Mix_Eff,MATCH($C320,Mix_Code,0),2),""))</f>
        <v/>
      </c>
      <c r="H320" s="67" t="str">
        <f aca="false">IF(OR($C320="",$D320=""),"",IFERROR($D320*INDEX(Mix_Eff,MATCH($C320,Mix_Code,0),3),""))</f>
        <v/>
      </c>
      <c r="I320" s="67" t="str">
        <f aca="false">IF(OR($C320="",$D320=""),"",IFERROR($D320*INDEX(Mix_Eff,MATCH($C320,Mix_Code,0),4),""))</f>
        <v/>
      </c>
      <c r="J320" s="67" t="str">
        <f aca="false">IF(OR($C320="",$D320=""),"",IFERROR($D320*INDEX(Mix_Eff,MATCH($C320,Mix_Code,0),5),""))</f>
        <v/>
      </c>
      <c r="K320" s="63"/>
      <c r="L320" s="16" t="str">
        <f aca="false">IF(AND($A320="",$B320="",$C320="",$D320=""),"",IF($A320="","⚠ Date missing",IF($B320="","⚠ Site missing",IF(ISNA(MATCH($C320,Mix_Code,0)),"⚠ Unknown mix code",IF($D320="","⚠ Enter m3 produced",IF(COUNTIF(CI_Site,$B320)=0,"⚠ Site not set up in Current Inventory",IF($A320&gt;AsOfDate,"Future date – not yet deducted","OK")))))))</f>
        <v/>
      </c>
    </row>
    <row r="321" customFormat="false" ht="15" hidden="false" customHeight="false" outlineLevel="0" collapsed="false">
      <c r="A321" s="65"/>
      <c r="B321" s="63"/>
      <c r="C321" s="70"/>
      <c r="D321" s="66"/>
      <c r="E321" s="16" t="str">
        <f aca="false">IF($C321="","",IFERROR(INDEX(Mix_Desc,MATCH($C321,Mix_Code,0)),"⚠ Unknown mix code"))</f>
        <v/>
      </c>
      <c r="F321" s="67" t="str">
        <f aca="false">IF(OR($C321="",$D321=""),"",IFERROR($D321*INDEX(Mix_Eff,MATCH($C321,Mix_Code,0),1),""))</f>
        <v/>
      </c>
      <c r="G321" s="67" t="str">
        <f aca="false">IF(OR($C321="",$D321=""),"",IFERROR($D321*INDEX(Mix_Eff,MATCH($C321,Mix_Code,0),2),""))</f>
        <v/>
      </c>
      <c r="H321" s="67" t="str">
        <f aca="false">IF(OR($C321="",$D321=""),"",IFERROR($D321*INDEX(Mix_Eff,MATCH($C321,Mix_Code,0),3),""))</f>
        <v/>
      </c>
      <c r="I321" s="67" t="str">
        <f aca="false">IF(OR($C321="",$D321=""),"",IFERROR($D321*INDEX(Mix_Eff,MATCH($C321,Mix_Code,0),4),""))</f>
        <v/>
      </c>
      <c r="J321" s="67" t="str">
        <f aca="false">IF(OR($C321="",$D321=""),"",IFERROR($D321*INDEX(Mix_Eff,MATCH($C321,Mix_Code,0),5),""))</f>
        <v/>
      </c>
      <c r="K321" s="63"/>
      <c r="L321" s="16" t="str">
        <f aca="false">IF(AND($A321="",$B321="",$C321="",$D321=""),"",IF($A321="","⚠ Date missing",IF($B321="","⚠ Site missing",IF(ISNA(MATCH($C321,Mix_Code,0)),"⚠ Unknown mix code",IF($D321="","⚠ Enter m3 produced",IF(COUNTIF(CI_Site,$B321)=0,"⚠ Site not set up in Current Inventory",IF($A321&gt;AsOfDate,"Future date – not yet deducted","OK")))))))</f>
        <v/>
      </c>
    </row>
    <row r="322" customFormat="false" ht="15" hidden="false" customHeight="false" outlineLevel="0" collapsed="false">
      <c r="A322" s="65"/>
      <c r="B322" s="63"/>
      <c r="C322" s="70"/>
      <c r="D322" s="66"/>
      <c r="E322" s="16" t="str">
        <f aca="false">IF($C322="","",IFERROR(INDEX(Mix_Desc,MATCH($C322,Mix_Code,0)),"⚠ Unknown mix code"))</f>
        <v/>
      </c>
      <c r="F322" s="67" t="str">
        <f aca="false">IF(OR($C322="",$D322=""),"",IFERROR($D322*INDEX(Mix_Eff,MATCH($C322,Mix_Code,0),1),""))</f>
        <v/>
      </c>
      <c r="G322" s="67" t="str">
        <f aca="false">IF(OR($C322="",$D322=""),"",IFERROR($D322*INDEX(Mix_Eff,MATCH($C322,Mix_Code,0),2),""))</f>
        <v/>
      </c>
      <c r="H322" s="67" t="str">
        <f aca="false">IF(OR($C322="",$D322=""),"",IFERROR($D322*INDEX(Mix_Eff,MATCH($C322,Mix_Code,0),3),""))</f>
        <v/>
      </c>
      <c r="I322" s="67" t="str">
        <f aca="false">IF(OR($C322="",$D322=""),"",IFERROR($D322*INDEX(Mix_Eff,MATCH($C322,Mix_Code,0),4),""))</f>
        <v/>
      </c>
      <c r="J322" s="67" t="str">
        <f aca="false">IF(OR($C322="",$D322=""),"",IFERROR($D322*INDEX(Mix_Eff,MATCH($C322,Mix_Code,0),5),""))</f>
        <v/>
      </c>
      <c r="K322" s="63"/>
      <c r="L322" s="16" t="str">
        <f aca="false">IF(AND($A322="",$B322="",$C322="",$D322=""),"",IF($A322="","⚠ Date missing",IF($B322="","⚠ Site missing",IF(ISNA(MATCH($C322,Mix_Code,0)),"⚠ Unknown mix code",IF($D322="","⚠ Enter m3 produced",IF(COUNTIF(CI_Site,$B322)=0,"⚠ Site not set up in Current Inventory",IF($A322&gt;AsOfDate,"Future date – not yet deducted","OK")))))))</f>
        <v/>
      </c>
    </row>
    <row r="323" customFormat="false" ht="15" hidden="false" customHeight="false" outlineLevel="0" collapsed="false">
      <c r="A323" s="65"/>
      <c r="B323" s="63"/>
      <c r="C323" s="70"/>
      <c r="D323" s="66"/>
      <c r="E323" s="16" t="str">
        <f aca="false">IF($C323="","",IFERROR(INDEX(Mix_Desc,MATCH($C323,Mix_Code,0)),"⚠ Unknown mix code"))</f>
        <v/>
      </c>
      <c r="F323" s="67" t="str">
        <f aca="false">IF(OR($C323="",$D323=""),"",IFERROR($D323*INDEX(Mix_Eff,MATCH($C323,Mix_Code,0),1),""))</f>
        <v/>
      </c>
      <c r="G323" s="67" t="str">
        <f aca="false">IF(OR($C323="",$D323=""),"",IFERROR($D323*INDEX(Mix_Eff,MATCH($C323,Mix_Code,0),2),""))</f>
        <v/>
      </c>
      <c r="H323" s="67" t="str">
        <f aca="false">IF(OR($C323="",$D323=""),"",IFERROR($D323*INDEX(Mix_Eff,MATCH($C323,Mix_Code,0),3),""))</f>
        <v/>
      </c>
      <c r="I323" s="67" t="str">
        <f aca="false">IF(OR($C323="",$D323=""),"",IFERROR($D323*INDEX(Mix_Eff,MATCH($C323,Mix_Code,0),4),""))</f>
        <v/>
      </c>
      <c r="J323" s="67" t="str">
        <f aca="false">IF(OR($C323="",$D323=""),"",IFERROR($D323*INDEX(Mix_Eff,MATCH($C323,Mix_Code,0),5),""))</f>
        <v/>
      </c>
      <c r="K323" s="63"/>
      <c r="L323" s="16" t="str">
        <f aca="false">IF(AND($A323="",$B323="",$C323="",$D323=""),"",IF($A323="","⚠ Date missing",IF($B323="","⚠ Site missing",IF(ISNA(MATCH($C323,Mix_Code,0)),"⚠ Unknown mix code",IF($D323="","⚠ Enter m3 produced",IF(COUNTIF(CI_Site,$B323)=0,"⚠ Site not set up in Current Inventory",IF($A323&gt;AsOfDate,"Future date – not yet deducted","OK")))))))</f>
        <v/>
      </c>
    </row>
    <row r="324" customFormat="false" ht="15" hidden="false" customHeight="false" outlineLevel="0" collapsed="false">
      <c r="A324" s="65"/>
      <c r="B324" s="63"/>
      <c r="C324" s="70"/>
      <c r="D324" s="66"/>
      <c r="E324" s="16" t="str">
        <f aca="false">IF($C324="","",IFERROR(INDEX(Mix_Desc,MATCH($C324,Mix_Code,0)),"⚠ Unknown mix code"))</f>
        <v/>
      </c>
      <c r="F324" s="67" t="str">
        <f aca="false">IF(OR($C324="",$D324=""),"",IFERROR($D324*INDEX(Mix_Eff,MATCH($C324,Mix_Code,0),1),""))</f>
        <v/>
      </c>
      <c r="G324" s="67" t="str">
        <f aca="false">IF(OR($C324="",$D324=""),"",IFERROR($D324*INDEX(Mix_Eff,MATCH($C324,Mix_Code,0),2),""))</f>
        <v/>
      </c>
      <c r="H324" s="67" t="str">
        <f aca="false">IF(OR($C324="",$D324=""),"",IFERROR($D324*INDEX(Mix_Eff,MATCH($C324,Mix_Code,0),3),""))</f>
        <v/>
      </c>
      <c r="I324" s="67" t="str">
        <f aca="false">IF(OR($C324="",$D324=""),"",IFERROR($D324*INDEX(Mix_Eff,MATCH($C324,Mix_Code,0),4),""))</f>
        <v/>
      </c>
      <c r="J324" s="67" t="str">
        <f aca="false">IF(OR($C324="",$D324=""),"",IFERROR($D324*INDEX(Mix_Eff,MATCH($C324,Mix_Code,0),5),""))</f>
        <v/>
      </c>
      <c r="K324" s="63"/>
      <c r="L324" s="16" t="str">
        <f aca="false">IF(AND($A324="",$B324="",$C324="",$D324=""),"",IF($A324="","⚠ Date missing",IF($B324="","⚠ Site missing",IF(ISNA(MATCH($C324,Mix_Code,0)),"⚠ Unknown mix code",IF($D324="","⚠ Enter m3 produced",IF(COUNTIF(CI_Site,$B324)=0,"⚠ Site not set up in Current Inventory",IF($A324&gt;AsOfDate,"Future date – not yet deducted","OK")))))))</f>
        <v/>
      </c>
    </row>
    <row r="325" customFormat="false" ht="15" hidden="false" customHeight="false" outlineLevel="0" collapsed="false">
      <c r="A325" s="65"/>
      <c r="B325" s="63"/>
      <c r="C325" s="70"/>
      <c r="D325" s="66"/>
      <c r="E325" s="16" t="str">
        <f aca="false">IF($C325="","",IFERROR(INDEX(Mix_Desc,MATCH($C325,Mix_Code,0)),"⚠ Unknown mix code"))</f>
        <v/>
      </c>
      <c r="F325" s="67" t="str">
        <f aca="false">IF(OR($C325="",$D325=""),"",IFERROR($D325*INDEX(Mix_Eff,MATCH($C325,Mix_Code,0),1),""))</f>
        <v/>
      </c>
      <c r="G325" s="67" t="str">
        <f aca="false">IF(OR($C325="",$D325=""),"",IFERROR($D325*INDEX(Mix_Eff,MATCH($C325,Mix_Code,0),2),""))</f>
        <v/>
      </c>
      <c r="H325" s="67" t="str">
        <f aca="false">IF(OR($C325="",$D325=""),"",IFERROR($D325*INDEX(Mix_Eff,MATCH($C325,Mix_Code,0),3),""))</f>
        <v/>
      </c>
      <c r="I325" s="67" t="str">
        <f aca="false">IF(OR($C325="",$D325=""),"",IFERROR($D325*INDEX(Mix_Eff,MATCH($C325,Mix_Code,0),4),""))</f>
        <v/>
      </c>
      <c r="J325" s="67" t="str">
        <f aca="false">IF(OR($C325="",$D325=""),"",IFERROR($D325*INDEX(Mix_Eff,MATCH($C325,Mix_Code,0),5),""))</f>
        <v/>
      </c>
      <c r="K325" s="63"/>
      <c r="L325" s="16" t="str">
        <f aca="false">IF(AND($A325="",$B325="",$C325="",$D325=""),"",IF($A325="","⚠ Date missing",IF($B325="","⚠ Site missing",IF(ISNA(MATCH($C325,Mix_Code,0)),"⚠ Unknown mix code",IF($D325="","⚠ Enter m3 produced",IF(COUNTIF(CI_Site,$B325)=0,"⚠ Site not set up in Current Inventory",IF($A325&gt;AsOfDate,"Future date – not yet deducted","OK")))))))</f>
        <v/>
      </c>
    </row>
    <row r="326" customFormat="false" ht="15" hidden="false" customHeight="false" outlineLevel="0" collapsed="false">
      <c r="A326" s="65"/>
      <c r="B326" s="63"/>
      <c r="C326" s="70"/>
      <c r="D326" s="66"/>
      <c r="E326" s="16" t="str">
        <f aca="false">IF($C326="","",IFERROR(INDEX(Mix_Desc,MATCH($C326,Mix_Code,0)),"⚠ Unknown mix code"))</f>
        <v/>
      </c>
      <c r="F326" s="67" t="str">
        <f aca="false">IF(OR($C326="",$D326=""),"",IFERROR($D326*INDEX(Mix_Eff,MATCH($C326,Mix_Code,0),1),""))</f>
        <v/>
      </c>
      <c r="G326" s="67" t="str">
        <f aca="false">IF(OR($C326="",$D326=""),"",IFERROR($D326*INDEX(Mix_Eff,MATCH($C326,Mix_Code,0),2),""))</f>
        <v/>
      </c>
      <c r="H326" s="67" t="str">
        <f aca="false">IF(OR($C326="",$D326=""),"",IFERROR($D326*INDEX(Mix_Eff,MATCH($C326,Mix_Code,0),3),""))</f>
        <v/>
      </c>
      <c r="I326" s="67" t="str">
        <f aca="false">IF(OR($C326="",$D326=""),"",IFERROR($D326*INDEX(Mix_Eff,MATCH($C326,Mix_Code,0),4),""))</f>
        <v/>
      </c>
      <c r="J326" s="67" t="str">
        <f aca="false">IF(OR($C326="",$D326=""),"",IFERROR($D326*INDEX(Mix_Eff,MATCH($C326,Mix_Code,0),5),""))</f>
        <v/>
      </c>
      <c r="K326" s="63"/>
      <c r="L326" s="16" t="str">
        <f aca="false">IF(AND($A326="",$B326="",$C326="",$D326=""),"",IF($A326="","⚠ Date missing",IF($B326="","⚠ Site missing",IF(ISNA(MATCH($C326,Mix_Code,0)),"⚠ Unknown mix code",IF($D326="","⚠ Enter m3 produced",IF(COUNTIF(CI_Site,$B326)=0,"⚠ Site not set up in Current Inventory",IF($A326&gt;AsOfDate,"Future date – not yet deducted","OK")))))))</f>
        <v/>
      </c>
    </row>
    <row r="327" customFormat="false" ht="15" hidden="false" customHeight="false" outlineLevel="0" collapsed="false">
      <c r="A327" s="65"/>
      <c r="B327" s="63"/>
      <c r="C327" s="70"/>
      <c r="D327" s="66"/>
      <c r="E327" s="16" t="str">
        <f aca="false">IF($C327="","",IFERROR(INDEX(Mix_Desc,MATCH($C327,Mix_Code,0)),"⚠ Unknown mix code"))</f>
        <v/>
      </c>
      <c r="F327" s="67" t="str">
        <f aca="false">IF(OR($C327="",$D327=""),"",IFERROR($D327*INDEX(Mix_Eff,MATCH($C327,Mix_Code,0),1),""))</f>
        <v/>
      </c>
      <c r="G327" s="67" t="str">
        <f aca="false">IF(OR($C327="",$D327=""),"",IFERROR($D327*INDEX(Mix_Eff,MATCH($C327,Mix_Code,0),2),""))</f>
        <v/>
      </c>
      <c r="H327" s="67" t="str">
        <f aca="false">IF(OR($C327="",$D327=""),"",IFERROR($D327*INDEX(Mix_Eff,MATCH($C327,Mix_Code,0),3),""))</f>
        <v/>
      </c>
      <c r="I327" s="67" t="str">
        <f aca="false">IF(OR($C327="",$D327=""),"",IFERROR($D327*INDEX(Mix_Eff,MATCH($C327,Mix_Code,0),4),""))</f>
        <v/>
      </c>
      <c r="J327" s="67" t="str">
        <f aca="false">IF(OR($C327="",$D327=""),"",IFERROR($D327*INDEX(Mix_Eff,MATCH($C327,Mix_Code,0),5),""))</f>
        <v/>
      </c>
      <c r="K327" s="63"/>
      <c r="L327" s="16" t="str">
        <f aca="false">IF(AND($A327="",$B327="",$C327="",$D327=""),"",IF($A327="","⚠ Date missing",IF($B327="","⚠ Site missing",IF(ISNA(MATCH($C327,Mix_Code,0)),"⚠ Unknown mix code",IF($D327="","⚠ Enter m3 produced",IF(COUNTIF(CI_Site,$B327)=0,"⚠ Site not set up in Current Inventory",IF($A327&gt;AsOfDate,"Future date – not yet deducted","OK")))))))</f>
        <v/>
      </c>
    </row>
    <row r="328" customFormat="false" ht="15" hidden="false" customHeight="false" outlineLevel="0" collapsed="false">
      <c r="A328" s="65"/>
      <c r="B328" s="63"/>
      <c r="C328" s="70"/>
      <c r="D328" s="66"/>
      <c r="E328" s="16" t="str">
        <f aca="false">IF($C328="","",IFERROR(INDEX(Mix_Desc,MATCH($C328,Mix_Code,0)),"⚠ Unknown mix code"))</f>
        <v/>
      </c>
      <c r="F328" s="67" t="str">
        <f aca="false">IF(OR($C328="",$D328=""),"",IFERROR($D328*INDEX(Mix_Eff,MATCH($C328,Mix_Code,0),1),""))</f>
        <v/>
      </c>
      <c r="G328" s="67" t="str">
        <f aca="false">IF(OR($C328="",$D328=""),"",IFERROR($D328*INDEX(Mix_Eff,MATCH($C328,Mix_Code,0),2),""))</f>
        <v/>
      </c>
      <c r="H328" s="67" t="str">
        <f aca="false">IF(OR($C328="",$D328=""),"",IFERROR($D328*INDEX(Mix_Eff,MATCH($C328,Mix_Code,0),3),""))</f>
        <v/>
      </c>
      <c r="I328" s="67" t="str">
        <f aca="false">IF(OR($C328="",$D328=""),"",IFERROR($D328*INDEX(Mix_Eff,MATCH($C328,Mix_Code,0),4),""))</f>
        <v/>
      </c>
      <c r="J328" s="67" t="str">
        <f aca="false">IF(OR($C328="",$D328=""),"",IFERROR($D328*INDEX(Mix_Eff,MATCH($C328,Mix_Code,0),5),""))</f>
        <v/>
      </c>
      <c r="K328" s="63"/>
      <c r="L328" s="16" t="str">
        <f aca="false">IF(AND($A328="",$B328="",$C328="",$D328=""),"",IF($A328="","⚠ Date missing",IF($B328="","⚠ Site missing",IF(ISNA(MATCH($C328,Mix_Code,0)),"⚠ Unknown mix code",IF($D328="","⚠ Enter m3 produced",IF(COUNTIF(CI_Site,$B328)=0,"⚠ Site not set up in Current Inventory",IF($A328&gt;AsOfDate,"Future date – not yet deducted","OK")))))))</f>
        <v/>
      </c>
    </row>
    <row r="329" customFormat="false" ht="15" hidden="false" customHeight="false" outlineLevel="0" collapsed="false">
      <c r="A329" s="65"/>
      <c r="B329" s="63"/>
      <c r="C329" s="70"/>
      <c r="D329" s="66"/>
      <c r="E329" s="16" t="str">
        <f aca="false">IF($C329="","",IFERROR(INDEX(Mix_Desc,MATCH($C329,Mix_Code,0)),"⚠ Unknown mix code"))</f>
        <v/>
      </c>
      <c r="F329" s="67" t="str">
        <f aca="false">IF(OR($C329="",$D329=""),"",IFERROR($D329*INDEX(Mix_Eff,MATCH($C329,Mix_Code,0),1),""))</f>
        <v/>
      </c>
      <c r="G329" s="67" t="str">
        <f aca="false">IF(OR($C329="",$D329=""),"",IFERROR($D329*INDEX(Mix_Eff,MATCH($C329,Mix_Code,0),2),""))</f>
        <v/>
      </c>
      <c r="H329" s="67" t="str">
        <f aca="false">IF(OR($C329="",$D329=""),"",IFERROR($D329*INDEX(Mix_Eff,MATCH($C329,Mix_Code,0),3),""))</f>
        <v/>
      </c>
      <c r="I329" s="67" t="str">
        <f aca="false">IF(OR($C329="",$D329=""),"",IFERROR($D329*INDEX(Mix_Eff,MATCH($C329,Mix_Code,0),4),""))</f>
        <v/>
      </c>
      <c r="J329" s="67" t="str">
        <f aca="false">IF(OR($C329="",$D329=""),"",IFERROR($D329*INDEX(Mix_Eff,MATCH($C329,Mix_Code,0),5),""))</f>
        <v/>
      </c>
      <c r="K329" s="63"/>
      <c r="L329" s="16" t="str">
        <f aca="false">IF(AND($A329="",$B329="",$C329="",$D329=""),"",IF($A329="","⚠ Date missing",IF($B329="","⚠ Site missing",IF(ISNA(MATCH($C329,Mix_Code,0)),"⚠ Unknown mix code",IF($D329="","⚠ Enter m3 produced",IF(COUNTIF(CI_Site,$B329)=0,"⚠ Site not set up in Current Inventory",IF($A329&gt;AsOfDate,"Future date – not yet deducted","OK")))))))</f>
        <v/>
      </c>
    </row>
    <row r="330" customFormat="false" ht="15" hidden="false" customHeight="false" outlineLevel="0" collapsed="false">
      <c r="A330" s="65"/>
      <c r="B330" s="63"/>
      <c r="C330" s="70"/>
      <c r="D330" s="66"/>
      <c r="E330" s="16" t="str">
        <f aca="false">IF($C330="","",IFERROR(INDEX(Mix_Desc,MATCH($C330,Mix_Code,0)),"⚠ Unknown mix code"))</f>
        <v/>
      </c>
      <c r="F330" s="67" t="str">
        <f aca="false">IF(OR($C330="",$D330=""),"",IFERROR($D330*INDEX(Mix_Eff,MATCH($C330,Mix_Code,0),1),""))</f>
        <v/>
      </c>
      <c r="G330" s="67" t="str">
        <f aca="false">IF(OR($C330="",$D330=""),"",IFERROR($D330*INDEX(Mix_Eff,MATCH($C330,Mix_Code,0),2),""))</f>
        <v/>
      </c>
      <c r="H330" s="67" t="str">
        <f aca="false">IF(OR($C330="",$D330=""),"",IFERROR($D330*INDEX(Mix_Eff,MATCH($C330,Mix_Code,0),3),""))</f>
        <v/>
      </c>
      <c r="I330" s="67" t="str">
        <f aca="false">IF(OR($C330="",$D330=""),"",IFERROR($D330*INDEX(Mix_Eff,MATCH($C330,Mix_Code,0),4),""))</f>
        <v/>
      </c>
      <c r="J330" s="67" t="str">
        <f aca="false">IF(OR($C330="",$D330=""),"",IFERROR($D330*INDEX(Mix_Eff,MATCH($C330,Mix_Code,0),5),""))</f>
        <v/>
      </c>
      <c r="K330" s="63"/>
      <c r="L330" s="16" t="str">
        <f aca="false">IF(AND($A330="",$B330="",$C330="",$D330=""),"",IF($A330="","⚠ Date missing",IF($B330="","⚠ Site missing",IF(ISNA(MATCH($C330,Mix_Code,0)),"⚠ Unknown mix code",IF($D330="","⚠ Enter m3 produced",IF(COUNTIF(CI_Site,$B330)=0,"⚠ Site not set up in Current Inventory",IF($A330&gt;AsOfDate,"Future date – not yet deducted","OK")))))))</f>
        <v/>
      </c>
    </row>
    <row r="331" customFormat="false" ht="15" hidden="false" customHeight="false" outlineLevel="0" collapsed="false">
      <c r="A331" s="65"/>
      <c r="B331" s="63"/>
      <c r="C331" s="70"/>
      <c r="D331" s="66"/>
      <c r="E331" s="16" t="str">
        <f aca="false">IF($C331="","",IFERROR(INDEX(Mix_Desc,MATCH($C331,Mix_Code,0)),"⚠ Unknown mix code"))</f>
        <v/>
      </c>
      <c r="F331" s="67" t="str">
        <f aca="false">IF(OR($C331="",$D331=""),"",IFERROR($D331*INDEX(Mix_Eff,MATCH($C331,Mix_Code,0),1),""))</f>
        <v/>
      </c>
      <c r="G331" s="67" t="str">
        <f aca="false">IF(OR($C331="",$D331=""),"",IFERROR($D331*INDEX(Mix_Eff,MATCH($C331,Mix_Code,0),2),""))</f>
        <v/>
      </c>
      <c r="H331" s="67" t="str">
        <f aca="false">IF(OR($C331="",$D331=""),"",IFERROR($D331*INDEX(Mix_Eff,MATCH($C331,Mix_Code,0),3),""))</f>
        <v/>
      </c>
      <c r="I331" s="67" t="str">
        <f aca="false">IF(OR($C331="",$D331=""),"",IFERROR($D331*INDEX(Mix_Eff,MATCH($C331,Mix_Code,0),4),""))</f>
        <v/>
      </c>
      <c r="J331" s="67" t="str">
        <f aca="false">IF(OR($C331="",$D331=""),"",IFERROR($D331*INDEX(Mix_Eff,MATCH($C331,Mix_Code,0),5),""))</f>
        <v/>
      </c>
      <c r="K331" s="63"/>
      <c r="L331" s="16" t="str">
        <f aca="false">IF(AND($A331="",$B331="",$C331="",$D331=""),"",IF($A331="","⚠ Date missing",IF($B331="","⚠ Site missing",IF(ISNA(MATCH($C331,Mix_Code,0)),"⚠ Unknown mix code",IF($D331="","⚠ Enter m3 produced",IF(COUNTIF(CI_Site,$B331)=0,"⚠ Site not set up in Current Inventory",IF($A331&gt;AsOfDate,"Future date – not yet deducted","OK")))))))</f>
        <v/>
      </c>
    </row>
    <row r="332" customFormat="false" ht="15" hidden="false" customHeight="false" outlineLevel="0" collapsed="false">
      <c r="A332" s="65"/>
      <c r="B332" s="63"/>
      <c r="C332" s="70"/>
      <c r="D332" s="66"/>
      <c r="E332" s="16" t="str">
        <f aca="false">IF($C332="","",IFERROR(INDEX(Mix_Desc,MATCH($C332,Mix_Code,0)),"⚠ Unknown mix code"))</f>
        <v/>
      </c>
      <c r="F332" s="67" t="str">
        <f aca="false">IF(OR($C332="",$D332=""),"",IFERROR($D332*INDEX(Mix_Eff,MATCH($C332,Mix_Code,0),1),""))</f>
        <v/>
      </c>
      <c r="G332" s="67" t="str">
        <f aca="false">IF(OR($C332="",$D332=""),"",IFERROR($D332*INDEX(Mix_Eff,MATCH($C332,Mix_Code,0),2),""))</f>
        <v/>
      </c>
      <c r="H332" s="67" t="str">
        <f aca="false">IF(OR($C332="",$D332=""),"",IFERROR($D332*INDEX(Mix_Eff,MATCH($C332,Mix_Code,0),3),""))</f>
        <v/>
      </c>
      <c r="I332" s="67" t="str">
        <f aca="false">IF(OR($C332="",$D332=""),"",IFERROR($D332*INDEX(Mix_Eff,MATCH($C332,Mix_Code,0),4),""))</f>
        <v/>
      </c>
      <c r="J332" s="67" t="str">
        <f aca="false">IF(OR($C332="",$D332=""),"",IFERROR($D332*INDEX(Mix_Eff,MATCH($C332,Mix_Code,0),5),""))</f>
        <v/>
      </c>
      <c r="K332" s="63"/>
      <c r="L332" s="16" t="str">
        <f aca="false">IF(AND($A332="",$B332="",$C332="",$D332=""),"",IF($A332="","⚠ Date missing",IF($B332="","⚠ Site missing",IF(ISNA(MATCH($C332,Mix_Code,0)),"⚠ Unknown mix code",IF($D332="","⚠ Enter m3 produced",IF(COUNTIF(CI_Site,$B332)=0,"⚠ Site not set up in Current Inventory",IF($A332&gt;AsOfDate,"Future date – not yet deducted","OK")))))))</f>
        <v/>
      </c>
    </row>
    <row r="333" customFormat="false" ht="15" hidden="false" customHeight="false" outlineLevel="0" collapsed="false">
      <c r="A333" s="65"/>
      <c r="B333" s="63"/>
      <c r="C333" s="70"/>
      <c r="D333" s="66"/>
      <c r="E333" s="16" t="str">
        <f aca="false">IF($C333="","",IFERROR(INDEX(Mix_Desc,MATCH($C333,Mix_Code,0)),"⚠ Unknown mix code"))</f>
        <v/>
      </c>
      <c r="F333" s="67" t="str">
        <f aca="false">IF(OR($C333="",$D333=""),"",IFERROR($D333*INDEX(Mix_Eff,MATCH($C333,Mix_Code,0),1),""))</f>
        <v/>
      </c>
      <c r="G333" s="67" t="str">
        <f aca="false">IF(OR($C333="",$D333=""),"",IFERROR($D333*INDEX(Mix_Eff,MATCH($C333,Mix_Code,0),2),""))</f>
        <v/>
      </c>
      <c r="H333" s="67" t="str">
        <f aca="false">IF(OR($C333="",$D333=""),"",IFERROR($D333*INDEX(Mix_Eff,MATCH($C333,Mix_Code,0),3),""))</f>
        <v/>
      </c>
      <c r="I333" s="67" t="str">
        <f aca="false">IF(OR($C333="",$D333=""),"",IFERROR($D333*INDEX(Mix_Eff,MATCH($C333,Mix_Code,0),4),""))</f>
        <v/>
      </c>
      <c r="J333" s="67" t="str">
        <f aca="false">IF(OR($C333="",$D333=""),"",IFERROR($D333*INDEX(Mix_Eff,MATCH($C333,Mix_Code,0),5),""))</f>
        <v/>
      </c>
      <c r="K333" s="63"/>
      <c r="L333" s="16" t="str">
        <f aca="false">IF(AND($A333="",$B333="",$C333="",$D333=""),"",IF($A333="","⚠ Date missing",IF($B333="","⚠ Site missing",IF(ISNA(MATCH($C333,Mix_Code,0)),"⚠ Unknown mix code",IF($D333="","⚠ Enter m3 produced",IF(COUNTIF(CI_Site,$B333)=0,"⚠ Site not set up in Current Inventory",IF($A333&gt;AsOfDate,"Future date – not yet deducted","OK")))))))</f>
        <v/>
      </c>
    </row>
    <row r="334" customFormat="false" ht="15" hidden="false" customHeight="false" outlineLevel="0" collapsed="false">
      <c r="A334" s="65"/>
      <c r="B334" s="63"/>
      <c r="C334" s="70"/>
      <c r="D334" s="66"/>
      <c r="E334" s="16" t="str">
        <f aca="false">IF($C334="","",IFERROR(INDEX(Mix_Desc,MATCH($C334,Mix_Code,0)),"⚠ Unknown mix code"))</f>
        <v/>
      </c>
      <c r="F334" s="67" t="str">
        <f aca="false">IF(OR($C334="",$D334=""),"",IFERROR($D334*INDEX(Mix_Eff,MATCH($C334,Mix_Code,0),1),""))</f>
        <v/>
      </c>
      <c r="G334" s="67" t="str">
        <f aca="false">IF(OR($C334="",$D334=""),"",IFERROR($D334*INDEX(Mix_Eff,MATCH($C334,Mix_Code,0),2),""))</f>
        <v/>
      </c>
      <c r="H334" s="67" t="str">
        <f aca="false">IF(OR($C334="",$D334=""),"",IFERROR($D334*INDEX(Mix_Eff,MATCH($C334,Mix_Code,0),3),""))</f>
        <v/>
      </c>
      <c r="I334" s="67" t="str">
        <f aca="false">IF(OR($C334="",$D334=""),"",IFERROR($D334*INDEX(Mix_Eff,MATCH($C334,Mix_Code,0),4),""))</f>
        <v/>
      </c>
      <c r="J334" s="67" t="str">
        <f aca="false">IF(OR($C334="",$D334=""),"",IFERROR($D334*INDEX(Mix_Eff,MATCH($C334,Mix_Code,0),5),""))</f>
        <v/>
      </c>
      <c r="K334" s="63"/>
      <c r="L334" s="16" t="str">
        <f aca="false">IF(AND($A334="",$B334="",$C334="",$D334=""),"",IF($A334="","⚠ Date missing",IF($B334="","⚠ Site missing",IF(ISNA(MATCH($C334,Mix_Code,0)),"⚠ Unknown mix code",IF($D334="","⚠ Enter m3 produced",IF(COUNTIF(CI_Site,$B334)=0,"⚠ Site not set up in Current Inventory",IF($A334&gt;AsOfDate,"Future date – not yet deducted","OK")))))))</f>
        <v/>
      </c>
    </row>
    <row r="335" customFormat="false" ht="15" hidden="false" customHeight="false" outlineLevel="0" collapsed="false">
      <c r="A335" s="65"/>
      <c r="B335" s="63"/>
      <c r="C335" s="70"/>
      <c r="D335" s="66"/>
      <c r="E335" s="16" t="str">
        <f aca="false">IF($C335="","",IFERROR(INDEX(Mix_Desc,MATCH($C335,Mix_Code,0)),"⚠ Unknown mix code"))</f>
        <v/>
      </c>
      <c r="F335" s="67" t="str">
        <f aca="false">IF(OR($C335="",$D335=""),"",IFERROR($D335*INDEX(Mix_Eff,MATCH($C335,Mix_Code,0),1),""))</f>
        <v/>
      </c>
      <c r="G335" s="67" t="str">
        <f aca="false">IF(OR($C335="",$D335=""),"",IFERROR($D335*INDEX(Mix_Eff,MATCH($C335,Mix_Code,0),2),""))</f>
        <v/>
      </c>
      <c r="H335" s="67" t="str">
        <f aca="false">IF(OR($C335="",$D335=""),"",IFERROR($D335*INDEX(Mix_Eff,MATCH($C335,Mix_Code,0),3),""))</f>
        <v/>
      </c>
      <c r="I335" s="67" t="str">
        <f aca="false">IF(OR($C335="",$D335=""),"",IFERROR($D335*INDEX(Mix_Eff,MATCH($C335,Mix_Code,0),4),""))</f>
        <v/>
      </c>
      <c r="J335" s="67" t="str">
        <f aca="false">IF(OR($C335="",$D335=""),"",IFERROR($D335*INDEX(Mix_Eff,MATCH($C335,Mix_Code,0),5),""))</f>
        <v/>
      </c>
      <c r="K335" s="63"/>
      <c r="L335" s="16" t="str">
        <f aca="false">IF(AND($A335="",$B335="",$C335="",$D335=""),"",IF($A335="","⚠ Date missing",IF($B335="","⚠ Site missing",IF(ISNA(MATCH($C335,Mix_Code,0)),"⚠ Unknown mix code",IF($D335="","⚠ Enter m3 produced",IF(COUNTIF(CI_Site,$B335)=0,"⚠ Site not set up in Current Inventory",IF($A335&gt;AsOfDate,"Future date – not yet deducted","OK")))))))</f>
        <v/>
      </c>
    </row>
    <row r="336" customFormat="false" ht="15" hidden="false" customHeight="false" outlineLevel="0" collapsed="false">
      <c r="A336" s="65"/>
      <c r="B336" s="63"/>
      <c r="C336" s="70"/>
      <c r="D336" s="66"/>
      <c r="E336" s="16" t="str">
        <f aca="false">IF($C336="","",IFERROR(INDEX(Mix_Desc,MATCH($C336,Mix_Code,0)),"⚠ Unknown mix code"))</f>
        <v/>
      </c>
      <c r="F336" s="67" t="str">
        <f aca="false">IF(OR($C336="",$D336=""),"",IFERROR($D336*INDEX(Mix_Eff,MATCH($C336,Mix_Code,0),1),""))</f>
        <v/>
      </c>
      <c r="G336" s="67" t="str">
        <f aca="false">IF(OR($C336="",$D336=""),"",IFERROR($D336*INDEX(Mix_Eff,MATCH($C336,Mix_Code,0),2),""))</f>
        <v/>
      </c>
      <c r="H336" s="67" t="str">
        <f aca="false">IF(OR($C336="",$D336=""),"",IFERROR($D336*INDEX(Mix_Eff,MATCH($C336,Mix_Code,0),3),""))</f>
        <v/>
      </c>
      <c r="I336" s="67" t="str">
        <f aca="false">IF(OR($C336="",$D336=""),"",IFERROR($D336*INDEX(Mix_Eff,MATCH($C336,Mix_Code,0),4),""))</f>
        <v/>
      </c>
      <c r="J336" s="67" t="str">
        <f aca="false">IF(OR($C336="",$D336=""),"",IFERROR($D336*INDEX(Mix_Eff,MATCH($C336,Mix_Code,0),5),""))</f>
        <v/>
      </c>
      <c r="K336" s="63"/>
      <c r="L336" s="16" t="str">
        <f aca="false">IF(AND($A336="",$B336="",$C336="",$D336=""),"",IF($A336="","⚠ Date missing",IF($B336="","⚠ Site missing",IF(ISNA(MATCH($C336,Mix_Code,0)),"⚠ Unknown mix code",IF($D336="","⚠ Enter m3 produced",IF(COUNTIF(CI_Site,$B336)=0,"⚠ Site not set up in Current Inventory",IF($A336&gt;AsOfDate,"Future date – not yet deducted","OK")))))))</f>
        <v/>
      </c>
    </row>
    <row r="337" customFormat="false" ht="15" hidden="false" customHeight="false" outlineLevel="0" collapsed="false">
      <c r="A337" s="65"/>
      <c r="B337" s="63"/>
      <c r="C337" s="70"/>
      <c r="D337" s="66"/>
      <c r="E337" s="16" t="str">
        <f aca="false">IF($C337="","",IFERROR(INDEX(Mix_Desc,MATCH($C337,Mix_Code,0)),"⚠ Unknown mix code"))</f>
        <v/>
      </c>
      <c r="F337" s="67" t="str">
        <f aca="false">IF(OR($C337="",$D337=""),"",IFERROR($D337*INDEX(Mix_Eff,MATCH($C337,Mix_Code,0),1),""))</f>
        <v/>
      </c>
      <c r="G337" s="67" t="str">
        <f aca="false">IF(OR($C337="",$D337=""),"",IFERROR($D337*INDEX(Mix_Eff,MATCH($C337,Mix_Code,0),2),""))</f>
        <v/>
      </c>
      <c r="H337" s="67" t="str">
        <f aca="false">IF(OR($C337="",$D337=""),"",IFERROR($D337*INDEX(Mix_Eff,MATCH($C337,Mix_Code,0),3),""))</f>
        <v/>
      </c>
      <c r="I337" s="67" t="str">
        <f aca="false">IF(OR($C337="",$D337=""),"",IFERROR($D337*INDEX(Mix_Eff,MATCH($C337,Mix_Code,0),4),""))</f>
        <v/>
      </c>
      <c r="J337" s="67" t="str">
        <f aca="false">IF(OR($C337="",$D337=""),"",IFERROR($D337*INDEX(Mix_Eff,MATCH($C337,Mix_Code,0),5),""))</f>
        <v/>
      </c>
      <c r="K337" s="63"/>
      <c r="L337" s="16" t="str">
        <f aca="false">IF(AND($A337="",$B337="",$C337="",$D337=""),"",IF($A337="","⚠ Date missing",IF($B337="","⚠ Site missing",IF(ISNA(MATCH($C337,Mix_Code,0)),"⚠ Unknown mix code",IF($D337="","⚠ Enter m3 produced",IF(COUNTIF(CI_Site,$B337)=0,"⚠ Site not set up in Current Inventory",IF($A337&gt;AsOfDate,"Future date – not yet deducted","OK")))))))</f>
        <v/>
      </c>
    </row>
    <row r="338" customFormat="false" ht="15" hidden="false" customHeight="false" outlineLevel="0" collapsed="false">
      <c r="A338" s="65"/>
      <c r="B338" s="63"/>
      <c r="C338" s="70"/>
      <c r="D338" s="66"/>
      <c r="E338" s="16" t="str">
        <f aca="false">IF($C338="","",IFERROR(INDEX(Mix_Desc,MATCH($C338,Mix_Code,0)),"⚠ Unknown mix code"))</f>
        <v/>
      </c>
      <c r="F338" s="67" t="str">
        <f aca="false">IF(OR($C338="",$D338=""),"",IFERROR($D338*INDEX(Mix_Eff,MATCH($C338,Mix_Code,0),1),""))</f>
        <v/>
      </c>
      <c r="G338" s="67" t="str">
        <f aca="false">IF(OR($C338="",$D338=""),"",IFERROR($D338*INDEX(Mix_Eff,MATCH($C338,Mix_Code,0),2),""))</f>
        <v/>
      </c>
      <c r="H338" s="67" t="str">
        <f aca="false">IF(OR($C338="",$D338=""),"",IFERROR($D338*INDEX(Mix_Eff,MATCH($C338,Mix_Code,0),3),""))</f>
        <v/>
      </c>
      <c r="I338" s="67" t="str">
        <f aca="false">IF(OR($C338="",$D338=""),"",IFERROR($D338*INDEX(Mix_Eff,MATCH($C338,Mix_Code,0),4),""))</f>
        <v/>
      </c>
      <c r="J338" s="67" t="str">
        <f aca="false">IF(OR($C338="",$D338=""),"",IFERROR($D338*INDEX(Mix_Eff,MATCH($C338,Mix_Code,0),5),""))</f>
        <v/>
      </c>
      <c r="K338" s="63"/>
      <c r="L338" s="16" t="str">
        <f aca="false">IF(AND($A338="",$B338="",$C338="",$D338=""),"",IF($A338="","⚠ Date missing",IF($B338="","⚠ Site missing",IF(ISNA(MATCH($C338,Mix_Code,0)),"⚠ Unknown mix code",IF($D338="","⚠ Enter m3 produced",IF(COUNTIF(CI_Site,$B338)=0,"⚠ Site not set up in Current Inventory",IF($A338&gt;AsOfDate,"Future date – not yet deducted","OK")))))))</f>
        <v/>
      </c>
    </row>
    <row r="339" customFormat="false" ht="15" hidden="false" customHeight="false" outlineLevel="0" collapsed="false">
      <c r="A339" s="65"/>
      <c r="B339" s="63"/>
      <c r="C339" s="70"/>
      <c r="D339" s="66"/>
      <c r="E339" s="16" t="str">
        <f aca="false">IF($C339="","",IFERROR(INDEX(Mix_Desc,MATCH($C339,Mix_Code,0)),"⚠ Unknown mix code"))</f>
        <v/>
      </c>
      <c r="F339" s="67" t="str">
        <f aca="false">IF(OR($C339="",$D339=""),"",IFERROR($D339*INDEX(Mix_Eff,MATCH($C339,Mix_Code,0),1),""))</f>
        <v/>
      </c>
      <c r="G339" s="67" t="str">
        <f aca="false">IF(OR($C339="",$D339=""),"",IFERROR($D339*INDEX(Mix_Eff,MATCH($C339,Mix_Code,0),2),""))</f>
        <v/>
      </c>
      <c r="H339" s="67" t="str">
        <f aca="false">IF(OR($C339="",$D339=""),"",IFERROR($D339*INDEX(Mix_Eff,MATCH($C339,Mix_Code,0),3),""))</f>
        <v/>
      </c>
      <c r="I339" s="67" t="str">
        <f aca="false">IF(OR($C339="",$D339=""),"",IFERROR($D339*INDEX(Mix_Eff,MATCH($C339,Mix_Code,0),4),""))</f>
        <v/>
      </c>
      <c r="J339" s="67" t="str">
        <f aca="false">IF(OR($C339="",$D339=""),"",IFERROR($D339*INDEX(Mix_Eff,MATCH($C339,Mix_Code,0),5),""))</f>
        <v/>
      </c>
      <c r="K339" s="63"/>
      <c r="L339" s="16" t="str">
        <f aca="false">IF(AND($A339="",$B339="",$C339="",$D339=""),"",IF($A339="","⚠ Date missing",IF($B339="","⚠ Site missing",IF(ISNA(MATCH($C339,Mix_Code,0)),"⚠ Unknown mix code",IF($D339="","⚠ Enter m3 produced",IF(COUNTIF(CI_Site,$B339)=0,"⚠ Site not set up in Current Inventory",IF($A339&gt;AsOfDate,"Future date – not yet deducted","OK")))))))</f>
        <v/>
      </c>
    </row>
    <row r="340" customFormat="false" ht="15" hidden="false" customHeight="false" outlineLevel="0" collapsed="false">
      <c r="A340" s="65"/>
      <c r="B340" s="63"/>
      <c r="C340" s="70"/>
      <c r="D340" s="66"/>
      <c r="E340" s="16" t="str">
        <f aca="false">IF($C340="","",IFERROR(INDEX(Mix_Desc,MATCH($C340,Mix_Code,0)),"⚠ Unknown mix code"))</f>
        <v/>
      </c>
      <c r="F340" s="67" t="str">
        <f aca="false">IF(OR($C340="",$D340=""),"",IFERROR($D340*INDEX(Mix_Eff,MATCH($C340,Mix_Code,0),1),""))</f>
        <v/>
      </c>
      <c r="G340" s="67" t="str">
        <f aca="false">IF(OR($C340="",$D340=""),"",IFERROR($D340*INDEX(Mix_Eff,MATCH($C340,Mix_Code,0),2),""))</f>
        <v/>
      </c>
      <c r="H340" s="67" t="str">
        <f aca="false">IF(OR($C340="",$D340=""),"",IFERROR($D340*INDEX(Mix_Eff,MATCH($C340,Mix_Code,0),3),""))</f>
        <v/>
      </c>
      <c r="I340" s="67" t="str">
        <f aca="false">IF(OR($C340="",$D340=""),"",IFERROR($D340*INDEX(Mix_Eff,MATCH($C340,Mix_Code,0),4),""))</f>
        <v/>
      </c>
      <c r="J340" s="67" t="str">
        <f aca="false">IF(OR($C340="",$D340=""),"",IFERROR($D340*INDEX(Mix_Eff,MATCH($C340,Mix_Code,0),5),""))</f>
        <v/>
      </c>
      <c r="K340" s="63"/>
      <c r="L340" s="16" t="str">
        <f aca="false">IF(AND($A340="",$B340="",$C340="",$D340=""),"",IF($A340="","⚠ Date missing",IF($B340="","⚠ Site missing",IF(ISNA(MATCH($C340,Mix_Code,0)),"⚠ Unknown mix code",IF($D340="","⚠ Enter m3 produced",IF(COUNTIF(CI_Site,$B340)=0,"⚠ Site not set up in Current Inventory",IF($A340&gt;AsOfDate,"Future date – not yet deducted","OK")))))))</f>
        <v/>
      </c>
    </row>
    <row r="341" customFormat="false" ht="15" hidden="false" customHeight="false" outlineLevel="0" collapsed="false">
      <c r="A341" s="65"/>
      <c r="B341" s="63"/>
      <c r="C341" s="70"/>
      <c r="D341" s="66"/>
      <c r="E341" s="16" t="str">
        <f aca="false">IF($C341="","",IFERROR(INDEX(Mix_Desc,MATCH($C341,Mix_Code,0)),"⚠ Unknown mix code"))</f>
        <v/>
      </c>
      <c r="F341" s="67" t="str">
        <f aca="false">IF(OR($C341="",$D341=""),"",IFERROR($D341*INDEX(Mix_Eff,MATCH($C341,Mix_Code,0),1),""))</f>
        <v/>
      </c>
      <c r="G341" s="67" t="str">
        <f aca="false">IF(OR($C341="",$D341=""),"",IFERROR($D341*INDEX(Mix_Eff,MATCH($C341,Mix_Code,0),2),""))</f>
        <v/>
      </c>
      <c r="H341" s="67" t="str">
        <f aca="false">IF(OR($C341="",$D341=""),"",IFERROR($D341*INDEX(Mix_Eff,MATCH($C341,Mix_Code,0),3),""))</f>
        <v/>
      </c>
      <c r="I341" s="67" t="str">
        <f aca="false">IF(OR($C341="",$D341=""),"",IFERROR($D341*INDEX(Mix_Eff,MATCH($C341,Mix_Code,0),4),""))</f>
        <v/>
      </c>
      <c r="J341" s="67" t="str">
        <f aca="false">IF(OR($C341="",$D341=""),"",IFERROR($D341*INDEX(Mix_Eff,MATCH($C341,Mix_Code,0),5),""))</f>
        <v/>
      </c>
      <c r="K341" s="63"/>
      <c r="L341" s="16" t="str">
        <f aca="false">IF(AND($A341="",$B341="",$C341="",$D341=""),"",IF($A341="","⚠ Date missing",IF($B341="","⚠ Site missing",IF(ISNA(MATCH($C341,Mix_Code,0)),"⚠ Unknown mix code",IF($D341="","⚠ Enter m3 produced",IF(COUNTIF(CI_Site,$B341)=0,"⚠ Site not set up in Current Inventory",IF($A341&gt;AsOfDate,"Future date – not yet deducted","OK")))))))</f>
        <v/>
      </c>
    </row>
    <row r="342" customFormat="false" ht="15" hidden="false" customHeight="false" outlineLevel="0" collapsed="false">
      <c r="A342" s="65"/>
      <c r="B342" s="63"/>
      <c r="C342" s="70"/>
      <c r="D342" s="66"/>
      <c r="E342" s="16" t="str">
        <f aca="false">IF($C342="","",IFERROR(INDEX(Mix_Desc,MATCH($C342,Mix_Code,0)),"⚠ Unknown mix code"))</f>
        <v/>
      </c>
      <c r="F342" s="67" t="str">
        <f aca="false">IF(OR($C342="",$D342=""),"",IFERROR($D342*INDEX(Mix_Eff,MATCH($C342,Mix_Code,0),1),""))</f>
        <v/>
      </c>
      <c r="G342" s="67" t="str">
        <f aca="false">IF(OR($C342="",$D342=""),"",IFERROR($D342*INDEX(Mix_Eff,MATCH($C342,Mix_Code,0),2),""))</f>
        <v/>
      </c>
      <c r="H342" s="67" t="str">
        <f aca="false">IF(OR($C342="",$D342=""),"",IFERROR($D342*INDEX(Mix_Eff,MATCH($C342,Mix_Code,0),3),""))</f>
        <v/>
      </c>
      <c r="I342" s="67" t="str">
        <f aca="false">IF(OR($C342="",$D342=""),"",IFERROR($D342*INDEX(Mix_Eff,MATCH($C342,Mix_Code,0),4),""))</f>
        <v/>
      </c>
      <c r="J342" s="67" t="str">
        <f aca="false">IF(OR($C342="",$D342=""),"",IFERROR($D342*INDEX(Mix_Eff,MATCH($C342,Mix_Code,0),5),""))</f>
        <v/>
      </c>
      <c r="K342" s="63"/>
      <c r="L342" s="16" t="str">
        <f aca="false">IF(AND($A342="",$B342="",$C342="",$D342=""),"",IF($A342="","⚠ Date missing",IF($B342="","⚠ Site missing",IF(ISNA(MATCH($C342,Mix_Code,0)),"⚠ Unknown mix code",IF($D342="","⚠ Enter m3 produced",IF(COUNTIF(CI_Site,$B342)=0,"⚠ Site not set up in Current Inventory",IF($A342&gt;AsOfDate,"Future date – not yet deducted","OK")))))))</f>
        <v/>
      </c>
    </row>
    <row r="343" customFormat="false" ht="15" hidden="false" customHeight="false" outlineLevel="0" collapsed="false">
      <c r="A343" s="65"/>
      <c r="B343" s="63"/>
      <c r="C343" s="70"/>
      <c r="D343" s="66"/>
      <c r="E343" s="16" t="str">
        <f aca="false">IF($C343="","",IFERROR(INDEX(Mix_Desc,MATCH($C343,Mix_Code,0)),"⚠ Unknown mix code"))</f>
        <v/>
      </c>
      <c r="F343" s="67" t="str">
        <f aca="false">IF(OR($C343="",$D343=""),"",IFERROR($D343*INDEX(Mix_Eff,MATCH($C343,Mix_Code,0),1),""))</f>
        <v/>
      </c>
      <c r="G343" s="67" t="str">
        <f aca="false">IF(OR($C343="",$D343=""),"",IFERROR($D343*INDEX(Mix_Eff,MATCH($C343,Mix_Code,0),2),""))</f>
        <v/>
      </c>
      <c r="H343" s="67" t="str">
        <f aca="false">IF(OR($C343="",$D343=""),"",IFERROR($D343*INDEX(Mix_Eff,MATCH($C343,Mix_Code,0),3),""))</f>
        <v/>
      </c>
      <c r="I343" s="67" t="str">
        <f aca="false">IF(OR($C343="",$D343=""),"",IFERROR($D343*INDEX(Mix_Eff,MATCH($C343,Mix_Code,0),4),""))</f>
        <v/>
      </c>
      <c r="J343" s="67" t="str">
        <f aca="false">IF(OR($C343="",$D343=""),"",IFERROR($D343*INDEX(Mix_Eff,MATCH($C343,Mix_Code,0),5),""))</f>
        <v/>
      </c>
      <c r="K343" s="63"/>
      <c r="L343" s="16" t="str">
        <f aca="false">IF(AND($A343="",$B343="",$C343="",$D343=""),"",IF($A343="","⚠ Date missing",IF($B343="","⚠ Site missing",IF(ISNA(MATCH($C343,Mix_Code,0)),"⚠ Unknown mix code",IF($D343="","⚠ Enter m3 produced",IF(COUNTIF(CI_Site,$B343)=0,"⚠ Site not set up in Current Inventory",IF($A343&gt;AsOfDate,"Future date – not yet deducted","OK")))))))</f>
        <v/>
      </c>
    </row>
    <row r="344" customFormat="false" ht="15" hidden="false" customHeight="false" outlineLevel="0" collapsed="false">
      <c r="A344" s="65"/>
      <c r="B344" s="63"/>
      <c r="C344" s="70"/>
      <c r="D344" s="66"/>
      <c r="E344" s="16" t="str">
        <f aca="false">IF($C344="","",IFERROR(INDEX(Mix_Desc,MATCH($C344,Mix_Code,0)),"⚠ Unknown mix code"))</f>
        <v/>
      </c>
      <c r="F344" s="67" t="str">
        <f aca="false">IF(OR($C344="",$D344=""),"",IFERROR($D344*INDEX(Mix_Eff,MATCH($C344,Mix_Code,0),1),""))</f>
        <v/>
      </c>
      <c r="G344" s="67" t="str">
        <f aca="false">IF(OR($C344="",$D344=""),"",IFERROR($D344*INDEX(Mix_Eff,MATCH($C344,Mix_Code,0),2),""))</f>
        <v/>
      </c>
      <c r="H344" s="67" t="str">
        <f aca="false">IF(OR($C344="",$D344=""),"",IFERROR($D344*INDEX(Mix_Eff,MATCH($C344,Mix_Code,0),3),""))</f>
        <v/>
      </c>
      <c r="I344" s="67" t="str">
        <f aca="false">IF(OR($C344="",$D344=""),"",IFERROR($D344*INDEX(Mix_Eff,MATCH($C344,Mix_Code,0),4),""))</f>
        <v/>
      </c>
      <c r="J344" s="67" t="str">
        <f aca="false">IF(OR($C344="",$D344=""),"",IFERROR($D344*INDEX(Mix_Eff,MATCH($C344,Mix_Code,0),5),""))</f>
        <v/>
      </c>
      <c r="K344" s="63"/>
      <c r="L344" s="16" t="str">
        <f aca="false">IF(AND($A344="",$B344="",$C344="",$D344=""),"",IF($A344="","⚠ Date missing",IF($B344="","⚠ Site missing",IF(ISNA(MATCH($C344,Mix_Code,0)),"⚠ Unknown mix code",IF($D344="","⚠ Enter m3 produced",IF(COUNTIF(CI_Site,$B344)=0,"⚠ Site not set up in Current Inventory",IF($A344&gt;AsOfDate,"Future date – not yet deducted","OK")))))))</f>
        <v/>
      </c>
    </row>
    <row r="345" customFormat="false" ht="15" hidden="false" customHeight="false" outlineLevel="0" collapsed="false">
      <c r="A345" s="65"/>
      <c r="B345" s="63"/>
      <c r="C345" s="70"/>
      <c r="D345" s="66"/>
      <c r="E345" s="16" t="str">
        <f aca="false">IF($C345="","",IFERROR(INDEX(Mix_Desc,MATCH($C345,Mix_Code,0)),"⚠ Unknown mix code"))</f>
        <v/>
      </c>
      <c r="F345" s="67" t="str">
        <f aca="false">IF(OR($C345="",$D345=""),"",IFERROR($D345*INDEX(Mix_Eff,MATCH($C345,Mix_Code,0),1),""))</f>
        <v/>
      </c>
      <c r="G345" s="67" t="str">
        <f aca="false">IF(OR($C345="",$D345=""),"",IFERROR($D345*INDEX(Mix_Eff,MATCH($C345,Mix_Code,0),2),""))</f>
        <v/>
      </c>
      <c r="H345" s="67" t="str">
        <f aca="false">IF(OR($C345="",$D345=""),"",IFERROR($D345*INDEX(Mix_Eff,MATCH($C345,Mix_Code,0),3),""))</f>
        <v/>
      </c>
      <c r="I345" s="67" t="str">
        <f aca="false">IF(OR($C345="",$D345=""),"",IFERROR($D345*INDEX(Mix_Eff,MATCH($C345,Mix_Code,0),4),""))</f>
        <v/>
      </c>
      <c r="J345" s="67" t="str">
        <f aca="false">IF(OR($C345="",$D345=""),"",IFERROR($D345*INDEX(Mix_Eff,MATCH($C345,Mix_Code,0),5),""))</f>
        <v/>
      </c>
      <c r="K345" s="63"/>
      <c r="L345" s="16" t="str">
        <f aca="false">IF(AND($A345="",$B345="",$C345="",$D345=""),"",IF($A345="","⚠ Date missing",IF($B345="","⚠ Site missing",IF(ISNA(MATCH($C345,Mix_Code,0)),"⚠ Unknown mix code",IF($D345="","⚠ Enter m3 produced",IF(COUNTIF(CI_Site,$B345)=0,"⚠ Site not set up in Current Inventory",IF($A345&gt;AsOfDate,"Future date – not yet deducted","OK")))))))</f>
        <v/>
      </c>
    </row>
    <row r="346" customFormat="false" ht="15" hidden="false" customHeight="false" outlineLevel="0" collapsed="false">
      <c r="A346" s="65"/>
      <c r="B346" s="63"/>
      <c r="C346" s="70"/>
      <c r="D346" s="66"/>
      <c r="E346" s="16" t="str">
        <f aca="false">IF($C346="","",IFERROR(INDEX(Mix_Desc,MATCH($C346,Mix_Code,0)),"⚠ Unknown mix code"))</f>
        <v/>
      </c>
      <c r="F346" s="67" t="str">
        <f aca="false">IF(OR($C346="",$D346=""),"",IFERROR($D346*INDEX(Mix_Eff,MATCH($C346,Mix_Code,0),1),""))</f>
        <v/>
      </c>
      <c r="G346" s="67" t="str">
        <f aca="false">IF(OR($C346="",$D346=""),"",IFERROR($D346*INDEX(Mix_Eff,MATCH($C346,Mix_Code,0),2),""))</f>
        <v/>
      </c>
      <c r="H346" s="67" t="str">
        <f aca="false">IF(OR($C346="",$D346=""),"",IFERROR($D346*INDEX(Mix_Eff,MATCH($C346,Mix_Code,0),3),""))</f>
        <v/>
      </c>
      <c r="I346" s="67" t="str">
        <f aca="false">IF(OR($C346="",$D346=""),"",IFERROR($D346*INDEX(Mix_Eff,MATCH($C346,Mix_Code,0),4),""))</f>
        <v/>
      </c>
      <c r="J346" s="67" t="str">
        <f aca="false">IF(OR($C346="",$D346=""),"",IFERROR($D346*INDEX(Mix_Eff,MATCH($C346,Mix_Code,0),5),""))</f>
        <v/>
      </c>
      <c r="K346" s="63"/>
      <c r="L346" s="16" t="str">
        <f aca="false">IF(AND($A346="",$B346="",$C346="",$D346=""),"",IF($A346="","⚠ Date missing",IF($B346="","⚠ Site missing",IF(ISNA(MATCH($C346,Mix_Code,0)),"⚠ Unknown mix code",IF($D346="","⚠ Enter m3 produced",IF(COUNTIF(CI_Site,$B346)=0,"⚠ Site not set up in Current Inventory",IF($A346&gt;AsOfDate,"Future date – not yet deducted","OK")))))))</f>
        <v/>
      </c>
    </row>
    <row r="347" customFormat="false" ht="15" hidden="false" customHeight="false" outlineLevel="0" collapsed="false">
      <c r="A347" s="65"/>
      <c r="B347" s="63"/>
      <c r="C347" s="70"/>
      <c r="D347" s="66"/>
      <c r="E347" s="16" t="str">
        <f aca="false">IF($C347="","",IFERROR(INDEX(Mix_Desc,MATCH($C347,Mix_Code,0)),"⚠ Unknown mix code"))</f>
        <v/>
      </c>
      <c r="F347" s="67" t="str">
        <f aca="false">IF(OR($C347="",$D347=""),"",IFERROR($D347*INDEX(Mix_Eff,MATCH($C347,Mix_Code,0),1),""))</f>
        <v/>
      </c>
      <c r="G347" s="67" t="str">
        <f aca="false">IF(OR($C347="",$D347=""),"",IFERROR($D347*INDEX(Mix_Eff,MATCH($C347,Mix_Code,0),2),""))</f>
        <v/>
      </c>
      <c r="H347" s="67" t="str">
        <f aca="false">IF(OR($C347="",$D347=""),"",IFERROR($D347*INDEX(Mix_Eff,MATCH($C347,Mix_Code,0),3),""))</f>
        <v/>
      </c>
      <c r="I347" s="67" t="str">
        <f aca="false">IF(OR($C347="",$D347=""),"",IFERROR($D347*INDEX(Mix_Eff,MATCH($C347,Mix_Code,0),4),""))</f>
        <v/>
      </c>
      <c r="J347" s="67" t="str">
        <f aca="false">IF(OR($C347="",$D347=""),"",IFERROR($D347*INDEX(Mix_Eff,MATCH($C347,Mix_Code,0),5),""))</f>
        <v/>
      </c>
      <c r="K347" s="63"/>
      <c r="L347" s="16" t="str">
        <f aca="false">IF(AND($A347="",$B347="",$C347="",$D347=""),"",IF($A347="","⚠ Date missing",IF($B347="","⚠ Site missing",IF(ISNA(MATCH($C347,Mix_Code,0)),"⚠ Unknown mix code",IF($D347="","⚠ Enter m3 produced",IF(COUNTIF(CI_Site,$B347)=0,"⚠ Site not set up in Current Inventory",IF($A347&gt;AsOfDate,"Future date – not yet deducted","OK")))))))</f>
        <v/>
      </c>
    </row>
    <row r="348" customFormat="false" ht="15" hidden="false" customHeight="false" outlineLevel="0" collapsed="false">
      <c r="A348" s="65"/>
      <c r="B348" s="63"/>
      <c r="C348" s="70"/>
      <c r="D348" s="66"/>
      <c r="E348" s="16" t="str">
        <f aca="false">IF($C348="","",IFERROR(INDEX(Mix_Desc,MATCH($C348,Mix_Code,0)),"⚠ Unknown mix code"))</f>
        <v/>
      </c>
      <c r="F348" s="67" t="str">
        <f aca="false">IF(OR($C348="",$D348=""),"",IFERROR($D348*INDEX(Mix_Eff,MATCH($C348,Mix_Code,0),1),""))</f>
        <v/>
      </c>
      <c r="G348" s="67" t="str">
        <f aca="false">IF(OR($C348="",$D348=""),"",IFERROR($D348*INDEX(Mix_Eff,MATCH($C348,Mix_Code,0),2),""))</f>
        <v/>
      </c>
      <c r="H348" s="67" t="str">
        <f aca="false">IF(OR($C348="",$D348=""),"",IFERROR($D348*INDEX(Mix_Eff,MATCH($C348,Mix_Code,0),3),""))</f>
        <v/>
      </c>
      <c r="I348" s="67" t="str">
        <f aca="false">IF(OR($C348="",$D348=""),"",IFERROR($D348*INDEX(Mix_Eff,MATCH($C348,Mix_Code,0),4),""))</f>
        <v/>
      </c>
      <c r="J348" s="67" t="str">
        <f aca="false">IF(OR($C348="",$D348=""),"",IFERROR($D348*INDEX(Mix_Eff,MATCH($C348,Mix_Code,0),5),""))</f>
        <v/>
      </c>
      <c r="K348" s="63"/>
      <c r="L348" s="16" t="str">
        <f aca="false">IF(AND($A348="",$B348="",$C348="",$D348=""),"",IF($A348="","⚠ Date missing",IF($B348="","⚠ Site missing",IF(ISNA(MATCH($C348,Mix_Code,0)),"⚠ Unknown mix code",IF($D348="","⚠ Enter m3 produced",IF(COUNTIF(CI_Site,$B348)=0,"⚠ Site not set up in Current Inventory",IF($A348&gt;AsOfDate,"Future date – not yet deducted","OK")))))))</f>
        <v/>
      </c>
    </row>
    <row r="349" customFormat="false" ht="15" hidden="false" customHeight="false" outlineLevel="0" collapsed="false">
      <c r="A349" s="65"/>
      <c r="B349" s="63"/>
      <c r="C349" s="70"/>
      <c r="D349" s="66"/>
      <c r="E349" s="16" t="str">
        <f aca="false">IF($C349="","",IFERROR(INDEX(Mix_Desc,MATCH($C349,Mix_Code,0)),"⚠ Unknown mix code"))</f>
        <v/>
      </c>
      <c r="F349" s="67" t="str">
        <f aca="false">IF(OR($C349="",$D349=""),"",IFERROR($D349*INDEX(Mix_Eff,MATCH($C349,Mix_Code,0),1),""))</f>
        <v/>
      </c>
      <c r="G349" s="67" t="str">
        <f aca="false">IF(OR($C349="",$D349=""),"",IFERROR($D349*INDEX(Mix_Eff,MATCH($C349,Mix_Code,0),2),""))</f>
        <v/>
      </c>
      <c r="H349" s="67" t="str">
        <f aca="false">IF(OR($C349="",$D349=""),"",IFERROR($D349*INDEX(Mix_Eff,MATCH($C349,Mix_Code,0),3),""))</f>
        <v/>
      </c>
      <c r="I349" s="67" t="str">
        <f aca="false">IF(OR($C349="",$D349=""),"",IFERROR($D349*INDEX(Mix_Eff,MATCH($C349,Mix_Code,0),4),""))</f>
        <v/>
      </c>
      <c r="J349" s="67" t="str">
        <f aca="false">IF(OR($C349="",$D349=""),"",IFERROR($D349*INDEX(Mix_Eff,MATCH($C349,Mix_Code,0),5),""))</f>
        <v/>
      </c>
      <c r="K349" s="63"/>
      <c r="L349" s="16" t="str">
        <f aca="false">IF(AND($A349="",$B349="",$C349="",$D349=""),"",IF($A349="","⚠ Date missing",IF($B349="","⚠ Site missing",IF(ISNA(MATCH($C349,Mix_Code,0)),"⚠ Unknown mix code",IF($D349="","⚠ Enter m3 produced",IF(COUNTIF(CI_Site,$B349)=0,"⚠ Site not set up in Current Inventory",IF($A349&gt;AsOfDate,"Future date – not yet deducted","OK")))))))</f>
        <v/>
      </c>
    </row>
    <row r="350" customFormat="false" ht="15" hidden="false" customHeight="false" outlineLevel="0" collapsed="false">
      <c r="A350" s="65"/>
      <c r="B350" s="63"/>
      <c r="C350" s="70"/>
      <c r="D350" s="66"/>
      <c r="E350" s="16" t="str">
        <f aca="false">IF($C350="","",IFERROR(INDEX(Mix_Desc,MATCH($C350,Mix_Code,0)),"⚠ Unknown mix code"))</f>
        <v/>
      </c>
      <c r="F350" s="67" t="str">
        <f aca="false">IF(OR($C350="",$D350=""),"",IFERROR($D350*INDEX(Mix_Eff,MATCH($C350,Mix_Code,0),1),""))</f>
        <v/>
      </c>
      <c r="G350" s="67" t="str">
        <f aca="false">IF(OR($C350="",$D350=""),"",IFERROR($D350*INDEX(Mix_Eff,MATCH($C350,Mix_Code,0),2),""))</f>
        <v/>
      </c>
      <c r="H350" s="67" t="str">
        <f aca="false">IF(OR($C350="",$D350=""),"",IFERROR($D350*INDEX(Mix_Eff,MATCH($C350,Mix_Code,0),3),""))</f>
        <v/>
      </c>
      <c r="I350" s="67" t="str">
        <f aca="false">IF(OR($C350="",$D350=""),"",IFERROR($D350*INDEX(Mix_Eff,MATCH($C350,Mix_Code,0),4),""))</f>
        <v/>
      </c>
      <c r="J350" s="67" t="str">
        <f aca="false">IF(OR($C350="",$D350=""),"",IFERROR($D350*INDEX(Mix_Eff,MATCH($C350,Mix_Code,0),5),""))</f>
        <v/>
      </c>
      <c r="K350" s="63"/>
      <c r="L350" s="16" t="str">
        <f aca="false">IF(AND($A350="",$B350="",$C350="",$D350=""),"",IF($A350="","⚠ Date missing",IF($B350="","⚠ Site missing",IF(ISNA(MATCH($C350,Mix_Code,0)),"⚠ Unknown mix code",IF($D350="","⚠ Enter m3 produced",IF(COUNTIF(CI_Site,$B350)=0,"⚠ Site not set up in Current Inventory",IF($A350&gt;AsOfDate,"Future date – not yet deducted","OK")))))))</f>
        <v/>
      </c>
    </row>
    <row r="351" customFormat="false" ht="15" hidden="false" customHeight="false" outlineLevel="0" collapsed="false">
      <c r="A351" s="65"/>
      <c r="B351" s="63"/>
      <c r="C351" s="70"/>
      <c r="D351" s="66"/>
      <c r="E351" s="16" t="str">
        <f aca="false">IF($C351="","",IFERROR(INDEX(Mix_Desc,MATCH($C351,Mix_Code,0)),"⚠ Unknown mix code"))</f>
        <v/>
      </c>
      <c r="F351" s="67" t="str">
        <f aca="false">IF(OR($C351="",$D351=""),"",IFERROR($D351*INDEX(Mix_Eff,MATCH($C351,Mix_Code,0),1),""))</f>
        <v/>
      </c>
      <c r="G351" s="67" t="str">
        <f aca="false">IF(OR($C351="",$D351=""),"",IFERROR($D351*INDEX(Mix_Eff,MATCH($C351,Mix_Code,0),2),""))</f>
        <v/>
      </c>
      <c r="H351" s="67" t="str">
        <f aca="false">IF(OR($C351="",$D351=""),"",IFERROR($D351*INDEX(Mix_Eff,MATCH($C351,Mix_Code,0),3),""))</f>
        <v/>
      </c>
      <c r="I351" s="67" t="str">
        <f aca="false">IF(OR($C351="",$D351=""),"",IFERROR($D351*INDEX(Mix_Eff,MATCH($C351,Mix_Code,0),4),""))</f>
        <v/>
      </c>
      <c r="J351" s="67" t="str">
        <f aca="false">IF(OR($C351="",$D351=""),"",IFERROR($D351*INDEX(Mix_Eff,MATCH($C351,Mix_Code,0),5),""))</f>
        <v/>
      </c>
      <c r="K351" s="63"/>
      <c r="L351" s="16" t="str">
        <f aca="false">IF(AND($A351="",$B351="",$C351="",$D351=""),"",IF($A351="","⚠ Date missing",IF($B351="","⚠ Site missing",IF(ISNA(MATCH($C351,Mix_Code,0)),"⚠ Unknown mix code",IF($D351="","⚠ Enter m3 produced",IF(COUNTIF(CI_Site,$B351)=0,"⚠ Site not set up in Current Inventory",IF($A351&gt;AsOfDate,"Future date – not yet deducted","OK")))))))</f>
        <v/>
      </c>
    </row>
    <row r="352" customFormat="false" ht="15" hidden="false" customHeight="false" outlineLevel="0" collapsed="false">
      <c r="A352" s="65"/>
      <c r="B352" s="63"/>
      <c r="C352" s="70"/>
      <c r="D352" s="66"/>
      <c r="E352" s="16" t="str">
        <f aca="false">IF($C352="","",IFERROR(INDEX(Mix_Desc,MATCH($C352,Mix_Code,0)),"⚠ Unknown mix code"))</f>
        <v/>
      </c>
      <c r="F352" s="67" t="str">
        <f aca="false">IF(OR($C352="",$D352=""),"",IFERROR($D352*INDEX(Mix_Eff,MATCH($C352,Mix_Code,0),1),""))</f>
        <v/>
      </c>
      <c r="G352" s="67" t="str">
        <f aca="false">IF(OR($C352="",$D352=""),"",IFERROR($D352*INDEX(Mix_Eff,MATCH($C352,Mix_Code,0),2),""))</f>
        <v/>
      </c>
      <c r="H352" s="67" t="str">
        <f aca="false">IF(OR($C352="",$D352=""),"",IFERROR($D352*INDEX(Mix_Eff,MATCH($C352,Mix_Code,0),3),""))</f>
        <v/>
      </c>
      <c r="I352" s="67" t="str">
        <f aca="false">IF(OR($C352="",$D352=""),"",IFERROR($D352*INDEX(Mix_Eff,MATCH($C352,Mix_Code,0),4),""))</f>
        <v/>
      </c>
      <c r="J352" s="67" t="str">
        <f aca="false">IF(OR($C352="",$D352=""),"",IFERROR($D352*INDEX(Mix_Eff,MATCH($C352,Mix_Code,0),5),""))</f>
        <v/>
      </c>
      <c r="K352" s="63"/>
      <c r="L352" s="16" t="str">
        <f aca="false">IF(AND($A352="",$B352="",$C352="",$D352=""),"",IF($A352="","⚠ Date missing",IF($B352="","⚠ Site missing",IF(ISNA(MATCH($C352,Mix_Code,0)),"⚠ Unknown mix code",IF($D352="","⚠ Enter m3 produced",IF(COUNTIF(CI_Site,$B352)=0,"⚠ Site not set up in Current Inventory",IF($A352&gt;AsOfDate,"Future date – not yet deducted","OK")))))))</f>
        <v/>
      </c>
    </row>
    <row r="353" customFormat="false" ht="15" hidden="false" customHeight="false" outlineLevel="0" collapsed="false">
      <c r="A353" s="65"/>
      <c r="B353" s="63"/>
      <c r="C353" s="70"/>
      <c r="D353" s="66"/>
      <c r="E353" s="16" t="str">
        <f aca="false">IF($C353="","",IFERROR(INDEX(Mix_Desc,MATCH($C353,Mix_Code,0)),"⚠ Unknown mix code"))</f>
        <v/>
      </c>
      <c r="F353" s="67" t="str">
        <f aca="false">IF(OR($C353="",$D353=""),"",IFERROR($D353*INDEX(Mix_Eff,MATCH($C353,Mix_Code,0),1),""))</f>
        <v/>
      </c>
      <c r="G353" s="67" t="str">
        <f aca="false">IF(OR($C353="",$D353=""),"",IFERROR($D353*INDEX(Mix_Eff,MATCH($C353,Mix_Code,0),2),""))</f>
        <v/>
      </c>
      <c r="H353" s="67" t="str">
        <f aca="false">IF(OR($C353="",$D353=""),"",IFERROR($D353*INDEX(Mix_Eff,MATCH($C353,Mix_Code,0),3),""))</f>
        <v/>
      </c>
      <c r="I353" s="67" t="str">
        <f aca="false">IF(OR($C353="",$D353=""),"",IFERROR($D353*INDEX(Mix_Eff,MATCH($C353,Mix_Code,0),4),""))</f>
        <v/>
      </c>
      <c r="J353" s="67" t="str">
        <f aca="false">IF(OR($C353="",$D353=""),"",IFERROR($D353*INDEX(Mix_Eff,MATCH($C353,Mix_Code,0),5),""))</f>
        <v/>
      </c>
      <c r="K353" s="63"/>
      <c r="L353" s="16" t="str">
        <f aca="false">IF(AND($A353="",$B353="",$C353="",$D353=""),"",IF($A353="","⚠ Date missing",IF($B353="","⚠ Site missing",IF(ISNA(MATCH($C353,Mix_Code,0)),"⚠ Unknown mix code",IF($D353="","⚠ Enter m3 produced",IF(COUNTIF(CI_Site,$B353)=0,"⚠ Site not set up in Current Inventory",IF($A353&gt;AsOfDate,"Future date – not yet deducted","OK")))))))</f>
        <v/>
      </c>
    </row>
    <row r="354" customFormat="false" ht="15" hidden="false" customHeight="false" outlineLevel="0" collapsed="false">
      <c r="A354" s="65"/>
      <c r="B354" s="63"/>
      <c r="C354" s="70"/>
      <c r="D354" s="66"/>
      <c r="E354" s="16" t="str">
        <f aca="false">IF($C354="","",IFERROR(INDEX(Mix_Desc,MATCH($C354,Mix_Code,0)),"⚠ Unknown mix code"))</f>
        <v/>
      </c>
      <c r="F354" s="67" t="str">
        <f aca="false">IF(OR($C354="",$D354=""),"",IFERROR($D354*INDEX(Mix_Eff,MATCH($C354,Mix_Code,0),1),""))</f>
        <v/>
      </c>
      <c r="G354" s="67" t="str">
        <f aca="false">IF(OR($C354="",$D354=""),"",IFERROR($D354*INDEX(Mix_Eff,MATCH($C354,Mix_Code,0),2),""))</f>
        <v/>
      </c>
      <c r="H354" s="67" t="str">
        <f aca="false">IF(OR($C354="",$D354=""),"",IFERROR($D354*INDEX(Mix_Eff,MATCH($C354,Mix_Code,0),3),""))</f>
        <v/>
      </c>
      <c r="I354" s="67" t="str">
        <f aca="false">IF(OR($C354="",$D354=""),"",IFERROR($D354*INDEX(Mix_Eff,MATCH($C354,Mix_Code,0),4),""))</f>
        <v/>
      </c>
      <c r="J354" s="67" t="str">
        <f aca="false">IF(OR($C354="",$D354=""),"",IFERROR($D354*INDEX(Mix_Eff,MATCH($C354,Mix_Code,0),5),""))</f>
        <v/>
      </c>
      <c r="K354" s="63"/>
      <c r="L354" s="16" t="str">
        <f aca="false">IF(AND($A354="",$B354="",$C354="",$D354=""),"",IF($A354="","⚠ Date missing",IF($B354="","⚠ Site missing",IF(ISNA(MATCH($C354,Mix_Code,0)),"⚠ Unknown mix code",IF($D354="","⚠ Enter m3 produced",IF(COUNTIF(CI_Site,$B354)=0,"⚠ Site not set up in Current Inventory",IF($A354&gt;AsOfDate,"Future date – not yet deducted","OK")))))))</f>
        <v/>
      </c>
    </row>
    <row r="355" customFormat="false" ht="15" hidden="false" customHeight="false" outlineLevel="0" collapsed="false">
      <c r="A355" s="65"/>
      <c r="B355" s="63"/>
      <c r="C355" s="70"/>
      <c r="D355" s="66"/>
      <c r="E355" s="16" t="str">
        <f aca="false">IF($C355="","",IFERROR(INDEX(Mix_Desc,MATCH($C355,Mix_Code,0)),"⚠ Unknown mix code"))</f>
        <v/>
      </c>
      <c r="F355" s="67" t="str">
        <f aca="false">IF(OR($C355="",$D355=""),"",IFERROR($D355*INDEX(Mix_Eff,MATCH($C355,Mix_Code,0),1),""))</f>
        <v/>
      </c>
      <c r="G355" s="67" t="str">
        <f aca="false">IF(OR($C355="",$D355=""),"",IFERROR($D355*INDEX(Mix_Eff,MATCH($C355,Mix_Code,0),2),""))</f>
        <v/>
      </c>
      <c r="H355" s="67" t="str">
        <f aca="false">IF(OR($C355="",$D355=""),"",IFERROR($D355*INDEX(Mix_Eff,MATCH($C355,Mix_Code,0),3),""))</f>
        <v/>
      </c>
      <c r="I355" s="67" t="str">
        <f aca="false">IF(OR($C355="",$D355=""),"",IFERROR($D355*INDEX(Mix_Eff,MATCH($C355,Mix_Code,0),4),""))</f>
        <v/>
      </c>
      <c r="J355" s="67" t="str">
        <f aca="false">IF(OR($C355="",$D355=""),"",IFERROR($D355*INDEX(Mix_Eff,MATCH($C355,Mix_Code,0),5),""))</f>
        <v/>
      </c>
      <c r="K355" s="63"/>
      <c r="L355" s="16" t="str">
        <f aca="false">IF(AND($A355="",$B355="",$C355="",$D355=""),"",IF($A355="","⚠ Date missing",IF($B355="","⚠ Site missing",IF(ISNA(MATCH($C355,Mix_Code,0)),"⚠ Unknown mix code",IF($D355="","⚠ Enter m3 produced",IF(COUNTIF(CI_Site,$B355)=0,"⚠ Site not set up in Current Inventory",IF($A355&gt;AsOfDate,"Future date – not yet deducted","OK")))))))</f>
        <v/>
      </c>
    </row>
    <row r="356" customFormat="false" ht="15" hidden="false" customHeight="false" outlineLevel="0" collapsed="false">
      <c r="A356" s="65"/>
      <c r="B356" s="63"/>
      <c r="C356" s="70"/>
      <c r="D356" s="66"/>
      <c r="E356" s="16" t="str">
        <f aca="false">IF($C356="","",IFERROR(INDEX(Mix_Desc,MATCH($C356,Mix_Code,0)),"⚠ Unknown mix code"))</f>
        <v/>
      </c>
      <c r="F356" s="67" t="str">
        <f aca="false">IF(OR($C356="",$D356=""),"",IFERROR($D356*INDEX(Mix_Eff,MATCH($C356,Mix_Code,0),1),""))</f>
        <v/>
      </c>
      <c r="G356" s="67" t="str">
        <f aca="false">IF(OR($C356="",$D356=""),"",IFERROR($D356*INDEX(Mix_Eff,MATCH($C356,Mix_Code,0),2),""))</f>
        <v/>
      </c>
      <c r="H356" s="67" t="str">
        <f aca="false">IF(OR($C356="",$D356=""),"",IFERROR($D356*INDEX(Mix_Eff,MATCH($C356,Mix_Code,0),3),""))</f>
        <v/>
      </c>
      <c r="I356" s="67" t="str">
        <f aca="false">IF(OR($C356="",$D356=""),"",IFERROR($D356*INDEX(Mix_Eff,MATCH($C356,Mix_Code,0),4),""))</f>
        <v/>
      </c>
      <c r="J356" s="67" t="str">
        <f aca="false">IF(OR($C356="",$D356=""),"",IFERROR($D356*INDEX(Mix_Eff,MATCH($C356,Mix_Code,0),5),""))</f>
        <v/>
      </c>
      <c r="K356" s="63"/>
      <c r="L356" s="16" t="str">
        <f aca="false">IF(AND($A356="",$B356="",$C356="",$D356=""),"",IF($A356="","⚠ Date missing",IF($B356="","⚠ Site missing",IF(ISNA(MATCH($C356,Mix_Code,0)),"⚠ Unknown mix code",IF($D356="","⚠ Enter m3 produced",IF(COUNTIF(CI_Site,$B356)=0,"⚠ Site not set up in Current Inventory",IF($A356&gt;AsOfDate,"Future date – not yet deducted","OK")))))))</f>
        <v/>
      </c>
    </row>
    <row r="357" customFormat="false" ht="15" hidden="false" customHeight="false" outlineLevel="0" collapsed="false">
      <c r="A357" s="65"/>
      <c r="B357" s="63"/>
      <c r="C357" s="70"/>
      <c r="D357" s="66"/>
      <c r="E357" s="16" t="str">
        <f aca="false">IF($C357="","",IFERROR(INDEX(Mix_Desc,MATCH($C357,Mix_Code,0)),"⚠ Unknown mix code"))</f>
        <v/>
      </c>
      <c r="F357" s="67" t="str">
        <f aca="false">IF(OR($C357="",$D357=""),"",IFERROR($D357*INDEX(Mix_Eff,MATCH($C357,Mix_Code,0),1),""))</f>
        <v/>
      </c>
      <c r="G357" s="67" t="str">
        <f aca="false">IF(OR($C357="",$D357=""),"",IFERROR($D357*INDEX(Mix_Eff,MATCH($C357,Mix_Code,0),2),""))</f>
        <v/>
      </c>
      <c r="H357" s="67" t="str">
        <f aca="false">IF(OR($C357="",$D357=""),"",IFERROR($D357*INDEX(Mix_Eff,MATCH($C357,Mix_Code,0),3),""))</f>
        <v/>
      </c>
      <c r="I357" s="67" t="str">
        <f aca="false">IF(OR($C357="",$D357=""),"",IFERROR($D357*INDEX(Mix_Eff,MATCH($C357,Mix_Code,0),4),""))</f>
        <v/>
      </c>
      <c r="J357" s="67" t="str">
        <f aca="false">IF(OR($C357="",$D357=""),"",IFERROR($D357*INDEX(Mix_Eff,MATCH($C357,Mix_Code,0),5),""))</f>
        <v/>
      </c>
      <c r="K357" s="63"/>
      <c r="L357" s="16" t="str">
        <f aca="false">IF(AND($A357="",$B357="",$C357="",$D357=""),"",IF($A357="","⚠ Date missing",IF($B357="","⚠ Site missing",IF(ISNA(MATCH($C357,Mix_Code,0)),"⚠ Unknown mix code",IF($D357="","⚠ Enter m3 produced",IF(COUNTIF(CI_Site,$B357)=0,"⚠ Site not set up in Current Inventory",IF($A357&gt;AsOfDate,"Future date – not yet deducted","OK")))))))</f>
        <v/>
      </c>
    </row>
    <row r="358" customFormat="false" ht="15" hidden="false" customHeight="false" outlineLevel="0" collapsed="false">
      <c r="A358" s="65"/>
      <c r="B358" s="63"/>
      <c r="C358" s="70"/>
      <c r="D358" s="66"/>
      <c r="E358" s="16" t="str">
        <f aca="false">IF($C358="","",IFERROR(INDEX(Mix_Desc,MATCH($C358,Mix_Code,0)),"⚠ Unknown mix code"))</f>
        <v/>
      </c>
      <c r="F358" s="67" t="str">
        <f aca="false">IF(OR($C358="",$D358=""),"",IFERROR($D358*INDEX(Mix_Eff,MATCH($C358,Mix_Code,0),1),""))</f>
        <v/>
      </c>
      <c r="G358" s="67" t="str">
        <f aca="false">IF(OR($C358="",$D358=""),"",IFERROR($D358*INDEX(Mix_Eff,MATCH($C358,Mix_Code,0),2),""))</f>
        <v/>
      </c>
      <c r="H358" s="67" t="str">
        <f aca="false">IF(OR($C358="",$D358=""),"",IFERROR($D358*INDEX(Mix_Eff,MATCH($C358,Mix_Code,0),3),""))</f>
        <v/>
      </c>
      <c r="I358" s="67" t="str">
        <f aca="false">IF(OR($C358="",$D358=""),"",IFERROR($D358*INDEX(Mix_Eff,MATCH($C358,Mix_Code,0),4),""))</f>
        <v/>
      </c>
      <c r="J358" s="67" t="str">
        <f aca="false">IF(OR($C358="",$D358=""),"",IFERROR($D358*INDEX(Mix_Eff,MATCH($C358,Mix_Code,0),5),""))</f>
        <v/>
      </c>
      <c r="K358" s="63"/>
      <c r="L358" s="16" t="str">
        <f aca="false">IF(AND($A358="",$B358="",$C358="",$D358=""),"",IF($A358="","⚠ Date missing",IF($B358="","⚠ Site missing",IF(ISNA(MATCH($C358,Mix_Code,0)),"⚠ Unknown mix code",IF($D358="","⚠ Enter m3 produced",IF(COUNTIF(CI_Site,$B358)=0,"⚠ Site not set up in Current Inventory",IF($A358&gt;AsOfDate,"Future date – not yet deducted","OK")))))))</f>
        <v/>
      </c>
    </row>
    <row r="359" customFormat="false" ht="15" hidden="false" customHeight="false" outlineLevel="0" collapsed="false">
      <c r="A359" s="65"/>
      <c r="B359" s="63"/>
      <c r="C359" s="70"/>
      <c r="D359" s="66"/>
      <c r="E359" s="16" t="str">
        <f aca="false">IF($C359="","",IFERROR(INDEX(Mix_Desc,MATCH($C359,Mix_Code,0)),"⚠ Unknown mix code"))</f>
        <v/>
      </c>
      <c r="F359" s="67" t="str">
        <f aca="false">IF(OR($C359="",$D359=""),"",IFERROR($D359*INDEX(Mix_Eff,MATCH($C359,Mix_Code,0),1),""))</f>
        <v/>
      </c>
      <c r="G359" s="67" t="str">
        <f aca="false">IF(OR($C359="",$D359=""),"",IFERROR($D359*INDEX(Mix_Eff,MATCH($C359,Mix_Code,0),2),""))</f>
        <v/>
      </c>
      <c r="H359" s="67" t="str">
        <f aca="false">IF(OR($C359="",$D359=""),"",IFERROR($D359*INDEX(Mix_Eff,MATCH($C359,Mix_Code,0),3),""))</f>
        <v/>
      </c>
      <c r="I359" s="67" t="str">
        <f aca="false">IF(OR($C359="",$D359=""),"",IFERROR($D359*INDEX(Mix_Eff,MATCH($C359,Mix_Code,0),4),""))</f>
        <v/>
      </c>
      <c r="J359" s="67" t="str">
        <f aca="false">IF(OR($C359="",$D359=""),"",IFERROR($D359*INDEX(Mix_Eff,MATCH($C359,Mix_Code,0),5),""))</f>
        <v/>
      </c>
      <c r="K359" s="63"/>
      <c r="L359" s="16" t="str">
        <f aca="false">IF(AND($A359="",$B359="",$C359="",$D359=""),"",IF($A359="","⚠ Date missing",IF($B359="","⚠ Site missing",IF(ISNA(MATCH($C359,Mix_Code,0)),"⚠ Unknown mix code",IF($D359="","⚠ Enter m3 produced",IF(COUNTIF(CI_Site,$B359)=0,"⚠ Site not set up in Current Inventory",IF($A359&gt;AsOfDate,"Future date – not yet deducted","OK")))))))</f>
        <v/>
      </c>
    </row>
    <row r="360" customFormat="false" ht="15" hidden="false" customHeight="false" outlineLevel="0" collapsed="false">
      <c r="A360" s="65"/>
      <c r="B360" s="63"/>
      <c r="C360" s="70"/>
      <c r="D360" s="66"/>
      <c r="E360" s="16" t="str">
        <f aca="false">IF($C360="","",IFERROR(INDEX(Mix_Desc,MATCH($C360,Mix_Code,0)),"⚠ Unknown mix code"))</f>
        <v/>
      </c>
      <c r="F360" s="67" t="str">
        <f aca="false">IF(OR($C360="",$D360=""),"",IFERROR($D360*INDEX(Mix_Eff,MATCH($C360,Mix_Code,0),1),""))</f>
        <v/>
      </c>
      <c r="G360" s="67" t="str">
        <f aca="false">IF(OR($C360="",$D360=""),"",IFERROR($D360*INDEX(Mix_Eff,MATCH($C360,Mix_Code,0),2),""))</f>
        <v/>
      </c>
      <c r="H360" s="67" t="str">
        <f aca="false">IF(OR($C360="",$D360=""),"",IFERROR($D360*INDEX(Mix_Eff,MATCH($C360,Mix_Code,0),3),""))</f>
        <v/>
      </c>
      <c r="I360" s="67" t="str">
        <f aca="false">IF(OR($C360="",$D360=""),"",IFERROR($D360*INDEX(Mix_Eff,MATCH($C360,Mix_Code,0),4),""))</f>
        <v/>
      </c>
      <c r="J360" s="67" t="str">
        <f aca="false">IF(OR($C360="",$D360=""),"",IFERROR($D360*INDEX(Mix_Eff,MATCH($C360,Mix_Code,0),5),""))</f>
        <v/>
      </c>
      <c r="K360" s="63"/>
      <c r="L360" s="16" t="str">
        <f aca="false">IF(AND($A360="",$B360="",$C360="",$D360=""),"",IF($A360="","⚠ Date missing",IF($B360="","⚠ Site missing",IF(ISNA(MATCH($C360,Mix_Code,0)),"⚠ Unknown mix code",IF($D360="","⚠ Enter m3 produced",IF(COUNTIF(CI_Site,$B360)=0,"⚠ Site not set up in Current Inventory",IF($A360&gt;AsOfDate,"Future date – not yet deducted","OK")))))))</f>
        <v/>
      </c>
    </row>
    <row r="361" customFormat="false" ht="15" hidden="false" customHeight="false" outlineLevel="0" collapsed="false">
      <c r="A361" s="65"/>
      <c r="B361" s="63"/>
      <c r="C361" s="70"/>
      <c r="D361" s="66"/>
      <c r="E361" s="16" t="str">
        <f aca="false">IF($C361="","",IFERROR(INDEX(Mix_Desc,MATCH($C361,Mix_Code,0)),"⚠ Unknown mix code"))</f>
        <v/>
      </c>
      <c r="F361" s="67" t="str">
        <f aca="false">IF(OR($C361="",$D361=""),"",IFERROR($D361*INDEX(Mix_Eff,MATCH($C361,Mix_Code,0),1),""))</f>
        <v/>
      </c>
      <c r="G361" s="67" t="str">
        <f aca="false">IF(OR($C361="",$D361=""),"",IFERROR($D361*INDEX(Mix_Eff,MATCH($C361,Mix_Code,0),2),""))</f>
        <v/>
      </c>
      <c r="H361" s="67" t="str">
        <f aca="false">IF(OR($C361="",$D361=""),"",IFERROR($D361*INDEX(Mix_Eff,MATCH($C361,Mix_Code,0),3),""))</f>
        <v/>
      </c>
      <c r="I361" s="67" t="str">
        <f aca="false">IF(OR($C361="",$D361=""),"",IFERROR($D361*INDEX(Mix_Eff,MATCH($C361,Mix_Code,0),4),""))</f>
        <v/>
      </c>
      <c r="J361" s="67" t="str">
        <f aca="false">IF(OR($C361="",$D361=""),"",IFERROR($D361*INDEX(Mix_Eff,MATCH($C361,Mix_Code,0),5),""))</f>
        <v/>
      </c>
      <c r="K361" s="63"/>
      <c r="L361" s="16" t="str">
        <f aca="false">IF(AND($A361="",$B361="",$C361="",$D361=""),"",IF($A361="","⚠ Date missing",IF($B361="","⚠ Site missing",IF(ISNA(MATCH($C361,Mix_Code,0)),"⚠ Unknown mix code",IF($D361="","⚠ Enter m3 produced",IF(COUNTIF(CI_Site,$B361)=0,"⚠ Site not set up in Current Inventory",IF($A361&gt;AsOfDate,"Future date – not yet deducted","OK")))))))</f>
        <v/>
      </c>
    </row>
    <row r="362" customFormat="false" ht="15" hidden="false" customHeight="false" outlineLevel="0" collapsed="false">
      <c r="A362" s="65"/>
      <c r="B362" s="63"/>
      <c r="C362" s="70"/>
      <c r="D362" s="66"/>
      <c r="E362" s="16" t="str">
        <f aca="false">IF($C362="","",IFERROR(INDEX(Mix_Desc,MATCH($C362,Mix_Code,0)),"⚠ Unknown mix code"))</f>
        <v/>
      </c>
      <c r="F362" s="67" t="str">
        <f aca="false">IF(OR($C362="",$D362=""),"",IFERROR($D362*INDEX(Mix_Eff,MATCH($C362,Mix_Code,0),1),""))</f>
        <v/>
      </c>
      <c r="G362" s="67" t="str">
        <f aca="false">IF(OR($C362="",$D362=""),"",IFERROR($D362*INDEX(Mix_Eff,MATCH($C362,Mix_Code,0),2),""))</f>
        <v/>
      </c>
      <c r="H362" s="67" t="str">
        <f aca="false">IF(OR($C362="",$D362=""),"",IFERROR($D362*INDEX(Mix_Eff,MATCH($C362,Mix_Code,0),3),""))</f>
        <v/>
      </c>
      <c r="I362" s="67" t="str">
        <f aca="false">IF(OR($C362="",$D362=""),"",IFERROR($D362*INDEX(Mix_Eff,MATCH($C362,Mix_Code,0),4),""))</f>
        <v/>
      </c>
      <c r="J362" s="67" t="str">
        <f aca="false">IF(OR($C362="",$D362=""),"",IFERROR($D362*INDEX(Mix_Eff,MATCH($C362,Mix_Code,0),5),""))</f>
        <v/>
      </c>
      <c r="K362" s="63"/>
      <c r="L362" s="16" t="str">
        <f aca="false">IF(AND($A362="",$B362="",$C362="",$D362=""),"",IF($A362="","⚠ Date missing",IF($B362="","⚠ Site missing",IF(ISNA(MATCH($C362,Mix_Code,0)),"⚠ Unknown mix code",IF($D362="","⚠ Enter m3 produced",IF(COUNTIF(CI_Site,$B362)=0,"⚠ Site not set up in Current Inventory",IF($A362&gt;AsOfDate,"Future date – not yet deducted","OK")))))))</f>
        <v/>
      </c>
    </row>
    <row r="363" customFormat="false" ht="15" hidden="false" customHeight="false" outlineLevel="0" collapsed="false">
      <c r="A363" s="65"/>
      <c r="B363" s="63"/>
      <c r="C363" s="70"/>
      <c r="D363" s="66"/>
      <c r="E363" s="16" t="str">
        <f aca="false">IF($C363="","",IFERROR(INDEX(Mix_Desc,MATCH($C363,Mix_Code,0)),"⚠ Unknown mix code"))</f>
        <v/>
      </c>
      <c r="F363" s="67" t="str">
        <f aca="false">IF(OR($C363="",$D363=""),"",IFERROR($D363*INDEX(Mix_Eff,MATCH($C363,Mix_Code,0),1),""))</f>
        <v/>
      </c>
      <c r="G363" s="67" t="str">
        <f aca="false">IF(OR($C363="",$D363=""),"",IFERROR($D363*INDEX(Mix_Eff,MATCH($C363,Mix_Code,0),2),""))</f>
        <v/>
      </c>
      <c r="H363" s="67" t="str">
        <f aca="false">IF(OR($C363="",$D363=""),"",IFERROR($D363*INDEX(Mix_Eff,MATCH($C363,Mix_Code,0),3),""))</f>
        <v/>
      </c>
      <c r="I363" s="67" t="str">
        <f aca="false">IF(OR($C363="",$D363=""),"",IFERROR($D363*INDEX(Mix_Eff,MATCH($C363,Mix_Code,0),4),""))</f>
        <v/>
      </c>
      <c r="J363" s="67" t="str">
        <f aca="false">IF(OR($C363="",$D363=""),"",IFERROR($D363*INDEX(Mix_Eff,MATCH($C363,Mix_Code,0),5),""))</f>
        <v/>
      </c>
      <c r="K363" s="63"/>
      <c r="L363" s="16" t="str">
        <f aca="false">IF(AND($A363="",$B363="",$C363="",$D363=""),"",IF($A363="","⚠ Date missing",IF($B363="","⚠ Site missing",IF(ISNA(MATCH($C363,Mix_Code,0)),"⚠ Unknown mix code",IF($D363="","⚠ Enter m3 produced",IF(COUNTIF(CI_Site,$B363)=0,"⚠ Site not set up in Current Inventory",IF($A363&gt;AsOfDate,"Future date – not yet deducted","OK")))))))</f>
        <v/>
      </c>
    </row>
    <row r="364" customFormat="false" ht="15" hidden="false" customHeight="false" outlineLevel="0" collapsed="false">
      <c r="A364" s="65"/>
      <c r="B364" s="63"/>
      <c r="C364" s="70"/>
      <c r="D364" s="66"/>
      <c r="E364" s="16" t="str">
        <f aca="false">IF($C364="","",IFERROR(INDEX(Mix_Desc,MATCH($C364,Mix_Code,0)),"⚠ Unknown mix code"))</f>
        <v/>
      </c>
      <c r="F364" s="67" t="str">
        <f aca="false">IF(OR($C364="",$D364=""),"",IFERROR($D364*INDEX(Mix_Eff,MATCH($C364,Mix_Code,0),1),""))</f>
        <v/>
      </c>
      <c r="G364" s="67" t="str">
        <f aca="false">IF(OR($C364="",$D364=""),"",IFERROR($D364*INDEX(Mix_Eff,MATCH($C364,Mix_Code,0),2),""))</f>
        <v/>
      </c>
      <c r="H364" s="67" t="str">
        <f aca="false">IF(OR($C364="",$D364=""),"",IFERROR($D364*INDEX(Mix_Eff,MATCH($C364,Mix_Code,0),3),""))</f>
        <v/>
      </c>
      <c r="I364" s="67" t="str">
        <f aca="false">IF(OR($C364="",$D364=""),"",IFERROR($D364*INDEX(Mix_Eff,MATCH($C364,Mix_Code,0),4),""))</f>
        <v/>
      </c>
      <c r="J364" s="67" t="str">
        <f aca="false">IF(OR($C364="",$D364=""),"",IFERROR($D364*INDEX(Mix_Eff,MATCH($C364,Mix_Code,0),5),""))</f>
        <v/>
      </c>
      <c r="K364" s="63"/>
      <c r="L364" s="16" t="str">
        <f aca="false">IF(AND($A364="",$B364="",$C364="",$D364=""),"",IF($A364="","⚠ Date missing",IF($B364="","⚠ Site missing",IF(ISNA(MATCH($C364,Mix_Code,0)),"⚠ Unknown mix code",IF($D364="","⚠ Enter m3 produced",IF(COUNTIF(CI_Site,$B364)=0,"⚠ Site not set up in Current Inventory",IF($A364&gt;AsOfDate,"Future date – not yet deducted","OK")))))))</f>
        <v/>
      </c>
    </row>
    <row r="365" customFormat="false" ht="15" hidden="false" customHeight="false" outlineLevel="0" collapsed="false">
      <c r="A365" s="65"/>
      <c r="B365" s="63"/>
      <c r="C365" s="70"/>
      <c r="D365" s="66"/>
      <c r="E365" s="16" t="str">
        <f aca="false">IF($C365="","",IFERROR(INDEX(Mix_Desc,MATCH($C365,Mix_Code,0)),"⚠ Unknown mix code"))</f>
        <v/>
      </c>
      <c r="F365" s="67" t="str">
        <f aca="false">IF(OR($C365="",$D365=""),"",IFERROR($D365*INDEX(Mix_Eff,MATCH($C365,Mix_Code,0),1),""))</f>
        <v/>
      </c>
      <c r="G365" s="67" t="str">
        <f aca="false">IF(OR($C365="",$D365=""),"",IFERROR($D365*INDEX(Mix_Eff,MATCH($C365,Mix_Code,0),2),""))</f>
        <v/>
      </c>
      <c r="H365" s="67" t="str">
        <f aca="false">IF(OR($C365="",$D365=""),"",IFERROR($D365*INDEX(Mix_Eff,MATCH($C365,Mix_Code,0),3),""))</f>
        <v/>
      </c>
      <c r="I365" s="67" t="str">
        <f aca="false">IF(OR($C365="",$D365=""),"",IFERROR($D365*INDEX(Mix_Eff,MATCH($C365,Mix_Code,0),4),""))</f>
        <v/>
      </c>
      <c r="J365" s="67" t="str">
        <f aca="false">IF(OR($C365="",$D365=""),"",IFERROR($D365*INDEX(Mix_Eff,MATCH($C365,Mix_Code,0),5),""))</f>
        <v/>
      </c>
      <c r="K365" s="63"/>
      <c r="L365" s="16" t="str">
        <f aca="false">IF(AND($A365="",$B365="",$C365="",$D365=""),"",IF($A365="","⚠ Date missing",IF($B365="","⚠ Site missing",IF(ISNA(MATCH($C365,Mix_Code,0)),"⚠ Unknown mix code",IF($D365="","⚠ Enter m3 produced",IF(COUNTIF(CI_Site,$B365)=0,"⚠ Site not set up in Current Inventory",IF($A365&gt;AsOfDate,"Future date – not yet deducted","OK")))))))</f>
        <v/>
      </c>
    </row>
    <row r="366" customFormat="false" ht="15" hidden="false" customHeight="false" outlineLevel="0" collapsed="false">
      <c r="A366" s="65"/>
      <c r="B366" s="63"/>
      <c r="C366" s="70"/>
      <c r="D366" s="66"/>
      <c r="E366" s="16" t="str">
        <f aca="false">IF($C366="","",IFERROR(INDEX(Mix_Desc,MATCH($C366,Mix_Code,0)),"⚠ Unknown mix code"))</f>
        <v/>
      </c>
      <c r="F366" s="67" t="str">
        <f aca="false">IF(OR($C366="",$D366=""),"",IFERROR($D366*INDEX(Mix_Eff,MATCH($C366,Mix_Code,0),1),""))</f>
        <v/>
      </c>
      <c r="G366" s="67" t="str">
        <f aca="false">IF(OR($C366="",$D366=""),"",IFERROR($D366*INDEX(Mix_Eff,MATCH($C366,Mix_Code,0),2),""))</f>
        <v/>
      </c>
      <c r="H366" s="67" t="str">
        <f aca="false">IF(OR($C366="",$D366=""),"",IFERROR($D366*INDEX(Mix_Eff,MATCH($C366,Mix_Code,0),3),""))</f>
        <v/>
      </c>
      <c r="I366" s="67" t="str">
        <f aca="false">IF(OR($C366="",$D366=""),"",IFERROR($D366*INDEX(Mix_Eff,MATCH($C366,Mix_Code,0),4),""))</f>
        <v/>
      </c>
      <c r="J366" s="67" t="str">
        <f aca="false">IF(OR($C366="",$D366=""),"",IFERROR($D366*INDEX(Mix_Eff,MATCH($C366,Mix_Code,0),5),""))</f>
        <v/>
      </c>
      <c r="K366" s="63"/>
      <c r="L366" s="16" t="str">
        <f aca="false">IF(AND($A366="",$B366="",$C366="",$D366=""),"",IF($A366="","⚠ Date missing",IF($B366="","⚠ Site missing",IF(ISNA(MATCH($C366,Mix_Code,0)),"⚠ Unknown mix code",IF($D366="","⚠ Enter m3 produced",IF(COUNTIF(CI_Site,$B366)=0,"⚠ Site not set up in Current Inventory",IF($A366&gt;AsOfDate,"Future date – not yet deducted","OK")))))))</f>
        <v/>
      </c>
    </row>
    <row r="367" customFormat="false" ht="15" hidden="false" customHeight="false" outlineLevel="0" collapsed="false">
      <c r="A367" s="65"/>
      <c r="B367" s="63"/>
      <c r="C367" s="70"/>
      <c r="D367" s="66"/>
      <c r="E367" s="16" t="str">
        <f aca="false">IF($C367="","",IFERROR(INDEX(Mix_Desc,MATCH($C367,Mix_Code,0)),"⚠ Unknown mix code"))</f>
        <v/>
      </c>
      <c r="F367" s="67" t="str">
        <f aca="false">IF(OR($C367="",$D367=""),"",IFERROR($D367*INDEX(Mix_Eff,MATCH($C367,Mix_Code,0),1),""))</f>
        <v/>
      </c>
      <c r="G367" s="67" t="str">
        <f aca="false">IF(OR($C367="",$D367=""),"",IFERROR($D367*INDEX(Mix_Eff,MATCH($C367,Mix_Code,0),2),""))</f>
        <v/>
      </c>
      <c r="H367" s="67" t="str">
        <f aca="false">IF(OR($C367="",$D367=""),"",IFERROR($D367*INDEX(Mix_Eff,MATCH($C367,Mix_Code,0),3),""))</f>
        <v/>
      </c>
      <c r="I367" s="67" t="str">
        <f aca="false">IF(OR($C367="",$D367=""),"",IFERROR($D367*INDEX(Mix_Eff,MATCH($C367,Mix_Code,0),4),""))</f>
        <v/>
      </c>
      <c r="J367" s="67" t="str">
        <f aca="false">IF(OR($C367="",$D367=""),"",IFERROR($D367*INDEX(Mix_Eff,MATCH($C367,Mix_Code,0),5),""))</f>
        <v/>
      </c>
      <c r="K367" s="63"/>
      <c r="L367" s="16" t="str">
        <f aca="false">IF(AND($A367="",$B367="",$C367="",$D367=""),"",IF($A367="","⚠ Date missing",IF($B367="","⚠ Site missing",IF(ISNA(MATCH($C367,Mix_Code,0)),"⚠ Unknown mix code",IF($D367="","⚠ Enter m3 produced",IF(COUNTIF(CI_Site,$B367)=0,"⚠ Site not set up in Current Inventory",IF($A367&gt;AsOfDate,"Future date – not yet deducted","OK")))))))</f>
        <v/>
      </c>
    </row>
    <row r="368" customFormat="false" ht="15" hidden="false" customHeight="false" outlineLevel="0" collapsed="false">
      <c r="A368" s="65"/>
      <c r="B368" s="63"/>
      <c r="C368" s="70"/>
      <c r="D368" s="66"/>
      <c r="E368" s="16" t="str">
        <f aca="false">IF($C368="","",IFERROR(INDEX(Mix_Desc,MATCH($C368,Mix_Code,0)),"⚠ Unknown mix code"))</f>
        <v/>
      </c>
      <c r="F368" s="67" t="str">
        <f aca="false">IF(OR($C368="",$D368=""),"",IFERROR($D368*INDEX(Mix_Eff,MATCH($C368,Mix_Code,0),1),""))</f>
        <v/>
      </c>
      <c r="G368" s="67" t="str">
        <f aca="false">IF(OR($C368="",$D368=""),"",IFERROR($D368*INDEX(Mix_Eff,MATCH($C368,Mix_Code,0),2),""))</f>
        <v/>
      </c>
      <c r="H368" s="67" t="str">
        <f aca="false">IF(OR($C368="",$D368=""),"",IFERROR($D368*INDEX(Mix_Eff,MATCH($C368,Mix_Code,0),3),""))</f>
        <v/>
      </c>
      <c r="I368" s="67" t="str">
        <f aca="false">IF(OR($C368="",$D368=""),"",IFERROR($D368*INDEX(Mix_Eff,MATCH($C368,Mix_Code,0),4),""))</f>
        <v/>
      </c>
      <c r="J368" s="67" t="str">
        <f aca="false">IF(OR($C368="",$D368=""),"",IFERROR($D368*INDEX(Mix_Eff,MATCH($C368,Mix_Code,0),5),""))</f>
        <v/>
      </c>
      <c r="K368" s="63"/>
      <c r="L368" s="16" t="str">
        <f aca="false">IF(AND($A368="",$B368="",$C368="",$D368=""),"",IF($A368="","⚠ Date missing",IF($B368="","⚠ Site missing",IF(ISNA(MATCH($C368,Mix_Code,0)),"⚠ Unknown mix code",IF($D368="","⚠ Enter m3 produced",IF(COUNTIF(CI_Site,$B368)=0,"⚠ Site not set up in Current Inventory",IF($A368&gt;AsOfDate,"Future date – not yet deducted","OK")))))))</f>
        <v/>
      </c>
    </row>
    <row r="369" customFormat="false" ht="15" hidden="false" customHeight="false" outlineLevel="0" collapsed="false">
      <c r="A369" s="65"/>
      <c r="B369" s="63"/>
      <c r="C369" s="70"/>
      <c r="D369" s="66"/>
      <c r="E369" s="16" t="str">
        <f aca="false">IF($C369="","",IFERROR(INDEX(Mix_Desc,MATCH($C369,Mix_Code,0)),"⚠ Unknown mix code"))</f>
        <v/>
      </c>
      <c r="F369" s="67" t="str">
        <f aca="false">IF(OR($C369="",$D369=""),"",IFERROR($D369*INDEX(Mix_Eff,MATCH($C369,Mix_Code,0),1),""))</f>
        <v/>
      </c>
      <c r="G369" s="67" t="str">
        <f aca="false">IF(OR($C369="",$D369=""),"",IFERROR($D369*INDEX(Mix_Eff,MATCH($C369,Mix_Code,0),2),""))</f>
        <v/>
      </c>
      <c r="H369" s="67" t="str">
        <f aca="false">IF(OR($C369="",$D369=""),"",IFERROR($D369*INDEX(Mix_Eff,MATCH($C369,Mix_Code,0),3),""))</f>
        <v/>
      </c>
      <c r="I369" s="67" t="str">
        <f aca="false">IF(OR($C369="",$D369=""),"",IFERROR($D369*INDEX(Mix_Eff,MATCH($C369,Mix_Code,0),4),""))</f>
        <v/>
      </c>
      <c r="J369" s="67" t="str">
        <f aca="false">IF(OR($C369="",$D369=""),"",IFERROR($D369*INDEX(Mix_Eff,MATCH($C369,Mix_Code,0),5),""))</f>
        <v/>
      </c>
      <c r="K369" s="63"/>
      <c r="L369" s="16" t="str">
        <f aca="false">IF(AND($A369="",$B369="",$C369="",$D369=""),"",IF($A369="","⚠ Date missing",IF($B369="","⚠ Site missing",IF(ISNA(MATCH($C369,Mix_Code,0)),"⚠ Unknown mix code",IF($D369="","⚠ Enter m3 produced",IF(COUNTIF(CI_Site,$B369)=0,"⚠ Site not set up in Current Inventory",IF($A369&gt;AsOfDate,"Future date – not yet deducted","OK")))))))</f>
        <v/>
      </c>
    </row>
    <row r="370" customFormat="false" ht="15" hidden="false" customHeight="false" outlineLevel="0" collapsed="false">
      <c r="A370" s="65"/>
      <c r="B370" s="63"/>
      <c r="C370" s="70"/>
      <c r="D370" s="66"/>
      <c r="E370" s="16" t="str">
        <f aca="false">IF($C370="","",IFERROR(INDEX(Mix_Desc,MATCH($C370,Mix_Code,0)),"⚠ Unknown mix code"))</f>
        <v/>
      </c>
      <c r="F370" s="67" t="str">
        <f aca="false">IF(OR($C370="",$D370=""),"",IFERROR($D370*INDEX(Mix_Eff,MATCH($C370,Mix_Code,0),1),""))</f>
        <v/>
      </c>
      <c r="G370" s="67" t="str">
        <f aca="false">IF(OR($C370="",$D370=""),"",IFERROR($D370*INDEX(Mix_Eff,MATCH($C370,Mix_Code,0),2),""))</f>
        <v/>
      </c>
      <c r="H370" s="67" t="str">
        <f aca="false">IF(OR($C370="",$D370=""),"",IFERROR($D370*INDEX(Mix_Eff,MATCH($C370,Mix_Code,0),3),""))</f>
        <v/>
      </c>
      <c r="I370" s="67" t="str">
        <f aca="false">IF(OR($C370="",$D370=""),"",IFERROR($D370*INDEX(Mix_Eff,MATCH($C370,Mix_Code,0),4),""))</f>
        <v/>
      </c>
      <c r="J370" s="67" t="str">
        <f aca="false">IF(OR($C370="",$D370=""),"",IFERROR($D370*INDEX(Mix_Eff,MATCH($C370,Mix_Code,0),5),""))</f>
        <v/>
      </c>
      <c r="K370" s="63"/>
      <c r="L370" s="16" t="str">
        <f aca="false">IF(AND($A370="",$B370="",$C370="",$D370=""),"",IF($A370="","⚠ Date missing",IF($B370="","⚠ Site missing",IF(ISNA(MATCH($C370,Mix_Code,0)),"⚠ Unknown mix code",IF($D370="","⚠ Enter m3 produced",IF(COUNTIF(CI_Site,$B370)=0,"⚠ Site not set up in Current Inventory",IF($A370&gt;AsOfDate,"Future date – not yet deducted","OK")))))))</f>
        <v/>
      </c>
    </row>
    <row r="371" customFormat="false" ht="15" hidden="false" customHeight="false" outlineLevel="0" collapsed="false">
      <c r="A371" s="65"/>
      <c r="B371" s="63"/>
      <c r="C371" s="70"/>
      <c r="D371" s="66"/>
      <c r="E371" s="16" t="str">
        <f aca="false">IF($C371="","",IFERROR(INDEX(Mix_Desc,MATCH($C371,Mix_Code,0)),"⚠ Unknown mix code"))</f>
        <v/>
      </c>
      <c r="F371" s="67" t="str">
        <f aca="false">IF(OR($C371="",$D371=""),"",IFERROR($D371*INDEX(Mix_Eff,MATCH($C371,Mix_Code,0),1),""))</f>
        <v/>
      </c>
      <c r="G371" s="67" t="str">
        <f aca="false">IF(OR($C371="",$D371=""),"",IFERROR($D371*INDEX(Mix_Eff,MATCH($C371,Mix_Code,0),2),""))</f>
        <v/>
      </c>
      <c r="H371" s="67" t="str">
        <f aca="false">IF(OR($C371="",$D371=""),"",IFERROR($D371*INDEX(Mix_Eff,MATCH($C371,Mix_Code,0),3),""))</f>
        <v/>
      </c>
      <c r="I371" s="67" t="str">
        <f aca="false">IF(OR($C371="",$D371=""),"",IFERROR($D371*INDEX(Mix_Eff,MATCH($C371,Mix_Code,0),4),""))</f>
        <v/>
      </c>
      <c r="J371" s="67" t="str">
        <f aca="false">IF(OR($C371="",$D371=""),"",IFERROR($D371*INDEX(Mix_Eff,MATCH($C371,Mix_Code,0),5),""))</f>
        <v/>
      </c>
      <c r="K371" s="63"/>
      <c r="L371" s="16" t="str">
        <f aca="false">IF(AND($A371="",$B371="",$C371="",$D371=""),"",IF($A371="","⚠ Date missing",IF($B371="","⚠ Site missing",IF(ISNA(MATCH($C371,Mix_Code,0)),"⚠ Unknown mix code",IF($D371="","⚠ Enter m3 produced",IF(COUNTIF(CI_Site,$B371)=0,"⚠ Site not set up in Current Inventory",IF($A371&gt;AsOfDate,"Future date – not yet deducted","OK")))))))</f>
        <v/>
      </c>
    </row>
    <row r="372" customFormat="false" ht="15" hidden="false" customHeight="false" outlineLevel="0" collapsed="false">
      <c r="A372" s="65"/>
      <c r="B372" s="63"/>
      <c r="C372" s="70"/>
      <c r="D372" s="66"/>
      <c r="E372" s="16" t="str">
        <f aca="false">IF($C372="","",IFERROR(INDEX(Mix_Desc,MATCH($C372,Mix_Code,0)),"⚠ Unknown mix code"))</f>
        <v/>
      </c>
      <c r="F372" s="67" t="str">
        <f aca="false">IF(OR($C372="",$D372=""),"",IFERROR($D372*INDEX(Mix_Eff,MATCH($C372,Mix_Code,0),1),""))</f>
        <v/>
      </c>
      <c r="G372" s="67" t="str">
        <f aca="false">IF(OR($C372="",$D372=""),"",IFERROR($D372*INDEX(Mix_Eff,MATCH($C372,Mix_Code,0),2),""))</f>
        <v/>
      </c>
      <c r="H372" s="67" t="str">
        <f aca="false">IF(OR($C372="",$D372=""),"",IFERROR($D372*INDEX(Mix_Eff,MATCH($C372,Mix_Code,0),3),""))</f>
        <v/>
      </c>
      <c r="I372" s="67" t="str">
        <f aca="false">IF(OR($C372="",$D372=""),"",IFERROR($D372*INDEX(Mix_Eff,MATCH($C372,Mix_Code,0),4),""))</f>
        <v/>
      </c>
      <c r="J372" s="67" t="str">
        <f aca="false">IF(OR($C372="",$D372=""),"",IFERROR($D372*INDEX(Mix_Eff,MATCH($C372,Mix_Code,0),5),""))</f>
        <v/>
      </c>
      <c r="K372" s="63"/>
      <c r="L372" s="16" t="str">
        <f aca="false">IF(AND($A372="",$B372="",$C372="",$D372=""),"",IF($A372="","⚠ Date missing",IF($B372="","⚠ Site missing",IF(ISNA(MATCH($C372,Mix_Code,0)),"⚠ Unknown mix code",IF($D372="","⚠ Enter m3 produced",IF(COUNTIF(CI_Site,$B372)=0,"⚠ Site not set up in Current Inventory",IF($A372&gt;AsOfDate,"Future date – not yet deducted","OK")))))))</f>
        <v/>
      </c>
    </row>
    <row r="373" customFormat="false" ht="15" hidden="false" customHeight="false" outlineLevel="0" collapsed="false">
      <c r="A373" s="65"/>
      <c r="B373" s="63"/>
      <c r="C373" s="70"/>
      <c r="D373" s="66"/>
      <c r="E373" s="16" t="str">
        <f aca="false">IF($C373="","",IFERROR(INDEX(Mix_Desc,MATCH($C373,Mix_Code,0)),"⚠ Unknown mix code"))</f>
        <v/>
      </c>
      <c r="F373" s="67" t="str">
        <f aca="false">IF(OR($C373="",$D373=""),"",IFERROR($D373*INDEX(Mix_Eff,MATCH($C373,Mix_Code,0),1),""))</f>
        <v/>
      </c>
      <c r="G373" s="67" t="str">
        <f aca="false">IF(OR($C373="",$D373=""),"",IFERROR($D373*INDEX(Mix_Eff,MATCH($C373,Mix_Code,0),2),""))</f>
        <v/>
      </c>
      <c r="H373" s="67" t="str">
        <f aca="false">IF(OR($C373="",$D373=""),"",IFERROR($D373*INDEX(Mix_Eff,MATCH($C373,Mix_Code,0),3),""))</f>
        <v/>
      </c>
      <c r="I373" s="67" t="str">
        <f aca="false">IF(OR($C373="",$D373=""),"",IFERROR($D373*INDEX(Mix_Eff,MATCH($C373,Mix_Code,0),4),""))</f>
        <v/>
      </c>
      <c r="J373" s="67" t="str">
        <f aca="false">IF(OR($C373="",$D373=""),"",IFERROR($D373*INDEX(Mix_Eff,MATCH($C373,Mix_Code,0),5),""))</f>
        <v/>
      </c>
      <c r="K373" s="63"/>
      <c r="L373" s="16" t="str">
        <f aca="false">IF(AND($A373="",$B373="",$C373="",$D373=""),"",IF($A373="","⚠ Date missing",IF($B373="","⚠ Site missing",IF(ISNA(MATCH($C373,Mix_Code,0)),"⚠ Unknown mix code",IF($D373="","⚠ Enter m3 produced",IF(COUNTIF(CI_Site,$B373)=0,"⚠ Site not set up in Current Inventory",IF($A373&gt;AsOfDate,"Future date – not yet deducted","OK")))))))</f>
        <v/>
      </c>
    </row>
    <row r="374" customFormat="false" ht="15" hidden="false" customHeight="false" outlineLevel="0" collapsed="false">
      <c r="A374" s="65"/>
      <c r="B374" s="63"/>
      <c r="C374" s="70"/>
      <c r="D374" s="66"/>
      <c r="E374" s="16" t="str">
        <f aca="false">IF($C374="","",IFERROR(INDEX(Mix_Desc,MATCH($C374,Mix_Code,0)),"⚠ Unknown mix code"))</f>
        <v/>
      </c>
      <c r="F374" s="67" t="str">
        <f aca="false">IF(OR($C374="",$D374=""),"",IFERROR($D374*INDEX(Mix_Eff,MATCH($C374,Mix_Code,0),1),""))</f>
        <v/>
      </c>
      <c r="G374" s="67" t="str">
        <f aca="false">IF(OR($C374="",$D374=""),"",IFERROR($D374*INDEX(Mix_Eff,MATCH($C374,Mix_Code,0),2),""))</f>
        <v/>
      </c>
      <c r="H374" s="67" t="str">
        <f aca="false">IF(OR($C374="",$D374=""),"",IFERROR($D374*INDEX(Mix_Eff,MATCH($C374,Mix_Code,0),3),""))</f>
        <v/>
      </c>
      <c r="I374" s="67" t="str">
        <f aca="false">IF(OR($C374="",$D374=""),"",IFERROR($D374*INDEX(Mix_Eff,MATCH($C374,Mix_Code,0),4),""))</f>
        <v/>
      </c>
      <c r="J374" s="67" t="str">
        <f aca="false">IF(OR($C374="",$D374=""),"",IFERROR($D374*INDEX(Mix_Eff,MATCH($C374,Mix_Code,0),5),""))</f>
        <v/>
      </c>
      <c r="K374" s="63"/>
      <c r="L374" s="16" t="str">
        <f aca="false">IF(AND($A374="",$B374="",$C374="",$D374=""),"",IF($A374="","⚠ Date missing",IF($B374="","⚠ Site missing",IF(ISNA(MATCH($C374,Mix_Code,0)),"⚠ Unknown mix code",IF($D374="","⚠ Enter m3 produced",IF(COUNTIF(CI_Site,$B374)=0,"⚠ Site not set up in Current Inventory",IF($A374&gt;AsOfDate,"Future date – not yet deducted","OK")))))))</f>
        <v/>
      </c>
    </row>
    <row r="375" customFormat="false" ht="15" hidden="false" customHeight="false" outlineLevel="0" collapsed="false">
      <c r="A375" s="65"/>
      <c r="B375" s="63"/>
      <c r="C375" s="70"/>
      <c r="D375" s="66"/>
      <c r="E375" s="16" t="str">
        <f aca="false">IF($C375="","",IFERROR(INDEX(Mix_Desc,MATCH($C375,Mix_Code,0)),"⚠ Unknown mix code"))</f>
        <v/>
      </c>
      <c r="F375" s="67" t="str">
        <f aca="false">IF(OR($C375="",$D375=""),"",IFERROR($D375*INDEX(Mix_Eff,MATCH($C375,Mix_Code,0),1),""))</f>
        <v/>
      </c>
      <c r="G375" s="67" t="str">
        <f aca="false">IF(OR($C375="",$D375=""),"",IFERROR($D375*INDEX(Mix_Eff,MATCH($C375,Mix_Code,0),2),""))</f>
        <v/>
      </c>
      <c r="H375" s="67" t="str">
        <f aca="false">IF(OR($C375="",$D375=""),"",IFERROR($D375*INDEX(Mix_Eff,MATCH($C375,Mix_Code,0),3),""))</f>
        <v/>
      </c>
      <c r="I375" s="67" t="str">
        <f aca="false">IF(OR($C375="",$D375=""),"",IFERROR($D375*INDEX(Mix_Eff,MATCH($C375,Mix_Code,0),4),""))</f>
        <v/>
      </c>
      <c r="J375" s="67" t="str">
        <f aca="false">IF(OR($C375="",$D375=""),"",IFERROR($D375*INDEX(Mix_Eff,MATCH($C375,Mix_Code,0),5),""))</f>
        <v/>
      </c>
      <c r="K375" s="63"/>
      <c r="L375" s="16" t="str">
        <f aca="false">IF(AND($A375="",$B375="",$C375="",$D375=""),"",IF($A375="","⚠ Date missing",IF($B375="","⚠ Site missing",IF(ISNA(MATCH($C375,Mix_Code,0)),"⚠ Unknown mix code",IF($D375="","⚠ Enter m3 produced",IF(COUNTIF(CI_Site,$B375)=0,"⚠ Site not set up in Current Inventory",IF($A375&gt;AsOfDate,"Future date – not yet deducted","OK")))))))</f>
        <v/>
      </c>
    </row>
    <row r="376" customFormat="false" ht="15" hidden="false" customHeight="false" outlineLevel="0" collapsed="false">
      <c r="A376" s="65"/>
      <c r="B376" s="63"/>
      <c r="C376" s="70"/>
      <c r="D376" s="66"/>
      <c r="E376" s="16" t="str">
        <f aca="false">IF($C376="","",IFERROR(INDEX(Mix_Desc,MATCH($C376,Mix_Code,0)),"⚠ Unknown mix code"))</f>
        <v/>
      </c>
      <c r="F376" s="67" t="str">
        <f aca="false">IF(OR($C376="",$D376=""),"",IFERROR($D376*INDEX(Mix_Eff,MATCH($C376,Mix_Code,0),1),""))</f>
        <v/>
      </c>
      <c r="G376" s="67" t="str">
        <f aca="false">IF(OR($C376="",$D376=""),"",IFERROR($D376*INDEX(Mix_Eff,MATCH($C376,Mix_Code,0),2),""))</f>
        <v/>
      </c>
      <c r="H376" s="67" t="str">
        <f aca="false">IF(OR($C376="",$D376=""),"",IFERROR($D376*INDEX(Mix_Eff,MATCH($C376,Mix_Code,0),3),""))</f>
        <v/>
      </c>
      <c r="I376" s="67" t="str">
        <f aca="false">IF(OR($C376="",$D376=""),"",IFERROR($D376*INDEX(Mix_Eff,MATCH($C376,Mix_Code,0),4),""))</f>
        <v/>
      </c>
      <c r="J376" s="67" t="str">
        <f aca="false">IF(OR($C376="",$D376=""),"",IFERROR($D376*INDEX(Mix_Eff,MATCH($C376,Mix_Code,0),5),""))</f>
        <v/>
      </c>
      <c r="K376" s="63"/>
      <c r="L376" s="16" t="str">
        <f aca="false">IF(AND($A376="",$B376="",$C376="",$D376=""),"",IF($A376="","⚠ Date missing",IF($B376="","⚠ Site missing",IF(ISNA(MATCH($C376,Mix_Code,0)),"⚠ Unknown mix code",IF($D376="","⚠ Enter m3 produced",IF(COUNTIF(CI_Site,$B376)=0,"⚠ Site not set up in Current Inventory",IF($A376&gt;AsOfDate,"Future date – not yet deducted","OK")))))))</f>
        <v/>
      </c>
    </row>
    <row r="377" customFormat="false" ht="15" hidden="false" customHeight="false" outlineLevel="0" collapsed="false">
      <c r="A377" s="65"/>
      <c r="B377" s="63"/>
      <c r="C377" s="70"/>
      <c r="D377" s="66"/>
      <c r="E377" s="16" t="str">
        <f aca="false">IF($C377="","",IFERROR(INDEX(Mix_Desc,MATCH($C377,Mix_Code,0)),"⚠ Unknown mix code"))</f>
        <v/>
      </c>
      <c r="F377" s="67" t="str">
        <f aca="false">IF(OR($C377="",$D377=""),"",IFERROR($D377*INDEX(Mix_Eff,MATCH($C377,Mix_Code,0),1),""))</f>
        <v/>
      </c>
      <c r="G377" s="67" t="str">
        <f aca="false">IF(OR($C377="",$D377=""),"",IFERROR($D377*INDEX(Mix_Eff,MATCH($C377,Mix_Code,0),2),""))</f>
        <v/>
      </c>
      <c r="H377" s="67" t="str">
        <f aca="false">IF(OR($C377="",$D377=""),"",IFERROR($D377*INDEX(Mix_Eff,MATCH($C377,Mix_Code,0),3),""))</f>
        <v/>
      </c>
      <c r="I377" s="67" t="str">
        <f aca="false">IF(OR($C377="",$D377=""),"",IFERROR($D377*INDEX(Mix_Eff,MATCH($C377,Mix_Code,0),4),""))</f>
        <v/>
      </c>
      <c r="J377" s="67" t="str">
        <f aca="false">IF(OR($C377="",$D377=""),"",IFERROR($D377*INDEX(Mix_Eff,MATCH($C377,Mix_Code,0),5),""))</f>
        <v/>
      </c>
      <c r="K377" s="63"/>
      <c r="L377" s="16" t="str">
        <f aca="false">IF(AND($A377="",$B377="",$C377="",$D377=""),"",IF($A377="","⚠ Date missing",IF($B377="","⚠ Site missing",IF(ISNA(MATCH($C377,Mix_Code,0)),"⚠ Unknown mix code",IF($D377="","⚠ Enter m3 produced",IF(COUNTIF(CI_Site,$B377)=0,"⚠ Site not set up in Current Inventory",IF($A377&gt;AsOfDate,"Future date – not yet deducted","OK")))))))</f>
        <v/>
      </c>
    </row>
    <row r="378" customFormat="false" ht="15" hidden="false" customHeight="false" outlineLevel="0" collapsed="false">
      <c r="A378" s="65"/>
      <c r="B378" s="63"/>
      <c r="C378" s="70"/>
      <c r="D378" s="66"/>
      <c r="E378" s="16" t="str">
        <f aca="false">IF($C378="","",IFERROR(INDEX(Mix_Desc,MATCH($C378,Mix_Code,0)),"⚠ Unknown mix code"))</f>
        <v/>
      </c>
      <c r="F378" s="67" t="str">
        <f aca="false">IF(OR($C378="",$D378=""),"",IFERROR($D378*INDEX(Mix_Eff,MATCH($C378,Mix_Code,0),1),""))</f>
        <v/>
      </c>
      <c r="G378" s="67" t="str">
        <f aca="false">IF(OR($C378="",$D378=""),"",IFERROR($D378*INDEX(Mix_Eff,MATCH($C378,Mix_Code,0),2),""))</f>
        <v/>
      </c>
      <c r="H378" s="67" t="str">
        <f aca="false">IF(OR($C378="",$D378=""),"",IFERROR($D378*INDEX(Mix_Eff,MATCH($C378,Mix_Code,0),3),""))</f>
        <v/>
      </c>
      <c r="I378" s="67" t="str">
        <f aca="false">IF(OR($C378="",$D378=""),"",IFERROR($D378*INDEX(Mix_Eff,MATCH($C378,Mix_Code,0),4),""))</f>
        <v/>
      </c>
      <c r="J378" s="67" t="str">
        <f aca="false">IF(OR($C378="",$D378=""),"",IFERROR($D378*INDEX(Mix_Eff,MATCH($C378,Mix_Code,0),5),""))</f>
        <v/>
      </c>
      <c r="K378" s="63"/>
      <c r="L378" s="16" t="str">
        <f aca="false">IF(AND($A378="",$B378="",$C378="",$D378=""),"",IF($A378="","⚠ Date missing",IF($B378="","⚠ Site missing",IF(ISNA(MATCH($C378,Mix_Code,0)),"⚠ Unknown mix code",IF($D378="","⚠ Enter m3 produced",IF(COUNTIF(CI_Site,$B378)=0,"⚠ Site not set up in Current Inventory",IF($A378&gt;AsOfDate,"Future date – not yet deducted","OK")))))))</f>
        <v/>
      </c>
    </row>
    <row r="379" customFormat="false" ht="15" hidden="false" customHeight="false" outlineLevel="0" collapsed="false">
      <c r="A379" s="65"/>
      <c r="B379" s="63"/>
      <c r="C379" s="70"/>
      <c r="D379" s="66"/>
      <c r="E379" s="16" t="str">
        <f aca="false">IF($C379="","",IFERROR(INDEX(Mix_Desc,MATCH($C379,Mix_Code,0)),"⚠ Unknown mix code"))</f>
        <v/>
      </c>
      <c r="F379" s="67" t="str">
        <f aca="false">IF(OR($C379="",$D379=""),"",IFERROR($D379*INDEX(Mix_Eff,MATCH($C379,Mix_Code,0),1),""))</f>
        <v/>
      </c>
      <c r="G379" s="67" t="str">
        <f aca="false">IF(OR($C379="",$D379=""),"",IFERROR($D379*INDEX(Mix_Eff,MATCH($C379,Mix_Code,0),2),""))</f>
        <v/>
      </c>
      <c r="H379" s="67" t="str">
        <f aca="false">IF(OR($C379="",$D379=""),"",IFERROR($D379*INDEX(Mix_Eff,MATCH($C379,Mix_Code,0),3),""))</f>
        <v/>
      </c>
      <c r="I379" s="67" t="str">
        <f aca="false">IF(OR($C379="",$D379=""),"",IFERROR($D379*INDEX(Mix_Eff,MATCH($C379,Mix_Code,0),4),""))</f>
        <v/>
      </c>
      <c r="J379" s="67" t="str">
        <f aca="false">IF(OR($C379="",$D379=""),"",IFERROR($D379*INDEX(Mix_Eff,MATCH($C379,Mix_Code,0),5),""))</f>
        <v/>
      </c>
      <c r="K379" s="63"/>
      <c r="L379" s="16" t="str">
        <f aca="false">IF(AND($A379="",$B379="",$C379="",$D379=""),"",IF($A379="","⚠ Date missing",IF($B379="","⚠ Site missing",IF(ISNA(MATCH($C379,Mix_Code,0)),"⚠ Unknown mix code",IF($D379="","⚠ Enter m3 produced",IF(COUNTIF(CI_Site,$B379)=0,"⚠ Site not set up in Current Inventory",IF($A379&gt;AsOfDate,"Future date – not yet deducted","OK")))))))</f>
        <v/>
      </c>
    </row>
    <row r="380" customFormat="false" ht="15" hidden="false" customHeight="false" outlineLevel="0" collapsed="false">
      <c r="A380" s="65"/>
      <c r="B380" s="63"/>
      <c r="C380" s="70"/>
      <c r="D380" s="66"/>
      <c r="E380" s="16" t="str">
        <f aca="false">IF($C380="","",IFERROR(INDEX(Mix_Desc,MATCH($C380,Mix_Code,0)),"⚠ Unknown mix code"))</f>
        <v/>
      </c>
      <c r="F380" s="67" t="str">
        <f aca="false">IF(OR($C380="",$D380=""),"",IFERROR($D380*INDEX(Mix_Eff,MATCH($C380,Mix_Code,0),1),""))</f>
        <v/>
      </c>
      <c r="G380" s="67" t="str">
        <f aca="false">IF(OR($C380="",$D380=""),"",IFERROR($D380*INDEX(Mix_Eff,MATCH($C380,Mix_Code,0),2),""))</f>
        <v/>
      </c>
      <c r="H380" s="67" t="str">
        <f aca="false">IF(OR($C380="",$D380=""),"",IFERROR($D380*INDEX(Mix_Eff,MATCH($C380,Mix_Code,0),3),""))</f>
        <v/>
      </c>
      <c r="I380" s="67" t="str">
        <f aca="false">IF(OR($C380="",$D380=""),"",IFERROR($D380*INDEX(Mix_Eff,MATCH($C380,Mix_Code,0),4),""))</f>
        <v/>
      </c>
      <c r="J380" s="67" t="str">
        <f aca="false">IF(OR($C380="",$D380=""),"",IFERROR($D380*INDEX(Mix_Eff,MATCH($C380,Mix_Code,0),5),""))</f>
        <v/>
      </c>
      <c r="K380" s="63"/>
      <c r="L380" s="16" t="str">
        <f aca="false">IF(AND($A380="",$B380="",$C380="",$D380=""),"",IF($A380="","⚠ Date missing",IF($B380="","⚠ Site missing",IF(ISNA(MATCH($C380,Mix_Code,0)),"⚠ Unknown mix code",IF($D380="","⚠ Enter m3 produced",IF(COUNTIF(CI_Site,$B380)=0,"⚠ Site not set up in Current Inventory",IF($A380&gt;AsOfDate,"Future date – not yet deducted","OK")))))))</f>
        <v/>
      </c>
    </row>
    <row r="381" customFormat="false" ht="15" hidden="false" customHeight="false" outlineLevel="0" collapsed="false">
      <c r="A381" s="65"/>
      <c r="B381" s="63"/>
      <c r="C381" s="70"/>
      <c r="D381" s="66"/>
      <c r="E381" s="16" t="str">
        <f aca="false">IF($C381="","",IFERROR(INDEX(Mix_Desc,MATCH($C381,Mix_Code,0)),"⚠ Unknown mix code"))</f>
        <v/>
      </c>
      <c r="F381" s="67" t="str">
        <f aca="false">IF(OR($C381="",$D381=""),"",IFERROR($D381*INDEX(Mix_Eff,MATCH($C381,Mix_Code,0),1),""))</f>
        <v/>
      </c>
      <c r="G381" s="67" t="str">
        <f aca="false">IF(OR($C381="",$D381=""),"",IFERROR($D381*INDEX(Mix_Eff,MATCH($C381,Mix_Code,0),2),""))</f>
        <v/>
      </c>
      <c r="H381" s="67" t="str">
        <f aca="false">IF(OR($C381="",$D381=""),"",IFERROR($D381*INDEX(Mix_Eff,MATCH($C381,Mix_Code,0),3),""))</f>
        <v/>
      </c>
      <c r="I381" s="67" t="str">
        <f aca="false">IF(OR($C381="",$D381=""),"",IFERROR($D381*INDEX(Mix_Eff,MATCH($C381,Mix_Code,0),4),""))</f>
        <v/>
      </c>
      <c r="J381" s="67" t="str">
        <f aca="false">IF(OR($C381="",$D381=""),"",IFERROR($D381*INDEX(Mix_Eff,MATCH($C381,Mix_Code,0),5),""))</f>
        <v/>
      </c>
      <c r="K381" s="63"/>
      <c r="L381" s="16" t="str">
        <f aca="false">IF(AND($A381="",$B381="",$C381="",$D381=""),"",IF($A381="","⚠ Date missing",IF($B381="","⚠ Site missing",IF(ISNA(MATCH($C381,Mix_Code,0)),"⚠ Unknown mix code",IF($D381="","⚠ Enter m3 produced",IF(COUNTIF(CI_Site,$B381)=0,"⚠ Site not set up in Current Inventory",IF($A381&gt;AsOfDate,"Future date – not yet deducted","OK")))))))</f>
        <v/>
      </c>
    </row>
    <row r="382" customFormat="false" ht="15" hidden="false" customHeight="false" outlineLevel="0" collapsed="false">
      <c r="A382" s="65"/>
      <c r="B382" s="63"/>
      <c r="C382" s="70"/>
      <c r="D382" s="66"/>
      <c r="E382" s="16" t="str">
        <f aca="false">IF($C382="","",IFERROR(INDEX(Mix_Desc,MATCH($C382,Mix_Code,0)),"⚠ Unknown mix code"))</f>
        <v/>
      </c>
      <c r="F382" s="67" t="str">
        <f aca="false">IF(OR($C382="",$D382=""),"",IFERROR($D382*INDEX(Mix_Eff,MATCH($C382,Mix_Code,0),1),""))</f>
        <v/>
      </c>
      <c r="G382" s="67" t="str">
        <f aca="false">IF(OR($C382="",$D382=""),"",IFERROR($D382*INDEX(Mix_Eff,MATCH($C382,Mix_Code,0),2),""))</f>
        <v/>
      </c>
      <c r="H382" s="67" t="str">
        <f aca="false">IF(OR($C382="",$D382=""),"",IFERROR($D382*INDEX(Mix_Eff,MATCH($C382,Mix_Code,0),3),""))</f>
        <v/>
      </c>
      <c r="I382" s="67" t="str">
        <f aca="false">IF(OR($C382="",$D382=""),"",IFERROR($D382*INDEX(Mix_Eff,MATCH($C382,Mix_Code,0),4),""))</f>
        <v/>
      </c>
      <c r="J382" s="67" t="str">
        <f aca="false">IF(OR($C382="",$D382=""),"",IFERROR($D382*INDEX(Mix_Eff,MATCH($C382,Mix_Code,0),5),""))</f>
        <v/>
      </c>
      <c r="K382" s="63"/>
      <c r="L382" s="16" t="str">
        <f aca="false">IF(AND($A382="",$B382="",$C382="",$D382=""),"",IF($A382="","⚠ Date missing",IF($B382="","⚠ Site missing",IF(ISNA(MATCH($C382,Mix_Code,0)),"⚠ Unknown mix code",IF($D382="","⚠ Enter m3 produced",IF(COUNTIF(CI_Site,$B382)=0,"⚠ Site not set up in Current Inventory",IF($A382&gt;AsOfDate,"Future date – not yet deducted","OK")))))))</f>
        <v/>
      </c>
    </row>
    <row r="383" customFormat="false" ht="15" hidden="false" customHeight="false" outlineLevel="0" collapsed="false">
      <c r="A383" s="65"/>
      <c r="B383" s="63"/>
      <c r="C383" s="70"/>
      <c r="D383" s="66"/>
      <c r="E383" s="16" t="str">
        <f aca="false">IF($C383="","",IFERROR(INDEX(Mix_Desc,MATCH($C383,Mix_Code,0)),"⚠ Unknown mix code"))</f>
        <v/>
      </c>
      <c r="F383" s="67" t="str">
        <f aca="false">IF(OR($C383="",$D383=""),"",IFERROR($D383*INDEX(Mix_Eff,MATCH($C383,Mix_Code,0),1),""))</f>
        <v/>
      </c>
      <c r="G383" s="67" t="str">
        <f aca="false">IF(OR($C383="",$D383=""),"",IFERROR($D383*INDEX(Mix_Eff,MATCH($C383,Mix_Code,0),2),""))</f>
        <v/>
      </c>
      <c r="H383" s="67" t="str">
        <f aca="false">IF(OR($C383="",$D383=""),"",IFERROR($D383*INDEX(Mix_Eff,MATCH($C383,Mix_Code,0),3),""))</f>
        <v/>
      </c>
      <c r="I383" s="67" t="str">
        <f aca="false">IF(OR($C383="",$D383=""),"",IFERROR($D383*INDEX(Mix_Eff,MATCH($C383,Mix_Code,0),4),""))</f>
        <v/>
      </c>
      <c r="J383" s="67" t="str">
        <f aca="false">IF(OR($C383="",$D383=""),"",IFERROR($D383*INDEX(Mix_Eff,MATCH($C383,Mix_Code,0),5),""))</f>
        <v/>
      </c>
      <c r="K383" s="63"/>
      <c r="L383" s="16" t="str">
        <f aca="false">IF(AND($A383="",$B383="",$C383="",$D383=""),"",IF($A383="","⚠ Date missing",IF($B383="","⚠ Site missing",IF(ISNA(MATCH($C383,Mix_Code,0)),"⚠ Unknown mix code",IF($D383="","⚠ Enter m3 produced",IF(COUNTIF(CI_Site,$B383)=0,"⚠ Site not set up in Current Inventory",IF($A383&gt;AsOfDate,"Future date – not yet deducted","OK")))))))</f>
        <v/>
      </c>
    </row>
    <row r="384" customFormat="false" ht="15" hidden="false" customHeight="false" outlineLevel="0" collapsed="false">
      <c r="A384" s="65"/>
      <c r="B384" s="63"/>
      <c r="C384" s="70"/>
      <c r="D384" s="66"/>
      <c r="E384" s="16" t="str">
        <f aca="false">IF($C384="","",IFERROR(INDEX(Mix_Desc,MATCH($C384,Mix_Code,0)),"⚠ Unknown mix code"))</f>
        <v/>
      </c>
      <c r="F384" s="67" t="str">
        <f aca="false">IF(OR($C384="",$D384=""),"",IFERROR($D384*INDEX(Mix_Eff,MATCH($C384,Mix_Code,0),1),""))</f>
        <v/>
      </c>
      <c r="G384" s="67" t="str">
        <f aca="false">IF(OR($C384="",$D384=""),"",IFERROR($D384*INDEX(Mix_Eff,MATCH($C384,Mix_Code,0),2),""))</f>
        <v/>
      </c>
      <c r="H384" s="67" t="str">
        <f aca="false">IF(OR($C384="",$D384=""),"",IFERROR($D384*INDEX(Mix_Eff,MATCH($C384,Mix_Code,0),3),""))</f>
        <v/>
      </c>
      <c r="I384" s="67" t="str">
        <f aca="false">IF(OR($C384="",$D384=""),"",IFERROR($D384*INDEX(Mix_Eff,MATCH($C384,Mix_Code,0),4),""))</f>
        <v/>
      </c>
      <c r="J384" s="67" t="str">
        <f aca="false">IF(OR($C384="",$D384=""),"",IFERROR($D384*INDEX(Mix_Eff,MATCH($C384,Mix_Code,0),5),""))</f>
        <v/>
      </c>
      <c r="K384" s="63"/>
      <c r="L384" s="16" t="str">
        <f aca="false">IF(AND($A384="",$B384="",$C384="",$D384=""),"",IF($A384="","⚠ Date missing",IF($B384="","⚠ Site missing",IF(ISNA(MATCH($C384,Mix_Code,0)),"⚠ Unknown mix code",IF($D384="","⚠ Enter m3 produced",IF(COUNTIF(CI_Site,$B384)=0,"⚠ Site not set up in Current Inventory",IF($A384&gt;AsOfDate,"Future date – not yet deducted","OK")))))))</f>
        <v/>
      </c>
    </row>
    <row r="385" customFormat="false" ht="15" hidden="false" customHeight="false" outlineLevel="0" collapsed="false">
      <c r="A385" s="65"/>
      <c r="B385" s="63"/>
      <c r="C385" s="70"/>
      <c r="D385" s="66"/>
      <c r="E385" s="16" t="str">
        <f aca="false">IF($C385="","",IFERROR(INDEX(Mix_Desc,MATCH($C385,Mix_Code,0)),"⚠ Unknown mix code"))</f>
        <v/>
      </c>
      <c r="F385" s="67" t="str">
        <f aca="false">IF(OR($C385="",$D385=""),"",IFERROR($D385*INDEX(Mix_Eff,MATCH($C385,Mix_Code,0),1),""))</f>
        <v/>
      </c>
      <c r="G385" s="67" t="str">
        <f aca="false">IF(OR($C385="",$D385=""),"",IFERROR($D385*INDEX(Mix_Eff,MATCH($C385,Mix_Code,0),2),""))</f>
        <v/>
      </c>
      <c r="H385" s="67" t="str">
        <f aca="false">IF(OR($C385="",$D385=""),"",IFERROR($D385*INDEX(Mix_Eff,MATCH($C385,Mix_Code,0),3),""))</f>
        <v/>
      </c>
      <c r="I385" s="67" t="str">
        <f aca="false">IF(OR($C385="",$D385=""),"",IFERROR($D385*INDEX(Mix_Eff,MATCH($C385,Mix_Code,0),4),""))</f>
        <v/>
      </c>
      <c r="J385" s="67" t="str">
        <f aca="false">IF(OR($C385="",$D385=""),"",IFERROR($D385*INDEX(Mix_Eff,MATCH($C385,Mix_Code,0),5),""))</f>
        <v/>
      </c>
      <c r="K385" s="63"/>
      <c r="L385" s="16" t="str">
        <f aca="false">IF(AND($A385="",$B385="",$C385="",$D385=""),"",IF($A385="","⚠ Date missing",IF($B385="","⚠ Site missing",IF(ISNA(MATCH($C385,Mix_Code,0)),"⚠ Unknown mix code",IF($D385="","⚠ Enter m3 produced",IF(COUNTIF(CI_Site,$B385)=0,"⚠ Site not set up in Current Inventory",IF($A385&gt;AsOfDate,"Future date – not yet deducted","OK")))))))</f>
        <v/>
      </c>
    </row>
    <row r="386" customFormat="false" ht="15" hidden="false" customHeight="false" outlineLevel="0" collapsed="false">
      <c r="A386" s="65"/>
      <c r="B386" s="63"/>
      <c r="C386" s="70"/>
      <c r="D386" s="66"/>
      <c r="E386" s="16" t="str">
        <f aca="false">IF($C386="","",IFERROR(INDEX(Mix_Desc,MATCH($C386,Mix_Code,0)),"⚠ Unknown mix code"))</f>
        <v/>
      </c>
      <c r="F386" s="67" t="str">
        <f aca="false">IF(OR($C386="",$D386=""),"",IFERROR($D386*INDEX(Mix_Eff,MATCH($C386,Mix_Code,0),1),""))</f>
        <v/>
      </c>
      <c r="G386" s="67" t="str">
        <f aca="false">IF(OR($C386="",$D386=""),"",IFERROR($D386*INDEX(Mix_Eff,MATCH($C386,Mix_Code,0),2),""))</f>
        <v/>
      </c>
      <c r="H386" s="67" t="str">
        <f aca="false">IF(OR($C386="",$D386=""),"",IFERROR($D386*INDEX(Mix_Eff,MATCH($C386,Mix_Code,0),3),""))</f>
        <v/>
      </c>
      <c r="I386" s="67" t="str">
        <f aca="false">IF(OR($C386="",$D386=""),"",IFERROR($D386*INDEX(Mix_Eff,MATCH($C386,Mix_Code,0),4),""))</f>
        <v/>
      </c>
      <c r="J386" s="67" t="str">
        <f aca="false">IF(OR($C386="",$D386=""),"",IFERROR($D386*INDEX(Mix_Eff,MATCH($C386,Mix_Code,0),5),""))</f>
        <v/>
      </c>
      <c r="K386" s="63"/>
      <c r="L386" s="16" t="str">
        <f aca="false">IF(AND($A386="",$B386="",$C386="",$D386=""),"",IF($A386="","⚠ Date missing",IF($B386="","⚠ Site missing",IF(ISNA(MATCH($C386,Mix_Code,0)),"⚠ Unknown mix code",IF($D386="","⚠ Enter m3 produced",IF(COUNTIF(CI_Site,$B386)=0,"⚠ Site not set up in Current Inventory",IF($A386&gt;AsOfDate,"Future date – not yet deducted","OK")))))))</f>
        <v/>
      </c>
    </row>
    <row r="387" customFormat="false" ht="15" hidden="false" customHeight="false" outlineLevel="0" collapsed="false">
      <c r="A387" s="65"/>
      <c r="B387" s="63"/>
      <c r="C387" s="70"/>
      <c r="D387" s="66"/>
      <c r="E387" s="16" t="str">
        <f aca="false">IF($C387="","",IFERROR(INDEX(Mix_Desc,MATCH($C387,Mix_Code,0)),"⚠ Unknown mix code"))</f>
        <v/>
      </c>
      <c r="F387" s="67" t="str">
        <f aca="false">IF(OR($C387="",$D387=""),"",IFERROR($D387*INDEX(Mix_Eff,MATCH($C387,Mix_Code,0),1),""))</f>
        <v/>
      </c>
      <c r="G387" s="67" t="str">
        <f aca="false">IF(OR($C387="",$D387=""),"",IFERROR($D387*INDEX(Mix_Eff,MATCH($C387,Mix_Code,0),2),""))</f>
        <v/>
      </c>
      <c r="H387" s="67" t="str">
        <f aca="false">IF(OR($C387="",$D387=""),"",IFERROR($D387*INDEX(Mix_Eff,MATCH($C387,Mix_Code,0),3),""))</f>
        <v/>
      </c>
      <c r="I387" s="67" t="str">
        <f aca="false">IF(OR($C387="",$D387=""),"",IFERROR($D387*INDEX(Mix_Eff,MATCH($C387,Mix_Code,0),4),""))</f>
        <v/>
      </c>
      <c r="J387" s="67" t="str">
        <f aca="false">IF(OR($C387="",$D387=""),"",IFERROR($D387*INDEX(Mix_Eff,MATCH($C387,Mix_Code,0),5),""))</f>
        <v/>
      </c>
      <c r="K387" s="63"/>
      <c r="L387" s="16" t="str">
        <f aca="false">IF(AND($A387="",$B387="",$C387="",$D387=""),"",IF($A387="","⚠ Date missing",IF($B387="","⚠ Site missing",IF(ISNA(MATCH($C387,Mix_Code,0)),"⚠ Unknown mix code",IF($D387="","⚠ Enter m3 produced",IF(COUNTIF(CI_Site,$B387)=0,"⚠ Site not set up in Current Inventory",IF($A387&gt;AsOfDate,"Future date – not yet deducted","OK")))))))</f>
        <v/>
      </c>
    </row>
    <row r="388" customFormat="false" ht="15" hidden="false" customHeight="false" outlineLevel="0" collapsed="false">
      <c r="A388" s="65"/>
      <c r="B388" s="63"/>
      <c r="C388" s="70"/>
      <c r="D388" s="66"/>
      <c r="E388" s="16" t="str">
        <f aca="false">IF($C388="","",IFERROR(INDEX(Mix_Desc,MATCH($C388,Mix_Code,0)),"⚠ Unknown mix code"))</f>
        <v/>
      </c>
      <c r="F388" s="67" t="str">
        <f aca="false">IF(OR($C388="",$D388=""),"",IFERROR($D388*INDEX(Mix_Eff,MATCH($C388,Mix_Code,0),1),""))</f>
        <v/>
      </c>
      <c r="G388" s="67" t="str">
        <f aca="false">IF(OR($C388="",$D388=""),"",IFERROR($D388*INDEX(Mix_Eff,MATCH($C388,Mix_Code,0),2),""))</f>
        <v/>
      </c>
      <c r="H388" s="67" t="str">
        <f aca="false">IF(OR($C388="",$D388=""),"",IFERROR($D388*INDEX(Mix_Eff,MATCH($C388,Mix_Code,0),3),""))</f>
        <v/>
      </c>
      <c r="I388" s="67" t="str">
        <f aca="false">IF(OR($C388="",$D388=""),"",IFERROR($D388*INDEX(Mix_Eff,MATCH($C388,Mix_Code,0),4),""))</f>
        <v/>
      </c>
      <c r="J388" s="67" t="str">
        <f aca="false">IF(OR($C388="",$D388=""),"",IFERROR($D388*INDEX(Mix_Eff,MATCH($C388,Mix_Code,0),5),""))</f>
        <v/>
      </c>
      <c r="K388" s="63"/>
      <c r="L388" s="16" t="str">
        <f aca="false">IF(AND($A388="",$B388="",$C388="",$D388=""),"",IF($A388="","⚠ Date missing",IF($B388="","⚠ Site missing",IF(ISNA(MATCH($C388,Mix_Code,0)),"⚠ Unknown mix code",IF($D388="","⚠ Enter m3 produced",IF(COUNTIF(CI_Site,$B388)=0,"⚠ Site not set up in Current Inventory",IF($A388&gt;AsOfDate,"Future date – not yet deducted","OK")))))))</f>
        <v/>
      </c>
    </row>
    <row r="389" customFormat="false" ht="15" hidden="false" customHeight="false" outlineLevel="0" collapsed="false">
      <c r="A389" s="65"/>
      <c r="B389" s="63"/>
      <c r="C389" s="70"/>
      <c r="D389" s="66"/>
      <c r="E389" s="16" t="str">
        <f aca="false">IF($C389="","",IFERROR(INDEX(Mix_Desc,MATCH($C389,Mix_Code,0)),"⚠ Unknown mix code"))</f>
        <v/>
      </c>
      <c r="F389" s="67" t="str">
        <f aca="false">IF(OR($C389="",$D389=""),"",IFERROR($D389*INDEX(Mix_Eff,MATCH($C389,Mix_Code,0),1),""))</f>
        <v/>
      </c>
      <c r="G389" s="67" t="str">
        <f aca="false">IF(OR($C389="",$D389=""),"",IFERROR($D389*INDEX(Mix_Eff,MATCH($C389,Mix_Code,0),2),""))</f>
        <v/>
      </c>
      <c r="H389" s="67" t="str">
        <f aca="false">IF(OR($C389="",$D389=""),"",IFERROR($D389*INDEX(Mix_Eff,MATCH($C389,Mix_Code,0),3),""))</f>
        <v/>
      </c>
      <c r="I389" s="67" t="str">
        <f aca="false">IF(OR($C389="",$D389=""),"",IFERROR($D389*INDEX(Mix_Eff,MATCH($C389,Mix_Code,0),4),""))</f>
        <v/>
      </c>
      <c r="J389" s="67" t="str">
        <f aca="false">IF(OR($C389="",$D389=""),"",IFERROR($D389*INDEX(Mix_Eff,MATCH($C389,Mix_Code,0),5),""))</f>
        <v/>
      </c>
      <c r="K389" s="63"/>
      <c r="L389" s="16" t="str">
        <f aca="false">IF(AND($A389="",$B389="",$C389="",$D389=""),"",IF($A389="","⚠ Date missing",IF($B389="","⚠ Site missing",IF(ISNA(MATCH($C389,Mix_Code,0)),"⚠ Unknown mix code",IF($D389="","⚠ Enter m3 produced",IF(COUNTIF(CI_Site,$B389)=0,"⚠ Site not set up in Current Inventory",IF($A389&gt;AsOfDate,"Future date – not yet deducted","OK")))))))</f>
        <v/>
      </c>
    </row>
    <row r="390" customFormat="false" ht="15" hidden="false" customHeight="false" outlineLevel="0" collapsed="false">
      <c r="A390" s="65"/>
      <c r="B390" s="63"/>
      <c r="C390" s="70"/>
      <c r="D390" s="66"/>
      <c r="E390" s="16" t="str">
        <f aca="false">IF($C390="","",IFERROR(INDEX(Mix_Desc,MATCH($C390,Mix_Code,0)),"⚠ Unknown mix code"))</f>
        <v/>
      </c>
      <c r="F390" s="67" t="str">
        <f aca="false">IF(OR($C390="",$D390=""),"",IFERROR($D390*INDEX(Mix_Eff,MATCH($C390,Mix_Code,0),1),""))</f>
        <v/>
      </c>
      <c r="G390" s="67" t="str">
        <f aca="false">IF(OR($C390="",$D390=""),"",IFERROR($D390*INDEX(Mix_Eff,MATCH($C390,Mix_Code,0),2),""))</f>
        <v/>
      </c>
      <c r="H390" s="67" t="str">
        <f aca="false">IF(OR($C390="",$D390=""),"",IFERROR($D390*INDEX(Mix_Eff,MATCH($C390,Mix_Code,0),3),""))</f>
        <v/>
      </c>
      <c r="I390" s="67" t="str">
        <f aca="false">IF(OR($C390="",$D390=""),"",IFERROR($D390*INDEX(Mix_Eff,MATCH($C390,Mix_Code,0),4),""))</f>
        <v/>
      </c>
      <c r="J390" s="67" t="str">
        <f aca="false">IF(OR($C390="",$D390=""),"",IFERROR($D390*INDEX(Mix_Eff,MATCH($C390,Mix_Code,0),5),""))</f>
        <v/>
      </c>
      <c r="K390" s="63"/>
      <c r="L390" s="16" t="str">
        <f aca="false">IF(AND($A390="",$B390="",$C390="",$D390=""),"",IF($A390="","⚠ Date missing",IF($B390="","⚠ Site missing",IF(ISNA(MATCH($C390,Mix_Code,0)),"⚠ Unknown mix code",IF($D390="","⚠ Enter m3 produced",IF(COUNTIF(CI_Site,$B390)=0,"⚠ Site not set up in Current Inventory",IF($A390&gt;AsOfDate,"Future date – not yet deducted","OK")))))))</f>
        <v/>
      </c>
    </row>
    <row r="391" customFormat="false" ht="15" hidden="false" customHeight="false" outlineLevel="0" collapsed="false">
      <c r="A391" s="65"/>
      <c r="B391" s="63"/>
      <c r="C391" s="70"/>
      <c r="D391" s="66"/>
      <c r="E391" s="16" t="str">
        <f aca="false">IF($C391="","",IFERROR(INDEX(Mix_Desc,MATCH($C391,Mix_Code,0)),"⚠ Unknown mix code"))</f>
        <v/>
      </c>
      <c r="F391" s="67" t="str">
        <f aca="false">IF(OR($C391="",$D391=""),"",IFERROR($D391*INDEX(Mix_Eff,MATCH($C391,Mix_Code,0),1),""))</f>
        <v/>
      </c>
      <c r="G391" s="67" t="str">
        <f aca="false">IF(OR($C391="",$D391=""),"",IFERROR($D391*INDEX(Mix_Eff,MATCH($C391,Mix_Code,0),2),""))</f>
        <v/>
      </c>
      <c r="H391" s="67" t="str">
        <f aca="false">IF(OR($C391="",$D391=""),"",IFERROR($D391*INDEX(Mix_Eff,MATCH($C391,Mix_Code,0),3),""))</f>
        <v/>
      </c>
      <c r="I391" s="67" t="str">
        <f aca="false">IF(OR($C391="",$D391=""),"",IFERROR($D391*INDEX(Mix_Eff,MATCH($C391,Mix_Code,0),4),""))</f>
        <v/>
      </c>
      <c r="J391" s="67" t="str">
        <f aca="false">IF(OR($C391="",$D391=""),"",IFERROR($D391*INDEX(Mix_Eff,MATCH($C391,Mix_Code,0),5),""))</f>
        <v/>
      </c>
      <c r="K391" s="63"/>
      <c r="L391" s="16" t="str">
        <f aca="false">IF(AND($A391="",$B391="",$C391="",$D391=""),"",IF($A391="","⚠ Date missing",IF($B391="","⚠ Site missing",IF(ISNA(MATCH($C391,Mix_Code,0)),"⚠ Unknown mix code",IF($D391="","⚠ Enter m3 produced",IF(COUNTIF(CI_Site,$B391)=0,"⚠ Site not set up in Current Inventory",IF($A391&gt;AsOfDate,"Future date – not yet deducted","OK")))))))</f>
        <v/>
      </c>
    </row>
    <row r="392" customFormat="false" ht="15" hidden="false" customHeight="false" outlineLevel="0" collapsed="false">
      <c r="A392" s="65"/>
      <c r="B392" s="63"/>
      <c r="C392" s="70"/>
      <c r="D392" s="66"/>
      <c r="E392" s="16" t="str">
        <f aca="false">IF($C392="","",IFERROR(INDEX(Mix_Desc,MATCH($C392,Mix_Code,0)),"⚠ Unknown mix code"))</f>
        <v/>
      </c>
      <c r="F392" s="67" t="str">
        <f aca="false">IF(OR($C392="",$D392=""),"",IFERROR($D392*INDEX(Mix_Eff,MATCH($C392,Mix_Code,0),1),""))</f>
        <v/>
      </c>
      <c r="G392" s="67" t="str">
        <f aca="false">IF(OR($C392="",$D392=""),"",IFERROR($D392*INDEX(Mix_Eff,MATCH($C392,Mix_Code,0),2),""))</f>
        <v/>
      </c>
      <c r="H392" s="67" t="str">
        <f aca="false">IF(OR($C392="",$D392=""),"",IFERROR($D392*INDEX(Mix_Eff,MATCH($C392,Mix_Code,0),3),""))</f>
        <v/>
      </c>
      <c r="I392" s="67" t="str">
        <f aca="false">IF(OR($C392="",$D392=""),"",IFERROR($D392*INDEX(Mix_Eff,MATCH($C392,Mix_Code,0),4),""))</f>
        <v/>
      </c>
      <c r="J392" s="67" t="str">
        <f aca="false">IF(OR($C392="",$D392=""),"",IFERROR($D392*INDEX(Mix_Eff,MATCH($C392,Mix_Code,0),5),""))</f>
        <v/>
      </c>
      <c r="K392" s="63"/>
      <c r="L392" s="16" t="str">
        <f aca="false">IF(AND($A392="",$B392="",$C392="",$D392=""),"",IF($A392="","⚠ Date missing",IF($B392="","⚠ Site missing",IF(ISNA(MATCH($C392,Mix_Code,0)),"⚠ Unknown mix code",IF($D392="","⚠ Enter m3 produced",IF(COUNTIF(CI_Site,$B392)=0,"⚠ Site not set up in Current Inventory",IF($A392&gt;AsOfDate,"Future date – not yet deducted","OK")))))))</f>
        <v/>
      </c>
    </row>
    <row r="393" customFormat="false" ht="15" hidden="false" customHeight="false" outlineLevel="0" collapsed="false">
      <c r="A393" s="65"/>
      <c r="B393" s="63"/>
      <c r="C393" s="70"/>
      <c r="D393" s="66"/>
      <c r="E393" s="16" t="str">
        <f aca="false">IF($C393="","",IFERROR(INDEX(Mix_Desc,MATCH($C393,Mix_Code,0)),"⚠ Unknown mix code"))</f>
        <v/>
      </c>
      <c r="F393" s="67" t="str">
        <f aca="false">IF(OR($C393="",$D393=""),"",IFERROR($D393*INDEX(Mix_Eff,MATCH($C393,Mix_Code,0),1),""))</f>
        <v/>
      </c>
      <c r="G393" s="67" t="str">
        <f aca="false">IF(OR($C393="",$D393=""),"",IFERROR($D393*INDEX(Mix_Eff,MATCH($C393,Mix_Code,0),2),""))</f>
        <v/>
      </c>
      <c r="H393" s="67" t="str">
        <f aca="false">IF(OR($C393="",$D393=""),"",IFERROR($D393*INDEX(Mix_Eff,MATCH($C393,Mix_Code,0),3),""))</f>
        <v/>
      </c>
      <c r="I393" s="67" t="str">
        <f aca="false">IF(OR($C393="",$D393=""),"",IFERROR($D393*INDEX(Mix_Eff,MATCH($C393,Mix_Code,0),4),""))</f>
        <v/>
      </c>
      <c r="J393" s="67" t="str">
        <f aca="false">IF(OR($C393="",$D393=""),"",IFERROR($D393*INDEX(Mix_Eff,MATCH($C393,Mix_Code,0),5),""))</f>
        <v/>
      </c>
      <c r="K393" s="63"/>
      <c r="L393" s="16" t="str">
        <f aca="false">IF(AND($A393="",$B393="",$C393="",$D393=""),"",IF($A393="","⚠ Date missing",IF($B393="","⚠ Site missing",IF(ISNA(MATCH($C393,Mix_Code,0)),"⚠ Unknown mix code",IF($D393="","⚠ Enter m3 produced",IF(COUNTIF(CI_Site,$B393)=0,"⚠ Site not set up in Current Inventory",IF($A393&gt;AsOfDate,"Future date – not yet deducted","OK")))))))</f>
        <v/>
      </c>
    </row>
    <row r="394" customFormat="false" ht="15" hidden="false" customHeight="false" outlineLevel="0" collapsed="false">
      <c r="A394" s="65"/>
      <c r="B394" s="63"/>
      <c r="C394" s="70"/>
      <c r="D394" s="66"/>
      <c r="E394" s="16" t="str">
        <f aca="false">IF($C394="","",IFERROR(INDEX(Mix_Desc,MATCH($C394,Mix_Code,0)),"⚠ Unknown mix code"))</f>
        <v/>
      </c>
      <c r="F394" s="67" t="str">
        <f aca="false">IF(OR($C394="",$D394=""),"",IFERROR($D394*INDEX(Mix_Eff,MATCH($C394,Mix_Code,0),1),""))</f>
        <v/>
      </c>
      <c r="G394" s="67" t="str">
        <f aca="false">IF(OR($C394="",$D394=""),"",IFERROR($D394*INDEX(Mix_Eff,MATCH($C394,Mix_Code,0),2),""))</f>
        <v/>
      </c>
      <c r="H394" s="67" t="str">
        <f aca="false">IF(OR($C394="",$D394=""),"",IFERROR($D394*INDEX(Mix_Eff,MATCH($C394,Mix_Code,0),3),""))</f>
        <v/>
      </c>
      <c r="I394" s="67" t="str">
        <f aca="false">IF(OR($C394="",$D394=""),"",IFERROR($D394*INDEX(Mix_Eff,MATCH($C394,Mix_Code,0),4),""))</f>
        <v/>
      </c>
      <c r="J394" s="67" t="str">
        <f aca="false">IF(OR($C394="",$D394=""),"",IFERROR($D394*INDEX(Mix_Eff,MATCH($C394,Mix_Code,0),5),""))</f>
        <v/>
      </c>
      <c r="K394" s="63"/>
      <c r="L394" s="16" t="str">
        <f aca="false">IF(AND($A394="",$B394="",$C394="",$D394=""),"",IF($A394="","⚠ Date missing",IF($B394="","⚠ Site missing",IF(ISNA(MATCH($C394,Mix_Code,0)),"⚠ Unknown mix code",IF($D394="","⚠ Enter m3 produced",IF(COUNTIF(CI_Site,$B394)=0,"⚠ Site not set up in Current Inventory",IF($A394&gt;AsOfDate,"Future date – not yet deducted","OK")))))))</f>
        <v/>
      </c>
    </row>
    <row r="395" customFormat="false" ht="15" hidden="false" customHeight="false" outlineLevel="0" collapsed="false">
      <c r="A395" s="65"/>
      <c r="B395" s="63"/>
      <c r="C395" s="70"/>
      <c r="D395" s="66"/>
      <c r="E395" s="16" t="str">
        <f aca="false">IF($C395="","",IFERROR(INDEX(Mix_Desc,MATCH($C395,Mix_Code,0)),"⚠ Unknown mix code"))</f>
        <v/>
      </c>
      <c r="F395" s="67" t="str">
        <f aca="false">IF(OR($C395="",$D395=""),"",IFERROR($D395*INDEX(Mix_Eff,MATCH($C395,Mix_Code,0),1),""))</f>
        <v/>
      </c>
      <c r="G395" s="67" t="str">
        <f aca="false">IF(OR($C395="",$D395=""),"",IFERROR($D395*INDEX(Mix_Eff,MATCH($C395,Mix_Code,0),2),""))</f>
        <v/>
      </c>
      <c r="H395" s="67" t="str">
        <f aca="false">IF(OR($C395="",$D395=""),"",IFERROR($D395*INDEX(Mix_Eff,MATCH($C395,Mix_Code,0),3),""))</f>
        <v/>
      </c>
      <c r="I395" s="67" t="str">
        <f aca="false">IF(OR($C395="",$D395=""),"",IFERROR($D395*INDEX(Mix_Eff,MATCH($C395,Mix_Code,0),4),""))</f>
        <v/>
      </c>
      <c r="J395" s="67" t="str">
        <f aca="false">IF(OR($C395="",$D395=""),"",IFERROR($D395*INDEX(Mix_Eff,MATCH($C395,Mix_Code,0),5),""))</f>
        <v/>
      </c>
      <c r="K395" s="63"/>
      <c r="L395" s="16" t="str">
        <f aca="false">IF(AND($A395="",$B395="",$C395="",$D395=""),"",IF($A395="","⚠ Date missing",IF($B395="","⚠ Site missing",IF(ISNA(MATCH($C395,Mix_Code,0)),"⚠ Unknown mix code",IF($D395="","⚠ Enter m3 produced",IF(COUNTIF(CI_Site,$B395)=0,"⚠ Site not set up in Current Inventory",IF($A395&gt;AsOfDate,"Future date – not yet deducted","OK")))))))</f>
        <v/>
      </c>
    </row>
    <row r="396" customFormat="false" ht="15" hidden="false" customHeight="false" outlineLevel="0" collapsed="false">
      <c r="A396" s="65"/>
      <c r="B396" s="63"/>
      <c r="C396" s="70"/>
      <c r="D396" s="66"/>
      <c r="E396" s="16" t="str">
        <f aca="false">IF($C396="","",IFERROR(INDEX(Mix_Desc,MATCH($C396,Mix_Code,0)),"⚠ Unknown mix code"))</f>
        <v/>
      </c>
      <c r="F396" s="67" t="str">
        <f aca="false">IF(OR($C396="",$D396=""),"",IFERROR($D396*INDEX(Mix_Eff,MATCH($C396,Mix_Code,0),1),""))</f>
        <v/>
      </c>
      <c r="G396" s="67" t="str">
        <f aca="false">IF(OR($C396="",$D396=""),"",IFERROR($D396*INDEX(Mix_Eff,MATCH($C396,Mix_Code,0),2),""))</f>
        <v/>
      </c>
      <c r="H396" s="67" t="str">
        <f aca="false">IF(OR($C396="",$D396=""),"",IFERROR($D396*INDEX(Mix_Eff,MATCH($C396,Mix_Code,0),3),""))</f>
        <v/>
      </c>
      <c r="I396" s="67" t="str">
        <f aca="false">IF(OR($C396="",$D396=""),"",IFERROR($D396*INDEX(Mix_Eff,MATCH($C396,Mix_Code,0),4),""))</f>
        <v/>
      </c>
      <c r="J396" s="67" t="str">
        <f aca="false">IF(OR($C396="",$D396=""),"",IFERROR($D396*INDEX(Mix_Eff,MATCH($C396,Mix_Code,0),5),""))</f>
        <v/>
      </c>
      <c r="K396" s="63"/>
      <c r="L396" s="16" t="str">
        <f aca="false">IF(AND($A396="",$B396="",$C396="",$D396=""),"",IF($A396="","⚠ Date missing",IF($B396="","⚠ Site missing",IF(ISNA(MATCH($C396,Mix_Code,0)),"⚠ Unknown mix code",IF($D396="","⚠ Enter m3 produced",IF(COUNTIF(CI_Site,$B396)=0,"⚠ Site not set up in Current Inventory",IF($A396&gt;AsOfDate,"Future date – not yet deducted","OK")))))))</f>
        <v/>
      </c>
    </row>
    <row r="397" customFormat="false" ht="15" hidden="false" customHeight="false" outlineLevel="0" collapsed="false">
      <c r="A397" s="65"/>
      <c r="B397" s="63"/>
      <c r="C397" s="70"/>
      <c r="D397" s="66"/>
      <c r="E397" s="16" t="str">
        <f aca="false">IF($C397="","",IFERROR(INDEX(Mix_Desc,MATCH($C397,Mix_Code,0)),"⚠ Unknown mix code"))</f>
        <v/>
      </c>
      <c r="F397" s="67" t="str">
        <f aca="false">IF(OR($C397="",$D397=""),"",IFERROR($D397*INDEX(Mix_Eff,MATCH($C397,Mix_Code,0),1),""))</f>
        <v/>
      </c>
      <c r="G397" s="67" t="str">
        <f aca="false">IF(OR($C397="",$D397=""),"",IFERROR($D397*INDEX(Mix_Eff,MATCH($C397,Mix_Code,0),2),""))</f>
        <v/>
      </c>
      <c r="H397" s="67" t="str">
        <f aca="false">IF(OR($C397="",$D397=""),"",IFERROR($D397*INDEX(Mix_Eff,MATCH($C397,Mix_Code,0),3),""))</f>
        <v/>
      </c>
      <c r="I397" s="67" t="str">
        <f aca="false">IF(OR($C397="",$D397=""),"",IFERROR($D397*INDEX(Mix_Eff,MATCH($C397,Mix_Code,0),4),""))</f>
        <v/>
      </c>
      <c r="J397" s="67" t="str">
        <f aca="false">IF(OR($C397="",$D397=""),"",IFERROR($D397*INDEX(Mix_Eff,MATCH($C397,Mix_Code,0),5),""))</f>
        <v/>
      </c>
      <c r="K397" s="63"/>
      <c r="L397" s="16" t="str">
        <f aca="false">IF(AND($A397="",$B397="",$C397="",$D397=""),"",IF($A397="","⚠ Date missing",IF($B397="","⚠ Site missing",IF(ISNA(MATCH($C397,Mix_Code,0)),"⚠ Unknown mix code",IF($D397="","⚠ Enter m3 produced",IF(COUNTIF(CI_Site,$B397)=0,"⚠ Site not set up in Current Inventory",IF($A397&gt;AsOfDate,"Future date – not yet deducted","OK")))))))</f>
        <v/>
      </c>
    </row>
    <row r="398" customFormat="false" ht="15" hidden="false" customHeight="false" outlineLevel="0" collapsed="false">
      <c r="A398" s="65"/>
      <c r="B398" s="63"/>
      <c r="C398" s="70"/>
      <c r="D398" s="66"/>
      <c r="E398" s="16" t="str">
        <f aca="false">IF($C398="","",IFERROR(INDEX(Mix_Desc,MATCH($C398,Mix_Code,0)),"⚠ Unknown mix code"))</f>
        <v/>
      </c>
      <c r="F398" s="67" t="str">
        <f aca="false">IF(OR($C398="",$D398=""),"",IFERROR($D398*INDEX(Mix_Eff,MATCH($C398,Mix_Code,0),1),""))</f>
        <v/>
      </c>
      <c r="G398" s="67" t="str">
        <f aca="false">IF(OR($C398="",$D398=""),"",IFERROR($D398*INDEX(Mix_Eff,MATCH($C398,Mix_Code,0),2),""))</f>
        <v/>
      </c>
      <c r="H398" s="67" t="str">
        <f aca="false">IF(OR($C398="",$D398=""),"",IFERROR($D398*INDEX(Mix_Eff,MATCH($C398,Mix_Code,0),3),""))</f>
        <v/>
      </c>
      <c r="I398" s="67" t="str">
        <f aca="false">IF(OR($C398="",$D398=""),"",IFERROR($D398*INDEX(Mix_Eff,MATCH($C398,Mix_Code,0),4),""))</f>
        <v/>
      </c>
      <c r="J398" s="67" t="str">
        <f aca="false">IF(OR($C398="",$D398=""),"",IFERROR($D398*INDEX(Mix_Eff,MATCH($C398,Mix_Code,0),5),""))</f>
        <v/>
      </c>
      <c r="K398" s="63"/>
      <c r="L398" s="16" t="str">
        <f aca="false">IF(AND($A398="",$B398="",$C398="",$D398=""),"",IF($A398="","⚠ Date missing",IF($B398="","⚠ Site missing",IF(ISNA(MATCH($C398,Mix_Code,0)),"⚠ Unknown mix code",IF($D398="","⚠ Enter m3 produced",IF(COUNTIF(CI_Site,$B398)=0,"⚠ Site not set up in Current Inventory",IF($A398&gt;AsOfDate,"Future date – not yet deducted","OK")))))))</f>
        <v/>
      </c>
    </row>
    <row r="399" customFormat="false" ht="15" hidden="false" customHeight="false" outlineLevel="0" collapsed="false">
      <c r="A399" s="65"/>
      <c r="B399" s="63"/>
      <c r="C399" s="70"/>
      <c r="D399" s="66"/>
      <c r="E399" s="16" t="str">
        <f aca="false">IF($C399="","",IFERROR(INDEX(Mix_Desc,MATCH($C399,Mix_Code,0)),"⚠ Unknown mix code"))</f>
        <v/>
      </c>
      <c r="F399" s="67" t="str">
        <f aca="false">IF(OR($C399="",$D399=""),"",IFERROR($D399*INDEX(Mix_Eff,MATCH($C399,Mix_Code,0),1),""))</f>
        <v/>
      </c>
      <c r="G399" s="67" t="str">
        <f aca="false">IF(OR($C399="",$D399=""),"",IFERROR($D399*INDEX(Mix_Eff,MATCH($C399,Mix_Code,0),2),""))</f>
        <v/>
      </c>
      <c r="H399" s="67" t="str">
        <f aca="false">IF(OR($C399="",$D399=""),"",IFERROR($D399*INDEX(Mix_Eff,MATCH($C399,Mix_Code,0),3),""))</f>
        <v/>
      </c>
      <c r="I399" s="67" t="str">
        <f aca="false">IF(OR($C399="",$D399=""),"",IFERROR($D399*INDEX(Mix_Eff,MATCH($C399,Mix_Code,0),4),""))</f>
        <v/>
      </c>
      <c r="J399" s="67" t="str">
        <f aca="false">IF(OR($C399="",$D399=""),"",IFERROR($D399*INDEX(Mix_Eff,MATCH($C399,Mix_Code,0),5),""))</f>
        <v/>
      </c>
      <c r="K399" s="63"/>
      <c r="L399" s="16" t="str">
        <f aca="false">IF(AND($A399="",$B399="",$C399="",$D399=""),"",IF($A399="","⚠ Date missing",IF($B399="","⚠ Site missing",IF(ISNA(MATCH($C399,Mix_Code,0)),"⚠ Unknown mix code",IF($D399="","⚠ Enter m3 produced",IF(COUNTIF(CI_Site,$B399)=0,"⚠ Site not set up in Current Inventory",IF($A399&gt;AsOfDate,"Future date – not yet deducted","OK")))))))</f>
        <v/>
      </c>
    </row>
    <row r="400" customFormat="false" ht="15" hidden="false" customHeight="false" outlineLevel="0" collapsed="false">
      <c r="A400" s="65"/>
      <c r="B400" s="63"/>
      <c r="C400" s="70"/>
      <c r="D400" s="66"/>
      <c r="E400" s="16" t="str">
        <f aca="false">IF($C400="","",IFERROR(INDEX(Mix_Desc,MATCH($C400,Mix_Code,0)),"⚠ Unknown mix code"))</f>
        <v/>
      </c>
      <c r="F400" s="67" t="str">
        <f aca="false">IF(OR($C400="",$D400=""),"",IFERROR($D400*INDEX(Mix_Eff,MATCH($C400,Mix_Code,0),1),""))</f>
        <v/>
      </c>
      <c r="G400" s="67" t="str">
        <f aca="false">IF(OR($C400="",$D400=""),"",IFERROR($D400*INDEX(Mix_Eff,MATCH($C400,Mix_Code,0),2),""))</f>
        <v/>
      </c>
      <c r="H400" s="67" t="str">
        <f aca="false">IF(OR($C400="",$D400=""),"",IFERROR($D400*INDEX(Mix_Eff,MATCH($C400,Mix_Code,0),3),""))</f>
        <v/>
      </c>
      <c r="I400" s="67" t="str">
        <f aca="false">IF(OR($C400="",$D400=""),"",IFERROR($D400*INDEX(Mix_Eff,MATCH($C400,Mix_Code,0),4),""))</f>
        <v/>
      </c>
      <c r="J400" s="67" t="str">
        <f aca="false">IF(OR($C400="",$D400=""),"",IFERROR($D400*INDEX(Mix_Eff,MATCH($C400,Mix_Code,0),5),""))</f>
        <v/>
      </c>
      <c r="K400" s="63"/>
      <c r="L400" s="16" t="str">
        <f aca="false">IF(AND($A400="",$B400="",$C400="",$D400=""),"",IF($A400="","⚠ Date missing",IF($B400="","⚠ Site missing",IF(ISNA(MATCH($C400,Mix_Code,0)),"⚠ Unknown mix code",IF($D400="","⚠ Enter m3 produced",IF(COUNTIF(CI_Site,$B400)=0,"⚠ Site not set up in Current Inventory",IF($A400&gt;AsOfDate,"Future date – not yet deducted","OK")))))))</f>
        <v/>
      </c>
    </row>
    <row r="401" customFormat="false" ht="15" hidden="false" customHeight="false" outlineLevel="0" collapsed="false">
      <c r="A401" s="65"/>
      <c r="B401" s="63"/>
      <c r="C401" s="70"/>
      <c r="D401" s="66"/>
      <c r="E401" s="16" t="str">
        <f aca="false">IF($C401="","",IFERROR(INDEX(Mix_Desc,MATCH($C401,Mix_Code,0)),"⚠ Unknown mix code"))</f>
        <v/>
      </c>
      <c r="F401" s="67" t="str">
        <f aca="false">IF(OR($C401="",$D401=""),"",IFERROR($D401*INDEX(Mix_Eff,MATCH($C401,Mix_Code,0),1),""))</f>
        <v/>
      </c>
      <c r="G401" s="67" t="str">
        <f aca="false">IF(OR($C401="",$D401=""),"",IFERROR($D401*INDEX(Mix_Eff,MATCH($C401,Mix_Code,0),2),""))</f>
        <v/>
      </c>
      <c r="H401" s="67" t="str">
        <f aca="false">IF(OR($C401="",$D401=""),"",IFERROR($D401*INDEX(Mix_Eff,MATCH($C401,Mix_Code,0),3),""))</f>
        <v/>
      </c>
      <c r="I401" s="67" t="str">
        <f aca="false">IF(OR($C401="",$D401=""),"",IFERROR($D401*INDEX(Mix_Eff,MATCH($C401,Mix_Code,0),4),""))</f>
        <v/>
      </c>
      <c r="J401" s="67" t="str">
        <f aca="false">IF(OR($C401="",$D401=""),"",IFERROR($D401*INDEX(Mix_Eff,MATCH($C401,Mix_Code,0),5),""))</f>
        <v/>
      </c>
      <c r="K401" s="63"/>
      <c r="L401" s="16" t="str">
        <f aca="false">IF(AND($A401="",$B401="",$C401="",$D401=""),"",IF($A401="","⚠ Date missing",IF($B401="","⚠ Site missing",IF(ISNA(MATCH($C401,Mix_Code,0)),"⚠ Unknown mix code",IF($D401="","⚠ Enter m3 produced",IF(COUNTIF(CI_Site,$B401)=0,"⚠ Site not set up in Current Inventory",IF($A401&gt;AsOfDate,"Future date – not yet deducted","OK")))))))</f>
        <v/>
      </c>
    </row>
    <row r="402" customFormat="false" ht="15" hidden="false" customHeight="false" outlineLevel="0" collapsed="false">
      <c r="A402" s="65"/>
      <c r="B402" s="63"/>
      <c r="C402" s="70"/>
      <c r="D402" s="66"/>
      <c r="E402" s="16" t="str">
        <f aca="false">IF($C402="","",IFERROR(INDEX(Mix_Desc,MATCH($C402,Mix_Code,0)),"⚠ Unknown mix code"))</f>
        <v/>
      </c>
      <c r="F402" s="67" t="str">
        <f aca="false">IF(OR($C402="",$D402=""),"",IFERROR($D402*INDEX(Mix_Eff,MATCH($C402,Mix_Code,0),1),""))</f>
        <v/>
      </c>
      <c r="G402" s="67" t="str">
        <f aca="false">IF(OR($C402="",$D402=""),"",IFERROR($D402*INDEX(Mix_Eff,MATCH($C402,Mix_Code,0),2),""))</f>
        <v/>
      </c>
      <c r="H402" s="67" t="str">
        <f aca="false">IF(OR($C402="",$D402=""),"",IFERROR($D402*INDEX(Mix_Eff,MATCH($C402,Mix_Code,0),3),""))</f>
        <v/>
      </c>
      <c r="I402" s="67" t="str">
        <f aca="false">IF(OR($C402="",$D402=""),"",IFERROR($D402*INDEX(Mix_Eff,MATCH($C402,Mix_Code,0),4),""))</f>
        <v/>
      </c>
      <c r="J402" s="67" t="str">
        <f aca="false">IF(OR($C402="",$D402=""),"",IFERROR($D402*INDEX(Mix_Eff,MATCH($C402,Mix_Code,0),5),""))</f>
        <v/>
      </c>
      <c r="K402" s="63"/>
      <c r="L402" s="16" t="str">
        <f aca="false">IF(AND($A402="",$B402="",$C402="",$D402=""),"",IF($A402="","⚠ Date missing",IF($B402="","⚠ Site missing",IF(ISNA(MATCH($C402,Mix_Code,0)),"⚠ Unknown mix code",IF($D402="","⚠ Enter m3 produced",IF(COUNTIF(CI_Site,$B402)=0,"⚠ Site not set up in Current Inventory",IF($A402&gt;AsOfDate,"Future date – not yet deducted","OK")))))))</f>
        <v/>
      </c>
    </row>
    <row r="403" customFormat="false" ht="15" hidden="false" customHeight="false" outlineLevel="0" collapsed="false">
      <c r="A403" s="65"/>
      <c r="B403" s="63"/>
      <c r="C403" s="70"/>
      <c r="D403" s="66"/>
      <c r="E403" s="16" t="str">
        <f aca="false">IF($C403="","",IFERROR(INDEX(Mix_Desc,MATCH($C403,Mix_Code,0)),"⚠ Unknown mix code"))</f>
        <v/>
      </c>
      <c r="F403" s="67" t="str">
        <f aca="false">IF(OR($C403="",$D403=""),"",IFERROR($D403*INDEX(Mix_Eff,MATCH($C403,Mix_Code,0),1),""))</f>
        <v/>
      </c>
      <c r="G403" s="67" t="str">
        <f aca="false">IF(OR($C403="",$D403=""),"",IFERROR($D403*INDEX(Mix_Eff,MATCH($C403,Mix_Code,0),2),""))</f>
        <v/>
      </c>
      <c r="H403" s="67" t="str">
        <f aca="false">IF(OR($C403="",$D403=""),"",IFERROR($D403*INDEX(Mix_Eff,MATCH($C403,Mix_Code,0),3),""))</f>
        <v/>
      </c>
      <c r="I403" s="67" t="str">
        <f aca="false">IF(OR($C403="",$D403=""),"",IFERROR($D403*INDEX(Mix_Eff,MATCH($C403,Mix_Code,0),4),""))</f>
        <v/>
      </c>
      <c r="J403" s="67" t="str">
        <f aca="false">IF(OR($C403="",$D403=""),"",IFERROR($D403*INDEX(Mix_Eff,MATCH($C403,Mix_Code,0),5),""))</f>
        <v/>
      </c>
      <c r="K403" s="63"/>
      <c r="L403" s="16" t="str">
        <f aca="false">IF(AND($A403="",$B403="",$C403="",$D403=""),"",IF($A403="","⚠ Date missing",IF($B403="","⚠ Site missing",IF(ISNA(MATCH($C403,Mix_Code,0)),"⚠ Unknown mix code",IF($D403="","⚠ Enter m3 produced",IF(COUNTIF(CI_Site,$B403)=0,"⚠ Site not set up in Current Inventory",IF($A403&gt;AsOfDate,"Future date – not yet deducted","OK")))))))</f>
        <v/>
      </c>
    </row>
    <row r="404" customFormat="false" ht="15" hidden="false" customHeight="false" outlineLevel="0" collapsed="false">
      <c r="A404" s="65"/>
      <c r="B404" s="63"/>
      <c r="C404" s="70"/>
      <c r="D404" s="66"/>
      <c r="E404" s="16" t="str">
        <f aca="false">IF($C404="","",IFERROR(INDEX(Mix_Desc,MATCH($C404,Mix_Code,0)),"⚠ Unknown mix code"))</f>
        <v/>
      </c>
      <c r="F404" s="67" t="str">
        <f aca="false">IF(OR($C404="",$D404=""),"",IFERROR($D404*INDEX(Mix_Eff,MATCH($C404,Mix_Code,0),1),""))</f>
        <v/>
      </c>
      <c r="G404" s="67" t="str">
        <f aca="false">IF(OR($C404="",$D404=""),"",IFERROR($D404*INDEX(Mix_Eff,MATCH($C404,Mix_Code,0),2),""))</f>
        <v/>
      </c>
      <c r="H404" s="67" t="str">
        <f aca="false">IF(OR($C404="",$D404=""),"",IFERROR($D404*INDEX(Mix_Eff,MATCH($C404,Mix_Code,0),3),""))</f>
        <v/>
      </c>
      <c r="I404" s="67" t="str">
        <f aca="false">IF(OR($C404="",$D404=""),"",IFERROR($D404*INDEX(Mix_Eff,MATCH($C404,Mix_Code,0),4),""))</f>
        <v/>
      </c>
      <c r="J404" s="67" t="str">
        <f aca="false">IF(OR($C404="",$D404=""),"",IFERROR($D404*INDEX(Mix_Eff,MATCH($C404,Mix_Code,0),5),""))</f>
        <v/>
      </c>
      <c r="K404" s="63"/>
      <c r="L404" s="16" t="str">
        <f aca="false">IF(AND($A404="",$B404="",$C404="",$D404=""),"",IF($A404="","⚠ Date missing",IF($B404="","⚠ Site missing",IF(ISNA(MATCH($C404,Mix_Code,0)),"⚠ Unknown mix code",IF($D404="","⚠ Enter m3 produced",IF(COUNTIF(CI_Site,$B404)=0,"⚠ Site not set up in Current Inventory",IF($A404&gt;AsOfDate,"Future date – not yet deducted","OK")))))))</f>
        <v/>
      </c>
    </row>
    <row r="405" customFormat="false" ht="15" hidden="false" customHeight="false" outlineLevel="0" collapsed="false">
      <c r="A405" s="65"/>
      <c r="B405" s="63"/>
      <c r="C405" s="70"/>
      <c r="D405" s="66"/>
      <c r="E405" s="16" t="str">
        <f aca="false">IF($C405="","",IFERROR(INDEX(Mix_Desc,MATCH($C405,Mix_Code,0)),"⚠ Unknown mix code"))</f>
        <v/>
      </c>
      <c r="F405" s="67" t="str">
        <f aca="false">IF(OR($C405="",$D405=""),"",IFERROR($D405*INDEX(Mix_Eff,MATCH($C405,Mix_Code,0),1),""))</f>
        <v/>
      </c>
      <c r="G405" s="67" t="str">
        <f aca="false">IF(OR($C405="",$D405=""),"",IFERROR($D405*INDEX(Mix_Eff,MATCH($C405,Mix_Code,0),2),""))</f>
        <v/>
      </c>
      <c r="H405" s="67" t="str">
        <f aca="false">IF(OR($C405="",$D405=""),"",IFERROR($D405*INDEX(Mix_Eff,MATCH($C405,Mix_Code,0),3),""))</f>
        <v/>
      </c>
      <c r="I405" s="67" t="str">
        <f aca="false">IF(OR($C405="",$D405=""),"",IFERROR($D405*INDEX(Mix_Eff,MATCH($C405,Mix_Code,0),4),""))</f>
        <v/>
      </c>
      <c r="J405" s="67" t="str">
        <f aca="false">IF(OR($C405="",$D405=""),"",IFERROR($D405*INDEX(Mix_Eff,MATCH($C405,Mix_Code,0),5),""))</f>
        <v/>
      </c>
      <c r="K405" s="63"/>
      <c r="L405" s="16" t="str">
        <f aca="false">IF(AND($A405="",$B405="",$C405="",$D405=""),"",IF($A405="","⚠ Date missing",IF($B405="","⚠ Site missing",IF(ISNA(MATCH($C405,Mix_Code,0)),"⚠ Unknown mix code",IF($D405="","⚠ Enter m3 produced",IF(COUNTIF(CI_Site,$B405)=0,"⚠ Site not set up in Current Inventory",IF($A405&gt;AsOfDate,"Future date – not yet deducted","OK")))))))</f>
        <v/>
      </c>
    </row>
    <row r="406" customFormat="false" ht="15" hidden="false" customHeight="false" outlineLevel="0" collapsed="false">
      <c r="A406" s="65"/>
      <c r="B406" s="63"/>
      <c r="C406" s="70"/>
      <c r="D406" s="66"/>
      <c r="E406" s="16" t="str">
        <f aca="false">IF($C406="","",IFERROR(INDEX(Mix_Desc,MATCH($C406,Mix_Code,0)),"⚠ Unknown mix code"))</f>
        <v/>
      </c>
      <c r="F406" s="67" t="str">
        <f aca="false">IF(OR($C406="",$D406=""),"",IFERROR($D406*INDEX(Mix_Eff,MATCH($C406,Mix_Code,0),1),""))</f>
        <v/>
      </c>
      <c r="G406" s="67" t="str">
        <f aca="false">IF(OR($C406="",$D406=""),"",IFERROR($D406*INDEX(Mix_Eff,MATCH($C406,Mix_Code,0),2),""))</f>
        <v/>
      </c>
      <c r="H406" s="67" t="str">
        <f aca="false">IF(OR($C406="",$D406=""),"",IFERROR($D406*INDEX(Mix_Eff,MATCH($C406,Mix_Code,0),3),""))</f>
        <v/>
      </c>
      <c r="I406" s="67" t="str">
        <f aca="false">IF(OR($C406="",$D406=""),"",IFERROR($D406*INDEX(Mix_Eff,MATCH($C406,Mix_Code,0),4),""))</f>
        <v/>
      </c>
      <c r="J406" s="67" t="str">
        <f aca="false">IF(OR($C406="",$D406=""),"",IFERROR($D406*INDEX(Mix_Eff,MATCH($C406,Mix_Code,0),5),""))</f>
        <v/>
      </c>
      <c r="K406" s="63"/>
      <c r="L406" s="16" t="str">
        <f aca="false">IF(AND($A406="",$B406="",$C406="",$D406=""),"",IF($A406="","⚠ Date missing",IF($B406="","⚠ Site missing",IF(ISNA(MATCH($C406,Mix_Code,0)),"⚠ Unknown mix code",IF($D406="","⚠ Enter m3 produced",IF(COUNTIF(CI_Site,$B406)=0,"⚠ Site not set up in Current Inventory",IF($A406&gt;AsOfDate,"Future date – not yet deducted","OK")))))))</f>
        <v/>
      </c>
    </row>
    <row r="407" customFormat="false" ht="15" hidden="false" customHeight="false" outlineLevel="0" collapsed="false">
      <c r="A407" s="65"/>
      <c r="B407" s="63"/>
      <c r="C407" s="70"/>
      <c r="D407" s="66"/>
      <c r="E407" s="16" t="str">
        <f aca="false">IF($C407="","",IFERROR(INDEX(Mix_Desc,MATCH($C407,Mix_Code,0)),"⚠ Unknown mix code"))</f>
        <v/>
      </c>
      <c r="F407" s="67" t="str">
        <f aca="false">IF(OR($C407="",$D407=""),"",IFERROR($D407*INDEX(Mix_Eff,MATCH($C407,Mix_Code,0),1),""))</f>
        <v/>
      </c>
      <c r="G407" s="67" t="str">
        <f aca="false">IF(OR($C407="",$D407=""),"",IFERROR($D407*INDEX(Mix_Eff,MATCH($C407,Mix_Code,0),2),""))</f>
        <v/>
      </c>
      <c r="H407" s="67" t="str">
        <f aca="false">IF(OR($C407="",$D407=""),"",IFERROR($D407*INDEX(Mix_Eff,MATCH($C407,Mix_Code,0),3),""))</f>
        <v/>
      </c>
      <c r="I407" s="67" t="str">
        <f aca="false">IF(OR($C407="",$D407=""),"",IFERROR($D407*INDEX(Mix_Eff,MATCH($C407,Mix_Code,0),4),""))</f>
        <v/>
      </c>
      <c r="J407" s="67" t="str">
        <f aca="false">IF(OR($C407="",$D407=""),"",IFERROR($D407*INDEX(Mix_Eff,MATCH($C407,Mix_Code,0),5),""))</f>
        <v/>
      </c>
      <c r="K407" s="63"/>
      <c r="L407" s="16" t="str">
        <f aca="false">IF(AND($A407="",$B407="",$C407="",$D407=""),"",IF($A407="","⚠ Date missing",IF($B407="","⚠ Site missing",IF(ISNA(MATCH($C407,Mix_Code,0)),"⚠ Unknown mix code",IF($D407="","⚠ Enter m3 produced",IF(COUNTIF(CI_Site,$B407)=0,"⚠ Site not set up in Current Inventory",IF($A407&gt;AsOfDate,"Future date – not yet deducted","OK")))))))</f>
        <v/>
      </c>
    </row>
    <row r="408" customFormat="false" ht="15" hidden="false" customHeight="false" outlineLevel="0" collapsed="false">
      <c r="A408" s="65"/>
      <c r="B408" s="63"/>
      <c r="C408" s="70"/>
      <c r="D408" s="66"/>
      <c r="E408" s="16" t="str">
        <f aca="false">IF($C408="","",IFERROR(INDEX(Mix_Desc,MATCH($C408,Mix_Code,0)),"⚠ Unknown mix code"))</f>
        <v/>
      </c>
      <c r="F408" s="67" t="str">
        <f aca="false">IF(OR($C408="",$D408=""),"",IFERROR($D408*INDEX(Mix_Eff,MATCH($C408,Mix_Code,0),1),""))</f>
        <v/>
      </c>
      <c r="G408" s="67" t="str">
        <f aca="false">IF(OR($C408="",$D408=""),"",IFERROR($D408*INDEX(Mix_Eff,MATCH($C408,Mix_Code,0),2),""))</f>
        <v/>
      </c>
      <c r="H408" s="67" t="str">
        <f aca="false">IF(OR($C408="",$D408=""),"",IFERROR($D408*INDEX(Mix_Eff,MATCH($C408,Mix_Code,0),3),""))</f>
        <v/>
      </c>
      <c r="I408" s="67" t="str">
        <f aca="false">IF(OR($C408="",$D408=""),"",IFERROR($D408*INDEX(Mix_Eff,MATCH($C408,Mix_Code,0),4),""))</f>
        <v/>
      </c>
      <c r="J408" s="67" t="str">
        <f aca="false">IF(OR($C408="",$D408=""),"",IFERROR($D408*INDEX(Mix_Eff,MATCH($C408,Mix_Code,0),5),""))</f>
        <v/>
      </c>
      <c r="K408" s="63"/>
      <c r="L408" s="16" t="str">
        <f aca="false">IF(AND($A408="",$B408="",$C408="",$D408=""),"",IF($A408="","⚠ Date missing",IF($B408="","⚠ Site missing",IF(ISNA(MATCH($C408,Mix_Code,0)),"⚠ Unknown mix code",IF($D408="","⚠ Enter m3 produced",IF(COUNTIF(CI_Site,$B408)=0,"⚠ Site not set up in Current Inventory",IF($A408&gt;AsOfDate,"Future date – not yet deducted","OK")))))))</f>
        <v/>
      </c>
    </row>
    <row r="409" customFormat="false" ht="15" hidden="false" customHeight="false" outlineLevel="0" collapsed="false">
      <c r="A409" s="65"/>
      <c r="B409" s="63"/>
      <c r="C409" s="70"/>
      <c r="D409" s="66"/>
      <c r="E409" s="16" t="str">
        <f aca="false">IF($C409="","",IFERROR(INDEX(Mix_Desc,MATCH($C409,Mix_Code,0)),"⚠ Unknown mix code"))</f>
        <v/>
      </c>
      <c r="F409" s="67" t="str">
        <f aca="false">IF(OR($C409="",$D409=""),"",IFERROR($D409*INDEX(Mix_Eff,MATCH($C409,Mix_Code,0),1),""))</f>
        <v/>
      </c>
      <c r="G409" s="67" t="str">
        <f aca="false">IF(OR($C409="",$D409=""),"",IFERROR($D409*INDEX(Mix_Eff,MATCH($C409,Mix_Code,0),2),""))</f>
        <v/>
      </c>
      <c r="H409" s="67" t="str">
        <f aca="false">IF(OR($C409="",$D409=""),"",IFERROR($D409*INDEX(Mix_Eff,MATCH($C409,Mix_Code,0),3),""))</f>
        <v/>
      </c>
      <c r="I409" s="67" t="str">
        <f aca="false">IF(OR($C409="",$D409=""),"",IFERROR($D409*INDEX(Mix_Eff,MATCH($C409,Mix_Code,0),4),""))</f>
        <v/>
      </c>
      <c r="J409" s="67" t="str">
        <f aca="false">IF(OR($C409="",$D409=""),"",IFERROR($D409*INDEX(Mix_Eff,MATCH($C409,Mix_Code,0),5),""))</f>
        <v/>
      </c>
      <c r="K409" s="63"/>
      <c r="L409" s="16" t="str">
        <f aca="false">IF(AND($A409="",$B409="",$C409="",$D409=""),"",IF($A409="","⚠ Date missing",IF($B409="","⚠ Site missing",IF(ISNA(MATCH($C409,Mix_Code,0)),"⚠ Unknown mix code",IF($D409="","⚠ Enter m3 produced",IF(COUNTIF(CI_Site,$B409)=0,"⚠ Site not set up in Current Inventory",IF($A409&gt;AsOfDate,"Future date – not yet deducted","OK")))))))</f>
        <v/>
      </c>
    </row>
    <row r="410" customFormat="false" ht="15" hidden="false" customHeight="false" outlineLevel="0" collapsed="false">
      <c r="A410" s="65"/>
      <c r="B410" s="63"/>
      <c r="C410" s="70"/>
      <c r="D410" s="66"/>
      <c r="E410" s="16" t="str">
        <f aca="false">IF($C410="","",IFERROR(INDEX(Mix_Desc,MATCH($C410,Mix_Code,0)),"⚠ Unknown mix code"))</f>
        <v/>
      </c>
      <c r="F410" s="67" t="str">
        <f aca="false">IF(OR($C410="",$D410=""),"",IFERROR($D410*INDEX(Mix_Eff,MATCH($C410,Mix_Code,0),1),""))</f>
        <v/>
      </c>
      <c r="G410" s="67" t="str">
        <f aca="false">IF(OR($C410="",$D410=""),"",IFERROR($D410*INDEX(Mix_Eff,MATCH($C410,Mix_Code,0),2),""))</f>
        <v/>
      </c>
      <c r="H410" s="67" t="str">
        <f aca="false">IF(OR($C410="",$D410=""),"",IFERROR($D410*INDEX(Mix_Eff,MATCH($C410,Mix_Code,0),3),""))</f>
        <v/>
      </c>
      <c r="I410" s="67" t="str">
        <f aca="false">IF(OR($C410="",$D410=""),"",IFERROR($D410*INDEX(Mix_Eff,MATCH($C410,Mix_Code,0),4),""))</f>
        <v/>
      </c>
      <c r="J410" s="67" t="str">
        <f aca="false">IF(OR($C410="",$D410=""),"",IFERROR($D410*INDEX(Mix_Eff,MATCH($C410,Mix_Code,0),5),""))</f>
        <v/>
      </c>
      <c r="K410" s="63"/>
      <c r="L410" s="16" t="str">
        <f aca="false">IF(AND($A410="",$B410="",$C410="",$D410=""),"",IF($A410="","⚠ Date missing",IF($B410="","⚠ Site missing",IF(ISNA(MATCH($C410,Mix_Code,0)),"⚠ Unknown mix code",IF($D410="","⚠ Enter m3 produced",IF(COUNTIF(CI_Site,$B410)=0,"⚠ Site not set up in Current Inventory",IF($A410&gt;AsOfDate,"Future date – not yet deducted","OK")))))))</f>
        <v/>
      </c>
    </row>
    <row r="411" customFormat="false" ht="15" hidden="false" customHeight="false" outlineLevel="0" collapsed="false">
      <c r="A411" s="65"/>
      <c r="B411" s="63"/>
      <c r="C411" s="70"/>
      <c r="D411" s="66"/>
      <c r="E411" s="16" t="str">
        <f aca="false">IF($C411="","",IFERROR(INDEX(Mix_Desc,MATCH($C411,Mix_Code,0)),"⚠ Unknown mix code"))</f>
        <v/>
      </c>
      <c r="F411" s="67" t="str">
        <f aca="false">IF(OR($C411="",$D411=""),"",IFERROR($D411*INDEX(Mix_Eff,MATCH($C411,Mix_Code,0),1),""))</f>
        <v/>
      </c>
      <c r="G411" s="67" t="str">
        <f aca="false">IF(OR($C411="",$D411=""),"",IFERROR($D411*INDEX(Mix_Eff,MATCH($C411,Mix_Code,0),2),""))</f>
        <v/>
      </c>
      <c r="H411" s="67" t="str">
        <f aca="false">IF(OR($C411="",$D411=""),"",IFERROR($D411*INDEX(Mix_Eff,MATCH($C411,Mix_Code,0),3),""))</f>
        <v/>
      </c>
      <c r="I411" s="67" t="str">
        <f aca="false">IF(OR($C411="",$D411=""),"",IFERROR($D411*INDEX(Mix_Eff,MATCH($C411,Mix_Code,0),4),""))</f>
        <v/>
      </c>
      <c r="J411" s="67" t="str">
        <f aca="false">IF(OR($C411="",$D411=""),"",IFERROR($D411*INDEX(Mix_Eff,MATCH($C411,Mix_Code,0),5),""))</f>
        <v/>
      </c>
      <c r="K411" s="63"/>
      <c r="L411" s="16" t="str">
        <f aca="false">IF(AND($A411="",$B411="",$C411="",$D411=""),"",IF($A411="","⚠ Date missing",IF($B411="","⚠ Site missing",IF(ISNA(MATCH($C411,Mix_Code,0)),"⚠ Unknown mix code",IF($D411="","⚠ Enter m3 produced",IF(COUNTIF(CI_Site,$B411)=0,"⚠ Site not set up in Current Inventory",IF($A411&gt;AsOfDate,"Future date – not yet deducted","OK")))))))</f>
        <v/>
      </c>
    </row>
    <row r="412" customFormat="false" ht="15" hidden="false" customHeight="false" outlineLevel="0" collapsed="false">
      <c r="A412" s="65"/>
      <c r="B412" s="63"/>
      <c r="C412" s="70"/>
      <c r="D412" s="66"/>
      <c r="E412" s="16" t="str">
        <f aca="false">IF($C412="","",IFERROR(INDEX(Mix_Desc,MATCH($C412,Mix_Code,0)),"⚠ Unknown mix code"))</f>
        <v/>
      </c>
      <c r="F412" s="67" t="str">
        <f aca="false">IF(OR($C412="",$D412=""),"",IFERROR($D412*INDEX(Mix_Eff,MATCH($C412,Mix_Code,0),1),""))</f>
        <v/>
      </c>
      <c r="G412" s="67" t="str">
        <f aca="false">IF(OR($C412="",$D412=""),"",IFERROR($D412*INDEX(Mix_Eff,MATCH($C412,Mix_Code,0),2),""))</f>
        <v/>
      </c>
      <c r="H412" s="67" t="str">
        <f aca="false">IF(OR($C412="",$D412=""),"",IFERROR($D412*INDEX(Mix_Eff,MATCH($C412,Mix_Code,0),3),""))</f>
        <v/>
      </c>
      <c r="I412" s="67" t="str">
        <f aca="false">IF(OR($C412="",$D412=""),"",IFERROR($D412*INDEX(Mix_Eff,MATCH($C412,Mix_Code,0),4),""))</f>
        <v/>
      </c>
      <c r="J412" s="67" t="str">
        <f aca="false">IF(OR($C412="",$D412=""),"",IFERROR($D412*INDEX(Mix_Eff,MATCH($C412,Mix_Code,0),5),""))</f>
        <v/>
      </c>
      <c r="K412" s="63"/>
      <c r="L412" s="16" t="str">
        <f aca="false">IF(AND($A412="",$B412="",$C412="",$D412=""),"",IF($A412="","⚠ Date missing",IF($B412="","⚠ Site missing",IF(ISNA(MATCH($C412,Mix_Code,0)),"⚠ Unknown mix code",IF($D412="","⚠ Enter m3 produced",IF(COUNTIF(CI_Site,$B412)=0,"⚠ Site not set up in Current Inventory",IF($A412&gt;AsOfDate,"Future date – not yet deducted","OK")))))))</f>
        <v/>
      </c>
    </row>
    <row r="413" customFormat="false" ht="15" hidden="false" customHeight="false" outlineLevel="0" collapsed="false">
      <c r="A413" s="65"/>
      <c r="B413" s="63"/>
      <c r="C413" s="70"/>
      <c r="D413" s="66"/>
      <c r="E413" s="16" t="str">
        <f aca="false">IF($C413="","",IFERROR(INDEX(Mix_Desc,MATCH($C413,Mix_Code,0)),"⚠ Unknown mix code"))</f>
        <v/>
      </c>
      <c r="F413" s="67" t="str">
        <f aca="false">IF(OR($C413="",$D413=""),"",IFERROR($D413*INDEX(Mix_Eff,MATCH($C413,Mix_Code,0),1),""))</f>
        <v/>
      </c>
      <c r="G413" s="67" t="str">
        <f aca="false">IF(OR($C413="",$D413=""),"",IFERROR($D413*INDEX(Mix_Eff,MATCH($C413,Mix_Code,0),2),""))</f>
        <v/>
      </c>
      <c r="H413" s="67" t="str">
        <f aca="false">IF(OR($C413="",$D413=""),"",IFERROR($D413*INDEX(Mix_Eff,MATCH($C413,Mix_Code,0),3),""))</f>
        <v/>
      </c>
      <c r="I413" s="67" t="str">
        <f aca="false">IF(OR($C413="",$D413=""),"",IFERROR($D413*INDEX(Mix_Eff,MATCH($C413,Mix_Code,0),4),""))</f>
        <v/>
      </c>
      <c r="J413" s="67" t="str">
        <f aca="false">IF(OR($C413="",$D413=""),"",IFERROR($D413*INDEX(Mix_Eff,MATCH($C413,Mix_Code,0),5),""))</f>
        <v/>
      </c>
      <c r="K413" s="63"/>
      <c r="L413" s="16" t="str">
        <f aca="false">IF(AND($A413="",$B413="",$C413="",$D413=""),"",IF($A413="","⚠ Date missing",IF($B413="","⚠ Site missing",IF(ISNA(MATCH($C413,Mix_Code,0)),"⚠ Unknown mix code",IF($D413="","⚠ Enter m3 produced",IF(COUNTIF(CI_Site,$B413)=0,"⚠ Site not set up in Current Inventory",IF($A413&gt;AsOfDate,"Future date – not yet deducted","OK")))))))</f>
        <v/>
      </c>
    </row>
    <row r="414" customFormat="false" ht="15" hidden="false" customHeight="false" outlineLevel="0" collapsed="false">
      <c r="A414" s="65"/>
      <c r="B414" s="63"/>
      <c r="C414" s="70"/>
      <c r="D414" s="66"/>
      <c r="E414" s="16" t="str">
        <f aca="false">IF($C414="","",IFERROR(INDEX(Mix_Desc,MATCH($C414,Mix_Code,0)),"⚠ Unknown mix code"))</f>
        <v/>
      </c>
      <c r="F414" s="67" t="str">
        <f aca="false">IF(OR($C414="",$D414=""),"",IFERROR($D414*INDEX(Mix_Eff,MATCH($C414,Mix_Code,0),1),""))</f>
        <v/>
      </c>
      <c r="G414" s="67" t="str">
        <f aca="false">IF(OR($C414="",$D414=""),"",IFERROR($D414*INDEX(Mix_Eff,MATCH($C414,Mix_Code,0),2),""))</f>
        <v/>
      </c>
      <c r="H414" s="67" t="str">
        <f aca="false">IF(OR($C414="",$D414=""),"",IFERROR($D414*INDEX(Mix_Eff,MATCH($C414,Mix_Code,0),3),""))</f>
        <v/>
      </c>
      <c r="I414" s="67" t="str">
        <f aca="false">IF(OR($C414="",$D414=""),"",IFERROR($D414*INDEX(Mix_Eff,MATCH($C414,Mix_Code,0),4),""))</f>
        <v/>
      </c>
      <c r="J414" s="67" t="str">
        <f aca="false">IF(OR($C414="",$D414=""),"",IFERROR($D414*INDEX(Mix_Eff,MATCH($C414,Mix_Code,0),5),""))</f>
        <v/>
      </c>
      <c r="K414" s="63"/>
      <c r="L414" s="16" t="str">
        <f aca="false">IF(AND($A414="",$B414="",$C414="",$D414=""),"",IF($A414="","⚠ Date missing",IF($B414="","⚠ Site missing",IF(ISNA(MATCH($C414,Mix_Code,0)),"⚠ Unknown mix code",IF($D414="","⚠ Enter m3 produced",IF(COUNTIF(CI_Site,$B414)=0,"⚠ Site not set up in Current Inventory",IF($A414&gt;AsOfDate,"Future date – not yet deducted","OK")))))))</f>
        <v/>
      </c>
    </row>
    <row r="415" customFormat="false" ht="15" hidden="false" customHeight="false" outlineLevel="0" collapsed="false">
      <c r="A415" s="65"/>
      <c r="B415" s="63"/>
      <c r="C415" s="70"/>
      <c r="D415" s="66"/>
      <c r="E415" s="16" t="str">
        <f aca="false">IF($C415="","",IFERROR(INDEX(Mix_Desc,MATCH($C415,Mix_Code,0)),"⚠ Unknown mix code"))</f>
        <v/>
      </c>
      <c r="F415" s="67" t="str">
        <f aca="false">IF(OR($C415="",$D415=""),"",IFERROR($D415*INDEX(Mix_Eff,MATCH($C415,Mix_Code,0),1),""))</f>
        <v/>
      </c>
      <c r="G415" s="67" t="str">
        <f aca="false">IF(OR($C415="",$D415=""),"",IFERROR($D415*INDEX(Mix_Eff,MATCH($C415,Mix_Code,0),2),""))</f>
        <v/>
      </c>
      <c r="H415" s="67" t="str">
        <f aca="false">IF(OR($C415="",$D415=""),"",IFERROR($D415*INDEX(Mix_Eff,MATCH($C415,Mix_Code,0),3),""))</f>
        <v/>
      </c>
      <c r="I415" s="67" t="str">
        <f aca="false">IF(OR($C415="",$D415=""),"",IFERROR($D415*INDEX(Mix_Eff,MATCH($C415,Mix_Code,0),4),""))</f>
        <v/>
      </c>
      <c r="J415" s="67" t="str">
        <f aca="false">IF(OR($C415="",$D415=""),"",IFERROR($D415*INDEX(Mix_Eff,MATCH($C415,Mix_Code,0),5),""))</f>
        <v/>
      </c>
      <c r="K415" s="63"/>
      <c r="L415" s="16" t="str">
        <f aca="false">IF(AND($A415="",$B415="",$C415="",$D415=""),"",IF($A415="","⚠ Date missing",IF($B415="","⚠ Site missing",IF(ISNA(MATCH($C415,Mix_Code,0)),"⚠ Unknown mix code",IF($D415="","⚠ Enter m3 produced",IF(COUNTIF(CI_Site,$B415)=0,"⚠ Site not set up in Current Inventory",IF($A415&gt;AsOfDate,"Future date – not yet deducted","OK")))))))</f>
        <v/>
      </c>
    </row>
    <row r="416" customFormat="false" ht="15" hidden="false" customHeight="false" outlineLevel="0" collapsed="false">
      <c r="A416" s="65"/>
      <c r="B416" s="63"/>
      <c r="C416" s="70"/>
      <c r="D416" s="66"/>
      <c r="E416" s="16" t="str">
        <f aca="false">IF($C416="","",IFERROR(INDEX(Mix_Desc,MATCH($C416,Mix_Code,0)),"⚠ Unknown mix code"))</f>
        <v/>
      </c>
      <c r="F416" s="67" t="str">
        <f aca="false">IF(OR($C416="",$D416=""),"",IFERROR($D416*INDEX(Mix_Eff,MATCH($C416,Mix_Code,0),1),""))</f>
        <v/>
      </c>
      <c r="G416" s="67" t="str">
        <f aca="false">IF(OR($C416="",$D416=""),"",IFERROR($D416*INDEX(Mix_Eff,MATCH($C416,Mix_Code,0),2),""))</f>
        <v/>
      </c>
      <c r="H416" s="67" t="str">
        <f aca="false">IF(OR($C416="",$D416=""),"",IFERROR($D416*INDEX(Mix_Eff,MATCH($C416,Mix_Code,0),3),""))</f>
        <v/>
      </c>
      <c r="I416" s="67" t="str">
        <f aca="false">IF(OR($C416="",$D416=""),"",IFERROR($D416*INDEX(Mix_Eff,MATCH($C416,Mix_Code,0),4),""))</f>
        <v/>
      </c>
      <c r="J416" s="67" t="str">
        <f aca="false">IF(OR($C416="",$D416=""),"",IFERROR($D416*INDEX(Mix_Eff,MATCH($C416,Mix_Code,0),5),""))</f>
        <v/>
      </c>
      <c r="K416" s="63"/>
      <c r="L416" s="16" t="str">
        <f aca="false">IF(AND($A416="",$B416="",$C416="",$D416=""),"",IF($A416="","⚠ Date missing",IF($B416="","⚠ Site missing",IF(ISNA(MATCH($C416,Mix_Code,0)),"⚠ Unknown mix code",IF($D416="","⚠ Enter m3 produced",IF(COUNTIF(CI_Site,$B416)=0,"⚠ Site not set up in Current Inventory",IF($A416&gt;AsOfDate,"Future date – not yet deducted","OK")))))))</f>
        <v/>
      </c>
    </row>
    <row r="417" customFormat="false" ht="15" hidden="false" customHeight="false" outlineLevel="0" collapsed="false">
      <c r="A417" s="65"/>
      <c r="B417" s="63"/>
      <c r="C417" s="70"/>
      <c r="D417" s="66"/>
      <c r="E417" s="16" t="str">
        <f aca="false">IF($C417="","",IFERROR(INDEX(Mix_Desc,MATCH($C417,Mix_Code,0)),"⚠ Unknown mix code"))</f>
        <v/>
      </c>
      <c r="F417" s="67" t="str">
        <f aca="false">IF(OR($C417="",$D417=""),"",IFERROR($D417*INDEX(Mix_Eff,MATCH($C417,Mix_Code,0),1),""))</f>
        <v/>
      </c>
      <c r="G417" s="67" t="str">
        <f aca="false">IF(OR($C417="",$D417=""),"",IFERROR($D417*INDEX(Mix_Eff,MATCH($C417,Mix_Code,0),2),""))</f>
        <v/>
      </c>
      <c r="H417" s="67" t="str">
        <f aca="false">IF(OR($C417="",$D417=""),"",IFERROR($D417*INDEX(Mix_Eff,MATCH($C417,Mix_Code,0),3),""))</f>
        <v/>
      </c>
      <c r="I417" s="67" t="str">
        <f aca="false">IF(OR($C417="",$D417=""),"",IFERROR($D417*INDEX(Mix_Eff,MATCH($C417,Mix_Code,0),4),""))</f>
        <v/>
      </c>
      <c r="J417" s="67" t="str">
        <f aca="false">IF(OR($C417="",$D417=""),"",IFERROR($D417*INDEX(Mix_Eff,MATCH($C417,Mix_Code,0),5),""))</f>
        <v/>
      </c>
      <c r="K417" s="63"/>
      <c r="L417" s="16" t="str">
        <f aca="false">IF(AND($A417="",$B417="",$C417="",$D417=""),"",IF($A417="","⚠ Date missing",IF($B417="","⚠ Site missing",IF(ISNA(MATCH($C417,Mix_Code,0)),"⚠ Unknown mix code",IF($D417="","⚠ Enter m3 produced",IF(COUNTIF(CI_Site,$B417)=0,"⚠ Site not set up in Current Inventory",IF($A417&gt;AsOfDate,"Future date – not yet deducted","OK")))))))</f>
        <v/>
      </c>
    </row>
    <row r="418" customFormat="false" ht="15" hidden="false" customHeight="false" outlineLevel="0" collapsed="false">
      <c r="A418" s="65"/>
      <c r="B418" s="63"/>
      <c r="C418" s="70"/>
      <c r="D418" s="66"/>
      <c r="E418" s="16" t="str">
        <f aca="false">IF($C418="","",IFERROR(INDEX(Mix_Desc,MATCH($C418,Mix_Code,0)),"⚠ Unknown mix code"))</f>
        <v/>
      </c>
      <c r="F418" s="67" t="str">
        <f aca="false">IF(OR($C418="",$D418=""),"",IFERROR($D418*INDEX(Mix_Eff,MATCH($C418,Mix_Code,0),1),""))</f>
        <v/>
      </c>
      <c r="G418" s="67" t="str">
        <f aca="false">IF(OR($C418="",$D418=""),"",IFERROR($D418*INDEX(Mix_Eff,MATCH($C418,Mix_Code,0),2),""))</f>
        <v/>
      </c>
      <c r="H418" s="67" t="str">
        <f aca="false">IF(OR($C418="",$D418=""),"",IFERROR($D418*INDEX(Mix_Eff,MATCH($C418,Mix_Code,0),3),""))</f>
        <v/>
      </c>
      <c r="I418" s="67" t="str">
        <f aca="false">IF(OR($C418="",$D418=""),"",IFERROR($D418*INDEX(Mix_Eff,MATCH($C418,Mix_Code,0),4),""))</f>
        <v/>
      </c>
      <c r="J418" s="67" t="str">
        <f aca="false">IF(OR($C418="",$D418=""),"",IFERROR($D418*INDEX(Mix_Eff,MATCH($C418,Mix_Code,0),5),""))</f>
        <v/>
      </c>
      <c r="K418" s="63"/>
      <c r="L418" s="16" t="str">
        <f aca="false">IF(AND($A418="",$B418="",$C418="",$D418=""),"",IF($A418="","⚠ Date missing",IF($B418="","⚠ Site missing",IF(ISNA(MATCH($C418,Mix_Code,0)),"⚠ Unknown mix code",IF($D418="","⚠ Enter m3 produced",IF(COUNTIF(CI_Site,$B418)=0,"⚠ Site not set up in Current Inventory",IF($A418&gt;AsOfDate,"Future date – not yet deducted","OK")))))))</f>
        <v/>
      </c>
    </row>
    <row r="419" customFormat="false" ht="15" hidden="false" customHeight="false" outlineLevel="0" collapsed="false">
      <c r="A419" s="65"/>
      <c r="B419" s="63"/>
      <c r="C419" s="70"/>
      <c r="D419" s="66"/>
      <c r="E419" s="16" t="str">
        <f aca="false">IF($C419="","",IFERROR(INDEX(Mix_Desc,MATCH($C419,Mix_Code,0)),"⚠ Unknown mix code"))</f>
        <v/>
      </c>
      <c r="F419" s="67" t="str">
        <f aca="false">IF(OR($C419="",$D419=""),"",IFERROR($D419*INDEX(Mix_Eff,MATCH($C419,Mix_Code,0),1),""))</f>
        <v/>
      </c>
      <c r="G419" s="67" t="str">
        <f aca="false">IF(OR($C419="",$D419=""),"",IFERROR($D419*INDEX(Mix_Eff,MATCH($C419,Mix_Code,0),2),""))</f>
        <v/>
      </c>
      <c r="H419" s="67" t="str">
        <f aca="false">IF(OR($C419="",$D419=""),"",IFERROR($D419*INDEX(Mix_Eff,MATCH($C419,Mix_Code,0),3),""))</f>
        <v/>
      </c>
      <c r="I419" s="67" t="str">
        <f aca="false">IF(OR($C419="",$D419=""),"",IFERROR($D419*INDEX(Mix_Eff,MATCH($C419,Mix_Code,0),4),""))</f>
        <v/>
      </c>
      <c r="J419" s="67" t="str">
        <f aca="false">IF(OR($C419="",$D419=""),"",IFERROR($D419*INDEX(Mix_Eff,MATCH($C419,Mix_Code,0),5),""))</f>
        <v/>
      </c>
      <c r="K419" s="63"/>
      <c r="L419" s="16" t="str">
        <f aca="false">IF(AND($A419="",$B419="",$C419="",$D419=""),"",IF($A419="","⚠ Date missing",IF($B419="","⚠ Site missing",IF(ISNA(MATCH($C419,Mix_Code,0)),"⚠ Unknown mix code",IF($D419="","⚠ Enter m3 produced",IF(COUNTIF(CI_Site,$B419)=0,"⚠ Site not set up in Current Inventory",IF($A419&gt;AsOfDate,"Future date – not yet deducted","OK")))))))</f>
        <v/>
      </c>
    </row>
    <row r="420" customFormat="false" ht="15" hidden="false" customHeight="false" outlineLevel="0" collapsed="false">
      <c r="A420" s="65"/>
      <c r="B420" s="63"/>
      <c r="C420" s="70"/>
      <c r="D420" s="66"/>
      <c r="E420" s="16" t="str">
        <f aca="false">IF($C420="","",IFERROR(INDEX(Mix_Desc,MATCH($C420,Mix_Code,0)),"⚠ Unknown mix code"))</f>
        <v/>
      </c>
      <c r="F420" s="67" t="str">
        <f aca="false">IF(OR($C420="",$D420=""),"",IFERROR($D420*INDEX(Mix_Eff,MATCH($C420,Mix_Code,0),1),""))</f>
        <v/>
      </c>
      <c r="G420" s="67" t="str">
        <f aca="false">IF(OR($C420="",$D420=""),"",IFERROR($D420*INDEX(Mix_Eff,MATCH($C420,Mix_Code,0),2),""))</f>
        <v/>
      </c>
      <c r="H420" s="67" t="str">
        <f aca="false">IF(OR($C420="",$D420=""),"",IFERROR($D420*INDEX(Mix_Eff,MATCH($C420,Mix_Code,0),3),""))</f>
        <v/>
      </c>
      <c r="I420" s="67" t="str">
        <f aca="false">IF(OR($C420="",$D420=""),"",IFERROR($D420*INDEX(Mix_Eff,MATCH($C420,Mix_Code,0),4),""))</f>
        <v/>
      </c>
      <c r="J420" s="67" t="str">
        <f aca="false">IF(OR($C420="",$D420=""),"",IFERROR($D420*INDEX(Mix_Eff,MATCH($C420,Mix_Code,0),5),""))</f>
        <v/>
      </c>
      <c r="K420" s="63"/>
      <c r="L420" s="16" t="str">
        <f aca="false">IF(AND($A420="",$B420="",$C420="",$D420=""),"",IF($A420="","⚠ Date missing",IF($B420="","⚠ Site missing",IF(ISNA(MATCH($C420,Mix_Code,0)),"⚠ Unknown mix code",IF($D420="","⚠ Enter m3 produced",IF(COUNTIF(CI_Site,$B420)=0,"⚠ Site not set up in Current Inventory",IF($A420&gt;AsOfDate,"Future date – not yet deducted","OK")))))))</f>
        <v/>
      </c>
    </row>
    <row r="421" customFormat="false" ht="15" hidden="false" customHeight="false" outlineLevel="0" collapsed="false">
      <c r="A421" s="65"/>
      <c r="B421" s="63"/>
      <c r="C421" s="70"/>
      <c r="D421" s="66"/>
      <c r="E421" s="16" t="str">
        <f aca="false">IF($C421="","",IFERROR(INDEX(Mix_Desc,MATCH($C421,Mix_Code,0)),"⚠ Unknown mix code"))</f>
        <v/>
      </c>
      <c r="F421" s="67" t="str">
        <f aca="false">IF(OR($C421="",$D421=""),"",IFERROR($D421*INDEX(Mix_Eff,MATCH($C421,Mix_Code,0),1),""))</f>
        <v/>
      </c>
      <c r="G421" s="67" t="str">
        <f aca="false">IF(OR($C421="",$D421=""),"",IFERROR($D421*INDEX(Mix_Eff,MATCH($C421,Mix_Code,0),2),""))</f>
        <v/>
      </c>
      <c r="H421" s="67" t="str">
        <f aca="false">IF(OR($C421="",$D421=""),"",IFERROR($D421*INDEX(Mix_Eff,MATCH($C421,Mix_Code,0),3),""))</f>
        <v/>
      </c>
      <c r="I421" s="67" t="str">
        <f aca="false">IF(OR($C421="",$D421=""),"",IFERROR($D421*INDEX(Mix_Eff,MATCH($C421,Mix_Code,0),4),""))</f>
        <v/>
      </c>
      <c r="J421" s="67" t="str">
        <f aca="false">IF(OR($C421="",$D421=""),"",IFERROR($D421*INDEX(Mix_Eff,MATCH($C421,Mix_Code,0),5),""))</f>
        <v/>
      </c>
      <c r="K421" s="63"/>
      <c r="L421" s="16" t="str">
        <f aca="false">IF(AND($A421="",$B421="",$C421="",$D421=""),"",IF($A421="","⚠ Date missing",IF($B421="","⚠ Site missing",IF(ISNA(MATCH($C421,Mix_Code,0)),"⚠ Unknown mix code",IF($D421="","⚠ Enter m3 produced",IF(COUNTIF(CI_Site,$B421)=0,"⚠ Site not set up in Current Inventory",IF($A421&gt;AsOfDate,"Future date – not yet deducted","OK")))))))</f>
        <v/>
      </c>
    </row>
    <row r="422" customFormat="false" ht="15" hidden="false" customHeight="false" outlineLevel="0" collapsed="false">
      <c r="A422" s="65"/>
      <c r="B422" s="63"/>
      <c r="C422" s="70"/>
      <c r="D422" s="66"/>
      <c r="E422" s="16" t="str">
        <f aca="false">IF($C422="","",IFERROR(INDEX(Mix_Desc,MATCH($C422,Mix_Code,0)),"⚠ Unknown mix code"))</f>
        <v/>
      </c>
      <c r="F422" s="67" t="str">
        <f aca="false">IF(OR($C422="",$D422=""),"",IFERROR($D422*INDEX(Mix_Eff,MATCH($C422,Mix_Code,0),1),""))</f>
        <v/>
      </c>
      <c r="G422" s="67" t="str">
        <f aca="false">IF(OR($C422="",$D422=""),"",IFERROR($D422*INDEX(Mix_Eff,MATCH($C422,Mix_Code,0),2),""))</f>
        <v/>
      </c>
      <c r="H422" s="67" t="str">
        <f aca="false">IF(OR($C422="",$D422=""),"",IFERROR($D422*INDEX(Mix_Eff,MATCH($C422,Mix_Code,0),3),""))</f>
        <v/>
      </c>
      <c r="I422" s="67" t="str">
        <f aca="false">IF(OR($C422="",$D422=""),"",IFERROR($D422*INDEX(Mix_Eff,MATCH($C422,Mix_Code,0),4),""))</f>
        <v/>
      </c>
      <c r="J422" s="67" t="str">
        <f aca="false">IF(OR($C422="",$D422=""),"",IFERROR($D422*INDEX(Mix_Eff,MATCH($C422,Mix_Code,0),5),""))</f>
        <v/>
      </c>
      <c r="K422" s="63"/>
      <c r="L422" s="16" t="str">
        <f aca="false">IF(AND($A422="",$B422="",$C422="",$D422=""),"",IF($A422="","⚠ Date missing",IF($B422="","⚠ Site missing",IF(ISNA(MATCH($C422,Mix_Code,0)),"⚠ Unknown mix code",IF($D422="","⚠ Enter m3 produced",IF(COUNTIF(CI_Site,$B422)=0,"⚠ Site not set up in Current Inventory",IF($A422&gt;AsOfDate,"Future date – not yet deducted","OK")))))))</f>
        <v/>
      </c>
    </row>
    <row r="423" customFormat="false" ht="15" hidden="false" customHeight="false" outlineLevel="0" collapsed="false">
      <c r="A423" s="65"/>
      <c r="B423" s="63"/>
      <c r="C423" s="70"/>
      <c r="D423" s="66"/>
      <c r="E423" s="16" t="str">
        <f aca="false">IF($C423="","",IFERROR(INDEX(Mix_Desc,MATCH($C423,Mix_Code,0)),"⚠ Unknown mix code"))</f>
        <v/>
      </c>
      <c r="F423" s="67" t="str">
        <f aca="false">IF(OR($C423="",$D423=""),"",IFERROR($D423*INDEX(Mix_Eff,MATCH($C423,Mix_Code,0),1),""))</f>
        <v/>
      </c>
      <c r="G423" s="67" t="str">
        <f aca="false">IF(OR($C423="",$D423=""),"",IFERROR($D423*INDEX(Mix_Eff,MATCH($C423,Mix_Code,0),2),""))</f>
        <v/>
      </c>
      <c r="H423" s="67" t="str">
        <f aca="false">IF(OR($C423="",$D423=""),"",IFERROR($D423*INDEX(Mix_Eff,MATCH($C423,Mix_Code,0),3),""))</f>
        <v/>
      </c>
      <c r="I423" s="67" t="str">
        <f aca="false">IF(OR($C423="",$D423=""),"",IFERROR($D423*INDEX(Mix_Eff,MATCH($C423,Mix_Code,0),4),""))</f>
        <v/>
      </c>
      <c r="J423" s="67" t="str">
        <f aca="false">IF(OR($C423="",$D423=""),"",IFERROR($D423*INDEX(Mix_Eff,MATCH($C423,Mix_Code,0),5),""))</f>
        <v/>
      </c>
      <c r="K423" s="63"/>
      <c r="L423" s="16" t="str">
        <f aca="false">IF(AND($A423="",$B423="",$C423="",$D423=""),"",IF($A423="","⚠ Date missing",IF($B423="","⚠ Site missing",IF(ISNA(MATCH($C423,Mix_Code,0)),"⚠ Unknown mix code",IF($D423="","⚠ Enter m3 produced",IF(COUNTIF(CI_Site,$B423)=0,"⚠ Site not set up in Current Inventory",IF($A423&gt;AsOfDate,"Future date – not yet deducted","OK")))))))</f>
        <v/>
      </c>
    </row>
    <row r="424" customFormat="false" ht="15" hidden="false" customHeight="false" outlineLevel="0" collapsed="false">
      <c r="A424" s="65"/>
      <c r="B424" s="63"/>
      <c r="C424" s="70"/>
      <c r="D424" s="66"/>
      <c r="E424" s="16" t="str">
        <f aca="false">IF($C424="","",IFERROR(INDEX(Mix_Desc,MATCH($C424,Mix_Code,0)),"⚠ Unknown mix code"))</f>
        <v/>
      </c>
      <c r="F424" s="67" t="str">
        <f aca="false">IF(OR($C424="",$D424=""),"",IFERROR($D424*INDEX(Mix_Eff,MATCH($C424,Mix_Code,0),1),""))</f>
        <v/>
      </c>
      <c r="G424" s="67" t="str">
        <f aca="false">IF(OR($C424="",$D424=""),"",IFERROR($D424*INDEX(Mix_Eff,MATCH($C424,Mix_Code,0),2),""))</f>
        <v/>
      </c>
      <c r="H424" s="67" t="str">
        <f aca="false">IF(OR($C424="",$D424=""),"",IFERROR($D424*INDEX(Mix_Eff,MATCH($C424,Mix_Code,0),3),""))</f>
        <v/>
      </c>
      <c r="I424" s="67" t="str">
        <f aca="false">IF(OR($C424="",$D424=""),"",IFERROR($D424*INDEX(Mix_Eff,MATCH($C424,Mix_Code,0),4),""))</f>
        <v/>
      </c>
      <c r="J424" s="67" t="str">
        <f aca="false">IF(OR($C424="",$D424=""),"",IFERROR($D424*INDEX(Mix_Eff,MATCH($C424,Mix_Code,0),5),""))</f>
        <v/>
      </c>
      <c r="K424" s="63"/>
      <c r="L424" s="16" t="str">
        <f aca="false">IF(AND($A424="",$B424="",$C424="",$D424=""),"",IF($A424="","⚠ Date missing",IF($B424="","⚠ Site missing",IF(ISNA(MATCH($C424,Mix_Code,0)),"⚠ Unknown mix code",IF($D424="","⚠ Enter m3 produced",IF(COUNTIF(CI_Site,$B424)=0,"⚠ Site not set up in Current Inventory",IF($A424&gt;AsOfDate,"Future date – not yet deducted","OK")))))))</f>
        <v/>
      </c>
    </row>
    <row r="425" customFormat="false" ht="15" hidden="false" customHeight="false" outlineLevel="0" collapsed="false">
      <c r="A425" s="65"/>
      <c r="B425" s="63"/>
      <c r="C425" s="70"/>
      <c r="D425" s="66"/>
      <c r="E425" s="16" t="str">
        <f aca="false">IF($C425="","",IFERROR(INDEX(Mix_Desc,MATCH($C425,Mix_Code,0)),"⚠ Unknown mix code"))</f>
        <v/>
      </c>
      <c r="F425" s="67" t="str">
        <f aca="false">IF(OR($C425="",$D425=""),"",IFERROR($D425*INDEX(Mix_Eff,MATCH($C425,Mix_Code,0),1),""))</f>
        <v/>
      </c>
      <c r="G425" s="67" t="str">
        <f aca="false">IF(OR($C425="",$D425=""),"",IFERROR($D425*INDEX(Mix_Eff,MATCH($C425,Mix_Code,0),2),""))</f>
        <v/>
      </c>
      <c r="H425" s="67" t="str">
        <f aca="false">IF(OR($C425="",$D425=""),"",IFERROR($D425*INDEX(Mix_Eff,MATCH($C425,Mix_Code,0),3),""))</f>
        <v/>
      </c>
      <c r="I425" s="67" t="str">
        <f aca="false">IF(OR($C425="",$D425=""),"",IFERROR($D425*INDEX(Mix_Eff,MATCH($C425,Mix_Code,0),4),""))</f>
        <v/>
      </c>
      <c r="J425" s="67" t="str">
        <f aca="false">IF(OR($C425="",$D425=""),"",IFERROR($D425*INDEX(Mix_Eff,MATCH($C425,Mix_Code,0),5),""))</f>
        <v/>
      </c>
      <c r="K425" s="63"/>
      <c r="L425" s="16" t="str">
        <f aca="false">IF(AND($A425="",$B425="",$C425="",$D425=""),"",IF($A425="","⚠ Date missing",IF($B425="","⚠ Site missing",IF(ISNA(MATCH($C425,Mix_Code,0)),"⚠ Unknown mix code",IF($D425="","⚠ Enter m3 produced",IF(COUNTIF(CI_Site,$B425)=0,"⚠ Site not set up in Current Inventory",IF($A425&gt;AsOfDate,"Future date – not yet deducted","OK")))))))</f>
        <v/>
      </c>
    </row>
    <row r="426" customFormat="false" ht="15" hidden="false" customHeight="false" outlineLevel="0" collapsed="false">
      <c r="A426" s="65"/>
      <c r="B426" s="63"/>
      <c r="C426" s="70"/>
      <c r="D426" s="66"/>
      <c r="E426" s="16" t="str">
        <f aca="false">IF($C426="","",IFERROR(INDEX(Mix_Desc,MATCH($C426,Mix_Code,0)),"⚠ Unknown mix code"))</f>
        <v/>
      </c>
      <c r="F426" s="67" t="str">
        <f aca="false">IF(OR($C426="",$D426=""),"",IFERROR($D426*INDEX(Mix_Eff,MATCH($C426,Mix_Code,0),1),""))</f>
        <v/>
      </c>
      <c r="G426" s="67" t="str">
        <f aca="false">IF(OR($C426="",$D426=""),"",IFERROR($D426*INDEX(Mix_Eff,MATCH($C426,Mix_Code,0),2),""))</f>
        <v/>
      </c>
      <c r="H426" s="67" t="str">
        <f aca="false">IF(OR($C426="",$D426=""),"",IFERROR($D426*INDEX(Mix_Eff,MATCH($C426,Mix_Code,0),3),""))</f>
        <v/>
      </c>
      <c r="I426" s="67" t="str">
        <f aca="false">IF(OR($C426="",$D426=""),"",IFERROR($D426*INDEX(Mix_Eff,MATCH($C426,Mix_Code,0),4),""))</f>
        <v/>
      </c>
      <c r="J426" s="67" t="str">
        <f aca="false">IF(OR($C426="",$D426=""),"",IFERROR($D426*INDEX(Mix_Eff,MATCH($C426,Mix_Code,0),5),""))</f>
        <v/>
      </c>
      <c r="K426" s="63"/>
      <c r="L426" s="16" t="str">
        <f aca="false">IF(AND($A426="",$B426="",$C426="",$D426=""),"",IF($A426="","⚠ Date missing",IF($B426="","⚠ Site missing",IF(ISNA(MATCH($C426,Mix_Code,0)),"⚠ Unknown mix code",IF($D426="","⚠ Enter m3 produced",IF(COUNTIF(CI_Site,$B426)=0,"⚠ Site not set up in Current Inventory",IF($A426&gt;AsOfDate,"Future date – not yet deducted","OK")))))))</f>
        <v/>
      </c>
    </row>
    <row r="427" customFormat="false" ht="15" hidden="false" customHeight="false" outlineLevel="0" collapsed="false">
      <c r="A427" s="65"/>
      <c r="B427" s="63"/>
      <c r="C427" s="70"/>
      <c r="D427" s="66"/>
      <c r="E427" s="16" t="str">
        <f aca="false">IF($C427="","",IFERROR(INDEX(Mix_Desc,MATCH($C427,Mix_Code,0)),"⚠ Unknown mix code"))</f>
        <v/>
      </c>
      <c r="F427" s="67" t="str">
        <f aca="false">IF(OR($C427="",$D427=""),"",IFERROR($D427*INDEX(Mix_Eff,MATCH($C427,Mix_Code,0),1),""))</f>
        <v/>
      </c>
      <c r="G427" s="67" t="str">
        <f aca="false">IF(OR($C427="",$D427=""),"",IFERROR($D427*INDEX(Mix_Eff,MATCH($C427,Mix_Code,0),2),""))</f>
        <v/>
      </c>
      <c r="H427" s="67" t="str">
        <f aca="false">IF(OR($C427="",$D427=""),"",IFERROR($D427*INDEX(Mix_Eff,MATCH($C427,Mix_Code,0),3),""))</f>
        <v/>
      </c>
      <c r="I427" s="67" t="str">
        <f aca="false">IF(OR($C427="",$D427=""),"",IFERROR($D427*INDEX(Mix_Eff,MATCH($C427,Mix_Code,0),4),""))</f>
        <v/>
      </c>
      <c r="J427" s="67" t="str">
        <f aca="false">IF(OR($C427="",$D427=""),"",IFERROR($D427*INDEX(Mix_Eff,MATCH($C427,Mix_Code,0),5),""))</f>
        <v/>
      </c>
      <c r="K427" s="63"/>
      <c r="L427" s="16" t="str">
        <f aca="false">IF(AND($A427="",$B427="",$C427="",$D427=""),"",IF($A427="","⚠ Date missing",IF($B427="","⚠ Site missing",IF(ISNA(MATCH($C427,Mix_Code,0)),"⚠ Unknown mix code",IF($D427="","⚠ Enter m3 produced",IF(COUNTIF(CI_Site,$B427)=0,"⚠ Site not set up in Current Inventory",IF($A427&gt;AsOfDate,"Future date – not yet deducted","OK")))))))</f>
        <v/>
      </c>
    </row>
    <row r="428" customFormat="false" ht="15" hidden="false" customHeight="false" outlineLevel="0" collapsed="false">
      <c r="A428" s="65"/>
      <c r="B428" s="63"/>
      <c r="C428" s="70"/>
      <c r="D428" s="66"/>
      <c r="E428" s="16" t="str">
        <f aca="false">IF($C428="","",IFERROR(INDEX(Mix_Desc,MATCH($C428,Mix_Code,0)),"⚠ Unknown mix code"))</f>
        <v/>
      </c>
      <c r="F428" s="67" t="str">
        <f aca="false">IF(OR($C428="",$D428=""),"",IFERROR($D428*INDEX(Mix_Eff,MATCH($C428,Mix_Code,0),1),""))</f>
        <v/>
      </c>
      <c r="G428" s="67" t="str">
        <f aca="false">IF(OR($C428="",$D428=""),"",IFERROR($D428*INDEX(Mix_Eff,MATCH($C428,Mix_Code,0),2),""))</f>
        <v/>
      </c>
      <c r="H428" s="67" t="str">
        <f aca="false">IF(OR($C428="",$D428=""),"",IFERROR($D428*INDEX(Mix_Eff,MATCH($C428,Mix_Code,0),3),""))</f>
        <v/>
      </c>
      <c r="I428" s="67" t="str">
        <f aca="false">IF(OR($C428="",$D428=""),"",IFERROR($D428*INDEX(Mix_Eff,MATCH($C428,Mix_Code,0),4),""))</f>
        <v/>
      </c>
      <c r="J428" s="67" t="str">
        <f aca="false">IF(OR($C428="",$D428=""),"",IFERROR($D428*INDEX(Mix_Eff,MATCH($C428,Mix_Code,0),5),""))</f>
        <v/>
      </c>
      <c r="K428" s="63"/>
      <c r="L428" s="16" t="str">
        <f aca="false">IF(AND($A428="",$B428="",$C428="",$D428=""),"",IF($A428="","⚠ Date missing",IF($B428="","⚠ Site missing",IF(ISNA(MATCH($C428,Mix_Code,0)),"⚠ Unknown mix code",IF($D428="","⚠ Enter m3 produced",IF(COUNTIF(CI_Site,$B428)=0,"⚠ Site not set up in Current Inventory",IF($A428&gt;AsOfDate,"Future date – not yet deducted","OK")))))))</f>
        <v/>
      </c>
    </row>
    <row r="429" customFormat="false" ht="15" hidden="false" customHeight="false" outlineLevel="0" collapsed="false">
      <c r="A429" s="65"/>
      <c r="B429" s="63"/>
      <c r="C429" s="70"/>
      <c r="D429" s="66"/>
      <c r="E429" s="16" t="str">
        <f aca="false">IF($C429="","",IFERROR(INDEX(Mix_Desc,MATCH($C429,Mix_Code,0)),"⚠ Unknown mix code"))</f>
        <v/>
      </c>
      <c r="F429" s="67" t="str">
        <f aca="false">IF(OR($C429="",$D429=""),"",IFERROR($D429*INDEX(Mix_Eff,MATCH($C429,Mix_Code,0),1),""))</f>
        <v/>
      </c>
      <c r="G429" s="67" t="str">
        <f aca="false">IF(OR($C429="",$D429=""),"",IFERROR($D429*INDEX(Mix_Eff,MATCH($C429,Mix_Code,0),2),""))</f>
        <v/>
      </c>
      <c r="H429" s="67" t="str">
        <f aca="false">IF(OR($C429="",$D429=""),"",IFERROR($D429*INDEX(Mix_Eff,MATCH($C429,Mix_Code,0),3),""))</f>
        <v/>
      </c>
      <c r="I429" s="67" t="str">
        <f aca="false">IF(OR($C429="",$D429=""),"",IFERROR($D429*INDEX(Mix_Eff,MATCH($C429,Mix_Code,0),4),""))</f>
        <v/>
      </c>
      <c r="J429" s="67" t="str">
        <f aca="false">IF(OR($C429="",$D429=""),"",IFERROR($D429*INDEX(Mix_Eff,MATCH($C429,Mix_Code,0),5),""))</f>
        <v/>
      </c>
      <c r="K429" s="63"/>
      <c r="L429" s="16" t="str">
        <f aca="false">IF(AND($A429="",$B429="",$C429="",$D429=""),"",IF($A429="","⚠ Date missing",IF($B429="","⚠ Site missing",IF(ISNA(MATCH($C429,Mix_Code,0)),"⚠ Unknown mix code",IF($D429="","⚠ Enter m3 produced",IF(COUNTIF(CI_Site,$B429)=0,"⚠ Site not set up in Current Inventory",IF($A429&gt;AsOfDate,"Future date – not yet deducted","OK")))))))</f>
        <v/>
      </c>
    </row>
    <row r="430" customFormat="false" ht="15" hidden="false" customHeight="false" outlineLevel="0" collapsed="false">
      <c r="A430" s="65"/>
      <c r="B430" s="63"/>
      <c r="C430" s="70"/>
      <c r="D430" s="66"/>
      <c r="E430" s="16" t="str">
        <f aca="false">IF($C430="","",IFERROR(INDEX(Mix_Desc,MATCH($C430,Mix_Code,0)),"⚠ Unknown mix code"))</f>
        <v/>
      </c>
      <c r="F430" s="67" t="str">
        <f aca="false">IF(OR($C430="",$D430=""),"",IFERROR($D430*INDEX(Mix_Eff,MATCH($C430,Mix_Code,0),1),""))</f>
        <v/>
      </c>
      <c r="G430" s="67" t="str">
        <f aca="false">IF(OR($C430="",$D430=""),"",IFERROR($D430*INDEX(Mix_Eff,MATCH($C430,Mix_Code,0),2),""))</f>
        <v/>
      </c>
      <c r="H430" s="67" t="str">
        <f aca="false">IF(OR($C430="",$D430=""),"",IFERROR($D430*INDEX(Mix_Eff,MATCH($C430,Mix_Code,0),3),""))</f>
        <v/>
      </c>
      <c r="I430" s="67" t="str">
        <f aca="false">IF(OR($C430="",$D430=""),"",IFERROR($D430*INDEX(Mix_Eff,MATCH($C430,Mix_Code,0),4),""))</f>
        <v/>
      </c>
      <c r="J430" s="67" t="str">
        <f aca="false">IF(OR($C430="",$D430=""),"",IFERROR($D430*INDEX(Mix_Eff,MATCH($C430,Mix_Code,0),5),""))</f>
        <v/>
      </c>
      <c r="K430" s="63"/>
      <c r="L430" s="16" t="str">
        <f aca="false">IF(AND($A430="",$B430="",$C430="",$D430=""),"",IF($A430="","⚠ Date missing",IF($B430="","⚠ Site missing",IF(ISNA(MATCH($C430,Mix_Code,0)),"⚠ Unknown mix code",IF($D430="","⚠ Enter m3 produced",IF(COUNTIF(CI_Site,$B430)=0,"⚠ Site not set up in Current Inventory",IF($A430&gt;AsOfDate,"Future date – not yet deducted","OK")))))))</f>
        <v/>
      </c>
    </row>
    <row r="431" customFormat="false" ht="15" hidden="false" customHeight="false" outlineLevel="0" collapsed="false">
      <c r="A431" s="65"/>
      <c r="B431" s="63"/>
      <c r="C431" s="70"/>
      <c r="D431" s="66"/>
      <c r="E431" s="16" t="str">
        <f aca="false">IF($C431="","",IFERROR(INDEX(Mix_Desc,MATCH($C431,Mix_Code,0)),"⚠ Unknown mix code"))</f>
        <v/>
      </c>
      <c r="F431" s="67" t="str">
        <f aca="false">IF(OR($C431="",$D431=""),"",IFERROR($D431*INDEX(Mix_Eff,MATCH($C431,Mix_Code,0),1),""))</f>
        <v/>
      </c>
      <c r="G431" s="67" t="str">
        <f aca="false">IF(OR($C431="",$D431=""),"",IFERROR($D431*INDEX(Mix_Eff,MATCH($C431,Mix_Code,0),2),""))</f>
        <v/>
      </c>
      <c r="H431" s="67" t="str">
        <f aca="false">IF(OR($C431="",$D431=""),"",IFERROR($D431*INDEX(Mix_Eff,MATCH($C431,Mix_Code,0),3),""))</f>
        <v/>
      </c>
      <c r="I431" s="67" t="str">
        <f aca="false">IF(OR($C431="",$D431=""),"",IFERROR($D431*INDEX(Mix_Eff,MATCH($C431,Mix_Code,0),4),""))</f>
        <v/>
      </c>
      <c r="J431" s="67" t="str">
        <f aca="false">IF(OR($C431="",$D431=""),"",IFERROR($D431*INDEX(Mix_Eff,MATCH($C431,Mix_Code,0),5),""))</f>
        <v/>
      </c>
      <c r="K431" s="63"/>
      <c r="L431" s="16" t="str">
        <f aca="false">IF(AND($A431="",$B431="",$C431="",$D431=""),"",IF($A431="","⚠ Date missing",IF($B431="","⚠ Site missing",IF(ISNA(MATCH($C431,Mix_Code,0)),"⚠ Unknown mix code",IF($D431="","⚠ Enter m3 produced",IF(COUNTIF(CI_Site,$B431)=0,"⚠ Site not set up in Current Inventory",IF($A431&gt;AsOfDate,"Future date – not yet deducted","OK")))))))</f>
        <v/>
      </c>
    </row>
    <row r="432" customFormat="false" ht="15" hidden="false" customHeight="false" outlineLevel="0" collapsed="false">
      <c r="A432" s="65"/>
      <c r="B432" s="63"/>
      <c r="C432" s="70"/>
      <c r="D432" s="66"/>
      <c r="E432" s="16" t="str">
        <f aca="false">IF($C432="","",IFERROR(INDEX(Mix_Desc,MATCH($C432,Mix_Code,0)),"⚠ Unknown mix code"))</f>
        <v/>
      </c>
      <c r="F432" s="67" t="str">
        <f aca="false">IF(OR($C432="",$D432=""),"",IFERROR($D432*INDEX(Mix_Eff,MATCH($C432,Mix_Code,0),1),""))</f>
        <v/>
      </c>
      <c r="G432" s="67" t="str">
        <f aca="false">IF(OR($C432="",$D432=""),"",IFERROR($D432*INDEX(Mix_Eff,MATCH($C432,Mix_Code,0),2),""))</f>
        <v/>
      </c>
      <c r="H432" s="67" t="str">
        <f aca="false">IF(OR($C432="",$D432=""),"",IFERROR($D432*INDEX(Mix_Eff,MATCH($C432,Mix_Code,0),3),""))</f>
        <v/>
      </c>
      <c r="I432" s="67" t="str">
        <f aca="false">IF(OR($C432="",$D432=""),"",IFERROR($D432*INDEX(Mix_Eff,MATCH($C432,Mix_Code,0),4),""))</f>
        <v/>
      </c>
      <c r="J432" s="67" t="str">
        <f aca="false">IF(OR($C432="",$D432=""),"",IFERROR($D432*INDEX(Mix_Eff,MATCH($C432,Mix_Code,0),5),""))</f>
        <v/>
      </c>
      <c r="K432" s="63"/>
      <c r="L432" s="16" t="str">
        <f aca="false">IF(AND($A432="",$B432="",$C432="",$D432=""),"",IF($A432="","⚠ Date missing",IF($B432="","⚠ Site missing",IF(ISNA(MATCH($C432,Mix_Code,0)),"⚠ Unknown mix code",IF($D432="","⚠ Enter m3 produced",IF(COUNTIF(CI_Site,$B432)=0,"⚠ Site not set up in Current Inventory",IF($A432&gt;AsOfDate,"Future date – not yet deducted","OK")))))))</f>
        <v/>
      </c>
    </row>
    <row r="433" customFormat="false" ht="15" hidden="false" customHeight="false" outlineLevel="0" collapsed="false">
      <c r="A433" s="65"/>
      <c r="B433" s="63"/>
      <c r="C433" s="70"/>
      <c r="D433" s="66"/>
      <c r="E433" s="16" t="str">
        <f aca="false">IF($C433="","",IFERROR(INDEX(Mix_Desc,MATCH($C433,Mix_Code,0)),"⚠ Unknown mix code"))</f>
        <v/>
      </c>
      <c r="F433" s="67" t="str">
        <f aca="false">IF(OR($C433="",$D433=""),"",IFERROR($D433*INDEX(Mix_Eff,MATCH($C433,Mix_Code,0),1),""))</f>
        <v/>
      </c>
      <c r="G433" s="67" t="str">
        <f aca="false">IF(OR($C433="",$D433=""),"",IFERROR($D433*INDEX(Mix_Eff,MATCH($C433,Mix_Code,0),2),""))</f>
        <v/>
      </c>
      <c r="H433" s="67" t="str">
        <f aca="false">IF(OR($C433="",$D433=""),"",IFERROR($D433*INDEX(Mix_Eff,MATCH($C433,Mix_Code,0),3),""))</f>
        <v/>
      </c>
      <c r="I433" s="67" t="str">
        <f aca="false">IF(OR($C433="",$D433=""),"",IFERROR($D433*INDEX(Mix_Eff,MATCH($C433,Mix_Code,0),4),""))</f>
        <v/>
      </c>
      <c r="J433" s="67" t="str">
        <f aca="false">IF(OR($C433="",$D433=""),"",IFERROR($D433*INDEX(Mix_Eff,MATCH($C433,Mix_Code,0),5),""))</f>
        <v/>
      </c>
      <c r="K433" s="63"/>
      <c r="L433" s="16" t="str">
        <f aca="false">IF(AND($A433="",$B433="",$C433="",$D433=""),"",IF($A433="","⚠ Date missing",IF($B433="","⚠ Site missing",IF(ISNA(MATCH($C433,Mix_Code,0)),"⚠ Unknown mix code",IF($D433="","⚠ Enter m3 produced",IF(COUNTIF(CI_Site,$B433)=0,"⚠ Site not set up in Current Inventory",IF($A433&gt;AsOfDate,"Future date – not yet deducted","OK")))))))</f>
        <v/>
      </c>
    </row>
    <row r="434" customFormat="false" ht="15" hidden="false" customHeight="false" outlineLevel="0" collapsed="false">
      <c r="A434" s="65"/>
      <c r="B434" s="63"/>
      <c r="C434" s="70"/>
      <c r="D434" s="66"/>
      <c r="E434" s="16" t="str">
        <f aca="false">IF($C434="","",IFERROR(INDEX(Mix_Desc,MATCH($C434,Mix_Code,0)),"⚠ Unknown mix code"))</f>
        <v/>
      </c>
      <c r="F434" s="67" t="str">
        <f aca="false">IF(OR($C434="",$D434=""),"",IFERROR($D434*INDEX(Mix_Eff,MATCH($C434,Mix_Code,0),1),""))</f>
        <v/>
      </c>
      <c r="G434" s="67" t="str">
        <f aca="false">IF(OR($C434="",$D434=""),"",IFERROR($D434*INDEX(Mix_Eff,MATCH($C434,Mix_Code,0),2),""))</f>
        <v/>
      </c>
      <c r="H434" s="67" t="str">
        <f aca="false">IF(OR($C434="",$D434=""),"",IFERROR($D434*INDEX(Mix_Eff,MATCH($C434,Mix_Code,0),3),""))</f>
        <v/>
      </c>
      <c r="I434" s="67" t="str">
        <f aca="false">IF(OR($C434="",$D434=""),"",IFERROR($D434*INDEX(Mix_Eff,MATCH($C434,Mix_Code,0),4),""))</f>
        <v/>
      </c>
      <c r="J434" s="67" t="str">
        <f aca="false">IF(OR($C434="",$D434=""),"",IFERROR($D434*INDEX(Mix_Eff,MATCH($C434,Mix_Code,0),5),""))</f>
        <v/>
      </c>
      <c r="K434" s="63"/>
      <c r="L434" s="16" t="str">
        <f aca="false">IF(AND($A434="",$B434="",$C434="",$D434=""),"",IF($A434="","⚠ Date missing",IF($B434="","⚠ Site missing",IF(ISNA(MATCH($C434,Mix_Code,0)),"⚠ Unknown mix code",IF($D434="","⚠ Enter m3 produced",IF(COUNTIF(CI_Site,$B434)=0,"⚠ Site not set up in Current Inventory",IF($A434&gt;AsOfDate,"Future date – not yet deducted","OK")))))))</f>
        <v/>
      </c>
    </row>
    <row r="435" customFormat="false" ht="15" hidden="false" customHeight="false" outlineLevel="0" collapsed="false">
      <c r="A435" s="65"/>
      <c r="B435" s="63"/>
      <c r="C435" s="70"/>
      <c r="D435" s="66"/>
      <c r="E435" s="16" t="str">
        <f aca="false">IF($C435="","",IFERROR(INDEX(Mix_Desc,MATCH($C435,Mix_Code,0)),"⚠ Unknown mix code"))</f>
        <v/>
      </c>
      <c r="F435" s="67" t="str">
        <f aca="false">IF(OR($C435="",$D435=""),"",IFERROR($D435*INDEX(Mix_Eff,MATCH($C435,Mix_Code,0),1),""))</f>
        <v/>
      </c>
      <c r="G435" s="67" t="str">
        <f aca="false">IF(OR($C435="",$D435=""),"",IFERROR($D435*INDEX(Mix_Eff,MATCH($C435,Mix_Code,0),2),""))</f>
        <v/>
      </c>
      <c r="H435" s="67" t="str">
        <f aca="false">IF(OR($C435="",$D435=""),"",IFERROR($D435*INDEX(Mix_Eff,MATCH($C435,Mix_Code,0),3),""))</f>
        <v/>
      </c>
      <c r="I435" s="67" t="str">
        <f aca="false">IF(OR($C435="",$D435=""),"",IFERROR($D435*INDEX(Mix_Eff,MATCH($C435,Mix_Code,0),4),""))</f>
        <v/>
      </c>
      <c r="J435" s="67" t="str">
        <f aca="false">IF(OR($C435="",$D435=""),"",IFERROR($D435*INDEX(Mix_Eff,MATCH($C435,Mix_Code,0),5),""))</f>
        <v/>
      </c>
      <c r="K435" s="63"/>
      <c r="L435" s="16" t="str">
        <f aca="false">IF(AND($A435="",$B435="",$C435="",$D435=""),"",IF($A435="","⚠ Date missing",IF($B435="","⚠ Site missing",IF(ISNA(MATCH($C435,Mix_Code,0)),"⚠ Unknown mix code",IF($D435="","⚠ Enter m3 produced",IF(COUNTIF(CI_Site,$B435)=0,"⚠ Site not set up in Current Inventory",IF($A435&gt;AsOfDate,"Future date – not yet deducted","OK")))))))</f>
        <v/>
      </c>
    </row>
    <row r="436" customFormat="false" ht="15" hidden="false" customHeight="false" outlineLevel="0" collapsed="false">
      <c r="A436" s="65"/>
      <c r="B436" s="63"/>
      <c r="C436" s="70"/>
      <c r="D436" s="66"/>
      <c r="E436" s="16" t="str">
        <f aca="false">IF($C436="","",IFERROR(INDEX(Mix_Desc,MATCH($C436,Mix_Code,0)),"⚠ Unknown mix code"))</f>
        <v/>
      </c>
      <c r="F436" s="67" t="str">
        <f aca="false">IF(OR($C436="",$D436=""),"",IFERROR($D436*INDEX(Mix_Eff,MATCH($C436,Mix_Code,0),1),""))</f>
        <v/>
      </c>
      <c r="G436" s="67" t="str">
        <f aca="false">IF(OR($C436="",$D436=""),"",IFERROR($D436*INDEX(Mix_Eff,MATCH($C436,Mix_Code,0),2),""))</f>
        <v/>
      </c>
      <c r="H436" s="67" t="str">
        <f aca="false">IF(OR($C436="",$D436=""),"",IFERROR($D436*INDEX(Mix_Eff,MATCH($C436,Mix_Code,0),3),""))</f>
        <v/>
      </c>
      <c r="I436" s="67" t="str">
        <f aca="false">IF(OR($C436="",$D436=""),"",IFERROR($D436*INDEX(Mix_Eff,MATCH($C436,Mix_Code,0),4),""))</f>
        <v/>
      </c>
      <c r="J436" s="67" t="str">
        <f aca="false">IF(OR($C436="",$D436=""),"",IFERROR($D436*INDEX(Mix_Eff,MATCH($C436,Mix_Code,0),5),""))</f>
        <v/>
      </c>
      <c r="K436" s="63"/>
      <c r="L436" s="16" t="str">
        <f aca="false">IF(AND($A436="",$B436="",$C436="",$D436=""),"",IF($A436="","⚠ Date missing",IF($B436="","⚠ Site missing",IF(ISNA(MATCH($C436,Mix_Code,0)),"⚠ Unknown mix code",IF($D436="","⚠ Enter m3 produced",IF(COUNTIF(CI_Site,$B436)=0,"⚠ Site not set up in Current Inventory",IF($A436&gt;AsOfDate,"Future date – not yet deducted","OK")))))))</f>
        <v/>
      </c>
    </row>
    <row r="437" customFormat="false" ht="15" hidden="false" customHeight="false" outlineLevel="0" collapsed="false">
      <c r="A437" s="65"/>
      <c r="B437" s="63"/>
      <c r="C437" s="70"/>
      <c r="D437" s="66"/>
      <c r="E437" s="16" t="str">
        <f aca="false">IF($C437="","",IFERROR(INDEX(Mix_Desc,MATCH($C437,Mix_Code,0)),"⚠ Unknown mix code"))</f>
        <v/>
      </c>
      <c r="F437" s="67" t="str">
        <f aca="false">IF(OR($C437="",$D437=""),"",IFERROR($D437*INDEX(Mix_Eff,MATCH($C437,Mix_Code,0),1),""))</f>
        <v/>
      </c>
      <c r="G437" s="67" t="str">
        <f aca="false">IF(OR($C437="",$D437=""),"",IFERROR($D437*INDEX(Mix_Eff,MATCH($C437,Mix_Code,0),2),""))</f>
        <v/>
      </c>
      <c r="H437" s="67" t="str">
        <f aca="false">IF(OR($C437="",$D437=""),"",IFERROR($D437*INDEX(Mix_Eff,MATCH($C437,Mix_Code,0),3),""))</f>
        <v/>
      </c>
      <c r="I437" s="67" t="str">
        <f aca="false">IF(OR($C437="",$D437=""),"",IFERROR($D437*INDEX(Mix_Eff,MATCH($C437,Mix_Code,0),4),""))</f>
        <v/>
      </c>
      <c r="J437" s="67" t="str">
        <f aca="false">IF(OR($C437="",$D437=""),"",IFERROR($D437*INDEX(Mix_Eff,MATCH($C437,Mix_Code,0),5),""))</f>
        <v/>
      </c>
      <c r="K437" s="63"/>
      <c r="L437" s="16" t="str">
        <f aca="false">IF(AND($A437="",$B437="",$C437="",$D437=""),"",IF($A437="","⚠ Date missing",IF($B437="","⚠ Site missing",IF(ISNA(MATCH($C437,Mix_Code,0)),"⚠ Unknown mix code",IF($D437="","⚠ Enter m3 produced",IF(COUNTIF(CI_Site,$B437)=0,"⚠ Site not set up in Current Inventory",IF($A437&gt;AsOfDate,"Future date – not yet deducted","OK")))))))</f>
        <v/>
      </c>
    </row>
    <row r="438" customFormat="false" ht="15" hidden="false" customHeight="false" outlineLevel="0" collapsed="false">
      <c r="A438" s="65"/>
      <c r="B438" s="63"/>
      <c r="C438" s="70"/>
      <c r="D438" s="66"/>
      <c r="E438" s="16" t="str">
        <f aca="false">IF($C438="","",IFERROR(INDEX(Mix_Desc,MATCH($C438,Mix_Code,0)),"⚠ Unknown mix code"))</f>
        <v/>
      </c>
      <c r="F438" s="67" t="str">
        <f aca="false">IF(OR($C438="",$D438=""),"",IFERROR($D438*INDEX(Mix_Eff,MATCH($C438,Mix_Code,0),1),""))</f>
        <v/>
      </c>
      <c r="G438" s="67" t="str">
        <f aca="false">IF(OR($C438="",$D438=""),"",IFERROR($D438*INDEX(Mix_Eff,MATCH($C438,Mix_Code,0),2),""))</f>
        <v/>
      </c>
      <c r="H438" s="67" t="str">
        <f aca="false">IF(OR($C438="",$D438=""),"",IFERROR($D438*INDEX(Mix_Eff,MATCH($C438,Mix_Code,0),3),""))</f>
        <v/>
      </c>
      <c r="I438" s="67" t="str">
        <f aca="false">IF(OR($C438="",$D438=""),"",IFERROR($D438*INDEX(Mix_Eff,MATCH($C438,Mix_Code,0),4),""))</f>
        <v/>
      </c>
      <c r="J438" s="67" t="str">
        <f aca="false">IF(OR($C438="",$D438=""),"",IFERROR($D438*INDEX(Mix_Eff,MATCH($C438,Mix_Code,0),5),""))</f>
        <v/>
      </c>
      <c r="K438" s="63"/>
      <c r="L438" s="16" t="str">
        <f aca="false">IF(AND($A438="",$B438="",$C438="",$D438=""),"",IF($A438="","⚠ Date missing",IF($B438="","⚠ Site missing",IF(ISNA(MATCH($C438,Mix_Code,0)),"⚠ Unknown mix code",IF($D438="","⚠ Enter m3 produced",IF(COUNTIF(CI_Site,$B438)=0,"⚠ Site not set up in Current Inventory",IF($A438&gt;AsOfDate,"Future date – not yet deducted","OK")))))))</f>
        <v/>
      </c>
    </row>
    <row r="439" customFormat="false" ht="15" hidden="false" customHeight="false" outlineLevel="0" collapsed="false">
      <c r="A439" s="65"/>
      <c r="B439" s="63"/>
      <c r="C439" s="70"/>
      <c r="D439" s="66"/>
      <c r="E439" s="16" t="str">
        <f aca="false">IF($C439="","",IFERROR(INDEX(Mix_Desc,MATCH($C439,Mix_Code,0)),"⚠ Unknown mix code"))</f>
        <v/>
      </c>
      <c r="F439" s="67" t="str">
        <f aca="false">IF(OR($C439="",$D439=""),"",IFERROR($D439*INDEX(Mix_Eff,MATCH($C439,Mix_Code,0),1),""))</f>
        <v/>
      </c>
      <c r="G439" s="67" t="str">
        <f aca="false">IF(OR($C439="",$D439=""),"",IFERROR($D439*INDEX(Mix_Eff,MATCH($C439,Mix_Code,0),2),""))</f>
        <v/>
      </c>
      <c r="H439" s="67" t="str">
        <f aca="false">IF(OR($C439="",$D439=""),"",IFERROR($D439*INDEX(Mix_Eff,MATCH($C439,Mix_Code,0),3),""))</f>
        <v/>
      </c>
      <c r="I439" s="67" t="str">
        <f aca="false">IF(OR($C439="",$D439=""),"",IFERROR($D439*INDEX(Mix_Eff,MATCH($C439,Mix_Code,0),4),""))</f>
        <v/>
      </c>
      <c r="J439" s="67" t="str">
        <f aca="false">IF(OR($C439="",$D439=""),"",IFERROR($D439*INDEX(Mix_Eff,MATCH($C439,Mix_Code,0),5),""))</f>
        <v/>
      </c>
      <c r="K439" s="63"/>
      <c r="L439" s="16" t="str">
        <f aca="false">IF(AND($A439="",$B439="",$C439="",$D439=""),"",IF($A439="","⚠ Date missing",IF($B439="","⚠ Site missing",IF(ISNA(MATCH($C439,Mix_Code,0)),"⚠ Unknown mix code",IF($D439="","⚠ Enter m3 produced",IF(COUNTIF(CI_Site,$B439)=0,"⚠ Site not set up in Current Inventory",IF($A439&gt;AsOfDate,"Future date – not yet deducted","OK")))))))</f>
        <v/>
      </c>
    </row>
    <row r="440" customFormat="false" ht="15" hidden="false" customHeight="false" outlineLevel="0" collapsed="false">
      <c r="A440" s="65"/>
      <c r="B440" s="63"/>
      <c r="C440" s="70"/>
      <c r="D440" s="66"/>
      <c r="E440" s="16" t="str">
        <f aca="false">IF($C440="","",IFERROR(INDEX(Mix_Desc,MATCH($C440,Mix_Code,0)),"⚠ Unknown mix code"))</f>
        <v/>
      </c>
      <c r="F440" s="67" t="str">
        <f aca="false">IF(OR($C440="",$D440=""),"",IFERROR($D440*INDEX(Mix_Eff,MATCH($C440,Mix_Code,0),1),""))</f>
        <v/>
      </c>
      <c r="G440" s="67" t="str">
        <f aca="false">IF(OR($C440="",$D440=""),"",IFERROR($D440*INDEX(Mix_Eff,MATCH($C440,Mix_Code,0),2),""))</f>
        <v/>
      </c>
      <c r="H440" s="67" t="str">
        <f aca="false">IF(OR($C440="",$D440=""),"",IFERROR($D440*INDEX(Mix_Eff,MATCH($C440,Mix_Code,0),3),""))</f>
        <v/>
      </c>
      <c r="I440" s="67" t="str">
        <f aca="false">IF(OR($C440="",$D440=""),"",IFERROR($D440*INDEX(Mix_Eff,MATCH($C440,Mix_Code,0),4),""))</f>
        <v/>
      </c>
      <c r="J440" s="67" t="str">
        <f aca="false">IF(OR($C440="",$D440=""),"",IFERROR($D440*INDEX(Mix_Eff,MATCH($C440,Mix_Code,0),5),""))</f>
        <v/>
      </c>
      <c r="K440" s="63"/>
      <c r="L440" s="16" t="str">
        <f aca="false">IF(AND($A440="",$B440="",$C440="",$D440=""),"",IF($A440="","⚠ Date missing",IF($B440="","⚠ Site missing",IF(ISNA(MATCH($C440,Mix_Code,0)),"⚠ Unknown mix code",IF($D440="","⚠ Enter m3 produced",IF(COUNTIF(CI_Site,$B440)=0,"⚠ Site not set up in Current Inventory",IF($A440&gt;AsOfDate,"Future date – not yet deducted","OK")))))))</f>
        <v/>
      </c>
    </row>
    <row r="441" customFormat="false" ht="15" hidden="false" customHeight="false" outlineLevel="0" collapsed="false">
      <c r="A441" s="65"/>
      <c r="B441" s="63"/>
      <c r="C441" s="70"/>
      <c r="D441" s="66"/>
      <c r="E441" s="16" t="str">
        <f aca="false">IF($C441="","",IFERROR(INDEX(Mix_Desc,MATCH($C441,Mix_Code,0)),"⚠ Unknown mix code"))</f>
        <v/>
      </c>
      <c r="F441" s="67" t="str">
        <f aca="false">IF(OR($C441="",$D441=""),"",IFERROR($D441*INDEX(Mix_Eff,MATCH($C441,Mix_Code,0),1),""))</f>
        <v/>
      </c>
      <c r="G441" s="67" t="str">
        <f aca="false">IF(OR($C441="",$D441=""),"",IFERROR($D441*INDEX(Mix_Eff,MATCH($C441,Mix_Code,0),2),""))</f>
        <v/>
      </c>
      <c r="H441" s="67" t="str">
        <f aca="false">IF(OR($C441="",$D441=""),"",IFERROR($D441*INDEX(Mix_Eff,MATCH($C441,Mix_Code,0),3),""))</f>
        <v/>
      </c>
      <c r="I441" s="67" t="str">
        <f aca="false">IF(OR($C441="",$D441=""),"",IFERROR($D441*INDEX(Mix_Eff,MATCH($C441,Mix_Code,0),4),""))</f>
        <v/>
      </c>
      <c r="J441" s="67" t="str">
        <f aca="false">IF(OR($C441="",$D441=""),"",IFERROR($D441*INDEX(Mix_Eff,MATCH($C441,Mix_Code,0),5),""))</f>
        <v/>
      </c>
      <c r="K441" s="63"/>
      <c r="L441" s="16" t="str">
        <f aca="false">IF(AND($A441="",$B441="",$C441="",$D441=""),"",IF($A441="","⚠ Date missing",IF($B441="","⚠ Site missing",IF(ISNA(MATCH($C441,Mix_Code,0)),"⚠ Unknown mix code",IF($D441="","⚠ Enter m3 produced",IF(COUNTIF(CI_Site,$B441)=0,"⚠ Site not set up in Current Inventory",IF($A441&gt;AsOfDate,"Future date – not yet deducted","OK")))))))</f>
        <v/>
      </c>
    </row>
    <row r="442" customFormat="false" ht="15" hidden="false" customHeight="false" outlineLevel="0" collapsed="false">
      <c r="A442" s="65"/>
      <c r="B442" s="63"/>
      <c r="C442" s="70"/>
      <c r="D442" s="66"/>
      <c r="E442" s="16" t="str">
        <f aca="false">IF($C442="","",IFERROR(INDEX(Mix_Desc,MATCH($C442,Mix_Code,0)),"⚠ Unknown mix code"))</f>
        <v/>
      </c>
      <c r="F442" s="67" t="str">
        <f aca="false">IF(OR($C442="",$D442=""),"",IFERROR($D442*INDEX(Mix_Eff,MATCH($C442,Mix_Code,0),1),""))</f>
        <v/>
      </c>
      <c r="G442" s="67" t="str">
        <f aca="false">IF(OR($C442="",$D442=""),"",IFERROR($D442*INDEX(Mix_Eff,MATCH($C442,Mix_Code,0),2),""))</f>
        <v/>
      </c>
      <c r="H442" s="67" t="str">
        <f aca="false">IF(OR($C442="",$D442=""),"",IFERROR($D442*INDEX(Mix_Eff,MATCH($C442,Mix_Code,0),3),""))</f>
        <v/>
      </c>
      <c r="I442" s="67" t="str">
        <f aca="false">IF(OR($C442="",$D442=""),"",IFERROR($D442*INDEX(Mix_Eff,MATCH($C442,Mix_Code,0),4),""))</f>
        <v/>
      </c>
      <c r="J442" s="67" t="str">
        <f aca="false">IF(OR($C442="",$D442=""),"",IFERROR($D442*INDEX(Mix_Eff,MATCH($C442,Mix_Code,0),5),""))</f>
        <v/>
      </c>
      <c r="K442" s="63"/>
      <c r="L442" s="16" t="str">
        <f aca="false">IF(AND($A442="",$B442="",$C442="",$D442=""),"",IF($A442="","⚠ Date missing",IF($B442="","⚠ Site missing",IF(ISNA(MATCH($C442,Mix_Code,0)),"⚠ Unknown mix code",IF($D442="","⚠ Enter m3 produced",IF(COUNTIF(CI_Site,$B442)=0,"⚠ Site not set up in Current Inventory",IF($A442&gt;AsOfDate,"Future date – not yet deducted","OK")))))))</f>
        <v/>
      </c>
    </row>
    <row r="443" customFormat="false" ht="15" hidden="false" customHeight="false" outlineLevel="0" collapsed="false">
      <c r="A443" s="65"/>
      <c r="B443" s="63"/>
      <c r="C443" s="70"/>
      <c r="D443" s="66"/>
      <c r="E443" s="16" t="str">
        <f aca="false">IF($C443="","",IFERROR(INDEX(Mix_Desc,MATCH($C443,Mix_Code,0)),"⚠ Unknown mix code"))</f>
        <v/>
      </c>
      <c r="F443" s="67" t="str">
        <f aca="false">IF(OR($C443="",$D443=""),"",IFERROR($D443*INDEX(Mix_Eff,MATCH($C443,Mix_Code,0),1),""))</f>
        <v/>
      </c>
      <c r="G443" s="67" t="str">
        <f aca="false">IF(OR($C443="",$D443=""),"",IFERROR($D443*INDEX(Mix_Eff,MATCH($C443,Mix_Code,0),2),""))</f>
        <v/>
      </c>
      <c r="H443" s="67" t="str">
        <f aca="false">IF(OR($C443="",$D443=""),"",IFERROR($D443*INDEX(Mix_Eff,MATCH($C443,Mix_Code,0),3),""))</f>
        <v/>
      </c>
      <c r="I443" s="67" t="str">
        <f aca="false">IF(OR($C443="",$D443=""),"",IFERROR($D443*INDEX(Mix_Eff,MATCH($C443,Mix_Code,0),4),""))</f>
        <v/>
      </c>
      <c r="J443" s="67" t="str">
        <f aca="false">IF(OR($C443="",$D443=""),"",IFERROR($D443*INDEX(Mix_Eff,MATCH($C443,Mix_Code,0),5),""))</f>
        <v/>
      </c>
      <c r="K443" s="63"/>
      <c r="L443" s="16" t="str">
        <f aca="false">IF(AND($A443="",$B443="",$C443="",$D443=""),"",IF($A443="","⚠ Date missing",IF($B443="","⚠ Site missing",IF(ISNA(MATCH($C443,Mix_Code,0)),"⚠ Unknown mix code",IF($D443="","⚠ Enter m3 produced",IF(COUNTIF(CI_Site,$B443)=0,"⚠ Site not set up in Current Inventory",IF($A443&gt;AsOfDate,"Future date – not yet deducted","OK")))))))</f>
        <v/>
      </c>
    </row>
    <row r="444" customFormat="false" ht="15" hidden="false" customHeight="false" outlineLevel="0" collapsed="false">
      <c r="A444" s="65"/>
      <c r="B444" s="63"/>
      <c r="C444" s="70"/>
      <c r="D444" s="66"/>
      <c r="E444" s="16" t="str">
        <f aca="false">IF($C444="","",IFERROR(INDEX(Mix_Desc,MATCH($C444,Mix_Code,0)),"⚠ Unknown mix code"))</f>
        <v/>
      </c>
      <c r="F444" s="67" t="str">
        <f aca="false">IF(OR($C444="",$D444=""),"",IFERROR($D444*INDEX(Mix_Eff,MATCH($C444,Mix_Code,0),1),""))</f>
        <v/>
      </c>
      <c r="G444" s="67" t="str">
        <f aca="false">IF(OR($C444="",$D444=""),"",IFERROR($D444*INDEX(Mix_Eff,MATCH($C444,Mix_Code,0),2),""))</f>
        <v/>
      </c>
      <c r="H444" s="67" t="str">
        <f aca="false">IF(OR($C444="",$D444=""),"",IFERROR($D444*INDEX(Mix_Eff,MATCH($C444,Mix_Code,0),3),""))</f>
        <v/>
      </c>
      <c r="I444" s="67" t="str">
        <f aca="false">IF(OR($C444="",$D444=""),"",IFERROR($D444*INDEX(Mix_Eff,MATCH($C444,Mix_Code,0),4),""))</f>
        <v/>
      </c>
      <c r="J444" s="67" t="str">
        <f aca="false">IF(OR($C444="",$D444=""),"",IFERROR($D444*INDEX(Mix_Eff,MATCH($C444,Mix_Code,0),5),""))</f>
        <v/>
      </c>
      <c r="K444" s="63"/>
      <c r="L444" s="16" t="str">
        <f aca="false">IF(AND($A444="",$B444="",$C444="",$D444=""),"",IF($A444="","⚠ Date missing",IF($B444="","⚠ Site missing",IF(ISNA(MATCH($C444,Mix_Code,0)),"⚠ Unknown mix code",IF($D444="","⚠ Enter m3 produced",IF(COUNTIF(CI_Site,$B444)=0,"⚠ Site not set up in Current Inventory",IF($A444&gt;AsOfDate,"Future date – not yet deducted","OK")))))))</f>
        <v/>
      </c>
    </row>
    <row r="445" customFormat="false" ht="15" hidden="false" customHeight="false" outlineLevel="0" collapsed="false">
      <c r="A445" s="65"/>
      <c r="B445" s="63"/>
      <c r="C445" s="70"/>
      <c r="D445" s="66"/>
      <c r="E445" s="16" t="str">
        <f aca="false">IF($C445="","",IFERROR(INDEX(Mix_Desc,MATCH($C445,Mix_Code,0)),"⚠ Unknown mix code"))</f>
        <v/>
      </c>
      <c r="F445" s="67" t="str">
        <f aca="false">IF(OR($C445="",$D445=""),"",IFERROR($D445*INDEX(Mix_Eff,MATCH($C445,Mix_Code,0),1),""))</f>
        <v/>
      </c>
      <c r="G445" s="67" t="str">
        <f aca="false">IF(OR($C445="",$D445=""),"",IFERROR($D445*INDEX(Mix_Eff,MATCH($C445,Mix_Code,0),2),""))</f>
        <v/>
      </c>
      <c r="H445" s="67" t="str">
        <f aca="false">IF(OR($C445="",$D445=""),"",IFERROR($D445*INDEX(Mix_Eff,MATCH($C445,Mix_Code,0),3),""))</f>
        <v/>
      </c>
      <c r="I445" s="67" t="str">
        <f aca="false">IF(OR($C445="",$D445=""),"",IFERROR($D445*INDEX(Mix_Eff,MATCH($C445,Mix_Code,0),4),""))</f>
        <v/>
      </c>
      <c r="J445" s="67" t="str">
        <f aca="false">IF(OR($C445="",$D445=""),"",IFERROR($D445*INDEX(Mix_Eff,MATCH($C445,Mix_Code,0),5),""))</f>
        <v/>
      </c>
      <c r="K445" s="63"/>
      <c r="L445" s="16" t="str">
        <f aca="false">IF(AND($A445="",$B445="",$C445="",$D445=""),"",IF($A445="","⚠ Date missing",IF($B445="","⚠ Site missing",IF(ISNA(MATCH($C445,Mix_Code,0)),"⚠ Unknown mix code",IF($D445="","⚠ Enter m3 produced",IF(COUNTIF(CI_Site,$B445)=0,"⚠ Site not set up in Current Inventory",IF($A445&gt;AsOfDate,"Future date – not yet deducted","OK")))))))</f>
        <v/>
      </c>
    </row>
    <row r="446" customFormat="false" ht="15" hidden="false" customHeight="false" outlineLevel="0" collapsed="false">
      <c r="A446" s="65"/>
      <c r="B446" s="63"/>
      <c r="C446" s="70"/>
      <c r="D446" s="66"/>
      <c r="E446" s="16" t="str">
        <f aca="false">IF($C446="","",IFERROR(INDEX(Mix_Desc,MATCH($C446,Mix_Code,0)),"⚠ Unknown mix code"))</f>
        <v/>
      </c>
      <c r="F446" s="67" t="str">
        <f aca="false">IF(OR($C446="",$D446=""),"",IFERROR($D446*INDEX(Mix_Eff,MATCH($C446,Mix_Code,0),1),""))</f>
        <v/>
      </c>
      <c r="G446" s="67" t="str">
        <f aca="false">IF(OR($C446="",$D446=""),"",IFERROR($D446*INDEX(Mix_Eff,MATCH($C446,Mix_Code,0),2),""))</f>
        <v/>
      </c>
      <c r="H446" s="67" t="str">
        <f aca="false">IF(OR($C446="",$D446=""),"",IFERROR($D446*INDEX(Mix_Eff,MATCH($C446,Mix_Code,0),3),""))</f>
        <v/>
      </c>
      <c r="I446" s="67" t="str">
        <f aca="false">IF(OR($C446="",$D446=""),"",IFERROR($D446*INDEX(Mix_Eff,MATCH($C446,Mix_Code,0),4),""))</f>
        <v/>
      </c>
      <c r="J446" s="67" t="str">
        <f aca="false">IF(OR($C446="",$D446=""),"",IFERROR($D446*INDEX(Mix_Eff,MATCH($C446,Mix_Code,0),5),""))</f>
        <v/>
      </c>
      <c r="K446" s="63"/>
      <c r="L446" s="16" t="str">
        <f aca="false">IF(AND($A446="",$B446="",$C446="",$D446=""),"",IF($A446="","⚠ Date missing",IF($B446="","⚠ Site missing",IF(ISNA(MATCH($C446,Mix_Code,0)),"⚠ Unknown mix code",IF($D446="","⚠ Enter m3 produced",IF(COUNTIF(CI_Site,$B446)=0,"⚠ Site not set up in Current Inventory",IF($A446&gt;AsOfDate,"Future date – not yet deducted","OK")))))))</f>
        <v/>
      </c>
    </row>
    <row r="447" customFormat="false" ht="15" hidden="false" customHeight="false" outlineLevel="0" collapsed="false">
      <c r="A447" s="65"/>
      <c r="B447" s="63"/>
      <c r="C447" s="70"/>
      <c r="D447" s="66"/>
      <c r="E447" s="16" t="str">
        <f aca="false">IF($C447="","",IFERROR(INDEX(Mix_Desc,MATCH($C447,Mix_Code,0)),"⚠ Unknown mix code"))</f>
        <v/>
      </c>
      <c r="F447" s="67" t="str">
        <f aca="false">IF(OR($C447="",$D447=""),"",IFERROR($D447*INDEX(Mix_Eff,MATCH($C447,Mix_Code,0),1),""))</f>
        <v/>
      </c>
      <c r="G447" s="67" t="str">
        <f aca="false">IF(OR($C447="",$D447=""),"",IFERROR($D447*INDEX(Mix_Eff,MATCH($C447,Mix_Code,0),2),""))</f>
        <v/>
      </c>
      <c r="H447" s="67" t="str">
        <f aca="false">IF(OR($C447="",$D447=""),"",IFERROR($D447*INDEX(Mix_Eff,MATCH($C447,Mix_Code,0),3),""))</f>
        <v/>
      </c>
      <c r="I447" s="67" t="str">
        <f aca="false">IF(OR($C447="",$D447=""),"",IFERROR($D447*INDEX(Mix_Eff,MATCH($C447,Mix_Code,0),4),""))</f>
        <v/>
      </c>
      <c r="J447" s="67" t="str">
        <f aca="false">IF(OR($C447="",$D447=""),"",IFERROR($D447*INDEX(Mix_Eff,MATCH($C447,Mix_Code,0),5),""))</f>
        <v/>
      </c>
      <c r="K447" s="63"/>
      <c r="L447" s="16" t="str">
        <f aca="false">IF(AND($A447="",$B447="",$C447="",$D447=""),"",IF($A447="","⚠ Date missing",IF($B447="","⚠ Site missing",IF(ISNA(MATCH($C447,Mix_Code,0)),"⚠ Unknown mix code",IF($D447="","⚠ Enter m3 produced",IF(COUNTIF(CI_Site,$B447)=0,"⚠ Site not set up in Current Inventory",IF($A447&gt;AsOfDate,"Future date – not yet deducted","OK")))))))</f>
        <v/>
      </c>
    </row>
    <row r="448" customFormat="false" ht="15" hidden="false" customHeight="false" outlineLevel="0" collapsed="false">
      <c r="A448" s="65"/>
      <c r="B448" s="63"/>
      <c r="C448" s="70"/>
      <c r="D448" s="66"/>
      <c r="E448" s="16" t="str">
        <f aca="false">IF($C448="","",IFERROR(INDEX(Mix_Desc,MATCH($C448,Mix_Code,0)),"⚠ Unknown mix code"))</f>
        <v/>
      </c>
      <c r="F448" s="67" t="str">
        <f aca="false">IF(OR($C448="",$D448=""),"",IFERROR($D448*INDEX(Mix_Eff,MATCH($C448,Mix_Code,0),1),""))</f>
        <v/>
      </c>
      <c r="G448" s="67" t="str">
        <f aca="false">IF(OR($C448="",$D448=""),"",IFERROR($D448*INDEX(Mix_Eff,MATCH($C448,Mix_Code,0),2),""))</f>
        <v/>
      </c>
      <c r="H448" s="67" t="str">
        <f aca="false">IF(OR($C448="",$D448=""),"",IFERROR($D448*INDEX(Mix_Eff,MATCH($C448,Mix_Code,0),3),""))</f>
        <v/>
      </c>
      <c r="I448" s="67" t="str">
        <f aca="false">IF(OR($C448="",$D448=""),"",IFERROR($D448*INDEX(Mix_Eff,MATCH($C448,Mix_Code,0),4),""))</f>
        <v/>
      </c>
      <c r="J448" s="67" t="str">
        <f aca="false">IF(OR($C448="",$D448=""),"",IFERROR($D448*INDEX(Mix_Eff,MATCH($C448,Mix_Code,0),5),""))</f>
        <v/>
      </c>
      <c r="K448" s="63"/>
      <c r="L448" s="16" t="str">
        <f aca="false">IF(AND($A448="",$B448="",$C448="",$D448=""),"",IF($A448="","⚠ Date missing",IF($B448="","⚠ Site missing",IF(ISNA(MATCH($C448,Mix_Code,0)),"⚠ Unknown mix code",IF($D448="","⚠ Enter m3 produced",IF(COUNTIF(CI_Site,$B448)=0,"⚠ Site not set up in Current Inventory",IF($A448&gt;AsOfDate,"Future date – not yet deducted","OK")))))))</f>
        <v/>
      </c>
    </row>
    <row r="449" customFormat="false" ht="15" hidden="false" customHeight="false" outlineLevel="0" collapsed="false">
      <c r="A449" s="65"/>
      <c r="B449" s="63"/>
      <c r="C449" s="70"/>
      <c r="D449" s="66"/>
      <c r="E449" s="16" t="str">
        <f aca="false">IF($C449="","",IFERROR(INDEX(Mix_Desc,MATCH($C449,Mix_Code,0)),"⚠ Unknown mix code"))</f>
        <v/>
      </c>
      <c r="F449" s="67" t="str">
        <f aca="false">IF(OR($C449="",$D449=""),"",IFERROR($D449*INDEX(Mix_Eff,MATCH($C449,Mix_Code,0),1),""))</f>
        <v/>
      </c>
      <c r="G449" s="67" t="str">
        <f aca="false">IF(OR($C449="",$D449=""),"",IFERROR($D449*INDEX(Mix_Eff,MATCH($C449,Mix_Code,0),2),""))</f>
        <v/>
      </c>
      <c r="H449" s="67" t="str">
        <f aca="false">IF(OR($C449="",$D449=""),"",IFERROR($D449*INDEX(Mix_Eff,MATCH($C449,Mix_Code,0),3),""))</f>
        <v/>
      </c>
      <c r="I449" s="67" t="str">
        <f aca="false">IF(OR($C449="",$D449=""),"",IFERROR($D449*INDEX(Mix_Eff,MATCH($C449,Mix_Code,0),4),""))</f>
        <v/>
      </c>
      <c r="J449" s="67" t="str">
        <f aca="false">IF(OR($C449="",$D449=""),"",IFERROR($D449*INDEX(Mix_Eff,MATCH($C449,Mix_Code,0),5),""))</f>
        <v/>
      </c>
      <c r="K449" s="63"/>
      <c r="L449" s="16" t="str">
        <f aca="false">IF(AND($A449="",$B449="",$C449="",$D449=""),"",IF($A449="","⚠ Date missing",IF($B449="","⚠ Site missing",IF(ISNA(MATCH($C449,Mix_Code,0)),"⚠ Unknown mix code",IF($D449="","⚠ Enter m3 produced",IF(COUNTIF(CI_Site,$B449)=0,"⚠ Site not set up in Current Inventory",IF($A449&gt;AsOfDate,"Future date – not yet deducted","OK")))))))</f>
        <v/>
      </c>
    </row>
    <row r="450" customFormat="false" ht="15" hidden="false" customHeight="false" outlineLevel="0" collapsed="false">
      <c r="A450" s="65"/>
      <c r="B450" s="63"/>
      <c r="C450" s="70"/>
      <c r="D450" s="66"/>
      <c r="E450" s="16" t="str">
        <f aca="false">IF($C450="","",IFERROR(INDEX(Mix_Desc,MATCH($C450,Mix_Code,0)),"⚠ Unknown mix code"))</f>
        <v/>
      </c>
      <c r="F450" s="67" t="str">
        <f aca="false">IF(OR($C450="",$D450=""),"",IFERROR($D450*INDEX(Mix_Eff,MATCH($C450,Mix_Code,0),1),""))</f>
        <v/>
      </c>
      <c r="G450" s="67" t="str">
        <f aca="false">IF(OR($C450="",$D450=""),"",IFERROR($D450*INDEX(Mix_Eff,MATCH($C450,Mix_Code,0),2),""))</f>
        <v/>
      </c>
      <c r="H450" s="67" t="str">
        <f aca="false">IF(OR($C450="",$D450=""),"",IFERROR($D450*INDEX(Mix_Eff,MATCH($C450,Mix_Code,0),3),""))</f>
        <v/>
      </c>
      <c r="I450" s="67" t="str">
        <f aca="false">IF(OR($C450="",$D450=""),"",IFERROR($D450*INDEX(Mix_Eff,MATCH($C450,Mix_Code,0),4),""))</f>
        <v/>
      </c>
      <c r="J450" s="67" t="str">
        <f aca="false">IF(OR($C450="",$D450=""),"",IFERROR($D450*INDEX(Mix_Eff,MATCH($C450,Mix_Code,0),5),""))</f>
        <v/>
      </c>
      <c r="K450" s="63"/>
      <c r="L450" s="16" t="str">
        <f aca="false">IF(AND($A450="",$B450="",$C450="",$D450=""),"",IF($A450="","⚠ Date missing",IF($B450="","⚠ Site missing",IF(ISNA(MATCH($C450,Mix_Code,0)),"⚠ Unknown mix code",IF($D450="","⚠ Enter m3 produced",IF(COUNTIF(CI_Site,$B450)=0,"⚠ Site not set up in Current Inventory",IF($A450&gt;AsOfDate,"Future date – not yet deducted","OK")))))))</f>
        <v/>
      </c>
    </row>
    <row r="451" customFormat="false" ht="15" hidden="false" customHeight="false" outlineLevel="0" collapsed="false">
      <c r="A451" s="65"/>
      <c r="B451" s="63"/>
      <c r="C451" s="70"/>
      <c r="D451" s="66"/>
      <c r="E451" s="16" t="str">
        <f aca="false">IF($C451="","",IFERROR(INDEX(Mix_Desc,MATCH($C451,Mix_Code,0)),"⚠ Unknown mix code"))</f>
        <v/>
      </c>
      <c r="F451" s="67" t="str">
        <f aca="false">IF(OR($C451="",$D451=""),"",IFERROR($D451*INDEX(Mix_Eff,MATCH($C451,Mix_Code,0),1),""))</f>
        <v/>
      </c>
      <c r="G451" s="67" t="str">
        <f aca="false">IF(OR($C451="",$D451=""),"",IFERROR($D451*INDEX(Mix_Eff,MATCH($C451,Mix_Code,0),2),""))</f>
        <v/>
      </c>
      <c r="H451" s="67" t="str">
        <f aca="false">IF(OR($C451="",$D451=""),"",IFERROR($D451*INDEX(Mix_Eff,MATCH($C451,Mix_Code,0),3),""))</f>
        <v/>
      </c>
      <c r="I451" s="67" t="str">
        <f aca="false">IF(OR($C451="",$D451=""),"",IFERROR($D451*INDEX(Mix_Eff,MATCH($C451,Mix_Code,0),4),""))</f>
        <v/>
      </c>
      <c r="J451" s="67" t="str">
        <f aca="false">IF(OR($C451="",$D451=""),"",IFERROR($D451*INDEX(Mix_Eff,MATCH($C451,Mix_Code,0),5),""))</f>
        <v/>
      </c>
      <c r="K451" s="63"/>
      <c r="L451" s="16" t="str">
        <f aca="false">IF(AND($A451="",$B451="",$C451="",$D451=""),"",IF($A451="","⚠ Date missing",IF($B451="","⚠ Site missing",IF(ISNA(MATCH($C451,Mix_Code,0)),"⚠ Unknown mix code",IF($D451="","⚠ Enter m3 produced",IF(COUNTIF(CI_Site,$B451)=0,"⚠ Site not set up in Current Inventory",IF($A451&gt;AsOfDate,"Future date – not yet deducted","OK")))))))</f>
        <v/>
      </c>
    </row>
    <row r="452" customFormat="false" ht="15" hidden="false" customHeight="false" outlineLevel="0" collapsed="false">
      <c r="A452" s="65"/>
      <c r="B452" s="63"/>
      <c r="C452" s="70"/>
      <c r="D452" s="66"/>
      <c r="E452" s="16" t="str">
        <f aca="false">IF($C452="","",IFERROR(INDEX(Mix_Desc,MATCH($C452,Mix_Code,0)),"⚠ Unknown mix code"))</f>
        <v/>
      </c>
      <c r="F452" s="67" t="str">
        <f aca="false">IF(OR($C452="",$D452=""),"",IFERROR($D452*INDEX(Mix_Eff,MATCH($C452,Mix_Code,0),1),""))</f>
        <v/>
      </c>
      <c r="G452" s="67" t="str">
        <f aca="false">IF(OR($C452="",$D452=""),"",IFERROR($D452*INDEX(Mix_Eff,MATCH($C452,Mix_Code,0),2),""))</f>
        <v/>
      </c>
      <c r="H452" s="67" t="str">
        <f aca="false">IF(OR($C452="",$D452=""),"",IFERROR($D452*INDEX(Mix_Eff,MATCH($C452,Mix_Code,0),3),""))</f>
        <v/>
      </c>
      <c r="I452" s="67" t="str">
        <f aca="false">IF(OR($C452="",$D452=""),"",IFERROR($D452*INDEX(Mix_Eff,MATCH($C452,Mix_Code,0),4),""))</f>
        <v/>
      </c>
      <c r="J452" s="67" t="str">
        <f aca="false">IF(OR($C452="",$D452=""),"",IFERROR($D452*INDEX(Mix_Eff,MATCH($C452,Mix_Code,0),5),""))</f>
        <v/>
      </c>
      <c r="K452" s="63"/>
      <c r="L452" s="16" t="str">
        <f aca="false">IF(AND($A452="",$B452="",$C452="",$D452=""),"",IF($A452="","⚠ Date missing",IF($B452="","⚠ Site missing",IF(ISNA(MATCH($C452,Mix_Code,0)),"⚠ Unknown mix code",IF($D452="","⚠ Enter m3 produced",IF(COUNTIF(CI_Site,$B452)=0,"⚠ Site not set up in Current Inventory",IF($A452&gt;AsOfDate,"Future date – not yet deducted","OK")))))))</f>
        <v/>
      </c>
    </row>
    <row r="453" customFormat="false" ht="15" hidden="false" customHeight="false" outlineLevel="0" collapsed="false">
      <c r="A453" s="65"/>
      <c r="B453" s="63"/>
      <c r="C453" s="70"/>
      <c r="D453" s="66"/>
      <c r="E453" s="16" t="str">
        <f aca="false">IF($C453="","",IFERROR(INDEX(Mix_Desc,MATCH($C453,Mix_Code,0)),"⚠ Unknown mix code"))</f>
        <v/>
      </c>
      <c r="F453" s="67" t="str">
        <f aca="false">IF(OR($C453="",$D453=""),"",IFERROR($D453*INDEX(Mix_Eff,MATCH($C453,Mix_Code,0),1),""))</f>
        <v/>
      </c>
      <c r="G453" s="67" t="str">
        <f aca="false">IF(OR($C453="",$D453=""),"",IFERROR($D453*INDEX(Mix_Eff,MATCH($C453,Mix_Code,0),2),""))</f>
        <v/>
      </c>
      <c r="H453" s="67" t="str">
        <f aca="false">IF(OR($C453="",$D453=""),"",IFERROR($D453*INDEX(Mix_Eff,MATCH($C453,Mix_Code,0),3),""))</f>
        <v/>
      </c>
      <c r="I453" s="67" t="str">
        <f aca="false">IF(OR($C453="",$D453=""),"",IFERROR($D453*INDEX(Mix_Eff,MATCH($C453,Mix_Code,0),4),""))</f>
        <v/>
      </c>
      <c r="J453" s="67" t="str">
        <f aca="false">IF(OR($C453="",$D453=""),"",IFERROR($D453*INDEX(Mix_Eff,MATCH($C453,Mix_Code,0),5),""))</f>
        <v/>
      </c>
      <c r="K453" s="63"/>
      <c r="L453" s="16" t="str">
        <f aca="false">IF(AND($A453="",$B453="",$C453="",$D453=""),"",IF($A453="","⚠ Date missing",IF($B453="","⚠ Site missing",IF(ISNA(MATCH($C453,Mix_Code,0)),"⚠ Unknown mix code",IF($D453="","⚠ Enter m3 produced",IF(COUNTIF(CI_Site,$B453)=0,"⚠ Site not set up in Current Inventory",IF($A453&gt;AsOfDate,"Future date – not yet deducted","OK")))))))</f>
        <v/>
      </c>
    </row>
    <row r="454" customFormat="false" ht="15" hidden="false" customHeight="false" outlineLevel="0" collapsed="false">
      <c r="A454" s="65"/>
      <c r="B454" s="63"/>
      <c r="C454" s="70"/>
      <c r="D454" s="66"/>
      <c r="E454" s="16" t="str">
        <f aca="false">IF($C454="","",IFERROR(INDEX(Mix_Desc,MATCH($C454,Mix_Code,0)),"⚠ Unknown mix code"))</f>
        <v/>
      </c>
      <c r="F454" s="67" t="str">
        <f aca="false">IF(OR($C454="",$D454=""),"",IFERROR($D454*INDEX(Mix_Eff,MATCH($C454,Mix_Code,0),1),""))</f>
        <v/>
      </c>
      <c r="G454" s="67" t="str">
        <f aca="false">IF(OR($C454="",$D454=""),"",IFERROR($D454*INDEX(Mix_Eff,MATCH($C454,Mix_Code,0),2),""))</f>
        <v/>
      </c>
      <c r="H454" s="67" t="str">
        <f aca="false">IF(OR($C454="",$D454=""),"",IFERROR($D454*INDEX(Mix_Eff,MATCH($C454,Mix_Code,0),3),""))</f>
        <v/>
      </c>
      <c r="I454" s="67" t="str">
        <f aca="false">IF(OR($C454="",$D454=""),"",IFERROR($D454*INDEX(Mix_Eff,MATCH($C454,Mix_Code,0),4),""))</f>
        <v/>
      </c>
      <c r="J454" s="67" t="str">
        <f aca="false">IF(OR($C454="",$D454=""),"",IFERROR($D454*INDEX(Mix_Eff,MATCH($C454,Mix_Code,0),5),""))</f>
        <v/>
      </c>
      <c r="K454" s="63"/>
      <c r="L454" s="16" t="str">
        <f aca="false">IF(AND($A454="",$B454="",$C454="",$D454=""),"",IF($A454="","⚠ Date missing",IF($B454="","⚠ Site missing",IF(ISNA(MATCH($C454,Mix_Code,0)),"⚠ Unknown mix code",IF($D454="","⚠ Enter m3 produced",IF(COUNTIF(CI_Site,$B454)=0,"⚠ Site not set up in Current Inventory",IF($A454&gt;AsOfDate,"Future date – not yet deducted","OK")))))))</f>
        <v/>
      </c>
    </row>
    <row r="455" customFormat="false" ht="15" hidden="false" customHeight="false" outlineLevel="0" collapsed="false">
      <c r="A455" s="65"/>
      <c r="B455" s="63"/>
      <c r="C455" s="70"/>
      <c r="D455" s="66"/>
      <c r="E455" s="16" t="str">
        <f aca="false">IF($C455="","",IFERROR(INDEX(Mix_Desc,MATCH($C455,Mix_Code,0)),"⚠ Unknown mix code"))</f>
        <v/>
      </c>
      <c r="F455" s="67" t="str">
        <f aca="false">IF(OR($C455="",$D455=""),"",IFERROR($D455*INDEX(Mix_Eff,MATCH($C455,Mix_Code,0),1),""))</f>
        <v/>
      </c>
      <c r="G455" s="67" t="str">
        <f aca="false">IF(OR($C455="",$D455=""),"",IFERROR($D455*INDEX(Mix_Eff,MATCH($C455,Mix_Code,0),2),""))</f>
        <v/>
      </c>
      <c r="H455" s="67" t="str">
        <f aca="false">IF(OR($C455="",$D455=""),"",IFERROR($D455*INDEX(Mix_Eff,MATCH($C455,Mix_Code,0),3),""))</f>
        <v/>
      </c>
      <c r="I455" s="67" t="str">
        <f aca="false">IF(OR($C455="",$D455=""),"",IFERROR($D455*INDEX(Mix_Eff,MATCH($C455,Mix_Code,0),4),""))</f>
        <v/>
      </c>
      <c r="J455" s="67" t="str">
        <f aca="false">IF(OR($C455="",$D455=""),"",IFERROR($D455*INDEX(Mix_Eff,MATCH($C455,Mix_Code,0),5),""))</f>
        <v/>
      </c>
      <c r="K455" s="63"/>
      <c r="L455" s="16" t="str">
        <f aca="false">IF(AND($A455="",$B455="",$C455="",$D455=""),"",IF($A455="","⚠ Date missing",IF($B455="","⚠ Site missing",IF(ISNA(MATCH($C455,Mix_Code,0)),"⚠ Unknown mix code",IF($D455="","⚠ Enter m3 produced",IF(COUNTIF(CI_Site,$B455)=0,"⚠ Site not set up in Current Inventory",IF($A455&gt;AsOfDate,"Future date – not yet deducted","OK")))))))</f>
        <v/>
      </c>
    </row>
    <row r="456" customFormat="false" ht="15" hidden="false" customHeight="false" outlineLevel="0" collapsed="false">
      <c r="A456" s="65"/>
      <c r="B456" s="63"/>
      <c r="C456" s="70"/>
      <c r="D456" s="66"/>
      <c r="E456" s="16" t="str">
        <f aca="false">IF($C456="","",IFERROR(INDEX(Mix_Desc,MATCH($C456,Mix_Code,0)),"⚠ Unknown mix code"))</f>
        <v/>
      </c>
      <c r="F456" s="67" t="str">
        <f aca="false">IF(OR($C456="",$D456=""),"",IFERROR($D456*INDEX(Mix_Eff,MATCH($C456,Mix_Code,0),1),""))</f>
        <v/>
      </c>
      <c r="G456" s="67" t="str">
        <f aca="false">IF(OR($C456="",$D456=""),"",IFERROR($D456*INDEX(Mix_Eff,MATCH($C456,Mix_Code,0),2),""))</f>
        <v/>
      </c>
      <c r="H456" s="67" t="str">
        <f aca="false">IF(OR($C456="",$D456=""),"",IFERROR($D456*INDEX(Mix_Eff,MATCH($C456,Mix_Code,0),3),""))</f>
        <v/>
      </c>
      <c r="I456" s="67" t="str">
        <f aca="false">IF(OR($C456="",$D456=""),"",IFERROR($D456*INDEX(Mix_Eff,MATCH($C456,Mix_Code,0),4),""))</f>
        <v/>
      </c>
      <c r="J456" s="67" t="str">
        <f aca="false">IF(OR($C456="",$D456=""),"",IFERROR($D456*INDEX(Mix_Eff,MATCH($C456,Mix_Code,0),5),""))</f>
        <v/>
      </c>
      <c r="K456" s="63"/>
      <c r="L456" s="16" t="str">
        <f aca="false">IF(AND($A456="",$B456="",$C456="",$D456=""),"",IF($A456="","⚠ Date missing",IF($B456="","⚠ Site missing",IF(ISNA(MATCH($C456,Mix_Code,0)),"⚠ Unknown mix code",IF($D456="","⚠ Enter m3 produced",IF(COUNTIF(CI_Site,$B456)=0,"⚠ Site not set up in Current Inventory",IF($A456&gt;AsOfDate,"Future date – not yet deducted","OK")))))))</f>
        <v/>
      </c>
    </row>
    <row r="457" customFormat="false" ht="15" hidden="false" customHeight="false" outlineLevel="0" collapsed="false">
      <c r="A457" s="65"/>
      <c r="B457" s="63"/>
      <c r="C457" s="70"/>
      <c r="D457" s="66"/>
      <c r="E457" s="16" t="str">
        <f aca="false">IF($C457="","",IFERROR(INDEX(Mix_Desc,MATCH($C457,Mix_Code,0)),"⚠ Unknown mix code"))</f>
        <v/>
      </c>
      <c r="F457" s="67" t="str">
        <f aca="false">IF(OR($C457="",$D457=""),"",IFERROR($D457*INDEX(Mix_Eff,MATCH($C457,Mix_Code,0),1),""))</f>
        <v/>
      </c>
      <c r="G457" s="67" t="str">
        <f aca="false">IF(OR($C457="",$D457=""),"",IFERROR($D457*INDEX(Mix_Eff,MATCH($C457,Mix_Code,0),2),""))</f>
        <v/>
      </c>
      <c r="H457" s="67" t="str">
        <f aca="false">IF(OR($C457="",$D457=""),"",IFERROR($D457*INDEX(Mix_Eff,MATCH($C457,Mix_Code,0),3),""))</f>
        <v/>
      </c>
      <c r="I457" s="67" t="str">
        <f aca="false">IF(OR($C457="",$D457=""),"",IFERROR($D457*INDEX(Mix_Eff,MATCH($C457,Mix_Code,0),4),""))</f>
        <v/>
      </c>
      <c r="J457" s="67" t="str">
        <f aca="false">IF(OR($C457="",$D457=""),"",IFERROR($D457*INDEX(Mix_Eff,MATCH($C457,Mix_Code,0),5),""))</f>
        <v/>
      </c>
      <c r="K457" s="63"/>
      <c r="L457" s="16" t="str">
        <f aca="false">IF(AND($A457="",$B457="",$C457="",$D457=""),"",IF($A457="","⚠ Date missing",IF($B457="","⚠ Site missing",IF(ISNA(MATCH($C457,Mix_Code,0)),"⚠ Unknown mix code",IF($D457="","⚠ Enter m3 produced",IF(COUNTIF(CI_Site,$B457)=0,"⚠ Site not set up in Current Inventory",IF($A457&gt;AsOfDate,"Future date – not yet deducted","OK")))))))</f>
        <v/>
      </c>
    </row>
    <row r="458" customFormat="false" ht="15" hidden="false" customHeight="false" outlineLevel="0" collapsed="false">
      <c r="A458" s="65"/>
      <c r="B458" s="63"/>
      <c r="C458" s="70"/>
      <c r="D458" s="66"/>
      <c r="E458" s="16" t="str">
        <f aca="false">IF($C458="","",IFERROR(INDEX(Mix_Desc,MATCH($C458,Mix_Code,0)),"⚠ Unknown mix code"))</f>
        <v/>
      </c>
      <c r="F458" s="67" t="str">
        <f aca="false">IF(OR($C458="",$D458=""),"",IFERROR($D458*INDEX(Mix_Eff,MATCH($C458,Mix_Code,0),1),""))</f>
        <v/>
      </c>
      <c r="G458" s="67" t="str">
        <f aca="false">IF(OR($C458="",$D458=""),"",IFERROR($D458*INDEX(Mix_Eff,MATCH($C458,Mix_Code,0),2),""))</f>
        <v/>
      </c>
      <c r="H458" s="67" t="str">
        <f aca="false">IF(OR($C458="",$D458=""),"",IFERROR($D458*INDEX(Mix_Eff,MATCH($C458,Mix_Code,0),3),""))</f>
        <v/>
      </c>
      <c r="I458" s="67" t="str">
        <f aca="false">IF(OR($C458="",$D458=""),"",IFERROR($D458*INDEX(Mix_Eff,MATCH($C458,Mix_Code,0),4),""))</f>
        <v/>
      </c>
      <c r="J458" s="67" t="str">
        <f aca="false">IF(OR($C458="",$D458=""),"",IFERROR($D458*INDEX(Mix_Eff,MATCH($C458,Mix_Code,0),5),""))</f>
        <v/>
      </c>
      <c r="K458" s="63"/>
      <c r="L458" s="16" t="str">
        <f aca="false">IF(AND($A458="",$B458="",$C458="",$D458=""),"",IF($A458="","⚠ Date missing",IF($B458="","⚠ Site missing",IF(ISNA(MATCH($C458,Mix_Code,0)),"⚠ Unknown mix code",IF($D458="","⚠ Enter m3 produced",IF(COUNTIF(CI_Site,$B458)=0,"⚠ Site not set up in Current Inventory",IF($A458&gt;AsOfDate,"Future date – not yet deducted","OK")))))))</f>
        <v/>
      </c>
    </row>
    <row r="459" customFormat="false" ht="15" hidden="false" customHeight="false" outlineLevel="0" collapsed="false">
      <c r="A459" s="65"/>
      <c r="B459" s="63"/>
      <c r="C459" s="70"/>
      <c r="D459" s="66"/>
      <c r="E459" s="16" t="str">
        <f aca="false">IF($C459="","",IFERROR(INDEX(Mix_Desc,MATCH($C459,Mix_Code,0)),"⚠ Unknown mix code"))</f>
        <v/>
      </c>
      <c r="F459" s="67" t="str">
        <f aca="false">IF(OR($C459="",$D459=""),"",IFERROR($D459*INDEX(Mix_Eff,MATCH($C459,Mix_Code,0),1),""))</f>
        <v/>
      </c>
      <c r="G459" s="67" t="str">
        <f aca="false">IF(OR($C459="",$D459=""),"",IFERROR($D459*INDEX(Mix_Eff,MATCH($C459,Mix_Code,0),2),""))</f>
        <v/>
      </c>
      <c r="H459" s="67" t="str">
        <f aca="false">IF(OR($C459="",$D459=""),"",IFERROR($D459*INDEX(Mix_Eff,MATCH($C459,Mix_Code,0),3),""))</f>
        <v/>
      </c>
      <c r="I459" s="67" t="str">
        <f aca="false">IF(OR($C459="",$D459=""),"",IFERROR($D459*INDEX(Mix_Eff,MATCH($C459,Mix_Code,0),4),""))</f>
        <v/>
      </c>
      <c r="J459" s="67" t="str">
        <f aca="false">IF(OR($C459="",$D459=""),"",IFERROR($D459*INDEX(Mix_Eff,MATCH($C459,Mix_Code,0),5),""))</f>
        <v/>
      </c>
      <c r="K459" s="63"/>
      <c r="L459" s="16" t="str">
        <f aca="false">IF(AND($A459="",$B459="",$C459="",$D459=""),"",IF($A459="","⚠ Date missing",IF($B459="","⚠ Site missing",IF(ISNA(MATCH($C459,Mix_Code,0)),"⚠ Unknown mix code",IF($D459="","⚠ Enter m3 produced",IF(COUNTIF(CI_Site,$B459)=0,"⚠ Site not set up in Current Inventory",IF($A459&gt;AsOfDate,"Future date – not yet deducted","OK")))))))</f>
        <v/>
      </c>
    </row>
    <row r="460" customFormat="false" ht="15" hidden="false" customHeight="false" outlineLevel="0" collapsed="false">
      <c r="A460" s="65"/>
      <c r="B460" s="63"/>
      <c r="C460" s="70"/>
      <c r="D460" s="66"/>
      <c r="E460" s="16" t="str">
        <f aca="false">IF($C460="","",IFERROR(INDEX(Mix_Desc,MATCH($C460,Mix_Code,0)),"⚠ Unknown mix code"))</f>
        <v/>
      </c>
      <c r="F460" s="67" t="str">
        <f aca="false">IF(OR($C460="",$D460=""),"",IFERROR($D460*INDEX(Mix_Eff,MATCH($C460,Mix_Code,0),1),""))</f>
        <v/>
      </c>
      <c r="G460" s="67" t="str">
        <f aca="false">IF(OR($C460="",$D460=""),"",IFERROR($D460*INDEX(Mix_Eff,MATCH($C460,Mix_Code,0),2),""))</f>
        <v/>
      </c>
      <c r="H460" s="67" t="str">
        <f aca="false">IF(OR($C460="",$D460=""),"",IFERROR($D460*INDEX(Mix_Eff,MATCH($C460,Mix_Code,0),3),""))</f>
        <v/>
      </c>
      <c r="I460" s="67" t="str">
        <f aca="false">IF(OR($C460="",$D460=""),"",IFERROR($D460*INDEX(Mix_Eff,MATCH($C460,Mix_Code,0),4),""))</f>
        <v/>
      </c>
      <c r="J460" s="67" t="str">
        <f aca="false">IF(OR($C460="",$D460=""),"",IFERROR($D460*INDEX(Mix_Eff,MATCH($C460,Mix_Code,0),5),""))</f>
        <v/>
      </c>
      <c r="K460" s="63"/>
      <c r="L460" s="16" t="str">
        <f aca="false">IF(AND($A460="",$B460="",$C460="",$D460=""),"",IF($A460="","⚠ Date missing",IF($B460="","⚠ Site missing",IF(ISNA(MATCH($C460,Mix_Code,0)),"⚠ Unknown mix code",IF($D460="","⚠ Enter m3 produced",IF(COUNTIF(CI_Site,$B460)=0,"⚠ Site not set up in Current Inventory",IF($A460&gt;AsOfDate,"Future date – not yet deducted","OK")))))))</f>
        <v/>
      </c>
    </row>
    <row r="461" customFormat="false" ht="15" hidden="false" customHeight="false" outlineLevel="0" collapsed="false">
      <c r="A461" s="65"/>
      <c r="B461" s="63"/>
      <c r="C461" s="70"/>
      <c r="D461" s="66"/>
      <c r="E461" s="16" t="str">
        <f aca="false">IF($C461="","",IFERROR(INDEX(Mix_Desc,MATCH($C461,Mix_Code,0)),"⚠ Unknown mix code"))</f>
        <v/>
      </c>
      <c r="F461" s="67" t="str">
        <f aca="false">IF(OR($C461="",$D461=""),"",IFERROR($D461*INDEX(Mix_Eff,MATCH($C461,Mix_Code,0),1),""))</f>
        <v/>
      </c>
      <c r="G461" s="67" t="str">
        <f aca="false">IF(OR($C461="",$D461=""),"",IFERROR($D461*INDEX(Mix_Eff,MATCH($C461,Mix_Code,0),2),""))</f>
        <v/>
      </c>
      <c r="H461" s="67" t="str">
        <f aca="false">IF(OR($C461="",$D461=""),"",IFERROR($D461*INDEX(Mix_Eff,MATCH($C461,Mix_Code,0),3),""))</f>
        <v/>
      </c>
      <c r="I461" s="67" t="str">
        <f aca="false">IF(OR($C461="",$D461=""),"",IFERROR($D461*INDEX(Mix_Eff,MATCH($C461,Mix_Code,0),4),""))</f>
        <v/>
      </c>
      <c r="J461" s="67" t="str">
        <f aca="false">IF(OR($C461="",$D461=""),"",IFERROR($D461*INDEX(Mix_Eff,MATCH($C461,Mix_Code,0),5),""))</f>
        <v/>
      </c>
      <c r="K461" s="63"/>
      <c r="L461" s="16" t="str">
        <f aca="false">IF(AND($A461="",$B461="",$C461="",$D461=""),"",IF($A461="","⚠ Date missing",IF($B461="","⚠ Site missing",IF(ISNA(MATCH($C461,Mix_Code,0)),"⚠ Unknown mix code",IF($D461="","⚠ Enter m3 produced",IF(COUNTIF(CI_Site,$B461)=0,"⚠ Site not set up in Current Inventory",IF($A461&gt;AsOfDate,"Future date – not yet deducted","OK")))))))</f>
        <v/>
      </c>
    </row>
    <row r="462" customFormat="false" ht="15" hidden="false" customHeight="false" outlineLevel="0" collapsed="false">
      <c r="A462" s="65"/>
      <c r="B462" s="63"/>
      <c r="C462" s="70"/>
      <c r="D462" s="66"/>
      <c r="E462" s="16" t="str">
        <f aca="false">IF($C462="","",IFERROR(INDEX(Mix_Desc,MATCH($C462,Mix_Code,0)),"⚠ Unknown mix code"))</f>
        <v/>
      </c>
      <c r="F462" s="67" t="str">
        <f aca="false">IF(OR($C462="",$D462=""),"",IFERROR($D462*INDEX(Mix_Eff,MATCH($C462,Mix_Code,0),1),""))</f>
        <v/>
      </c>
      <c r="G462" s="67" t="str">
        <f aca="false">IF(OR($C462="",$D462=""),"",IFERROR($D462*INDEX(Mix_Eff,MATCH($C462,Mix_Code,0),2),""))</f>
        <v/>
      </c>
      <c r="H462" s="67" t="str">
        <f aca="false">IF(OR($C462="",$D462=""),"",IFERROR($D462*INDEX(Mix_Eff,MATCH($C462,Mix_Code,0),3),""))</f>
        <v/>
      </c>
      <c r="I462" s="67" t="str">
        <f aca="false">IF(OR($C462="",$D462=""),"",IFERROR($D462*INDEX(Mix_Eff,MATCH($C462,Mix_Code,0),4),""))</f>
        <v/>
      </c>
      <c r="J462" s="67" t="str">
        <f aca="false">IF(OR($C462="",$D462=""),"",IFERROR($D462*INDEX(Mix_Eff,MATCH($C462,Mix_Code,0),5),""))</f>
        <v/>
      </c>
      <c r="K462" s="63"/>
      <c r="L462" s="16" t="str">
        <f aca="false">IF(AND($A462="",$B462="",$C462="",$D462=""),"",IF($A462="","⚠ Date missing",IF($B462="","⚠ Site missing",IF(ISNA(MATCH($C462,Mix_Code,0)),"⚠ Unknown mix code",IF($D462="","⚠ Enter m3 produced",IF(COUNTIF(CI_Site,$B462)=0,"⚠ Site not set up in Current Inventory",IF($A462&gt;AsOfDate,"Future date – not yet deducted","OK")))))))</f>
        <v/>
      </c>
    </row>
    <row r="463" customFormat="false" ht="15" hidden="false" customHeight="false" outlineLevel="0" collapsed="false">
      <c r="A463" s="65"/>
      <c r="B463" s="63"/>
      <c r="C463" s="70"/>
      <c r="D463" s="66"/>
      <c r="E463" s="16" t="str">
        <f aca="false">IF($C463="","",IFERROR(INDEX(Mix_Desc,MATCH($C463,Mix_Code,0)),"⚠ Unknown mix code"))</f>
        <v/>
      </c>
      <c r="F463" s="67" t="str">
        <f aca="false">IF(OR($C463="",$D463=""),"",IFERROR($D463*INDEX(Mix_Eff,MATCH($C463,Mix_Code,0),1),""))</f>
        <v/>
      </c>
      <c r="G463" s="67" t="str">
        <f aca="false">IF(OR($C463="",$D463=""),"",IFERROR($D463*INDEX(Mix_Eff,MATCH($C463,Mix_Code,0),2),""))</f>
        <v/>
      </c>
      <c r="H463" s="67" t="str">
        <f aca="false">IF(OR($C463="",$D463=""),"",IFERROR($D463*INDEX(Mix_Eff,MATCH($C463,Mix_Code,0),3),""))</f>
        <v/>
      </c>
      <c r="I463" s="67" t="str">
        <f aca="false">IF(OR($C463="",$D463=""),"",IFERROR($D463*INDEX(Mix_Eff,MATCH($C463,Mix_Code,0),4),""))</f>
        <v/>
      </c>
      <c r="J463" s="67" t="str">
        <f aca="false">IF(OR($C463="",$D463=""),"",IFERROR($D463*INDEX(Mix_Eff,MATCH($C463,Mix_Code,0),5),""))</f>
        <v/>
      </c>
      <c r="K463" s="63"/>
      <c r="L463" s="16" t="str">
        <f aca="false">IF(AND($A463="",$B463="",$C463="",$D463=""),"",IF($A463="","⚠ Date missing",IF($B463="","⚠ Site missing",IF(ISNA(MATCH($C463,Mix_Code,0)),"⚠ Unknown mix code",IF($D463="","⚠ Enter m3 produced",IF(COUNTIF(CI_Site,$B463)=0,"⚠ Site not set up in Current Inventory",IF($A463&gt;AsOfDate,"Future date – not yet deducted","OK")))))))</f>
        <v/>
      </c>
    </row>
    <row r="464" customFormat="false" ht="15" hidden="false" customHeight="false" outlineLevel="0" collapsed="false">
      <c r="A464" s="65"/>
      <c r="B464" s="63"/>
      <c r="C464" s="70"/>
      <c r="D464" s="66"/>
      <c r="E464" s="16" t="str">
        <f aca="false">IF($C464="","",IFERROR(INDEX(Mix_Desc,MATCH($C464,Mix_Code,0)),"⚠ Unknown mix code"))</f>
        <v/>
      </c>
      <c r="F464" s="67" t="str">
        <f aca="false">IF(OR($C464="",$D464=""),"",IFERROR($D464*INDEX(Mix_Eff,MATCH($C464,Mix_Code,0),1),""))</f>
        <v/>
      </c>
      <c r="G464" s="67" t="str">
        <f aca="false">IF(OR($C464="",$D464=""),"",IFERROR($D464*INDEX(Mix_Eff,MATCH($C464,Mix_Code,0),2),""))</f>
        <v/>
      </c>
      <c r="H464" s="67" t="str">
        <f aca="false">IF(OR($C464="",$D464=""),"",IFERROR($D464*INDEX(Mix_Eff,MATCH($C464,Mix_Code,0),3),""))</f>
        <v/>
      </c>
      <c r="I464" s="67" t="str">
        <f aca="false">IF(OR($C464="",$D464=""),"",IFERROR($D464*INDEX(Mix_Eff,MATCH($C464,Mix_Code,0),4),""))</f>
        <v/>
      </c>
      <c r="J464" s="67" t="str">
        <f aca="false">IF(OR($C464="",$D464=""),"",IFERROR($D464*INDEX(Mix_Eff,MATCH($C464,Mix_Code,0),5),""))</f>
        <v/>
      </c>
      <c r="K464" s="63"/>
      <c r="L464" s="16" t="str">
        <f aca="false">IF(AND($A464="",$B464="",$C464="",$D464=""),"",IF($A464="","⚠ Date missing",IF($B464="","⚠ Site missing",IF(ISNA(MATCH($C464,Mix_Code,0)),"⚠ Unknown mix code",IF($D464="","⚠ Enter m3 produced",IF(COUNTIF(CI_Site,$B464)=0,"⚠ Site not set up in Current Inventory",IF($A464&gt;AsOfDate,"Future date – not yet deducted","OK")))))))</f>
        <v/>
      </c>
    </row>
    <row r="465" customFormat="false" ht="15" hidden="false" customHeight="false" outlineLevel="0" collapsed="false">
      <c r="A465" s="65"/>
      <c r="B465" s="63"/>
      <c r="C465" s="70"/>
      <c r="D465" s="66"/>
      <c r="E465" s="16" t="str">
        <f aca="false">IF($C465="","",IFERROR(INDEX(Mix_Desc,MATCH($C465,Mix_Code,0)),"⚠ Unknown mix code"))</f>
        <v/>
      </c>
      <c r="F465" s="67" t="str">
        <f aca="false">IF(OR($C465="",$D465=""),"",IFERROR($D465*INDEX(Mix_Eff,MATCH($C465,Mix_Code,0),1),""))</f>
        <v/>
      </c>
      <c r="G465" s="67" t="str">
        <f aca="false">IF(OR($C465="",$D465=""),"",IFERROR($D465*INDEX(Mix_Eff,MATCH($C465,Mix_Code,0),2),""))</f>
        <v/>
      </c>
      <c r="H465" s="67" t="str">
        <f aca="false">IF(OR($C465="",$D465=""),"",IFERROR($D465*INDEX(Mix_Eff,MATCH($C465,Mix_Code,0),3),""))</f>
        <v/>
      </c>
      <c r="I465" s="67" t="str">
        <f aca="false">IF(OR($C465="",$D465=""),"",IFERROR($D465*INDEX(Mix_Eff,MATCH($C465,Mix_Code,0),4),""))</f>
        <v/>
      </c>
      <c r="J465" s="67" t="str">
        <f aca="false">IF(OR($C465="",$D465=""),"",IFERROR($D465*INDEX(Mix_Eff,MATCH($C465,Mix_Code,0),5),""))</f>
        <v/>
      </c>
      <c r="K465" s="63"/>
      <c r="L465" s="16" t="str">
        <f aca="false">IF(AND($A465="",$B465="",$C465="",$D465=""),"",IF($A465="","⚠ Date missing",IF($B465="","⚠ Site missing",IF(ISNA(MATCH($C465,Mix_Code,0)),"⚠ Unknown mix code",IF($D465="","⚠ Enter m3 produced",IF(COUNTIF(CI_Site,$B465)=0,"⚠ Site not set up in Current Inventory",IF($A465&gt;AsOfDate,"Future date – not yet deducted","OK")))))))</f>
        <v/>
      </c>
    </row>
    <row r="466" customFormat="false" ht="15" hidden="false" customHeight="false" outlineLevel="0" collapsed="false">
      <c r="A466" s="65"/>
      <c r="B466" s="63"/>
      <c r="C466" s="70"/>
      <c r="D466" s="66"/>
      <c r="E466" s="16" t="str">
        <f aca="false">IF($C466="","",IFERROR(INDEX(Mix_Desc,MATCH($C466,Mix_Code,0)),"⚠ Unknown mix code"))</f>
        <v/>
      </c>
      <c r="F466" s="67" t="str">
        <f aca="false">IF(OR($C466="",$D466=""),"",IFERROR($D466*INDEX(Mix_Eff,MATCH($C466,Mix_Code,0),1),""))</f>
        <v/>
      </c>
      <c r="G466" s="67" t="str">
        <f aca="false">IF(OR($C466="",$D466=""),"",IFERROR($D466*INDEX(Mix_Eff,MATCH($C466,Mix_Code,0),2),""))</f>
        <v/>
      </c>
      <c r="H466" s="67" t="str">
        <f aca="false">IF(OR($C466="",$D466=""),"",IFERROR($D466*INDEX(Mix_Eff,MATCH($C466,Mix_Code,0),3),""))</f>
        <v/>
      </c>
      <c r="I466" s="67" t="str">
        <f aca="false">IF(OR($C466="",$D466=""),"",IFERROR($D466*INDEX(Mix_Eff,MATCH($C466,Mix_Code,0),4),""))</f>
        <v/>
      </c>
      <c r="J466" s="67" t="str">
        <f aca="false">IF(OR($C466="",$D466=""),"",IFERROR($D466*INDEX(Mix_Eff,MATCH($C466,Mix_Code,0),5),""))</f>
        <v/>
      </c>
      <c r="K466" s="63"/>
      <c r="L466" s="16" t="str">
        <f aca="false">IF(AND($A466="",$B466="",$C466="",$D466=""),"",IF($A466="","⚠ Date missing",IF($B466="","⚠ Site missing",IF(ISNA(MATCH($C466,Mix_Code,0)),"⚠ Unknown mix code",IF($D466="","⚠ Enter m3 produced",IF(COUNTIF(CI_Site,$B466)=0,"⚠ Site not set up in Current Inventory",IF($A466&gt;AsOfDate,"Future date – not yet deducted","OK")))))))</f>
        <v/>
      </c>
    </row>
    <row r="467" customFormat="false" ht="15" hidden="false" customHeight="false" outlineLevel="0" collapsed="false">
      <c r="A467" s="65"/>
      <c r="B467" s="63"/>
      <c r="C467" s="70"/>
      <c r="D467" s="66"/>
      <c r="E467" s="16" t="str">
        <f aca="false">IF($C467="","",IFERROR(INDEX(Mix_Desc,MATCH($C467,Mix_Code,0)),"⚠ Unknown mix code"))</f>
        <v/>
      </c>
      <c r="F467" s="67" t="str">
        <f aca="false">IF(OR($C467="",$D467=""),"",IFERROR($D467*INDEX(Mix_Eff,MATCH($C467,Mix_Code,0),1),""))</f>
        <v/>
      </c>
      <c r="G467" s="67" t="str">
        <f aca="false">IF(OR($C467="",$D467=""),"",IFERROR($D467*INDEX(Mix_Eff,MATCH($C467,Mix_Code,0),2),""))</f>
        <v/>
      </c>
      <c r="H467" s="67" t="str">
        <f aca="false">IF(OR($C467="",$D467=""),"",IFERROR($D467*INDEX(Mix_Eff,MATCH($C467,Mix_Code,0),3),""))</f>
        <v/>
      </c>
      <c r="I467" s="67" t="str">
        <f aca="false">IF(OR($C467="",$D467=""),"",IFERROR($D467*INDEX(Mix_Eff,MATCH($C467,Mix_Code,0),4),""))</f>
        <v/>
      </c>
      <c r="J467" s="67" t="str">
        <f aca="false">IF(OR($C467="",$D467=""),"",IFERROR($D467*INDEX(Mix_Eff,MATCH($C467,Mix_Code,0),5),""))</f>
        <v/>
      </c>
      <c r="K467" s="63"/>
      <c r="L467" s="16" t="str">
        <f aca="false">IF(AND($A467="",$B467="",$C467="",$D467=""),"",IF($A467="","⚠ Date missing",IF($B467="","⚠ Site missing",IF(ISNA(MATCH($C467,Mix_Code,0)),"⚠ Unknown mix code",IF($D467="","⚠ Enter m3 produced",IF(COUNTIF(CI_Site,$B467)=0,"⚠ Site not set up in Current Inventory",IF($A467&gt;AsOfDate,"Future date – not yet deducted","OK")))))))</f>
        <v/>
      </c>
    </row>
    <row r="468" customFormat="false" ht="15" hidden="false" customHeight="false" outlineLevel="0" collapsed="false">
      <c r="A468" s="65"/>
      <c r="B468" s="63"/>
      <c r="C468" s="70"/>
      <c r="D468" s="66"/>
      <c r="E468" s="16" t="str">
        <f aca="false">IF($C468="","",IFERROR(INDEX(Mix_Desc,MATCH($C468,Mix_Code,0)),"⚠ Unknown mix code"))</f>
        <v/>
      </c>
      <c r="F468" s="67" t="str">
        <f aca="false">IF(OR($C468="",$D468=""),"",IFERROR($D468*INDEX(Mix_Eff,MATCH($C468,Mix_Code,0),1),""))</f>
        <v/>
      </c>
      <c r="G468" s="67" t="str">
        <f aca="false">IF(OR($C468="",$D468=""),"",IFERROR($D468*INDEX(Mix_Eff,MATCH($C468,Mix_Code,0),2),""))</f>
        <v/>
      </c>
      <c r="H468" s="67" t="str">
        <f aca="false">IF(OR($C468="",$D468=""),"",IFERROR($D468*INDEX(Mix_Eff,MATCH($C468,Mix_Code,0),3),""))</f>
        <v/>
      </c>
      <c r="I468" s="67" t="str">
        <f aca="false">IF(OR($C468="",$D468=""),"",IFERROR($D468*INDEX(Mix_Eff,MATCH($C468,Mix_Code,0),4),""))</f>
        <v/>
      </c>
      <c r="J468" s="67" t="str">
        <f aca="false">IF(OR($C468="",$D468=""),"",IFERROR($D468*INDEX(Mix_Eff,MATCH($C468,Mix_Code,0),5),""))</f>
        <v/>
      </c>
      <c r="K468" s="63"/>
      <c r="L468" s="16" t="str">
        <f aca="false">IF(AND($A468="",$B468="",$C468="",$D468=""),"",IF($A468="","⚠ Date missing",IF($B468="","⚠ Site missing",IF(ISNA(MATCH($C468,Mix_Code,0)),"⚠ Unknown mix code",IF($D468="","⚠ Enter m3 produced",IF(COUNTIF(CI_Site,$B468)=0,"⚠ Site not set up in Current Inventory",IF($A468&gt;AsOfDate,"Future date – not yet deducted","OK")))))))</f>
        <v/>
      </c>
    </row>
    <row r="469" customFormat="false" ht="15" hidden="false" customHeight="false" outlineLevel="0" collapsed="false">
      <c r="A469" s="65"/>
      <c r="B469" s="63"/>
      <c r="C469" s="70"/>
      <c r="D469" s="66"/>
      <c r="E469" s="16" t="str">
        <f aca="false">IF($C469="","",IFERROR(INDEX(Mix_Desc,MATCH($C469,Mix_Code,0)),"⚠ Unknown mix code"))</f>
        <v/>
      </c>
      <c r="F469" s="67" t="str">
        <f aca="false">IF(OR($C469="",$D469=""),"",IFERROR($D469*INDEX(Mix_Eff,MATCH($C469,Mix_Code,0),1),""))</f>
        <v/>
      </c>
      <c r="G469" s="67" t="str">
        <f aca="false">IF(OR($C469="",$D469=""),"",IFERROR($D469*INDEX(Mix_Eff,MATCH($C469,Mix_Code,0),2),""))</f>
        <v/>
      </c>
      <c r="H469" s="67" t="str">
        <f aca="false">IF(OR($C469="",$D469=""),"",IFERROR($D469*INDEX(Mix_Eff,MATCH($C469,Mix_Code,0),3),""))</f>
        <v/>
      </c>
      <c r="I469" s="67" t="str">
        <f aca="false">IF(OR($C469="",$D469=""),"",IFERROR($D469*INDEX(Mix_Eff,MATCH($C469,Mix_Code,0),4),""))</f>
        <v/>
      </c>
      <c r="J469" s="67" t="str">
        <f aca="false">IF(OR($C469="",$D469=""),"",IFERROR($D469*INDEX(Mix_Eff,MATCH($C469,Mix_Code,0),5),""))</f>
        <v/>
      </c>
      <c r="K469" s="63"/>
      <c r="L469" s="16" t="str">
        <f aca="false">IF(AND($A469="",$B469="",$C469="",$D469=""),"",IF($A469="","⚠ Date missing",IF($B469="","⚠ Site missing",IF(ISNA(MATCH($C469,Mix_Code,0)),"⚠ Unknown mix code",IF($D469="","⚠ Enter m3 produced",IF(COUNTIF(CI_Site,$B469)=0,"⚠ Site not set up in Current Inventory",IF($A469&gt;AsOfDate,"Future date – not yet deducted","OK")))))))</f>
        <v/>
      </c>
    </row>
    <row r="470" customFormat="false" ht="15" hidden="false" customHeight="false" outlineLevel="0" collapsed="false">
      <c r="A470" s="65"/>
      <c r="B470" s="63"/>
      <c r="C470" s="70"/>
      <c r="D470" s="66"/>
      <c r="E470" s="16" t="str">
        <f aca="false">IF($C470="","",IFERROR(INDEX(Mix_Desc,MATCH($C470,Mix_Code,0)),"⚠ Unknown mix code"))</f>
        <v/>
      </c>
      <c r="F470" s="67" t="str">
        <f aca="false">IF(OR($C470="",$D470=""),"",IFERROR($D470*INDEX(Mix_Eff,MATCH($C470,Mix_Code,0),1),""))</f>
        <v/>
      </c>
      <c r="G470" s="67" t="str">
        <f aca="false">IF(OR($C470="",$D470=""),"",IFERROR($D470*INDEX(Mix_Eff,MATCH($C470,Mix_Code,0),2),""))</f>
        <v/>
      </c>
      <c r="H470" s="67" t="str">
        <f aca="false">IF(OR($C470="",$D470=""),"",IFERROR($D470*INDEX(Mix_Eff,MATCH($C470,Mix_Code,0),3),""))</f>
        <v/>
      </c>
      <c r="I470" s="67" t="str">
        <f aca="false">IF(OR($C470="",$D470=""),"",IFERROR($D470*INDEX(Mix_Eff,MATCH($C470,Mix_Code,0),4),""))</f>
        <v/>
      </c>
      <c r="J470" s="67" t="str">
        <f aca="false">IF(OR($C470="",$D470=""),"",IFERROR($D470*INDEX(Mix_Eff,MATCH($C470,Mix_Code,0),5),""))</f>
        <v/>
      </c>
      <c r="K470" s="63"/>
      <c r="L470" s="16" t="str">
        <f aca="false">IF(AND($A470="",$B470="",$C470="",$D470=""),"",IF($A470="","⚠ Date missing",IF($B470="","⚠ Site missing",IF(ISNA(MATCH($C470,Mix_Code,0)),"⚠ Unknown mix code",IF($D470="","⚠ Enter m3 produced",IF(COUNTIF(CI_Site,$B470)=0,"⚠ Site not set up in Current Inventory",IF($A470&gt;AsOfDate,"Future date – not yet deducted","OK")))))))</f>
        <v/>
      </c>
    </row>
    <row r="471" customFormat="false" ht="15" hidden="false" customHeight="false" outlineLevel="0" collapsed="false">
      <c r="A471" s="65"/>
      <c r="B471" s="63"/>
      <c r="C471" s="70"/>
      <c r="D471" s="66"/>
      <c r="E471" s="16" t="str">
        <f aca="false">IF($C471="","",IFERROR(INDEX(Mix_Desc,MATCH($C471,Mix_Code,0)),"⚠ Unknown mix code"))</f>
        <v/>
      </c>
      <c r="F471" s="67" t="str">
        <f aca="false">IF(OR($C471="",$D471=""),"",IFERROR($D471*INDEX(Mix_Eff,MATCH($C471,Mix_Code,0),1),""))</f>
        <v/>
      </c>
      <c r="G471" s="67" t="str">
        <f aca="false">IF(OR($C471="",$D471=""),"",IFERROR($D471*INDEX(Mix_Eff,MATCH($C471,Mix_Code,0),2),""))</f>
        <v/>
      </c>
      <c r="H471" s="67" t="str">
        <f aca="false">IF(OR($C471="",$D471=""),"",IFERROR($D471*INDEX(Mix_Eff,MATCH($C471,Mix_Code,0),3),""))</f>
        <v/>
      </c>
      <c r="I471" s="67" t="str">
        <f aca="false">IF(OR($C471="",$D471=""),"",IFERROR($D471*INDEX(Mix_Eff,MATCH($C471,Mix_Code,0),4),""))</f>
        <v/>
      </c>
      <c r="J471" s="67" t="str">
        <f aca="false">IF(OR($C471="",$D471=""),"",IFERROR($D471*INDEX(Mix_Eff,MATCH($C471,Mix_Code,0),5),""))</f>
        <v/>
      </c>
      <c r="K471" s="63"/>
      <c r="L471" s="16" t="str">
        <f aca="false">IF(AND($A471="",$B471="",$C471="",$D471=""),"",IF($A471="","⚠ Date missing",IF($B471="","⚠ Site missing",IF(ISNA(MATCH($C471,Mix_Code,0)),"⚠ Unknown mix code",IF($D471="","⚠ Enter m3 produced",IF(COUNTIF(CI_Site,$B471)=0,"⚠ Site not set up in Current Inventory",IF($A471&gt;AsOfDate,"Future date – not yet deducted","OK")))))))</f>
        <v/>
      </c>
    </row>
    <row r="472" customFormat="false" ht="15" hidden="false" customHeight="false" outlineLevel="0" collapsed="false">
      <c r="A472" s="65"/>
      <c r="B472" s="63"/>
      <c r="C472" s="70"/>
      <c r="D472" s="66"/>
      <c r="E472" s="16" t="str">
        <f aca="false">IF($C472="","",IFERROR(INDEX(Mix_Desc,MATCH($C472,Mix_Code,0)),"⚠ Unknown mix code"))</f>
        <v/>
      </c>
      <c r="F472" s="67" t="str">
        <f aca="false">IF(OR($C472="",$D472=""),"",IFERROR($D472*INDEX(Mix_Eff,MATCH($C472,Mix_Code,0),1),""))</f>
        <v/>
      </c>
      <c r="G472" s="67" t="str">
        <f aca="false">IF(OR($C472="",$D472=""),"",IFERROR($D472*INDEX(Mix_Eff,MATCH($C472,Mix_Code,0),2),""))</f>
        <v/>
      </c>
      <c r="H472" s="67" t="str">
        <f aca="false">IF(OR($C472="",$D472=""),"",IFERROR($D472*INDEX(Mix_Eff,MATCH($C472,Mix_Code,0),3),""))</f>
        <v/>
      </c>
      <c r="I472" s="67" t="str">
        <f aca="false">IF(OR($C472="",$D472=""),"",IFERROR($D472*INDEX(Mix_Eff,MATCH($C472,Mix_Code,0),4),""))</f>
        <v/>
      </c>
      <c r="J472" s="67" t="str">
        <f aca="false">IF(OR($C472="",$D472=""),"",IFERROR($D472*INDEX(Mix_Eff,MATCH($C472,Mix_Code,0),5),""))</f>
        <v/>
      </c>
      <c r="K472" s="63"/>
      <c r="L472" s="16" t="str">
        <f aca="false">IF(AND($A472="",$B472="",$C472="",$D472=""),"",IF($A472="","⚠ Date missing",IF($B472="","⚠ Site missing",IF(ISNA(MATCH($C472,Mix_Code,0)),"⚠ Unknown mix code",IF($D472="","⚠ Enter m3 produced",IF(COUNTIF(CI_Site,$B472)=0,"⚠ Site not set up in Current Inventory",IF($A472&gt;AsOfDate,"Future date – not yet deducted","OK")))))))</f>
        <v/>
      </c>
    </row>
    <row r="473" customFormat="false" ht="15" hidden="false" customHeight="false" outlineLevel="0" collapsed="false">
      <c r="A473" s="65"/>
      <c r="B473" s="63"/>
      <c r="C473" s="70"/>
      <c r="D473" s="66"/>
      <c r="E473" s="16" t="str">
        <f aca="false">IF($C473="","",IFERROR(INDEX(Mix_Desc,MATCH($C473,Mix_Code,0)),"⚠ Unknown mix code"))</f>
        <v/>
      </c>
      <c r="F473" s="67" t="str">
        <f aca="false">IF(OR($C473="",$D473=""),"",IFERROR($D473*INDEX(Mix_Eff,MATCH($C473,Mix_Code,0),1),""))</f>
        <v/>
      </c>
      <c r="G473" s="67" t="str">
        <f aca="false">IF(OR($C473="",$D473=""),"",IFERROR($D473*INDEX(Mix_Eff,MATCH($C473,Mix_Code,0),2),""))</f>
        <v/>
      </c>
      <c r="H473" s="67" t="str">
        <f aca="false">IF(OR($C473="",$D473=""),"",IFERROR($D473*INDEX(Mix_Eff,MATCH($C473,Mix_Code,0),3),""))</f>
        <v/>
      </c>
      <c r="I473" s="67" t="str">
        <f aca="false">IF(OR($C473="",$D473=""),"",IFERROR($D473*INDEX(Mix_Eff,MATCH($C473,Mix_Code,0),4),""))</f>
        <v/>
      </c>
      <c r="J473" s="67" t="str">
        <f aca="false">IF(OR($C473="",$D473=""),"",IFERROR($D473*INDEX(Mix_Eff,MATCH($C473,Mix_Code,0),5),""))</f>
        <v/>
      </c>
      <c r="K473" s="63"/>
      <c r="L473" s="16" t="str">
        <f aca="false">IF(AND($A473="",$B473="",$C473="",$D473=""),"",IF($A473="","⚠ Date missing",IF($B473="","⚠ Site missing",IF(ISNA(MATCH($C473,Mix_Code,0)),"⚠ Unknown mix code",IF($D473="","⚠ Enter m3 produced",IF(COUNTIF(CI_Site,$B473)=0,"⚠ Site not set up in Current Inventory",IF($A473&gt;AsOfDate,"Future date – not yet deducted","OK")))))))</f>
        <v/>
      </c>
    </row>
    <row r="474" customFormat="false" ht="15" hidden="false" customHeight="false" outlineLevel="0" collapsed="false">
      <c r="A474" s="65"/>
      <c r="B474" s="63"/>
      <c r="C474" s="70"/>
      <c r="D474" s="66"/>
      <c r="E474" s="16" t="str">
        <f aca="false">IF($C474="","",IFERROR(INDEX(Mix_Desc,MATCH($C474,Mix_Code,0)),"⚠ Unknown mix code"))</f>
        <v/>
      </c>
      <c r="F474" s="67" t="str">
        <f aca="false">IF(OR($C474="",$D474=""),"",IFERROR($D474*INDEX(Mix_Eff,MATCH($C474,Mix_Code,0),1),""))</f>
        <v/>
      </c>
      <c r="G474" s="67" t="str">
        <f aca="false">IF(OR($C474="",$D474=""),"",IFERROR($D474*INDEX(Mix_Eff,MATCH($C474,Mix_Code,0),2),""))</f>
        <v/>
      </c>
      <c r="H474" s="67" t="str">
        <f aca="false">IF(OR($C474="",$D474=""),"",IFERROR($D474*INDEX(Mix_Eff,MATCH($C474,Mix_Code,0),3),""))</f>
        <v/>
      </c>
      <c r="I474" s="67" t="str">
        <f aca="false">IF(OR($C474="",$D474=""),"",IFERROR($D474*INDEX(Mix_Eff,MATCH($C474,Mix_Code,0),4),""))</f>
        <v/>
      </c>
      <c r="J474" s="67" t="str">
        <f aca="false">IF(OR($C474="",$D474=""),"",IFERROR($D474*INDEX(Mix_Eff,MATCH($C474,Mix_Code,0),5),""))</f>
        <v/>
      </c>
      <c r="K474" s="63"/>
      <c r="L474" s="16" t="str">
        <f aca="false">IF(AND($A474="",$B474="",$C474="",$D474=""),"",IF($A474="","⚠ Date missing",IF($B474="","⚠ Site missing",IF(ISNA(MATCH($C474,Mix_Code,0)),"⚠ Unknown mix code",IF($D474="","⚠ Enter m3 produced",IF(COUNTIF(CI_Site,$B474)=0,"⚠ Site not set up in Current Inventory",IF($A474&gt;AsOfDate,"Future date – not yet deducted","OK")))))))</f>
        <v/>
      </c>
    </row>
    <row r="475" customFormat="false" ht="15" hidden="false" customHeight="false" outlineLevel="0" collapsed="false">
      <c r="A475" s="65"/>
      <c r="B475" s="63"/>
      <c r="C475" s="70"/>
      <c r="D475" s="66"/>
      <c r="E475" s="16" t="str">
        <f aca="false">IF($C475="","",IFERROR(INDEX(Mix_Desc,MATCH($C475,Mix_Code,0)),"⚠ Unknown mix code"))</f>
        <v/>
      </c>
      <c r="F475" s="67" t="str">
        <f aca="false">IF(OR($C475="",$D475=""),"",IFERROR($D475*INDEX(Mix_Eff,MATCH($C475,Mix_Code,0),1),""))</f>
        <v/>
      </c>
      <c r="G475" s="67" t="str">
        <f aca="false">IF(OR($C475="",$D475=""),"",IFERROR($D475*INDEX(Mix_Eff,MATCH($C475,Mix_Code,0),2),""))</f>
        <v/>
      </c>
      <c r="H475" s="67" t="str">
        <f aca="false">IF(OR($C475="",$D475=""),"",IFERROR($D475*INDEX(Mix_Eff,MATCH($C475,Mix_Code,0),3),""))</f>
        <v/>
      </c>
      <c r="I475" s="67" t="str">
        <f aca="false">IF(OR($C475="",$D475=""),"",IFERROR($D475*INDEX(Mix_Eff,MATCH($C475,Mix_Code,0),4),""))</f>
        <v/>
      </c>
      <c r="J475" s="67" t="str">
        <f aca="false">IF(OR($C475="",$D475=""),"",IFERROR($D475*INDEX(Mix_Eff,MATCH($C475,Mix_Code,0),5),""))</f>
        <v/>
      </c>
      <c r="K475" s="63"/>
      <c r="L475" s="16" t="str">
        <f aca="false">IF(AND($A475="",$B475="",$C475="",$D475=""),"",IF($A475="","⚠ Date missing",IF($B475="","⚠ Site missing",IF(ISNA(MATCH($C475,Mix_Code,0)),"⚠ Unknown mix code",IF($D475="","⚠ Enter m3 produced",IF(COUNTIF(CI_Site,$B475)=0,"⚠ Site not set up in Current Inventory",IF($A475&gt;AsOfDate,"Future date – not yet deducted","OK")))))))</f>
        <v/>
      </c>
    </row>
    <row r="476" customFormat="false" ht="15" hidden="false" customHeight="false" outlineLevel="0" collapsed="false">
      <c r="A476" s="65"/>
      <c r="B476" s="63"/>
      <c r="C476" s="70"/>
      <c r="D476" s="66"/>
      <c r="E476" s="16" t="str">
        <f aca="false">IF($C476="","",IFERROR(INDEX(Mix_Desc,MATCH($C476,Mix_Code,0)),"⚠ Unknown mix code"))</f>
        <v/>
      </c>
      <c r="F476" s="67" t="str">
        <f aca="false">IF(OR($C476="",$D476=""),"",IFERROR($D476*INDEX(Mix_Eff,MATCH($C476,Mix_Code,0),1),""))</f>
        <v/>
      </c>
      <c r="G476" s="67" t="str">
        <f aca="false">IF(OR($C476="",$D476=""),"",IFERROR($D476*INDEX(Mix_Eff,MATCH($C476,Mix_Code,0),2),""))</f>
        <v/>
      </c>
      <c r="H476" s="67" t="str">
        <f aca="false">IF(OR($C476="",$D476=""),"",IFERROR($D476*INDEX(Mix_Eff,MATCH($C476,Mix_Code,0),3),""))</f>
        <v/>
      </c>
      <c r="I476" s="67" t="str">
        <f aca="false">IF(OR($C476="",$D476=""),"",IFERROR($D476*INDEX(Mix_Eff,MATCH($C476,Mix_Code,0),4),""))</f>
        <v/>
      </c>
      <c r="J476" s="67" t="str">
        <f aca="false">IF(OR($C476="",$D476=""),"",IFERROR($D476*INDEX(Mix_Eff,MATCH($C476,Mix_Code,0),5),""))</f>
        <v/>
      </c>
      <c r="K476" s="63"/>
      <c r="L476" s="16" t="str">
        <f aca="false">IF(AND($A476="",$B476="",$C476="",$D476=""),"",IF($A476="","⚠ Date missing",IF($B476="","⚠ Site missing",IF(ISNA(MATCH($C476,Mix_Code,0)),"⚠ Unknown mix code",IF($D476="","⚠ Enter m3 produced",IF(COUNTIF(CI_Site,$B476)=0,"⚠ Site not set up in Current Inventory",IF($A476&gt;AsOfDate,"Future date – not yet deducted","OK")))))))</f>
        <v/>
      </c>
    </row>
    <row r="477" customFormat="false" ht="15" hidden="false" customHeight="false" outlineLevel="0" collapsed="false">
      <c r="A477" s="65"/>
      <c r="B477" s="63"/>
      <c r="C477" s="70"/>
      <c r="D477" s="66"/>
      <c r="E477" s="16" t="str">
        <f aca="false">IF($C477="","",IFERROR(INDEX(Mix_Desc,MATCH($C477,Mix_Code,0)),"⚠ Unknown mix code"))</f>
        <v/>
      </c>
      <c r="F477" s="67" t="str">
        <f aca="false">IF(OR($C477="",$D477=""),"",IFERROR($D477*INDEX(Mix_Eff,MATCH($C477,Mix_Code,0),1),""))</f>
        <v/>
      </c>
      <c r="G477" s="67" t="str">
        <f aca="false">IF(OR($C477="",$D477=""),"",IFERROR($D477*INDEX(Mix_Eff,MATCH($C477,Mix_Code,0),2),""))</f>
        <v/>
      </c>
      <c r="H477" s="67" t="str">
        <f aca="false">IF(OR($C477="",$D477=""),"",IFERROR($D477*INDEX(Mix_Eff,MATCH($C477,Mix_Code,0),3),""))</f>
        <v/>
      </c>
      <c r="I477" s="67" t="str">
        <f aca="false">IF(OR($C477="",$D477=""),"",IFERROR($D477*INDEX(Mix_Eff,MATCH($C477,Mix_Code,0),4),""))</f>
        <v/>
      </c>
      <c r="J477" s="67" t="str">
        <f aca="false">IF(OR($C477="",$D477=""),"",IFERROR($D477*INDEX(Mix_Eff,MATCH($C477,Mix_Code,0),5),""))</f>
        <v/>
      </c>
      <c r="K477" s="63"/>
      <c r="L477" s="16" t="str">
        <f aca="false">IF(AND($A477="",$B477="",$C477="",$D477=""),"",IF($A477="","⚠ Date missing",IF($B477="","⚠ Site missing",IF(ISNA(MATCH($C477,Mix_Code,0)),"⚠ Unknown mix code",IF($D477="","⚠ Enter m3 produced",IF(COUNTIF(CI_Site,$B477)=0,"⚠ Site not set up in Current Inventory",IF($A477&gt;AsOfDate,"Future date – not yet deducted","OK")))))))</f>
        <v/>
      </c>
    </row>
    <row r="478" customFormat="false" ht="15" hidden="false" customHeight="false" outlineLevel="0" collapsed="false">
      <c r="A478" s="65"/>
      <c r="B478" s="63"/>
      <c r="C478" s="70"/>
      <c r="D478" s="66"/>
      <c r="E478" s="16" t="str">
        <f aca="false">IF($C478="","",IFERROR(INDEX(Mix_Desc,MATCH($C478,Mix_Code,0)),"⚠ Unknown mix code"))</f>
        <v/>
      </c>
      <c r="F478" s="67" t="str">
        <f aca="false">IF(OR($C478="",$D478=""),"",IFERROR($D478*INDEX(Mix_Eff,MATCH($C478,Mix_Code,0),1),""))</f>
        <v/>
      </c>
      <c r="G478" s="67" t="str">
        <f aca="false">IF(OR($C478="",$D478=""),"",IFERROR($D478*INDEX(Mix_Eff,MATCH($C478,Mix_Code,0),2),""))</f>
        <v/>
      </c>
      <c r="H478" s="67" t="str">
        <f aca="false">IF(OR($C478="",$D478=""),"",IFERROR($D478*INDEX(Mix_Eff,MATCH($C478,Mix_Code,0),3),""))</f>
        <v/>
      </c>
      <c r="I478" s="67" t="str">
        <f aca="false">IF(OR($C478="",$D478=""),"",IFERROR($D478*INDEX(Mix_Eff,MATCH($C478,Mix_Code,0),4),""))</f>
        <v/>
      </c>
      <c r="J478" s="67" t="str">
        <f aca="false">IF(OR($C478="",$D478=""),"",IFERROR($D478*INDEX(Mix_Eff,MATCH($C478,Mix_Code,0),5),""))</f>
        <v/>
      </c>
      <c r="K478" s="63"/>
      <c r="L478" s="16" t="str">
        <f aca="false">IF(AND($A478="",$B478="",$C478="",$D478=""),"",IF($A478="","⚠ Date missing",IF($B478="","⚠ Site missing",IF(ISNA(MATCH($C478,Mix_Code,0)),"⚠ Unknown mix code",IF($D478="","⚠ Enter m3 produced",IF(COUNTIF(CI_Site,$B478)=0,"⚠ Site not set up in Current Inventory",IF($A478&gt;AsOfDate,"Future date – not yet deducted","OK")))))))</f>
        <v/>
      </c>
    </row>
    <row r="479" customFormat="false" ht="15" hidden="false" customHeight="false" outlineLevel="0" collapsed="false">
      <c r="A479" s="65"/>
      <c r="B479" s="63"/>
      <c r="C479" s="70"/>
      <c r="D479" s="66"/>
      <c r="E479" s="16" t="str">
        <f aca="false">IF($C479="","",IFERROR(INDEX(Mix_Desc,MATCH($C479,Mix_Code,0)),"⚠ Unknown mix code"))</f>
        <v/>
      </c>
      <c r="F479" s="67" t="str">
        <f aca="false">IF(OR($C479="",$D479=""),"",IFERROR($D479*INDEX(Mix_Eff,MATCH($C479,Mix_Code,0),1),""))</f>
        <v/>
      </c>
      <c r="G479" s="67" t="str">
        <f aca="false">IF(OR($C479="",$D479=""),"",IFERROR($D479*INDEX(Mix_Eff,MATCH($C479,Mix_Code,0),2),""))</f>
        <v/>
      </c>
      <c r="H479" s="67" t="str">
        <f aca="false">IF(OR($C479="",$D479=""),"",IFERROR($D479*INDEX(Mix_Eff,MATCH($C479,Mix_Code,0),3),""))</f>
        <v/>
      </c>
      <c r="I479" s="67" t="str">
        <f aca="false">IF(OR($C479="",$D479=""),"",IFERROR($D479*INDEX(Mix_Eff,MATCH($C479,Mix_Code,0),4),""))</f>
        <v/>
      </c>
      <c r="J479" s="67" t="str">
        <f aca="false">IF(OR($C479="",$D479=""),"",IFERROR($D479*INDEX(Mix_Eff,MATCH($C479,Mix_Code,0),5),""))</f>
        <v/>
      </c>
      <c r="K479" s="63"/>
      <c r="L479" s="16" t="str">
        <f aca="false">IF(AND($A479="",$B479="",$C479="",$D479=""),"",IF($A479="","⚠ Date missing",IF($B479="","⚠ Site missing",IF(ISNA(MATCH($C479,Mix_Code,0)),"⚠ Unknown mix code",IF($D479="","⚠ Enter m3 produced",IF(COUNTIF(CI_Site,$B479)=0,"⚠ Site not set up in Current Inventory",IF($A479&gt;AsOfDate,"Future date – not yet deducted","OK")))))))</f>
        <v/>
      </c>
    </row>
    <row r="480" customFormat="false" ht="15" hidden="false" customHeight="false" outlineLevel="0" collapsed="false">
      <c r="A480" s="65"/>
      <c r="B480" s="63"/>
      <c r="C480" s="70"/>
      <c r="D480" s="66"/>
      <c r="E480" s="16" t="str">
        <f aca="false">IF($C480="","",IFERROR(INDEX(Mix_Desc,MATCH($C480,Mix_Code,0)),"⚠ Unknown mix code"))</f>
        <v/>
      </c>
      <c r="F480" s="67" t="str">
        <f aca="false">IF(OR($C480="",$D480=""),"",IFERROR($D480*INDEX(Mix_Eff,MATCH($C480,Mix_Code,0),1),""))</f>
        <v/>
      </c>
      <c r="G480" s="67" t="str">
        <f aca="false">IF(OR($C480="",$D480=""),"",IFERROR($D480*INDEX(Mix_Eff,MATCH($C480,Mix_Code,0),2),""))</f>
        <v/>
      </c>
      <c r="H480" s="67" t="str">
        <f aca="false">IF(OR($C480="",$D480=""),"",IFERROR($D480*INDEX(Mix_Eff,MATCH($C480,Mix_Code,0),3),""))</f>
        <v/>
      </c>
      <c r="I480" s="67" t="str">
        <f aca="false">IF(OR($C480="",$D480=""),"",IFERROR($D480*INDEX(Mix_Eff,MATCH($C480,Mix_Code,0),4),""))</f>
        <v/>
      </c>
      <c r="J480" s="67" t="str">
        <f aca="false">IF(OR($C480="",$D480=""),"",IFERROR($D480*INDEX(Mix_Eff,MATCH($C480,Mix_Code,0),5),""))</f>
        <v/>
      </c>
      <c r="K480" s="63"/>
      <c r="L480" s="16" t="str">
        <f aca="false">IF(AND($A480="",$B480="",$C480="",$D480=""),"",IF($A480="","⚠ Date missing",IF($B480="","⚠ Site missing",IF(ISNA(MATCH($C480,Mix_Code,0)),"⚠ Unknown mix code",IF($D480="","⚠ Enter m3 produced",IF(COUNTIF(CI_Site,$B480)=0,"⚠ Site not set up in Current Inventory",IF($A480&gt;AsOfDate,"Future date – not yet deducted","OK")))))))</f>
        <v/>
      </c>
    </row>
    <row r="481" customFormat="false" ht="15" hidden="false" customHeight="false" outlineLevel="0" collapsed="false">
      <c r="A481" s="65"/>
      <c r="B481" s="63"/>
      <c r="C481" s="70"/>
      <c r="D481" s="66"/>
      <c r="E481" s="16" t="str">
        <f aca="false">IF($C481="","",IFERROR(INDEX(Mix_Desc,MATCH($C481,Mix_Code,0)),"⚠ Unknown mix code"))</f>
        <v/>
      </c>
      <c r="F481" s="67" t="str">
        <f aca="false">IF(OR($C481="",$D481=""),"",IFERROR($D481*INDEX(Mix_Eff,MATCH($C481,Mix_Code,0),1),""))</f>
        <v/>
      </c>
      <c r="G481" s="67" t="str">
        <f aca="false">IF(OR($C481="",$D481=""),"",IFERROR($D481*INDEX(Mix_Eff,MATCH($C481,Mix_Code,0),2),""))</f>
        <v/>
      </c>
      <c r="H481" s="67" t="str">
        <f aca="false">IF(OR($C481="",$D481=""),"",IFERROR($D481*INDEX(Mix_Eff,MATCH($C481,Mix_Code,0),3),""))</f>
        <v/>
      </c>
      <c r="I481" s="67" t="str">
        <f aca="false">IF(OR($C481="",$D481=""),"",IFERROR($D481*INDEX(Mix_Eff,MATCH($C481,Mix_Code,0),4),""))</f>
        <v/>
      </c>
      <c r="J481" s="67" t="str">
        <f aca="false">IF(OR($C481="",$D481=""),"",IFERROR($D481*INDEX(Mix_Eff,MATCH($C481,Mix_Code,0),5),""))</f>
        <v/>
      </c>
      <c r="K481" s="63"/>
      <c r="L481" s="16" t="str">
        <f aca="false">IF(AND($A481="",$B481="",$C481="",$D481=""),"",IF($A481="","⚠ Date missing",IF($B481="","⚠ Site missing",IF(ISNA(MATCH($C481,Mix_Code,0)),"⚠ Unknown mix code",IF($D481="","⚠ Enter m3 produced",IF(COUNTIF(CI_Site,$B481)=0,"⚠ Site not set up in Current Inventory",IF($A481&gt;AsOfDate,"Future date – not yet deducted","OK")))))))</f>
        <v/>
      </c>
    </row>
    <row r="482" customFormat="false" ht="15" hidden="false" customHeight="false" outlineLevel="0" collapsed="false">
      <c r="A482" s="65"/>
      <c r="B482" s="63"/>
      <c r="C482" s="70"/>
      <c r="D482" s="66"/>
      <c r="E482" s="16" t="str">
        <f aca="false">IF($C482="","",IFERROR(INDEX(Mix_Desc,MATCH($C482,Mix_Code,0)),"⚠ Unknown mix code"))</f>
        <v/>
      </c>
      <c r="F482" s="67" t="str">
        <f aca="false">IF(OR($C482="",$D482=""),"",IFERROR($D482*INDEX(Mix_Eff,MATCH($C482,Mix_Code,0),1),""))</f>
        <v/>
      </c>
      <c r="G482" s="67" t="str">
        <f aca="false">IF(OR($C482="",$D482=""),"",IFERROR($D482*INDEX(Mix_Eff,MATCH($C482,Mix_Code,0),2),""))</f>
        <v/>
      </c>
      <c r="H482" s="67" t="str">
        <f aca="false">IF(OR($C482="",$D482=""),"",IFERROR($D482*INDEX(Mix_Eff,MATCH($C482,Mix_Code,0),3),""))</f>
        <v/>
      </c>
      <c r="I482" s="67" t="str">
        <f aca="false">IF(OR($C482="",$D482=""),"",IFERROR($D482*INDEX(Mix_Eff,MATCH($C482,Mix_Code,0),4),""))</f>
        <v/>
      </c>
      <c r="J482" s="67" t="str">
        <f aca="false">IF(OR($C482="",$D482=""),"",IFERROR($D482*INDEX(Mix_Eff,MATCH($C482,Mix_Code,0),5),""))</f>
        <v/>
      </c>
      <c r="K482" s="63"/>
      <c r="L482" s="16" t="str">
        <f aca="false">IF(AND($A482="",$B482="",$C482="",$D482=""),"",IF($A482="","⚠ Date missing",IF($B482="","⚠ Site missing",IF(ISNA(MATCH($C482,Mix_Code,0)),"⚠ Unknown mix code",IF($D482="","⚠ Enter m3 produced",IF(COUNTIF(CI_Site,$B482)=0,"⚠ Site not set up in Current Inventory",IF($A482&gt;AsOfDate,"Future date – not yet deducted","OK")))))))</f>
        <v/>
      </c>
    </row>
    <row r="483" customFormat="false" ht="15" hidden="false" customHeight="false" outlineLevel="0" collapsed="false">
      <c r="A483" s="65"/>
      <c r="B483" s="63"/>
      <c r="C483" s="70"/>
      <c r="D483" s="66"/>
      <c r="E483" s="16" t="str">
        <f aca="false">IF($C483="","",IFERROR(INDEX(Mix_Desc,MATCH($C483,Mix_Code,0)),"⚠ Unknown mix code"))</f>
        <v/>
      </c>
      <c r="F483" s="67" t="str">
        <f aca="false">IF(OR($C483="",$D483=""),"",IFERROR($D483*INDEX(Mix_Eff,MATCH($C483,Mix_Code,0),1),""))</f>
        <v/>
      </c>
      <c r="G483" s="67" t="str">
        <f aca="false">IF(OR($C483="",$D483=""),"",IFERROR($D483*INDEX(Mix_Eff,MATCH($C483,Mix_Code,0),2),""))</f>
        <v/>
      </c>
      <c r="H483" s="67" t="str">
        <f aca="false">IF(OR($C483="",$D483=""),"",IFERROR($D483*INDEX(Mix_Eff,MATCH($C483,Mix_Code,0),3),""))</f>
        <v/>
      </c>
      <c r="I483" s="67" t="str">
        <f aca="false">IF(OR($C483="",$D483=""),"",IFERROR($D483*INDEX(Mix_Eff,MATCH($C483,Mix_Code,0),4),""))</f>
        <v/>
      </c>
      <c r="J483" s="67" t="str">
        <f aca="false">IF(OR($C483="",$D483=""),"",IFERROR($D483*INDEX(Mix_Eff,MATCH($C483,Mix_Code,0),5),""))</f>
        <v/>
      </c>
      <c r="K483" s="63"/>
      <c r="L483" s="16" t="str">
        <f aca="false">IF(AND($A483="",$B483="",$C483="",$D483=""),"",IF($A483="","⚠ Date missing",IF($B483="","⚠ Site missing",IF(ISNA(MATCH($C483,Mix_Code,0)),"⚠ Unknown mix code",IF($D483="","⚠ Enter m3 produced",IF(COUNTIF(CI_Site,$B483)=0,"⚠ Site not set up in Current Inventory",IF($A483&gt;AsOfDate,"Future date – not yet deducted","OK")))))))</f>
        <v/>
      </c>
    </row>
    <row r="484" customFormat="false" ht="15" hidden="false" customHeight="false" outlineLevel="0" collapsed="false">
      <c r="A484" s="65"/>
      <c r="B484" s="63"/>
      <c r="C484" s="70"/>
      <c r="D484" s="66"/>
      <c r="E484" s="16" t="str">
        <f aca="false">IF($C484="","",IFERROR(INDEX(Mix_Desc,MATCH($C484,Mix_Code,0)),"⚠ Unknown mix code"))</f>
        <v/>
      </c>
      <c r="F484" s="67" t="str">
        <f aca="false">IF(OR($C484="",$D484=""),"",IFERROR($D484*INDEX(Mix_Eff,MATCH($C484,Mix_Code,0),1),""))</f>
        <v/>
      </c>
      <c r="G484" s="67" t="str">
        <f aca="false">IF(OR($C484="",$D484=""),"",IFERROR($D484*INDEX(Mix_Eff,MATCH($C484,Mix_Code,0),2),""))</f>
        <v/>
      </c>
      <c r="H484" s="67" t="str">
        <f aca="false">IF(OR($C484="",$D484=""),"",IFERROR($D484*INDEX(Mix_Eff,MATCH($C484,Mix_Code,0),3),""))</f>
        <v/>
      </c>
      <c r="I484" s="67" t="str">
        <f aca="false">IF(OR($C484="",$D484=""),"",IFERROR($D484*INDEX(Mix_Eff,MATCH($C484,Mix_Code,0),4),""))</f>
        <v/>
      </c>
      <c r="J484" s="67" t="str">
        <f aca="false">IF(OR($C484="",$D484=""),"",IFERROR($D484*INDEX(Mix_Eff,MATCH($C484,Mix_Code,0),5),""))</f>
        <v/>
      </c>
      <c r="K484" s="63"/>
      <c r="L484" s="16" t="str">
        <f aca="false">IF(AND($A484="",$B484="",$C484="",$D484=""),"",IF($A484="","⚠ Date missing",IF($B484="","⚠ Site missing",IF(ISNA(MATCH($C484,Mix_Code,0)),"⚠ Unknown mix code",IF($D484="","⚠ Enter m3 produced",IF(COUNTIF(CI_Site,$B484)=0,"⚠ Site not set up in Current Inventory",IF($A484&gt;AsOfDate,"Future date – not yet deducted","OK")))))))</f>
        <v/>
      </c>
    </row>
    <row r="485" customFormat="false" ht="15" hidden="false" customHeight="false" outlineLevel="0" collapsed="false">
      <c r="A485" s="65"/>
      <c r="B485" s="63"/>
      <c r="C485" s="70"/>
      <c r="D485" s="66"/>
      <c r="E485" s="16" t="str">
        <f aca="false">IF($C485="","",IFERROR(INDEX(Mix_Desc,MATCH($C485,Mix_Code,0)),"⚠ Unknown mix code"))</f>
        <v/>
      </c>
      <c r="F485" s="67" t="str">
        <f aca="false">IF(OR($C485="",$D485=""),"",IFERROR($D485*INDEX(Mix_Eff,MATCH($C485,Mix_Code,0),1),""))</f>
        <v/>
      </c>
      <c r="G485" s="67" t="str">
        <f aca="false">IF(OR($C485="",$D485=""),"",IFERROR($D485*INDEX(Mix_Eff,MATCH($C485,Mix_Code,0),2),""))</f>
        <v/>
      </c>
      <c r="H485" s="67" t="str">
        <f aca="false">IF(OR($C485="",$D485=""),"",IFERROR($D485*INDEX(Mix_Eff,MATCH($C485,Mix_Code,0),3),""))</f>
        <v/>
      </c>
      <c r="I485" s="67" t="str">
        <f aca="false">IF(OR($C485="",$D485=""),"",IFERROR($D485*INDEX(Mix_Eff,MATCH($C485,Mix_Code,0),4),""))</f>
        <v/>
      </c>
      <c r="J485" s="67" t="str">
        <f aca="false">IF(OR($C485="",$D485=""),"",IFERROR($D485*INDEX(Mix_Eff,MATCH($C485,Mix_Code,0),5),""))</f>
        <v/>
      </c>
      <c r="K485" s="63"/>
      <c r="L485" s="16" t="str">
        <f aca="false">IF(AND($A485="",$B485="",$C485="",$D485=""),"",IF($A485="","⚠ Date missing",IF($B485="","⚠ Site missing",IF(ISNA(MATCH($C485,Mix_Code,0)),"⚠ Unknown mix code",IF($D485="","⚠ Enter m3 produced",IF(COUNTIF(CI_Site,$B485)=0,"⚠ Site not set up in Current Inventory",IF($A485&gt;AsOfDate,"Future date – not yet deducted","OK")))))))</f>
        <v/>
      </c>
    </row>
    <row r="486" customFormat="false" ht="15" hidden="false" customHeight="false" outlineLevel="0" collapsed="false">
      <c r="A486" s="65"/>
      <c r="B486" s="63"/>
      <c r="C486" s="70"/>
      <c r="D486" s="66"/>
      <c r="E486" s="16" t="str">
        <f aca="false">IF($C486="","",IFERROR(INDEX(Mix_Desc,MATCH($C486,Mix_Code,0)),"⚠ Unknown mix code"))</f>
        <v/>
      </c>
      <c r="F486" s="67" t="str">
        <f aca="false">IF(OR($C486="",$D486=""),"",IFERROR($D486*INDEX(Mix_Eff,MATCH($C486,Mix_Code,0),1),""))</f>
        <v/>
      </c>
      <c r="G486" s="67" t="str">
        <f aca="false">IF(OR($C486="",$D486=""),"",IFERROR($D486*INDEX(Mix_Eff,MATCH($C486,Mix_Code,0),2),""))</f>
        <v/>
      </c>
      <c r="H486" s="67" t="str">
        <f aca="false">IF(OR($C486="",$D486=""),"",IFERROR($D486*INDEX(Mix_Eff,MATCH($C486,Mix_Code,0),3),""))</f>
        <v/>
      </c>
      <c r="I486" s="67" t="str">
        <f aca="false">IF(OR($C486="",$D486=""),"",IFERROR($D486*INDEX(Mix_Eff,MATCH($C486,Mix_Code,0),4),""))</f>
        <v/>
      </c>
      <c r="J486" s="67" t="str">
        <f aca="false">IF(OR($C486="",$D486=""),"",IFERROR($D486*INDEX(Mix_Eff,MATCH($C486,Mix_Code,0),5),""))</f>
        <v/>
      </c>
      <c r="K486" s="63"/>
      <c r="L486" s="16" t="str">
        <f aca="false">IF(AND($A486="",$B486="",$C486="",$D486=""),"",IF($A486="","⚠ Date missing",IF($B486="","⚠ Site missing",IF(ISNA(MATCH($C486,Mix_Code,0)),"⚠ Unknown mix code",IF($D486="","⚠ Enter m3 produced",IF(COUNTIF(CI_Site,$B486)=0,"⚠ Site not set up in Current Inventory",IF($A486&gt;AsOfDate,"Future date – not yet deducted","OK")))))))</f>
        <v/>
      </c>
    </row>
    <row r="487" customFormat="false" ht="15" hidden="false" customHeight="false" outlineLevel="0" collapsed="false">
      <c r="A487" s="65"/>
      <c r="B487" s="63"/>
      <c r="C487" s="70"/>
      <c r="D487" s="66"/>
      <c r="E487" s="16" t="str">
        <f aca="false">IF($C487="","",IFERROR(INDEX(Mix_Desc,MATCH($C487,Mix_Code,0)),"⚠ Unknown mix code"))</f>
        <v/>
      </c>
      <c r="F487" s="67" t="str">
        <f aca="false">IF(OR($C487="",$D487=""),"",IFERROR($D487*INDEX(Mix_Eff,MATCH($C487,Mix_Code,0),1),""))</f>
        <v/>
      </c>
      <c r="G487" s="67" t="str">
        <f aca="false">IF(OR($C487="",$D487=""),"",IFERROR($D487*INDEX(Mix_Eff,MATCH($C487,Mix_Code,0),2),""))</f>
        <v/>
      </c>
      <c r="H487" s="67" t="str">
        <f aca="false">IF(OR($C487="",$D487=""),"",IFERROR($D487*INDEX(Mix_Eff,MATCH($C487,Mix_Code,0),3),""))</f>
        <v/>
      </c>
      <c r="I487" s="67" t="str">
        <f aca="false">IF(OR($C487="",$D487=""),"",IFERROR($D487*INDEX(Mix_Eff,MATCH($C487,Mix_Code,0),4),""))</f>
        <v/>
      </c>
      <c r="J487" s="67" t="str">
        <f aca="false">IF(OR($C487="",$D487=""),"",IFERROR($D487*INDEX(Mix_Eff,MATCH($C487,Mix_Code,0),5),""))</f>
        <v/>
      </c>
      <c r="K487" s="63"/>
      <c r="L487" s="16" t="str">
        <f aca="false">IF(AND($A487="",$B487="",$C487="",$D487=""),"",IF($A487="","⚠ Date missing",IF($B487="","⚠ Site missing",IF(ISNA(MATCH($C487,Mix_Code,0)),"⚠ Unknown mix code",IF($D487="","⚠ Enter m3 produced",IF(COUNTIF(CI_Site,$B487)=0,"⚠ Site not set up in Current Inventory",IF($A487&gt;AsOfDate,"Future date – not yet deducted","OK")))))))</f>
        <v/>
      </c>
    </row>
    <row r="488" customFormat="false" ht="15" hidden="false" customHeight="false" outlineLevel="0" collapsed="false">
      <c r="A488" s="65"/>
      <c r="B488" s="63"/>
      <c r="C488" s="70"/>
      <c r="D488" s="66"/>
      <c r="E488" s="16" t="str">
        <f aca="false">IF($C488="","",IFERROR(INDEX(Mix_Desc,MATCH($C488,Mix_Code,0)),"⚠ Unknown mix code"))</f>
        <v/>
      </c>
      <c r="F488" s="67" t="str">
        <f aca="false">IF(OR($C488="",$D488=""),"",IFERROR($D488*INDEX(Mix_Eff,MATCH($C488,Mix_Code,0),1),""))</f>
        <v/>
      </c>
      <c r="G488" s="67" t="str">
        <f aca="false">IF(OR($C488="",$D488=""),"",IFERROR($D488*INDEX(Mix_Eff,MATCH($C488,Mix_Code,0),2),""))</f>
        <v/>
      </c>
      <c r="H488" s="67" t="str">
        <f aca="false">IF(OR($C488="",$D488=""),"",IFERROR($D488*INDEX(Mix_Eff,MATCH($C488,Mix_Code,0),3),""))</f>
        <v/>
      </c>
      <c r="I488" s="67" t="str">
        <f aca="false">IF(OR($C488="",$D488=""),"",IFERROR($D488*INDEX(Mix_Eff,MATCH($C488,Mix_Code,0),4),""))</f>
        <v/>
      </c>
      <c r="J488" s="67" t="str">
        <f aca="false">IF(OR($C488="",$D488=""),"",IFERROR($D488*INDEX(Mix_Eff,MATCH($C488,Mix_Code,0),5),""))</f>
        <v/>
      </c>
      <c r="K488" s="63"/>
      <c r="L488" s="16" t="str">
        <f aca="false">IF(AND($A488="",$B488="",$C488="",$D488=""),"",IF($A488="","⚠ Date missing",IF($B488="","⚠ Site missing",IF(ISNA(MATCH($C488,Mix_Code,0)),"⚠ Unknown mix code",IF($D488="","⚠ Enter m3 produced",IF(COUNTIF(CI_Site,$B488)=0,"⚠ Site not set up in Current Inventory",IF($A488&gt;AsOfDate,"Future date – not yet deducted","OK")))))))</f>
        <v/>
      </c>
    </row>
    <row r="489" customFormat="false" ht="15" hidden="false" customHeight="false" outlineLevel="0" collapsed="false">
      <c r="A489" s="65"/>
      <c r="B489" s="63"/>
      <c r="C489" s="70"/>
      <c r="D489" s="66"/>
      <c r="E489" s="16" t="str">
        <f aca="false">IF($C489="","",IFERROR(INDEX(Mix_Desc,MATCH($C489,Mix_Code,0)),"⚠ Unknown mix code"))</f>
        <v/>
      </c>
      <c r="F489" s="67" t="str">
        <f aca="false">IF(OR($C489="",$D489=""),"",IFERROR($D489*INDEX(Mix_Eff,MATCH($C489,Mix_Code,0),1),""))</f>
        <v/>
      </c>
      <c r="G489" s="67" t="str">
        <f aca="false">IF(OR($C489="",$D489=""),"",IFERROR($D489*INDEX(Mix_Eff,MATCH($C489,Mix_Code,0),2),""))</f>
        <v/>
      </c>
      <c r="H489" s="67" t="str">
        <f aca="false">IF(OR($C489="",$D489=""),"",IFERROR($D489*INDEX(Mix_Eff,MATCH($C489,Mix_Code,0),3),""))</f>
        <v/>
      </c>
      <c r="I489" s="67" t="str">
        <f aca="false">IF(OR($C489="",$D489=""),"",IFERROR($D489*INDEX(Mix_Eff,MATCH($C489,Mix_Code,0),4),""))</f>
        <v/>
      </c>
      <c r="J489" s="67" t="str">
        <f aca="false">IF(OR($C489="",$D489=""),"",IFERROR($D489*INDEX(Mix_Eff,MATCH($C489,Mix_Code,0),5),""))</f>
        <v/>
      </c>
      <c r="K489" s="63"/>
      <c r="L489" s="16" t="str">
        <f aca="false">IF(AND($A489="",$B489="",$C489="",$D489=""),"",IF($A489="","⚠ Date missing",IF($B489="","⚠ Site missing",IF(ISNA(MATCH($C489,Mix_Code,0)),"⚠ Unknown mix code",IF($D489="","⚠ Enter m3 produced",IF(COUNTIF(CI_Site,$B489)=0,"⚠ Site not set up in Current Inventory",IF($A489&gt;AsOfDate,"Future date – not yet deducted","OK")))))))</f>
        <v/>
      </c>
    </row>
    <row r="490" customFormat="false" ht="15" hidden="false" customHeight="false" outlineLevel="0" collapsed="false">
      <c r="A490" s="65"/>
      <c r="B490" s="63"/>
      <c r="C490" s="70"/>
      <c r="D490" s="66"/>
      <c r="E490" s="16" t="str">
        <f aca="false">IF($C490="","",IFERROR(INDEX(Mix_Desc,MATCH($C490,Mix_Code,0)),"⚠ Unknown mix code"))</f>
        <v/>
      </c>
      <c r="F490" s="67" t="str">
        <f aca="false">IF(OR($C490="",$D490=""),"",IFERROR($D490*INDEX(Mix_Eff,MATCH($C490,Mix_Code,0),1),""))</f>
        <v/>
      </c>
      <c r="G490" s="67" t="str">
        <f aca="false">IF(OR($C490="",$D490=""),"",IFERROR($D490*INDEX(Mix_Eff,MATCH($C490,Mix_Code,0),2),""))</f>
        <v/>
      </c>
      <c r="H490" s="67" t="str">
        <f aca="false">IF(OR($C490="",$D490=""),"",IFERROR($D490*INDEX(Mix_Eff,MATCH($C490,Mix_Code,0),3),""))</f>
        <v/>
      </c>
      <c r="I490" s="67" t="str">
        <f aca="false">IF(OR($C490="",$D490=""),"",IFERROR($D490*INDEX(Mix_Eff,MATCH($C490,Mix_Code,0),4),""))</f>
        <v/>
      </c>
      <c r="J490" s="67" t="str">
        <f aca="false">IF(OR($C490="",$D490=""),"",IFERROR($D490*INDEX(Mix_Eff,MATCH($C490,Mix_Code,0),5),""))</f>
        <v/>
      </c>
      <c r="K490" s="63"/>
      <c r="L490" s="16" t="str">
        <f aca="false">IF(AND($A490="",$B490="",$C490="",$D490=""),"",IF($A490="","⚠ Date missing",IF($B490="","⚠ Site missing",IF(ISNA(MATCH($C490,Mix_Code,0)),"⚠ Unknown mix code",IF($D490="","⚠ Enter m3 produced",IF(COUNTIF(CI_Site,$B490)=0,"⚠ Site not set up in Current Inventory",IF($A490&gt;AsOfDate,"Future date – not yet deducted","OK")))))))</f>
        <v/>
      </c>
    </row>
    <row r="491" customFormat="false" ht="15" hidden="false" customHeight="false" outlineLevel="0" collapsed="false">
      <c r="A491" s="65"/>
      <c r="B491" s="63"/>
      <c r="C491" s="70"/>
      <c r="D491" s="66"/>
      <c r="E491" s="16" t="str">
        <f aca="false">IF($C491="","",IFERROR(INDEX(Mix_Desc,MATCH($C491,Mix_Code,0)),"⚠ Unknown mix code"))</f>
        <v/>
      </c>
      <c r="F491" s="67" t="str">
        <f aca="false">IF(OR($C491="",$D491=""),"",IFERROR($D491*INDEX(Mix_Eff,MATCH($C491,Mix_Code,0),1),""))</f>
        <v/>
      </c>
      <c r="G491" s="67" t="str">
        <f aca="false">IF(OR($C491="",$D491=""),"",IFERROR($D491*INDEX(Mix_Eff,MATCH($C491,Mix_Code,0),2),""))</f>
        <v/>
      </c>
      <c r="H491" s="67" t="str">
        <f aca="false">IF(OR($C491="",$D491=""),"",IFERROR($D491*INDEX(Mix_Eff,MATCH($C491,Mix_Code,0),3),""))</f>
        <v/>
      </c>
      <c r="I491" s="67" t="str">
        <f aca="false">IF(OR($C491="",$D491=""),"",IFERROR($D491*INDEX(Mix_Eff,MATCH($C491,Mix_Code,0),4),""))</f>
        <v/>
      </c>
      <c r="J491" s="67" t="str">
        <f aca="false">IF(OR($C491="",$D491=""),"",IFERROR($D491*INDEX(Mix_Eff,MATCH($C491,Mix_Code,0),5),""))</f>
        <v/>
      </c>
      <c r="K491" s="63"/>
      <c r="L491" s="16" t="str">
        <f aca="false">IF(AND($A491="",$B491="",$C491="",$D491=""),"",IF($A491="","⚠ Date missing",IF($B491="","⚠ Site missing",IF(ISNA(MATCH($C491,Mix_Code,0)),"⚠ Unknown mix code",IF($D491="","⚠ Enter m3 produced",IF(COUNTIF(CI_Site,$B491)=0,"⚠ Site not set up in Current Inventory",IF($A491&gt;AsOfDate,"Future date – not yet deducted","OK")))))))</f>
        <v/>
      </c>
    </row>
    <row r="492" customFormat="false" ht="15" hidden="false" customHeight="false" outlineLevel="0" collapsed="false">
      <c r="A492" s="65"/>
      <c r="B492" s="63"/>
      <c r="C492" s="70"/>
      <c r="D492" s="66"/>
      <c r="E492" s="16" t="str">
        <f aca="false">IF($C492="","",IFERROR(INDEX(Mix_Desc,MATCH($C492,Mix_Code,0)),"⚠ Unknown mix code"))</f>
        <v/>
      </c>
      <c r="F492" s="67" t="str">
        <f aca="false">IF(OR($C492="",$D492=""),"",IFERROR($D492*INDEX(Mix_Eff,MATCH($C492,Mix_Code,0),1),""))</f>
        <v/>
      </c>
      <c r="G492" s="67" t="str">
        <f aca="false">IF(OR($C492="",$D492=""),"",IFERROR($D492*INDEX(Mix_Eff,MATCH($C492,Mix_Code,0),2),""))</f>
        <v/>
      </c>
      <c r="H492" s="67" t="str">
        <f aca="false">IF(OR($C492="",$D492=""),"",IFERROR($D492*INDEX(Mix_Eff,MATCH($C492,Mix_Code,0),3),""))</f>
        <v/>
      </c>
      <c r="I492" s="67" t="str">
        <f aca="false">IF(OR($C492="",$D492=""),"",IFERROR($D492*INDEX(Mix_Eff,MATCH($C492,Mix_Code,0),4),""))</f>
        <v/>
      </c>
      <c r="J492" s="67" t="str">
        <f aca="false">IF(OR($C492="",$D492=""),"",IFERROR($D492*INDEX(Mix_Eff,MATCH($C492,Mix_Code,0),5),""))</f>
        <v/>
      </c>
      <c r="K492" s="63"/>
      <c r="L492" s="16" t="str">
        <f aca="false">IF(AND($A492="",$B492="",$C492="",$D492=""),"",IF($A492="","⚠ Date missing",IF($B492="","⚠ Site missing",IF(ISNA(MATCH($C492,Mix_Code,0)),"⚠ Unknown mix code",IF($D492="","⚠ Enter m3 produced",IF(COUNTIF(CI_Site,$B492)=0,"⚠ Site not set up in Current Inventory",IF($A492&gt;AsOfDate,"Future date – not yet deducted","OK")))))))</f>
        <v/>
      </c>
    </row>
    <row r="493" customFormat="false" ht="15" hidden="false" customHeight="false" outlineLevel="0" collapsed="false">
      <c r="A493" s="65"/>
      <c r="B493" s="63"/>
      <c r="C493" s="70"/>
      <c r="D493" s="66"/>
      <c r="E493" s="16" t="str">
        <f aca="false">IF($C493="","",IFERROR(INDEX(Mix_Desc,MATCH($C493,Mix_Code,0)),"⚠ Unknown mix code"))</f>
        <v/>
      </c>
      <c r="F493" s="67" t="str">
        <f aca="false">IF(OR($C493="",$D493=""),"",IFERROR($D493*INDEX(Mix_Eff,MATCH($C493,Mix_Code,0),1),""))</f>
        <v/>
      </c>
      <c r="G493" s="67" t="str">
        <f aca="false">IF(OR($C493="",$D493=""),"",IFERROR($D493*INDEX(Mix_Eff,MATCH($C493,Mix_Code,0),2),""))</f>
        <v/>
      </c>
      <c r="H493" s="67" t="str">
        <f aca="false">IF(OR($C493="",$D493=""),"",IFERROR($D493*INDEX(Mix_Eff,MATCH($C493,Mix_Code,0),3),""))</f>
        <v/>
      </c>
      <c r="I493" s="67" t="str">
        <f aca="false">IF(OR($C493="",$D493=""),"",IFERROR($D493*INDEX(Mix_Eff,MATCH($C493,Mix_Code,0),4),""))</f>
        <v/>
      </c>
      <c r="J493" s="67" t="str">
        <f aca="false">IF(OR($C493="",$D493=""),"",IFERROR($D493*INDEX(Mix_Eff,MATCH($C493,Mix_Code,0),5),""))</f>
        <v/>
      </c>
      <c r="K493" s="63"/>
      <c r="L493" s="16" t="str">
        <f aca="false">IF(AND($A493="",$B493="",$C493="",$D493=""),"",IF($A493="","⚠ Date missing",IF($B493="","⚠ Site missing",IF(ISNA(MATCH($C493,Mix_Code,0)),"⚠ Unknown mix code",IF($D493="","⚠ Enter m3 produced",IF(COUNTIF(CI_Site,$B493)=0,"⚠ Site not set up in Current Inventory",IF($A493&gt;AsOfDate,"Future date – not yet deducted","OK")))))))</f>
        <v/>
      </c>
    </row>
    <row r="494" customFormat="false" ht="15" hidden="false" customHeight="false" outlineLevel="0" collapsed="false">
      <c r="A494" s="65"/>
      <c r="B494" s="63"/>
      <c r="C494" s="70"/>
      <c r="D494" s="66"/>
      <c r="E494" s="16" t="str">
        <f aca="false">IF($C494="","",IFERROR(INDEX(Mix_Desc,MATCH($C494,Mix_Code,0)),"⚠ Unknown mix code"))</f>
        <v/>
      </c>
      <c r="F494" s="67" t="str">
        <f aca="false">IF(OR($C494="",$D494=""),"",IFERROR($D494*INDEX(Mix_Eff,MATCH($C494,Mix_Code,0),1),""))</f>
        <v/>
      </c>
      <c r="G494" s="67" t="str">
        <f aca="false">IF(OR($C494="",$D494=""),"",IFERROR($D494*INDEX(Mix_Eff,MATCH($C494,Mix_Code,0),2),""))</f>
        <v/>
      </c>
      <c r="H494" s="67" t="str">
        <f aca="false">IF(OR($C494="",$D494=""),"",IFERROR($D494*INDEX(Mix_Eff,MATCH($C494,Mix_Code,0),3),""))</f>
        <v/>
      </c>
      <c r="I494" s="67" t="str">
        <f aca="false">IF(OR($C494="",$D494=""),"",IFERROR($D494*INDEX(Mix_Eff,MATCH($C494,Mix_Code,0),4),""))</f>
        <v/>
      </c>
      <c r="J494" s="67" t="str">
        <f aca="false">IF(OR($C494="",$D494=""),"",IFERROR($D494*INDEX(Mix_Eff,MATCH($C494,Mix_Code,0),5),""))</f>
        <v/>
      </c>
      <c r="K494" s="63"/>
      <c r="L494" s="16" t="str">
        <f aca="false">IF(AND($A494="",$B494="",$C494="",$D494=""),"",IF($A494="","⚠ Date missing",IF($B494="","⚠ Site missing",IF(ISNA(MATCH($C494,Mix_Code,0)),"⚠ Unknown mix code",IF($D494="","⚠ Enter m3 produced",IF(COUNTIF(CI_Site,$B494)=0,"⚠ Site not set up in Current Inventory",IF($A494&gt;AsOfDate,"Future date – not yet deducted","OK")))))))</f>
        <v/>
      </c>
    </row>
    <row r="495" customFormat="false" ht="15" hidden="false" customHeight="false" outlineLevel="0" collapsed="false">
      <c r="A495" s="65"/>
      <c r="B495" s="63"/>
      <c r="C495" s="70"/>
      <c r="D495" s="66"/>
      <c r="E495" s="16" t="str">
        <f aca="false">IF($C495="","",IFERROR(INDEX(Mix_Desc,MATCH($C495,Mix_Code,0)),"⚠ Unknown mix code"))</f>
        <v/>
      </c>
      <c r="F495" s="67" t="str">
        <f aca="false">IF(OR($C495="",$D495=""),"",IFERROR($D495*INDEX(Mix_Eff,MATCH($C495,Mix_Code,0),1),""))</f>
        <v/>
      </c>
      <c r="G495" s="67" t="str">
        <f aca="false">IF(OR($C495="",$D495=""),"",IFERROR($D495*INDEX(Mix_Eff,MATCH($C495,Mix_Code,0),2),""))</f>
        <v/>
      </c>
      <c r="H495" s="67" t="str">
        <f aca="false">IF(OR($C495="",$D495=""),"",IFERROR($D495*INDEX(Mix_Eff,MATCH($C495,Mix_Code,0),3),""))</f>
        <v/>
      </c>
      <c r="I495" s="67" t="str">
        <f aca="false">IF(OR($C495="",$D495=""),"",IFERROR($D495*INDEX(Mix_Eff,MATCH($C495,Mix_Code,0),4),""))</f>
        <v/>
      </c>
      <c r="J495" s="67" t="str">
        <f aca="false">IF(OR($C495="",$D495=""),"",IFERROR($D495*INDEX(Mix_Eff,MATCH($C495,Mix_Code,0),5),""))</f>
        <v/>
      </c>
      <c r="K495" s="63"/>
      <c r="L495" s="16" t="str">
        <f aca="false">IF(AND($A495="",$B495="",$C495="",$D495=""),"",IF($A495="","⚠ Date missing",IF($B495="","⚠ Site missing",IF(ISNA(MATCH($C495,Mix_Code,0)),"⚠ Unknown mix code",IF($D495="","⚠ Enter m3 produced",IF(COUNTIF(CI_Site,$B495)=0,"⚠ Site not set up in Current Inventory",IF($A495&gt;AsOfDate,"Future date – not yet deducted","OK")))))))</f>
        <v/>
      </c>
    </row>
    <row r="496" customFormat="false" ht="15" hidden="false" customHeight="false" outlineLevel="0" collapsed="false">
      <c r="A496" s="65"/>
      <c r="B496" s="63"/>
      <c r="C496" s="70"/>
      <c r="D496" s="66"/>
      <c r="E496" s="16" t="str">
        <f aca="false">IF($C496="","",IFERROR(INDEX(Mix_Desc,MATCH($C496,Mix_Code,0)),"⚠ Unknown mix code"))</f>
        <v/>
      </c>
      <c r="F496" s="67" t="str">
        <f aca="false">IF(OR($C496="",$D496=""),"",IFERROR($D496*INDEX(Mix_Eff,MATCH($C496,Mix_Code,0),1),""))</f>
        <v/>
      </c>
      <c r="G496" s="67" t="str">
        <f aca="false">IF(OR($C496="",$D496=""),"",IFERROR($D496*INDEX(Mix_Eff,MATCH($C496,Mix_Code,0),2),""))</f>
        <v/>
      </c>
      <c r="H496" s="67" t="str">
        <f aca="false">IF(OR($C496="",$D496=""),"",IFERROR($D496*INDEX(Mix_Eff,MATCH($C496,Mix_Code,0),3),""))</f>
        <v/>
      </c>
      <c r="I496" s="67" t="str">
        <f aca="false">IF(OR($C496="",$D496=""),"",IFERROR($D496*INDEX(Mix_Eff,MATCH($C496,Mix_Code,0),4),""))</f>
        <v/>
      </c>
      <c r="J496" s="67" t="str">
        <f aca="false">IF(OR($C496="",$D496=""),"",IFERROR($D496*INDEX(Mix_Eff,MATCH($C496,Mix_Code,0),5),""))</f>
        <v/>
      </c>
      <c r="K496" s="63"/>
      <c r="L496" s="16" t="str">
        <f aca="false">IF(AND($A496="",$B496="",$C496="",$D496=""),"",IF($A496="","⚠ Date missing",IF($B496="","⚠ Site missing",IF(ISNA(MATCH($C496,Mix_Code,0)),"⚠ Unknown mix code",IF($D496="","⚠ Enter m3 produced",IF(COUNTIF(CI_Site,$B496)=0,"⚠ Site not set up in Current Inventory",IF($A496&gt;AsOfDate,"Future date – not yet deducted","OK")))))))</f>
        <v/>
      </c>
    </row>
    <row r="497" customFormat="false" ht="15" hidden="false" customHeight="false" outlineLevel="0" collapsed="false">
      <c r="A497" s="65"/>
      <c r="B497" s="63"/>
      <c r="C497" s="70"/>
      <c r="D497" s="66"/>
      <c r="E497" s="16" t="str">
        <f aca="false">IF($C497="","",IFERROR(INDEX(Mix_Desc,MATCH($C497,Mix_Code,0)),"⚠ Unknown mix code"))</f>
        <v/>
      </c>
      <c r="F497" s="67" t="str">
        <f aca="false">IF(OR($C497="",$D497=""),"",IFERROR($D497*INDEX(Mix_Eff,MATCH($C497,Mix_Code,0),1),""))</f>
        <v/>
      </c>
      <c r="G497" s="67" t="str">
        <f aca="false">IF(OR($C497="",$D497=""),"",IFERROR($D497*INDEX(Mix_Eff,MATCH($C497,Mix_Code,0),2),""))</f>
        <v/>
      </c>
      <c r="H497" s="67" t="str">
        <f aca="false">IF(OR($C497="",$D497=""),"",IFERROR($D497*INDEX(Mix_Eff,MATCH($C497,Mix_Code,0),3),""))</f>
        <v/>
      </c>
      <c r="I497" s="67" t="str">
        <f aca="false">IF(OR($C497="",$D497=""),"",IFERROR($D497*INDEX(Mix_Eff,MATCH($C497,Mix_Code,0),4),""))</f>
        <v/>
      </c>
      <c r="J497" s="67" t="str">
        <f aca="false">IF(OR($C497="",$D497=""),"",IFERROR($D497*INDEX(Mix_Eff,MATCH($C497,Mix_Code,0),5),""))</f>
        <v/>
      </c>
      <c r="K497" s="63"/>
      <c r="L497" s="16" t="str">
        <f aca="false">IF(AND($A497="",$B497="",$C497="",$D497=""),"",IF($A497="","⚠ Date missing",IF($B497="","⚠ Site missing",IF(ISNA(MATCH($C497,Mix_Code,0)),"⚠ Unknown mix code",IF($D497="","⚠ Enter m3 produced",IF(COUNTIF(CI_Site,$B497)=0,"⚠ Site not set up in Current Inventory",IF($A497&gt;AsOfDate,"Future date – not yet deducted","OK")))))))</f>
        <v/>
      </c>
    </row>
    <row r="498" customFormat="false" ht="15" hidden="false" customHeight="false" outlineLevel="0" collapsed="false">
      <c r="A498" s="65"/>
      <c r="B498" s="63"/>
      <c r="C498" s="70"/>
      <c r="D498" s="66"/>
      <c r="E498" s="16" t="str">
        <f aca="false">IF($C498="","",IFERROR(INDEX(Mix_Desc,MATCH($C498,Mix_Code,0)),"⚠ Unknown mix code"))</f>
        <v/>
      </c>
      <c r="F498" s="67" t="str">
        <f aca="false">IF(OR($C498="",$D498=""),"",IFERROR($D498*INDEX(Mix_Eff,MATCH($C498,Mix_Code,0),1),""))</f>
        <v/>
      </c>
      <c r="G498" s="67" t="str">
        <f aca="false">IF(OR($C498="",$D498=""),"",IFERROR($D498*INDEX(Mix_Eff,MATCH($C498,Mix_Code,0),2),""))</f>
        <v/>
      </c>
      <c r="H498" s="67" t="str">
        <f aca="false">IF(OR($C498="",$D498=""),"",IFERROR($D498*INDEX(Mix_Eff,MATCH($C498,Mix_Code,0),3),""))</f>
        <v/>
      </c>
      <c r="I498" s="67" t="str">
        <f aca="false">IF(OR($C498="",$D498=""),"",IFERROR($D498*INDEX(Mix_Eff,MATCH($C498,Mix_Code,0),4),""))</f>
        <v/>
      </c>
      <c r="J498" s="67" t="str">
        <f aca="false">IF(OR($C498="",$D498=""),"",IFERROR($D498*INDEX(Mix_Eff,MATCH($C498,Mix_Code,0),5),""))</f>
        <v/>
      </c>
      <c r="K498" s="63"/>
      <c r="L498" s="16" t="str">
        <f aca="false">IF(AND($A498="",$B498="",$C498="",$D498=""),"",IF($A498="","⚠ Date missing",IF($B498="","⚠ Site missing",IF(ISNA(MATCH($C498,Mix_Code,0)),"⚠ Unknown mix code",IF($D498="","⚠ Enter m3 produced",IF(COUNTIF(CI_Site,$B498)=0,"⚠ Site not set up in Current Inventory",IF($A498&gt;AsOfDate,"Future date – not yet deducted","OK")))))))</f>
        <v/>
      </c>
    </row>
    <row r="499" customFormat="false" ht="15" hidden="false" customHeight="false" outlineLevel="0" collapsed="false">
      <c r="A499" s="65"/>
      <c r="B499" s="63"/>
      <c r="C499" s="70"/>
      <c r="D499" s="66"/>
      <c r="E499" s="16" t="str">
        <f aca="false">IF($C499="","",IFERROR(INDEX(Mix_Desc,MATCH($C499,Mix_Code,0)),"⚠ Unknown mix code"))</f>
        <v/>
      </c>
      <c r="F499" s="67" t="str">
        <f aca="false">IF(OR($C499="",$D499=""),"",IFERROR($D499*INDEX(Mix_Eff,MATCH($C499,Mix_Code,0),1),""))</f>
        <v/>
      </c>
      <c r="G499" s="67" t="str">
        <f aca="false">IF(OR($C499="",$D499=""),"",IFERROR($D499*INDEX(Mix_Eff,MATCH($C499,Mix_Code,0),2),""))</f>
        <v/>
      </c>
      <c r="H499" s="67" t="str">
        <f aca="false">IF(OR($C499="",$D499=""),"",IFERROR($D499*INDEX(Mix_Eff,MATCH($C499,Mix_Code,0),3),""))</f>
        <v/>
      </c>
      <c r="I499" s="67" t="str">
        <f aca="false">IF(OR($C499="",$D499=""),"",IFERROR($D499*INDEX(Mix_Eff,MATCH($C499,Mix_Code,0),4),""))</f>
        <v/>
      </c>
      <c r="J499" s="67" t="str">
        <f aca="false">IF(OR($C499="",$D499=""),"",IFERROR($D499*INDEX(Mix_Eff,MATCH($C499,Mix_Code,0),5),""))</f>
        <v/>
      </c>
      <c r="K499" s="63"/>
      <c r="L499" s="16" t="str">
        <f aca="false">IF(AND($A499="",$B499="",$C499="",$D499=""),"",IF($A499="","⚠ Date missing",IF($B499="","⚠ Site missing",IF(ISNA(MATCH($C499,Mix_Code,0)),"⚠ Unknown mix code",IF($D499="","⚠ Enter m3 produced",IF(COUNTIF(CI_Site,$B499)=0,"⚠ Site not set up in Current Inventory",IF($A499&gt;AsOfDate,"Future date – not yet deducted","OK")))))))</f>
        <v/>
      </c>
    </row>
    <row r="500" customFormat="false" ht="15" hidden="false" customHeight="false" outlineLevel="0" collapsed="false">
      <c r="A500" s="65"/>
      <c r="B500" s="63"/>
      <c r="C500" s="70"/>
      <c r="D500" s="66"/>
      <c r="E500" s="16" t="str">
        <f aca="false">IF($C500="","",IFERROR(INDEX(Mix_Desc,MATCH($C500,Mix_Code,0)),"⚠ Unknown mix code"))</f>
        <v/>
      </c>
      <c r="F500" s="67" t="str">
        <f aca="false">IF(OR($C500="",$D500=""),"",IFERROR($D500*INDEX(Mix_Eff,MATCH($C500,Mix_Code,0),1),""))</f>
        <v/>
      </c>
      <c r="G500" s="67" t="str">
        <f aca="false">IF(OR($C500="",$D500=""),"",IFERROR($D500*INDEX(Mix_Eff,MATCH($C500,Mix_Code,0),2),""))</f>
        <v/>
      </c>
      <c r="H500" s="67" t="str">
        <f aca="false">IF(OR($C500="",$D500=""),"",IFERROR($D500*INDEX(Mix_Eff,MATCH($C500,Mix_Code,0),3),""))</f>
        <v/>
      </c>
      <c r="I500" s="67" t="str">
        <f aca="false">IF(OR($C500="",$D500=""),"",IFERROR($D500*INDEX(Mix_Eff,MATCH($C500,Mix_Code,0),4),""))</f>
        <v/>
      </c>
      <c r="J500" s="67" t="str">
        <f aca="false">IF(OR($C500="",$D500=""),"",IFERROR($D500*INDEX(Mix_Eff,MATCH($C500,Mix_Code,0),5),""))</f>
        <v/>
      </c>
      <c r="K500" s="63"/>
      <c r="L500" s="16" t="str">
        <f aca="false">IF(AND($A500="",$B500="",$C500="",$D500=""),"",IF($A500="","⚠ Date missing",IF($B500="","⚠ Site missing",IF(ISNA(MATCH($C500,Mix_Code,0)),"⚠ Unknown mix code",IF($D500="","⚠ Enter m3 produced",IF(COUNTIF(CI_Site,$B500)=0,"⚠ Site not set up in Current Inventory",IF($A500&gt;AsOfDate,"Future date – not yet deducted","OK")))))))</f>
        <v/>
      </c>
    </row>
    <row r="501" customFormat="false" ht="15" hidden="false" customHeight="false" outlineLevel="0" collapsed="false">
      <c r="A501" s="65"/>
      <c r="B501" s="63"/>
      <c r="C501" s="70"/>
      <c r="D501" s="66"/>
      <c r="E501" s="16" t="str">
        <f aca="false">IF($C501="","",IFERROR(INDEX(Mix_Desc,MATCH($C501,Mix_Code,0)),"⚠ Unknown mix code"))</f>
        <v/>
      </c>
      <c r="F501" s="67" t="str">
        <f aca="false">IF(OR($C501="",$D501=""),"",IFERROR($D501*INDEX(Mix_Eff,MATCH($C501,Mix_Code,0),1),""))</f>
        <v/>
      </c>
      <c r="G501" s="67" t="str">
        <f aca="false">IF(OR($C501="",$D501=""),"",IFERROR($D501*INDEX(Mix_Eff,MATCH($C501,Mix_Code,0),2),""))</f>
        <v/>
      </c>
      <c r="H501" s="67" t="str">
        <f aca="false">IF(OR($C501="",$D501=""),"",IFERROR($D501*INDEX(Mix_Eff,MATCH($C501,Mix_Code,0),3),""))</f>
        <v/>
      </c>
      <c r="I501" s="67" t="str">
        <f aca="false">IF(OR($C501="",$D501=""),"",IFERROR($D501*INDEX(Mix_Eff,MATCH($C501,Mix_Code,0),4),""))</f>
        <v/>
      </c>
      <c r="J501" s="67" t="str">
        <f aca="false">IF(OR($C501="",$D501=""),"",IFERROR($D501*INDEX(Mix_Eff,MATCH($C501,Mix_Code,0),5),""))</f>
        <v/>
      </c>
      <c r="K501" s="63"/>
      <c r="L501" s="16" t="str">
        <f aca="false">IF(AND($A501="",$B501="",$C501="",$D501=""),"",IF($A501="","⚠ Date missing",IF($B501="","⚠ Site missing",IF(ISNA(MATCH($C501,Mix_Code,0)),"⚠ Unknown mix code",IF($D501="","⚠ Enter m3 produced",IF(COUNTIF(CI_Site,$B501)=0,"⚠ Site not set up in Current Inventory",IF($A501&gt;AsOfDate,"Future date – not yet deducted","OK")))))))</f>
        <v/>
      </c>
    </row>
    <row r="502" customFormat="false" ht="15" hidden="false" customHeight="false" outlineLevel="0" collapsed="false">
      <c r="A502" s="65"/>
      <c r="B502" s="63"/>
      <c r="C502" s="70"/>
      <c r="D502" s="66"/>
      <c r="E502" s="16" t="str">
        <f aca="false">IF($C502="","",IFERROR(INDEX(Mix_Desc,MATCH($C502,Mix_Code,0)),"⚠ Unknown mix code"))</f>
        <v/>
      </c>
      <c r="F502" s="67" t="str">
        <f aca="false">IF(OR($C502="",$D502=""),"",IFERROR($D502*INDEX(Mix_Eff,MATCH($C502,Mix_Code,0),1),""))</f>
        <v/>
      </c>
      <c r="G502" s="67" t="str">
        <f aca="false">IF(OR($C502="",$D502=""),"",IFERROR($D502*INDEX(Mix_Eff,MATCH($C502,Mix_Code,0),2),""))</f>
        <v/>
      </c>
      <c r="H502" s="67" t="str">
        <f aca="false">IF(OR($C502="",$D502=""),"",IFERROR($D502*INDEX(Mix_Eff,MATCH($C502,Mix_Code,0),3),""))</f>
        <v/>
      </c>
      <c r="I502" s="67" t="str">
        <f aca="false">IF(OR($C502="",$D502=""),"",IFERROR($D502*INDEX(Mix_Eff,MATCH($C502,Mix_Code,0),4),""))</f>
        <v/>
      </c>
      <c r="J502" s="67" t="str">
        <f aca="false">IF(OR($C502="",$D502=""),"",IFERROR($D502*INDEX(Mix_Eff,MATCH($C502,Mix_Code,0),5),""))</f>
        <v/>
      </c>
      <c r="K502" s="63"/>
      <c r="L502" s="16" t="str">
        <f aca="false">IF(AND($A502="",$B502="",$C502="",$D502=""),"",IF($A502="","⚠ Date missing",IF($B502="","⚠ Site missing",IF(ISNA(MATCH($C502,Mix_Code,0)),"⚠ Unknown mix code",IF($D502="","⚠ Enter m3 produced",IF(COUNTIF(CI_Site,$B502)=0,"⚠ Site not set up in Current Inventory",IF($A502&gt;AsOfDate,"Future date – not yet deducted","OK")))))))</f>
        <v/>
      </c>
    </row>
    <row r="503" customFormat="false" ht="15" hidden="false" customHeight="false" outlineLevel="0" collapsed="false">
      <c r="A503" s="65"/>
      <c r="B503" s="63"/>
      <c r="C503" s="70"/>
      <c r="D503" s="66"/>
      <c r="E503" s="16" t="str">
        <f aca="false">IF($C503="","",IFERROR(INDEX(Mix_Desc,MATCH($C503,Mix_Code,0)),"⚠ Unknown mix code"))</f>
        <v/>
      </c>
      <c r="F503" s="67" t="str">
        <f aca="false">IF(OR($C503="",$D503=""),"",IFERROR($D503*INDEX(Mix_Eff,MATCH($C503,Mix_Code,0),1),""))</f>
        <v/>
      </c>
      <c r="G503" s="67" t="str">
        <f aca="false">IF(OR($C503="",$D503=""),"",IFERROR($D503*INDEX(Mix_Eff,MATCH($C503,Mix_Code,0),2),""))</f>
        <v/>
      </c>
      <c r="H503" s="67" t="str">
        <f aca="false">IF(OR($C503="",$D503=""),"",IFERROR($D503*INDEX(Mix_Eff,MATCH($C503,Mix_Code,0),3),""))</f>
        <v/>
      </c>
      <c r="I503" s="67" t="str">
        <f aca="false">IF(OR($C503="",$D503=""),"",IFERROR($D503*INDEX(Mix_Eff,MATCH($C503,Mix_Code,0),4),""))</f>
        <v/>
      </c>
      <c r="J503" s="67" t="str">
        <f aca="false">IF(OR($C503="",$D503=""),"",IFERROR($D503*INDEX(Mix_Eff,MATCH($C503,Mix_Code,0),5),""))</f>
        <v/>
      </c>
      <c r="K503" s="63"/>
      <c r="L503" s="16" t="str">
        <f aca="false">IF(AND($A503="",$B503="",$C503="",$D503=""),"",IF($A503="","⚠ Date missing",IF($B503="","⚠ Site missing",IF(ISNA(MATCH($C503,Mix_Code,0)),"⚠ Unknown mix code",IF($D503="","⚠ Enter m3 produced",IF(COUNTIF(CI_Site,$B503)=0,"⚠ Site not set up in Current Inventory",IF($A503&gt;AsOfDate,"Future date – not yet deducted","OK")))))))</f>
        <v/>
      </c>
    </row>
    <row r="504" customFormat="false" ht="15" hidden="false" customHeight="false" outlineLevel="0" collapsed="false">
      <c r="A504" s="65"/>
      <c r="B504" s="63"/>
      <c r="C504" s="70"/>
      <c r="D504" s="66"/>
      <c r="E504" s="16" t="str">
        <f aca="false">IF($C504="","",IFERROR(INDEX(Mix_Desc,MATCH($C504,Mix_Code,0)),"⚠ Unknown mix code"))</f>
        <v/>
      </c>
      <c r="F504" s="67" t="str">
        <f aca="false">IF(OR($C504="",$D504=""),"",IFERROR($D504*INDEX(Mix_Eff,MATCH($C504,Mix_Code,0),1),""))</f>
        <v/>
      </c>
      <c r="G504" s="67" t="str">
        <f aca="false">IF(OR($C504="",$D504=""),"",IFERROR($D504*INDEX(Mix_Eff,MATCH($C504,Mix_Code,0),2),""))</f>
        <v/>
      </c>
      <c r="H504" s="67" t="str">
        <f aca="false">IF(OR($C504="",$D504=""),"",IFERROR($D504*INDEX(Mix_Eff,MATCH($C504,Mix_Code,0),3),""))</f>
        <v/>
      </c>
      <c r="I504" s="67" t="str">
        <f aca="false">IF(OR($C504="",$D504=""),"",IFERROR($D504*INDEX(Mix_Eff,MATCH($C504,Mix_Code,0),4),""))</f>
        <v/>
      </c>
      <c r="J504" s="67" t="str">
        <f aca="false">IF(OR($C504="",$D504=""),"",IFERROR($D504*INDEX(Mix_Eff,MATCH($C504,Mix_Code,0),5),""))</f>
        <v/>
      </c>
      <c r="K504" s="63"/>
      <c r="L504" s="16" t="str">
        <f aca="false">IF(AND($A504="",$B504="",$C504="",$D504=""),"",IF($A504="","⚠ Date missing",IF($B504="","⚠ Site missing",IF(ISNA(MATCH($C504,Mix_Code,0)),"⚠ Unknown mix code",IF($D504="","⚠ Enter m3 produced",IF(COUNTIF(CI_Site,$B504)=0,"⚠ Site not set up in Current Inventory",IF($A504&gt;AsOfDate,"Future date – not yet deducted","OK")))))))</f>
        <v/>
      </c>
    </row>
    <row r="505" customFormat="false" ht="15" hidden="false" customHeight="false" outlineLevel="0" collapsed="false">
      <c r="A505" s="65"/>
      <c r="B505" s="63"/>
      <c r="C505" s="70"/>
      <c r="D505" s="66"/>
      <c r="E505" s="16" t="str">
        <f aca="false">IF($C505="","",IFERROR(INDEX(Mix_Desc,MATCH($C505,Mix_Code,0)),"⚠ Unknown mix code"))</f>
        <v/>
      </c>
      <c r="F505" s="67" t="str">
        <f aca="false">IF(OR($C505="",$D505=""),"",IFERROR($D505*INDEX(Mix_Eff,MATCH($C505,Mix_Code,0),1),""))</f>
        <v/>
      </c>
      <c r="G505" s="67" t="str">
        <f aca="false">IF(OR($C505="",$D505=""),"",IFERROR($D505*INDEX(Mix_Eff,MATCH($C505,Mix_Code,0),2),""))</f>
        <v/>
      </c>
      <c r="H505" s="67" t="str">
        <f aca="false">IF(OR($C505="",$D505=""),"",IFERROR($D505*INDEX(Mix_Eff,MATCH($C505,Mix_Code,0),3),""))</f>
        <v/>
      </c>
      <c r="I505" s="67" t="str">
        <f aca="false">IF(OR($C505="",$D505=""),"",IFERROR($D505*INDEX(Mix_Eff,MATCH($C505,Mix_Code,0),4),""))</f>
        <v/>
      </c>
      <c r="J505" s="67" t="str">
        <f aca="false">IF(OR($C505="",$D505=""),"",IFERROR($D505*INDEX(Mix_Eff,MATCH($C505,Mix_Code,0),5),""))</f>
        <v/>
      </c>
      <c r="K505" s="63"/>
      <c r="L505" s="16" t="str">
        <f aca="false">IF(AND($A505="",$B505="",$C505="",$D505=""),"",IF($A505="","⚠ Date missing",IF($B505="","⚠ Site missing",IF(ISNA(MATCH($C505,Mix_Code,0)),"⚠ Unknown mix code",IF($D505="","⚠ Enter m3 produced",IF(COUNTIF(CI_Site,$B505)=0,"⚠ Site not set up in Current Inventory",IF($A505&gt;AsOfDate,"Future date – not yet deducted","OK")))))))</f>
        <v/>
      </c>
    </row>
    <row r="506" customFormat="false" ht="15" hidden="false" customHeight="false" outlineLevel="0" collapsed="false">
      <c r="A506" s="65"/>
      <c r="B506" s="63"/>
      <c r="C506" s="70"/>
      <c r="D506" s="66"/>
      <c r="E506" s="16" t="str">
        <f aca="false">IF($C506="","",IFERROR(INDEX(Mix_Desc,MATCH($C506,Mix_Code,0)),"⚠ Unknown mix code"))</f>
        <v/>
      </c>
      <c r="F506" s="67" t="str">
        <f aca="false">IF(OR($C506="",$D506=""),"",IFERROR($D506*INDEX(Mix_Eff,MATCH($C506,Mix_Code,0),1),""))</f>
        <v/>
      </c>
      <c r="G506" s="67" t="str">
        <f aca="false">IF(OR($C506="",$D506=""),"",IFERROR($D506*INDEX(Mix_Eff,MATCH($C506,Mix_Code,0),2),""))</f>
        <v/>
      </c>
      <c r="H506" s="67" t="str">
        <f aca="false">IF(OR($C506="",$D506=""),"",IFERROR($D506*INDEX(Mix_Eff,MATCH($C506,Mix_Code,0),3),""))</f>
        <v/>
      </c>
      <c r="I506" s="67" t="str">
        <f aca="false">IF(OR($C506="",$D506=""),"",IFERROR($D506*INDEX(Mix_Eff,MATCH($C506,Mix_Code,0),4),""))</f>
        <v/>
      </c>
      <c r="J506" s="67" t="str">
        <f aca="false">IF(OR($C506="",$D506=""),"",IFERROR($D506*INDEX(Mix_Eff,MATCH($C506,Mix_Code,0),5),""))</f>
        <v/>
      </c>
      <c r="K506" s="63"/>
      <c r="L506" s="16" t="str">
        <f aca="false">IF(AND($A506="",$B506="",$C506="",$D506=""),"",IF($A506="","⚠ Date missing",IF($B506="","⚠ Site missing",IF(ISNA(MATCH($C506,Mix_Code,0)),"⚠ Unknown mix code",IF($D506="","⚠ Enter m3 produced",IF(COUNTIF(CI_Site,$B506)=0,"⚠ Site not set up in Current Inventory",IF($A506&gt;AsOfDate,"Future date – not yet deducted","OK")))))))</f>
        <v/>
      </c>
    </row>
    <row r="507" customFormat="false" ht="15" hidden="false" customHeight="false" outlineLevel="0" collapsed="false">
      <c r="A507" s="65"/>
      <c r="B507" s="63"/>
      <c r="C507" s="70"/>
      <c r="D507" s="66"/>
      <c r="E507" s="16" t="str">
        <f aca="false">IF($C507="","",IFERROR(INDEX(Mix_Desc,MATCH($C507,Mix_Code,0)),"⚠ Unknown mix code"))</f>
        <v/>
      </c>
      <c r="F507" s="67" t="str">
        <f aca="false">IF(OR($C507="",$D507=""),"",IFERROR($D507*INDEX(Mix_Eff,MATCH($C507,Mix_Code,0),1),""))</f>
        <v/>
      </c>
      <c r="G507" s="67" t="str">
        <f aca="false">IF(OR($C507="",$D507=""),"",IFERROR($D507*INDEX(Mix_Eff,MATCH($C507,Mix_Code,0),2),""))</f>
        <v/>
      </c>
      <c r="H507" s="67" t="str">
        <f aca="false">IF(OR($C507="",$D507=""),"",IFERROR($D507*INDEX(Mix_Eff,MATCH($C507,Mix_Code,0),3),""))</f>
        <v/>
      </c>
      <c r="I507" s="67" t="str">
        <f aca="false">IF(OR($C507="",$D507=""),"",IFERROR($D507*INDEX(Mix_Eff,MATCH($C507,Mix_Code,0),4),""))</f>
        <v/>
      </c>
      <c r="J507" s="67" t="str">
        <f aca="false">IF(OR($C507="",$D507=""),"",IFERROR($D507*INDEX(Mix_Eff,MATCH($C507,Mix_Code,0),5),""))</f>
        <v/>
      </c>
      <c r="K507" s="63"/>
      <c r="L507" s="16" t="str">
        <f aca="false">IF(AND($A507="",$B507="",$C507="",$D507=""),"",IF($A507="","⚠ Date missing",IF($B507="","⚠ Site missing",IF(ISNA(MATCH($C507,Mix_Code,0)),"⚠ Unknown mix code",IF($D507="","⚠ Enter m3 produced",IF(COUNTIF(CI_Site,$B507)=0,"⚠ Site not set up in Current Inventory",IF($A507&gt;AsOfDate,"Future date – not yet deducted","OK")))))))</f>
        <v/>
      </c>
    </row>
    <row r="508" customFormat="false" ht="15" hidden="false" customHeight="false" outlineLevel="0" collapsed="false">
      <c r="A508" s="65"/>
      <c r="B508" s="63"/>
      <c r="C508" s="70"/>
      <c r="D508" s="66"/>
      <c r="E508" s="16" t="str">
        <f aca="false">IF($C508="","",IFERROR(INDEX(Mix_Desc,MATCH($C508,Mix_Code,0)),"⚠ Unknown mix code"))</f>
        <v/>
      </c>
      <c r="F508" s="67" t="str">
        <f aca="false">IF(OR($C508="",$D508=""),"",IFERROR($D508*INDEX(Mix_Eff,MATCH($C508,Mix_Code,0),1),""))</f>
        <v/>
      </c>
      <c r="G508" s="67" t="str">
        <f aca="false">IF(OR($C508="",$D508=""),"",IFERROR($D508*INDEX(Mix_Eff,MATCH($C508,Mix_Code,0),2),""))</f>
        <v/>
      </c>
      <c r="H508" s="67" t="str">
        <f aca="false">IF(OR($C508="",$D508=""),"",IFERROR($D508*INDEX(Mix_Eff,MATCH($C508,Mix_Code,0),3),""))</f>
        <v/>
      </c>
      <c r="I508" s="67" t="str">
        <f aca="false">IF(OR($C508="",$D508=""),"",IFERROR($D508*INDEX(Mix_Eff,MATCH($C508,Mix_Code,0),4),""))</f>
        <v/>
      </c>
      <c r="J508" s="67" t="str">
        <f aca="false">IF(OR($C508="",$D508=""),"",IFERROR($D508*INDEX(Mix_Eff,MATCH($C508,Mix_Code,0),5),""))</f>
        <v/>
      </c>
      <c r="K508" s="63"/>
      <c r="L508" s="16" t="str">
        <f aca="false">IF(AND($A508="",$B508="",$C508="",$D508=""),"",IF($A508="","⚠ Date missing",IF($B508="","⚠ Site missing",IF(ISNA(MATCH($C508,Mix_Code,0)),"⚠ Unknown mix code",IF($D508="","⚠ Enter m3 produced",IF(COUNTIF(CI_Site,$B508)=0,"⚠ Site not set up in Current Inventory",IF($A508&gt;AsOfDate,"Future date – not yet deducted","OK")))))))</f>
        <v/>
      </c>
    </row>
    <row r="509" customFormat="false" ht="15" hidden="false" customHeight="false" outlineLevel="0" collapsed="false">
      <c r="A509" s="65"/>
      <c r="B509" s="63"/>
      <c r="C509" s="70"/>
      <c r="D509" s="66"/>
      <c r="E509" s="16" t="str">
        <f aca="false">IF($C509="","",IFERROR(INDEX(Mix_Desc,MATCH($C509,Mix_Code,0)),"⚠ Unknown mix code"))</f>
        <v/>
      </c>
      <c r="F509" s="67" t="str">
        <f aca="false">IF(OR($C509="",$D509=""),"",IFERROR($D509*INDEX(Mix_Eff,MATCH($C509,Mix_Code,0),1),""))</f>
        <v/>
      </c>
      <c r="G509" s="67" t="str">
        <f aca="false">IF(OR($C509="",$D509=""),"",IFERROR($D509*INDEX(Mix_Eff,MATCH($C509,Mix_Code,0),2),""))</f>
        <v/>
      </c>
      <c r="H509" s="67" t="str">
        <f aca="false">IF(OR($C509="",$D509=""),"",IFERROR($D509*INDEX(Mix_Eff,MATCH($C509,Mix_Code,0),3),""))</f>
        <v/>
      </c>
      <c r="I509" s="67" t="str">
        <f aca="false">IF(OR($C509="",$D509=""),"",IFERROR($D509*INDEX(Mix_Eff,MATCH($C509,Mix_Code,0),4),""))</f>
        <v/>
      </c>
      <c r="J509" s="67" t="str">
        <f aca="false">IF(OR($C509="",$D509=""),"",IFERROR($D509*INDEX(Mix_Eff,MATCH($C509,Mix_Code,0),5),""))</f>
        <v/>
      </c>
      <c r="K509" s="63"/>
      <c r="L509" s="16" t="str">
        <f aca="false">IF(AND($A509="",$B509="",$C509="",$D509=""),"",IF($A509="","⚠ Date missing",IF($B509="","⚠ Site missing",IF(ISNA(MATCH($C509,Mix_Code,0)),"⚠ Unknown mix code",IF($D509="","⚠ Enter m3 produced",IF(COUNTIF(CI_Site,$B509)=0,"⚠ Site not set up in Current Inventory",IF($A509&gt;AsOfDate,"Future date – not yet deducted","OK")))))))</f>
        <v/>
      </c>
    </row>
    <row r="510" customFormat="false" ht="15" hidden="false" customHeight="false" outlineLevel="0" collapsed="false">
      <c r="A510" s="65"/>
      <c r="B510" s="63"/>
      <c r="C510" s="70"/>
      <c r="D510" s="66"/>
      <c r="E510" s="16" t="str">
        <f aca="false">IF($C510="","",IFERROR(INDEX(Mix_Desc,MATCH($C510,Mix_Code,0)),"⚠ Unknown mix code"))</f>
        <v/>
      </c>
      <c r="F510" s="67" t="str">
        <f aca="false">IF(OR($C510="",$D510=""),"",IFERROR($D510*INDEX(Mix_Eff,MATCH($C510,Mix_Code,0),1),""))</f>
        <v/>
      </c>
      <c r="G510" s="67" t="str">
        <f aca="false">IF(OR($C510="",$D510=""),"",IFERROR($D510*INDEX(Mix_Eff,MATCH($C510,Mix_Code,0),2),""))</f>
        <v/>
      </c>
      <c r="H510" s="67" t="str">
        <f aca="false">IF(OR($C510="",$D510=""),"",IFERROR($D510*INDEX(Mix_Eff,MATCH($C510,Mix_Code,0),3),""))</f>
        <v/>
      </c>
      <c r="I510" s="67" t="str">
        <f aca="false">IF(OR($C510="",$D510=""),"",IFERROR($D510*INDEX(Mix_Eff,MATCH($C510,Mix_Code,0),4),""))</f>
        <v/>
      </c>
      <c r="J510" s="67" t="str">
        <f aca="false">IF(OR($C510="",$D510=""),"",IFERROR($D510*INDEX(Mix_Eff,MATCH($C510,Mix_Code,0),5),""))</f>
        <v/>
      </c>
      <c r="K510" s="63"/>
      <c r="L510" s="16" t="str">
        <f aca="false">IF(AND($A510="",$B510="",$C510="",$D510=""),"",IF($A510="","⚠ Date missing",IF($B510="","⚠ Site missing",IF(ISNA(MATCH($C510,Mix_Code,0)),"⚠ Unknown mix code",IF($D510="","⚠ Enter m3 produced",IF(COUNTIF(CI_Site,$B510)=0,"⚠ Site not set up in Current Inventory",IF($A510&gt;AsOfDate,"Future date – not yet deducted","OK")))))))</f>
        <v/>
      </c>
    </row>
    <row r="511" customFormat="false" ht="15" hidden="false" customHeight="false" outlineLevel="0" collapsed="false">
      <c r="A511" s="65"/>
      <c r="B511" s="63"/>
      <c r="C511" s="70"/>
      <c r="D511" s="66"/>
      <c r="E511" s="16" t="str">
        <f aca="false">IF($C511="","",IFERROR(INDEX(Mix_Desc,MATCH($C511,Mix_Code,0)),"⚠ Unknown mix code"))</f>
        <v/>
      </c>
      <c r="F511" s="67" t="str">
        <f aca="false">IF(OR($C511="",$D511=""),"",IFERROR($D511*INDEX(Mix_Eff,MATCH($C511,Mix_Code,0),1),""))</f>
        <v/>
      </c>
      <c r="G511" s="67" t="str">
        <f aca="false">IF(OR($C511="",$D511=""),"",IFERROR($D511*INDEX(Mix_Eff,MATCH($C511,Mix_Code,0),2),""))</f>
        <v/>
      </c>
      <c r="H511" s="67" t="str">
        <f aca="false">IF(OR($C511="",$D511=""),"",IFERROR($D511*INDEX(Mix_Eff,MATCH($C511,Mix_Code,0),3),""))</f>
        <v/>
      </c>
      <c r="I511" s="67" t="str">
        <f aca="false">IF(OR($C511="",$D511=""),"",IFERROR($D511*INDEX(Mix_Eff,MATCH($C511,Mix_Code,0),4),""))</f>
        <v/>
      </c>
      <c r="J511" s="67" t="str">
        <f aca="false">IF(OR($C511="",$D511=""),"",IFERROR($D511*INDEX(Mix_Eff,MATCH($C511,Mix_Code,0),5),""))</f>
        <v/>
      </c>
      <c r="K511" s="63"/>
      <c r="L511" s="16" t="str">
        <f aca="false">IF(AND($A511="",$B511="",$C511="",$D511=""),"",IF($A511="","⚠ Date missing",IF($B511="","⚠ Site missing",IF(ISNA(MATCH($C511,Mix_Code,0)),"⚠ Unknown mix code",IF($D511="","⚠ Enter m3 produced",IF(COUNTIF(CI_Site,$B511)=0,"⚠ Site not set up in Current Inventory",IF($A511&gt;AsOfDate,"Future date – not yet deducted","OK")))))))</f>
        <v/>
      </c>
    </row>
    <row r="512" customFormat="false" ht="15" hidden="false" customHeight="false" outlineLevel="0" collapsed="false">
      <c r="A512" s="65"/>
      <c r="B512" s="63"/>
      <c r="C512" s="70"/>
      <c r="D512" s="66"/>
      <c r="E512" s="16" t="str">
        <f aca="false">IF($C512="","",IFERROR(INDEX(Mix_Desc,MATCH($C512,Mix_Code,0)),"⚠ Unknown mix code"))</f>
        <v/>
      </c>
      <c r="F512" s="67" t="str">
        <f aca="false">IF(OR($C512="",$D512=""),"",IFERROR($D512*INDEX(Mix_Eff,MATCH($C512,Mix_Code,0),1),""))</f>
        <v/>
      </c>
      <c r="G512" s="67" t="str">
        <f aca="false">IF(OR($C512="",$D512=""),"",IFERROR($D512*INDEX(Mix_Eff,MATCH($C512,Mix_Code,0),2),""))</f>
        <v/>
      </c>
      <c r="H512" s="67" t="str">
        <f aca="false">IF(OR($C512="",$D512=""),"",IFERROR($D512*INDEX(Mix_Eff,MATCH($C512,Mix_Code,0),3),""))</f>
        <v/>
      </c>
      <c r="I512" s="67" t="str">
        <f aca="false">IF(OR($C512="",$D512=""),"",IFERROR($D512*INDEX(Mix_Eff,MATCH($C512,Mix_Code,0),4),""))</f>
        <v/>
      </c>
      <c r="J512" s="67" t="str">
        <f aca="false">IF(OR($C512="",$D512=""),"",IFERROR($D512*INDEX(Mix_Eff,MATCH($C512,Mix_Code,0),5),""))</f>
        <v/>
      </c>
      <c r="K512" s="63"/>
      <c r="L512" s="16" t="str">
        <f aca="false">IF(AND($A512="",$B512="",$C512="",$D512=""),"",IF($A512="","⚠ Date missing",IF($B512="","⚠ Site missing",IF(ISNA(MATCH($C512,Mix_Code,0)),"⚠ Unknown mix code",IF($D512="","⚠ Enter m3 produced",IF(COUNTIF(CI_Site,$B512)=0,"⚠ Site not set up in Current Inventory",IF($A512&gt;AsOfDate,"Future date – not yet deducted","OK")))))))</f>
        <v/>
      </c>
    </row>
    <row r="513" customFormat="false" ht="15" hidden="false" customHeight="false" outlineLevel="0" collapsed="false">
      <c r="A513" s="65"/>
      <c r="B513" s="63"/>
      <c r="C513" s="70"/>
      <c r="D513" s="66"/>
      <c r="E513" s="16" t="str">
        <f aca="false">IF($C513="","",IFERROR(INDEX(Mix_Desc,MATCH($C513,Mix_Code,0)),"⚠ Unknown mix code"))</f>
        <v/>
      </c>
      <c r="F513" s="67" t="str">
        <f aca="false">IF(OR($C513="",$D513=""),"",IFERROR($D513*INDEX(Mix_Eff,MATCH($C513,Mix_Code,0),1),""))</f>
        <v/>
      </c>
      <c r="G513" s="67" t="str">
        <f aca="false">IF(OR($C513="",$D513=""),"",IFERROR($D513*INDEX(Mix_Eff,MATCH($C513,Mix_Code,0),2),""))</f>
        <v/>
      </c>
      <c r="H513" s="67" t="str">
        <f aca="false">IF(OR($C513="",$D513=""),"",IFERROR($D513*INDEX(Mix_Eff,MATCH($C513,Mix_Code,0),3),""))</f>
        <v/>
      </c>
      <c r="I513" s="67" t="str">
        <f aca="false">IF(OR($C513="",$D513=""),"",IFERROR($D513*INDEX(Mix_Eff,MATCH($C513,Mix_Code,0),4),""))</f>
        <v/>
      </c>
      <c r="J513" s="67" t="str">
        <f aca="false">IF(OR($C513="",$D513=""),"",IFERROR($D513*INDEX(Mix_Eff,MATCH($C513,Mix_Code,0),5),""))</f>
        <v/>
      </c>
      <c r="K513" s="63"/>
      <c r="L513" s="16" t="str">
        <f aca="false">IF(AND($A513="",$B513="",$C513="",$D513=""),"",IF($A513="","⚠ Date missing",IF($B513="","⚠ Site missing",IF(ISNA(MATCH($C513,Mix_Code,0)),"⚠ Unknown mix code",IF($D513="","⚠ Enter m3 produced",IF(COUNTIF(CI_Site,$B513)=0,"⚠ Site not set up in Current Inventory",IF($A513&gt;AsOfDate,"Future date – not yet deducted","OK")))))))</f>
        <v/>
      </c>
    </row>
    <row r="514" customFormat="false" ht="15" hidden="false" customHeight="false" outlineLevel="0" collapsed="false">
      <c r="A514" s="65"/>
      <c r="B514" s="63"/>
      <c r="C514" s="70"/>
      <c r="D514" s="66"/>
      <c r="E514" s="16" t="str">
        <f aca="false">IF($C514="","",IFERROR(INDEX(Mix_Desc,MATCH($C514,Mix_Code,0)),"⚠ Unknown mix code"))</f>
        <v/>
      </c>
      <c r="F514" s="67" t="str">
        <f aca="false">IF(OR($C514="",$D514=""),"",IFERROR($D514*INDEX(Mix_Eff,MATCH($C514,Mix_Code,0),1),""))</f>
        <v/>
      </c>
      <c r="G514" s="67" t="str">
        <f aca="false">IF(OR($C514="",$D514=""),"",IFERROR($D514*INDEX(Mix_Eff,MATCH($C514,Mix_Code,0),2),""))</f>
        <v/>
      </c>
      <c r="H514" s="67" t="str">
        <f aca="false">IF(OR($C514="",$D514=""),"",IFERROR($D514*INDEX(Mix_Eff,MATCH($C514,Mix_Code,0),3),""))</f>
        <v/>
      </c>
      <c r="I514" s="67" t="str">
        <f aca="false">IF(OR($C514="",$D514=""),"",IFERROR($D514*INDEX(Mix_Eff,MATCH($C514,Mix_Code,0),4),""))</f>
        <v/>
      </c>
      <c r="J514" s="67" t="str">
        <f aca="false">IF(OR($C514="",$D514=""),"",IFERROR($D514*INDEX(Mix_Eff,MATCH($C514,Mix_Code,0),5),""))</f>
        <v/>
      </c>
      <c r="K514" s="63"/>
      <c r="L514" s="16" t="str">
        <f aca="false">IF(AND($A514="",$B514="",$C514="",$D514=""),"",IF($A514="","⚠ Date missing",IF($B514="","⚠ Site missing",IF(ISNA(MATCH($C514,Mix_Code,0)),"⚠ Unknown mix code",IF($D514="","⚠ Enter m3 produced",IF(COUNTIF(CI_Site,$B514)=0,"⚠ Site not set up in Current Inventory",IF($A514&gt;AsOfDate,"Future date – not yet deducted","OK")))))))</f>
        <v/>
      </c>
    </row>
    <row r="515" customFormat="false" ht="15" hidden="false" customHeight="false" outlineLevel="0" collapsed="false">
      <c r="A515" s="65"/>
      <c r="B515" s="63"/>
      <c r="C515" s="70"/>
      <c r="D515" s="66"/>
      <c r="E515" s="16" t="str">
        <f aca="false">IF($C515="","",IFERROR(INDEX(Mix_Desc,MATCH($C515,Mix_Code,0)),"⚠ Unknown mix code"))</f>
        <v/>
      </c>
      <c r="F515" s="67" t="str">
        <f aca="false">IF(OR($C515="",$D515=""),"",IFERROR($D515*INDEX(Mix_Eff,MATCH($C515,Mix_Code,0),1),""))</f>
        <v/>
      </c>
      <c r="G515" s="67" t="str">
        <f aca="false">IF(OR($C515="",$D515=""),"",IFERROR($D515*INDEX(Mix_Eff,MATCH($C515,Mix_Code,0),2),""))</f>
        <v/>
      </c>
      <c r="H515" s="67" t="str">
        <f aca="false">IF(OR($C515="",$D515=""),"",IFERROR($D515*INDEX(Mix_Eff,MATCH($C515,Mix_Code,0),3),""))</f>
        <v/>
      </c>
      <c r="I515" s="67" t="str">
        <f aca="false">IF(OR($C515="",$D515=""),"",IFERROR($D515*INDEX(Mix_Eff,MATCH($C515,Mix_Code,0),4),""))</f>
        <v/>
      </c>
      <c r="J515" s="67" t="str">
        <f aca="false">IF(OR($C515="",$D515=""),"",IFERROR($D515*INDEX(Mix_Eff,MATCH($C515,Mix_Code,0),5),""))</f>
        <v/>
      </c>
      <c r="K515" s="63"/>
      <c r="L515" s="16" t="str">
        <f aca="false">IF(AND($A515="",$B515="",$C515="",$D515=""),"",IF($A515="","⚠ Date missing",IF($B515="","⚠ Site missing",IF(ISNA(MATCH($C515,Mix_Code,0)),"⚠ Unknown mix code",IF($D515="","⚠ Enter m3 produced",IF(COUNTIF(CI_Site,$B515)=0,"⚠ Site not set up in Current Inventory",IF($A515&gt;AsOfDate,"Future date – not yet deducted","OK")))))))</f>
        <v/>
      </c>
    </row>
    <row r="516" customFormat="false" ht="15" hidden="false" customHeight="false" outlineLevel="0" collapsed="false">
      <c r="A516" s="65"/>
      <c r="B516" s="63"/>
      <c r="C516" s="70"/>
      <c r="D516" s="66"/>
      <c r="E516" s="16" t="str">
        <f aca="false">IF($C516="","",IFERROR(INDEX(Mix_Desc,MATCH($C516,Mix_Code,0)),"⚠ Unknown mix code"))</f>
        <v/>
      </c>
      <c r="F516" s="67" t="str">
        <f aca="false">IF(OR($C516="",$D516=""),"",IFERROR($D516*INDEX(Mix_Eff,MATCH($C516,Mix_Code,0),1),""))</f>
        <v/>
      </c>
      <c r="G516" s="67" t="str">
        <f aca="false">IF(OR($C516="",$D516=""),"",IFERROR($D516*INDEX(Mix_Eff,MATCH($C516,Mix_Code,0),2),""))</f>
        <v/>
      </c>
      <c r="H516" s="67" t="str">
        <f aca="false">IF(OR($C516="",$D516=""),"",IFERROR($D516*INDEX(Mix_Eff,MATCH($C516,Mix_Code,0),3),""))</f>
        <v/>
      </c>
      <c r="I516" s="67" t="str">
        <f aca="false">IF(OR($C516="",$D516=""),"",IFERROR($D516*INDEX(Mix_Eff,MATCH($C516,Mix_Code,0),4),""))</f>
        <v/>
      </c>
      <c r="J516" s="67" t="str">
        <f aca="false">IF(OR($C516="",$D516=""),"",IFERROR($D516*INDEX(Mix_Eff,MATCH($C516,Mix_Code,0),5),""))</f>
        <v/>
      </c>
      <c r="K516" s="63"/>
      <c r="L516" s="16" t="str">
        <f aca="false">IF(AND($A516="",$B516="",$C516="",$D516=""),"",IF($A516="","⚠ Date missing",IF($B516="","⚠ Site missing",IF(ISNA(MATCH($C516,Mix_Code,0)),"⚠ Unknown mix code",IF($D516="","⚠ Enter m3 produced",IF(COUNTIF(CI_Site,$B516)=0,"⚠ Site not set up in Current Inventory",IF($A516&gt;AsOfDate,"Future date – not yet deducted","OK")))))))</f>
        <v/>
      </c>
    </row>
    <row r="517" customFormat="false" ht="15" hidden="false" customHeight="false" outlineLevel="0" collapsed="false">
      <c r="A517" s="65"/>
      <c r="B517" s="63"/>
      <c r="C517" s="70"/>
      <c r="D517" s="66"/>
      <c r="E517" s="16" t="str">
        <f aca="false">IF($C517="","",IFERROR(INDEX(Mix_Desc,MATCH($C517,Mix_Code,0)),"⚠ Unknown mix code"))</f>
        <v/>
      </c>
      <c r="F517" s="67" t="str">
        <f aca="false">IF(OR($C517="",$D517=""),"",IFERROR($D517*INDEX(Mix_Eff,MATCH($C517,Mix_Code,0),1),""))</f>
        <v/>
      </c>
      <c r="G517" s="67" t="str">
        <f aca="false">IF(OR($C517="",$D517=""),"",IFERROR($D517*INDEX(Mix_Eff,MATCH($C517,Mix_Code,0),2),""))</f>
        <v/>
      </c>
      <c r="H517" s="67" t="str">
        <f aca="false">IF(OR($C517="",$D517=""),"",IFERROR($D517*INDEX(Mix_Eff,MATCH($C517,Mix_Code,0),3),""))</f>
        <v/>
      </c>
      <c r="I517" s="67" t="str">
        <f aca="false">IF(OR($C517="",$D517=""),"",IFERROR($D517*INDEX(Mix_Eff,MATCH($C517,Mix_Code,0),4),""))</f>
        <v/>
      </c>
      <c r="J517" s="67" t="str">
        <f aca="false">IF(OR($C517="",$D517=""),"",IFERROR($D517*INDEX(Mix_Eff,MATCH($C517,Mix_Code,0),5),""))</f>
        <v/>
      </c>
      <c r="K517" s="63"/>
      <c r="L517" s="16" t="str">
        <f aca="false">IF(AND($A517="",$B517="",$C517="",$D517=""),"",IF($A517="","⚠ Date missing",IF($B517="","⚠ Site missing",IF(ISNA(MATCH($C517,Mix_Code,0)),"⚠ Unknown mix code",IF($D517="","⚠ Enter m3 produced",IF(COUNTIF(CI_Site,$B517)=0,"⚠ Site not set up in Current Inventory",IF($A517&gt;AsOfDate,"Future date – not yet deducted","OK")))))))</f>
        <v/>
      </c>
    </row>
    <row r="518" customFormat="false" ht="15" hidden="false" customHeight="false" outlineLevel="0" collapsed="false">
      <c r="A518" s="65"/>
      <c r="B518" s="63"/>
      <c r="C518" s="70"/>
      <c r="D518" s="66"/>
      <c r="E518" s="16" t="str">
        <f aca="false">IF($C518="","",IFERROR(INDEX(Mix_Desc,MATCH($C518,Mix_Code,0)),"⚠ Unknown mix code"))</f>
        <v/>
      </c>
      <c r="F518" s="67" t="str">
        <f aca="false">IF(OR($C518="",$D518=""),"",IFERROR($D518*INDEX(Mix_Eff,MATCH($C518,Mix_Code,0),1),""))</f>
        <v/>
      </c>
      <c r="G518" s="67" t="str">
        <f aca="false">IF(OR($C518="",$D518=""),"",IFERROR($D518*INDEX(Mix_Eff,MATCH($C518,Mix_Code,0),2),""))</f>
        <v/>
      </c>
      <c r="H518" s="67" t="str">
        <f aca="false">IF(OR($C518="",$D518=""),"",IFERROR($D518*INDEX(Mix_Eff,MATCH($C518,Mix_Code,0),3),""))</f>
        <v/>
      </c>
      <c r="I518" s="67" t="str">
        <f aca="false">IF(OR($C518="",$D518=""),"",IFERROR($D518*INDEX(Mix_Eff,MATCH($C518,Mix_Code,0),4),""))</f>
        <v/>
      </c>
      <c r="J518" s="67" t="str">
        <f aca="false">IF(OR($C518="",$D518=""),"",IFERROR($D518*INDEX(Mix_Eff,MATCH($C518,Mix_Code,0),5),""))</f>
        <v/>
      </c>
      <c r="K518" s="63"/>
      <c r="L518" s="16" t="str">
        <f aca="false">IF(AND($A518="",$B518="",$C518="",$D518=""),"",IF($A518="","⚠ Date missing",IF($B518="","⚠ Site missing",IF(ISNA(MATCH($C518,Mix_Code,0)),"⚠ Unknown mix code",IF($D518="","⚠ Enter m3 produced",IF(COUNTIF(CI_Site,$B518)=0,"⚠ Site not set up in Current Inventory",IF($A518&gt;AsOfDate,"Future date – not yet deducted","OK")))))))</f>
        <v/>
      </c>
    </row>
    <row r="519" customFormat="false" ht="15" hidden="false" customHeight="false" outlineLevel="0" collapsed="false">
      <c r="A519" s="65"/>
      <c r="B519" s="63"/>
      <c r="C519" s="70"/>
      <c r="D519" s="66"/>
      <c r="E519" s="16" t="str">
        <f aca="false">IF($C519="","",IFERROR(INDEX(Mix_Desc,MATCH($C519,Mix_Code,0)),"⚠ Unknown mix code"))</f>
        <v/>
      </c>
      <c r="F519" s="67" t="str">
        <f aca="false">IF(OR($C519="",$D519=""),"",IFERROR($D519*INDEX(Mix_Eff,MATCH($C519,Mix_Code,0),1),""))</f>
        <v/>
      </c>
      <c r="G519" s="67" t="str">
        <f aca="false">IF(OR($C519="",$D519=""),"",IFERROR($D519*INDEX(Mix_Eff,MATCH($C519,Mix_Code,0),2),""))</f>
        <v/>
      </c>
      <c r="H519" s="67" t="str">
        <f aca="false">IF(OR($C519="",$D519=""),"",IFERROR($D519*INDEX(Mix_Eff,MATCH($C519,Mix_Code,0),3),""))</f>
        <v/>
      </c>
      <c r="I519" s="67" t="str">
        <f aca="false">IF(OR($C519="",$D519=""),"",IFERROR($D519*INDEX(Mix_Eff,MATCH($C519,Mix_Code,0),4),""))</f>
        <v/>
      </c>
      <c r="J519" s="67" t="str">
        <f aca="false">IF(OR($C519="",$D519=""),"",IFERROR($D519*INDEX(Mix_Eff,MATCH($C519,Mix_Code,0),5),""))</f>
        <v/>
      </c>
      <c r="K519" s="63"/>
      <c r="L519" s="16" t="str">
        <f aca="false">IF(AND($A519="",$B519="",$C519="",$D519=""),"",IF($A519="","⚠ Date missing",IF($B519="","⚠ Site missing",IF(ISNA(MATCH($C519,Mix_Code,0)),"⚠ Unknown mix code",IF($D519="","⚠ Enter m3 produced",IF(COUNTIF(CI_Site,$B519)=0,"⚠ Site not set up in Current Inventory",IF($A519&gt;AsOfDate,"Future date – not yet deducted","OK")))))))</f>
        <v/>
      </c>
    </row>
    <row r="520" customFormat="false" ht="15" hidden="false" customHeight="false" outlineLevel="0" collapsed="false">
      <c r="A520" s="65"/>
      <c r="B520" s="63"/>
      <c r="C520" s="70"/>
      <c r="D520" s="66"/>
      <c r="E520" s="16" t="str">
        <f aca="false">IF($C520="","",IFERROR(INDEX(Mix_Desc,MATCH($C520,Mix_Code,0)),"⚠ Unknown mix code"))</f>
        <v/>
      </c>
      <c r="F520" s="67" t="str">
        <f aca="false">IF(OR($C520="",$D520=""),"",IFERROR($D520*INDEX(Mix_Eff,MATCH($C520,Mix_Code,0),1),""))</f>
        <v/>
      </c>
      <c r="G520" s="67" t="str">
        <f aca="false">IF(OR($C520="",$D520=""),"",IFERROR($D520*INDEX(Mix_Eff,MATCH($C520,Mix_Code,0),2),""))</f>
        <v/>
      </c>
      <c r="H520" s="67" t="str">
        <f aca="false">IF(OR($C520="",$D520=""),"",IFERROR($D520*INDEX(Mix_Eff,MATCH($C520,Mix_Code,0),3),""))</f>
        <v/>
      </c>
      <c r="I520" s="67" t="str">
        <f aca="false">IF(OR($C520="",$D520=""),"",IFERROR($D520*INDEX(Mix_Eff,MATCH($C520,Mix_Code,0),4),""))</f>
        <v/>
      </c>
      <c r="J520" s="67" t="str">
        <f aca="false">IF(OR($C520="",$D520=""),"",IFERROR($D520*INDEX(Mix_Eff,MATCH($C520,Mix_Code,0),5),""))</f>
        <v/>
      </c>
      <c r="K520" s="63"/>
      <c r="L520" s="16" t="str">
        <f aca="false">IF(AND($A520="",$B520="",$C520="",$D520=""),"",IF($A520="","⚠ Date missing",IF($B520="","⚠ Site missing",IF(ISNA(MATCH($C520,Mix_Code,0)),"⚠ Unknown mix code",IF($D520="","⚠ Enter m3 produced",IF(COUNTIF(CI_Site,$B520)=0,"⚠ Site not set up in Current Inventory",IF($A520&gt;AsOfDate,"Future date – not yet deducted","OK")))))))</f>
        <v/>
      </c>
    </row>
    <row r="521" customFormat="false" ht="15" hidden="false" customHeight="false" outlineLevel="0" collapsed="false">
      <c r="A521" s="65"/>
      <c r="B521" s="63"/>
      <c r="C521" s="70"/>
      <c r="D521" s="66"/>
      <c r="E521" s="16" t="str">
        <f aca="false">IF($C521="","",IFERROR(INDEX(Mix_Desc,MATCH($C521,Mix_Code,0)),"⚠ Unknown mix code"))</f>
        <v/>
      </c>
      <c r="F521" s="67" t="str">
        <f aca="false">IF(OR($C521="",$D521=""),"",IFERROR($D521*INDEX(Mix_Eff,MATCH($C521,Mix_Code,0),1),""))</f>
        <v/>
      </c>
      <c r="G521" s="67" t="str">
        <f aca="false">IF(OR($C521="",$D521=""),"",IFERROR($D521*INDEX(Mix_Eff,MATCH($C521,Mix_Code,0),2),""))</f>
        <v/>
      </c>
      <c r="H521" s="67" t="str">
        <f aca="false">IF(OR($C521="",$D521=""),"",IFERROR($D521*INDEX(Mix_Eff,MATCH($C521,Mix_Code,0),3),""))</f>
        <v/>
      </c>
      <c r="I521" s="67" t="str">
        <f aca="false">IF(OR($C521="",$D521=""),"",IFERROR($D521*INDEX(Mix_Eff,MATCH($C521,Mix_Code,0),4),""))</f>
        <v/>
      </c>
      <c r="J521" s="67" t="str">
        <f aca="false">IF(OR($C521="",$D521=""),"",IFERROR($D521*INDEX(Mix_Eff,MATCH($C521,Mix_Code,0),5),""))</f>
        <v/>
      </c>
      <c r="K521" s="63"/>
      <c r="L521" s="16" t="str">
        <f aca="false">IF(AND($A521="",$B521="",$C521="",$D521=""),"",IF($A521="","⚠ Date missing",IF($B521="","⚠ Site missing",IF(ISNA(MATCH($C521,Mix_Code,0)),"⚠ Unknown mix code",IF($D521="","⚠ Enter m3 produced",IF(COUNTIF(CI_Site,$B521)=0,"⚠ Site not set up in Current Inventory",IF($A521&gt;AsOfDate,"Future date – not yet deducted","OK")))))))</f>
        <v/>
      </c>
    </row>
    <row r="522" customFormat="false" ht="15" hidden="false" customHeight="false" outlineLevel="0" collapsed="false">
      <c r="A522" s="65"/>
      <c r="B522" s="63"/>
      <c r="C522" s="70"/>
      <c r="D522" s="66"/>
      <c r="E522" s="16" t="str">
        <f aca="false">IF($C522="","",IFERROR(INDEX(Mix_Desc,MATCH($C522,Mix_Code,0)),"⚠ Unknown mix code"))</f>
        <v/>
      </c>
      <c r="F522" s="67" t="str">
        <f aca="false">IF(OR($C522="",$D522=""),"",IFERROR($D522*INDEX(Mix_Eff,MATCH($C522,Mix_Code,0),1),""))</f>
        <v/>
      </c>
      <c r="G522" s="67" t="str">
        <f aca="false">IF(OR($C522="",$D522=""),"",IFERROR($D522*INDEX(Mix_Eff,MATCH($C522,Mix_Code,0),2),""))</f>
        <v/>
      </c>
      <c r="H522" s="67" t="str">
        <f aca="false">IF(OR($C522="",$D522=""),"",IFERROR($D522*INDEX(Mix_Eff,MATCH($C522,Mix_Code,0),3),""))</f>
        <v/>
      </c>
      <c r="I522" s="67" t="str">
        <f aca="false">IF(OR($C522="",$D522=""),"",IFERROR($D522*INDEX(Mix_Eff,MATCH($C522,Mix_Code,0),4),""))</f>
        <v/>
      </c>
      <c r="J522" s="67" t="str">
        <f aca="false">IF(OR($C522="",$D522=""),"",IFERROR($D522*INDEX(Mix_Eff,MATCH($C522,Mix_Code,0),5),""))</f>
        <v/>
      </c>
      <c r="K522" s="63"/>
      <c r="L522" s="16" t="str">
        <f aca="false">IF(AND($A522="",$B522="",$C522="",$D522=""),"",IF($A522="","⚠ Date missing",IF($B522="","⚠ Site missing",IF(ISNA(MATCH($C522,Mix_Code,0)),"⚠ Unknown mix code",IF($D522="","⚠ Enter m3 produced",IF(COUNTIF(CI_Site,$B522)=0,"⚠ Site not set up in Current Inventory",IF($A522&gt;AsOfDate,"Future date – not yet deducted","OK")))))))</f>
        <v/>
      </c>
    </row>
    <row r="523" customFormat="false" ht="15" hidden="false" customHeight="false" outlineLevel="0" collapsed="false">
      <c r="A523" s="65"/>
      <c r="B523" s="63"/>
      <c r="C523" s="70"/>
      <c r="D523" s="66"/>
      <c r="E523" s="16" t="str">
        <f aca="false">IF($C523="","",IFERROR(INDEX(Mix_Desc,MATCH($C523,Mix_Code,0)),"⚠ Unknown mix code"))</f>
        <v/>
      </c>
      <c r="F523" s="67" t="str">
        <f aca="false">IF(OR($C523="",$D523=""),"",IFERROR($D523*INDEX(Mix_Eff,MATCH($C523,Mix_Code,0),1),""))</f>
        <v/>
      </c>
      <c r="G523" s="67" t="str">
        <f aca="false">IF(OR($C523="",$D523=""),"",IFERROR($D523*INDEX(Mix_Eff,MATCH($C523,Mix_Code,0),2),""))</f>
        <v/>
      </c>
      <c r="H523" s="67" t="str">
        <f aca="false">IF(OR($C523="",$D523=""),"",IFERROR($D523*INDEX(Mix_Eff,MATCH($C523,Mix_Code,0),3),""))</f>
        <v/>
      </c>
      <c r="I523" s="67" t="str">
        <f aca="false">IF(OR($C523="",$D523=""),"",IFERROR($D523*INDEX(Mix_Eff,MATCH($C523,Mix_Code,0),4),""))</f>
        <v/>
      </c>
      <c r="J523" s="67" t="str">
        <f aca="false">IF(OR($C523="",$D523=""),"",IFERROR($D523*INDEX(Mix_Eff,MATCH($C523,Mix_Code,0),5),""))</f>
        <v/>
      </c>
      <c r="K523" s="63"/>
      <c r="L523" s="16" t="str">
        <f aca="false">IF(AND($A523="",$B523="",$C523="",$D523=""),"",IF($A523="","⚠ Date missing",IF($B523="","⚠ Site missing",IF(ISNA(MATCH($C523,Mix_Code,0)),"⚠ Unknown mix code",IF($D523="","⚠ Enter m3 produced",IF(COUNTIF(CI_Site,$B523)=0,"⚠ Site not set up in Current Inventory",IF($A523&gt;AsOfDate,"Future date – not yet deducted","OK")))))))</f>
        <v/>
      </c>
    </row>
    <row r="524" customFormat="false" ht="15" hidden="false" customHeight="false" outlineLevel="0" collapsed="false">
      <c r="A524" s="65"/>
      <c r="B524" s="63"/>
      <c r="C524" s="70"/>
      <c r="D524" s="66"/>
      <c r="E524" s="16" t="str">
        <f aca="false">IF($C524="","",IFERROR(INDEX(Mix_Desc,MATCH($C524,Mix_Code,0)),"⚠ Unknown mix code"))</f>
        <v/>
      </c>
      <c r="F524" s="67" t="str">
        <f aca="false">IF(OR($C524="",$D524=""),"",IFERROR($D524*INDEX(Mix_Eff,MATCH($C524,Mix_Code,0),1),""))</f>
        <v/>
      </c>
      <c r="G524" s="67" t="str">
        <f aca="false">IF(OR($C524="",$D524=""),"",IFERROR($D524*INDEX(Mix_Eff,MATCH($C524,Mix_Code,0),2),""))</f>
        <v/>
      </c>
      <c r="H524" s="67" t="str">
        <f aca="false">IF(OR($C524="",$D524=""),"",IFERROR($D524*INDEX(Mix_Eff,MATCH($C524,Mix_Code,0),3),""))</f>
        <v/>
      </c>
      <c r="I524" s="67" t="str">
        <f aca="false">IF(OR($C524="",$D524=""),"",IFERROR($D524*INDEX(Mix_Eff,MATCH($C524,Mix_Code,0),4),""))</f>
        <v/>
      </c>
      <c r="J524" s="67" t="str">
        <f aca="false">IF(OR($C524="",$D524=""),"",IFERROR($D524*INDEX(Mix_Eff,MATCH($C524,Mix_Code,0),5),""))</f>
        <v/>
      </c>
      <c r="K524" s="63"/>
      <c r="L524" s="16" t="str">
        <f aca="false">IF(AND($A524="",$B524="",$C524="",$D524=""),"",IF($A524="","⚠ Date missing",IF($B524="","⚠ Site missing",IF(ISNA(MATCH($C524,Mix_Code,0)),"⚠ Unknown mix code",IF($D524="","⚠ Enter m3 produced",IF(COUNTIF(CI_Site,$B524)=0,"⚠ Site not set up in Current Inventory",IF($A524&gt;AsOfDate,"Future date – not yet deducted","OK")))))))</f>
        <v/>
      </c>
    </row>
    <row r="525" customFormat="false" ht="15" hidden="false" customHeight="false" outlineLevel="0" collapsed="false">
      <c r="A525" s="65"/>
      <c r="B525" s="63"/>
      <c r="C525" s="70"/>
      <c r="D525" s="66"/>
      <c r="E525" s="16" t="str">
        <f aca="false">IF($C525="","",IFERROR(INDEX(Mix_Desc,MATCH($C525,Mix_Code,0)),"⚠ Unknown mix code"))</f>
        <v/>
      </c>
      <c r="F525" s="67" t="str">
        <f aca="false">IF(OR($C525="",$D525=""),"",IFERROR($D525*INDEX(Mix_Eff,MATCH($C525,Mix_Code,0),1),""))</f>
        <v/>
      </c>
      <c r="G525" s="67" t="str">
        <f aca="false">IF(OR($C525="",$D525=""),"",IFERROR($D525*INDEX(Mix_Eff,MATCH($C525,Mix_Code,0),2),""))</f>
        <v/>
      </c>
      <c r="H525" s="67" t="str">
        <f aca="false">IF(OR($C525="",$D525=""),"",IFERROR($D525*INDEX(Mix_Eff,MATCH($C525,Mix_Code,0),3),""))</f>
        <v/>
      </c>
      <c r="I525" s="67" t="str">
        <f aca="false">IF(OR($C525="",$D525=""),"",IFERROR($D525*INDEX(Mix_Eff,MATCH($C525,Mix_Code,0),4),""))</f>
        <v/>
      </c>
      <c r="J525" s="67" t="str">
        <f aca="false">IF(OR($C525="",$D525=""),"",IFERROR($D525*INDEX(Mix_Eff,MATCH($C525,Mix_Code,0),5),""))</f>
        <v/>
      </c>
      <c r="K525" s="63"/>
      <c r="L525" s="16" t="str">
        <f aca="false">IF(AND($A525="",$B525="",$C525="",$D525=""),"",IF($A525="","⚠ Date missing",IF($B525="","⚠ Site missing",IF(ISNA(MATCH($C525,Mix_Code,0)),"⚠ Unknown mix code",IF($D525="","⚠ Enter m3 produced",IF(COUNTIF(CI_Site,$B525)=0,"⚠ Site not set up in Current Inventory",IF($A525&gt;AsOfDate,"Future date – not yet deducted","OK")))))))</f>
        <v/>
      </c>
    </row>
    <row r="526" customFormat="false" ht="15" hidden="false" customHeight="false" outlineLevel="0" collapsed="false">
      <c r="A526" s="65"/>
      <c r="B526" s="63"/>
      <c r="C526" s="70"/>
      <c r="D526" s="66"/>
      <c r="E526" s="16" t="str">
        <f aca="false">IF($C526="","",IFERROR(INDEX(Mix_Desc,MATCH($C526,Mix_Code,0)),"⚠ Unknown mix code"))</f>
        <v/>
      </c>
      <c r="F526" s="67" t="str">
        <f aca="false">IF(OR($C526="",$D526=""),"",IFERROR($D526*INDEX(Mix_Eff,MATCH($C526,Mix_Code,0),1),""))</f>
        <v/>
      </c>
      <c r="G526" s="67" t="str">
        <f aca="false">IF(OR($C526="",$D526=""),"",IFERROR($D526*INDEX(Mix_Eff,MATCH($C526,Mix_Code,0),2),""))</f>
        <v/>
      </c>
      <c r="H526" s="67" t="str">
        <f aca="false">IF(OR($C526="",$D526=""),"",IFERROR($D526*INDEX(Mix_Eff,MATCH($C526,Mix_Code,0),3),""))</f>
        <v/>
      </c>
      <c r="I526" s="67" t="str">
        <f aca="false">IF(OR($C526="",$D526=""),"",IFERROR($D526*INDEX(Mix_Eff,MATCH($C526,Mix_Code,0),4),""))</f>
        <v/>
      </c>
      <c r="J526" s="67" t="str">
        <f aca="false">IF(OR($C526="",$D526=""),"",IFERROR($D526*INDEX(Mix_Eff,MATCH($C526,Mix_Code,0),5),""))</f>
        <v/>
      </c>
      <c r="K526" s="63"/>
      <c r="L526" s="16" t="str">
        <f aca="false">IF(AND($A526="",$B526="",$C526="",$D526=""),"",IF($A526="","⚠ Date missing",IF($B526="","⚠ Site missing",IF(ISNA(MATCH($C526,Mix_Code,0)),"⚠ Unknown mix code",IF($D526="","⚠ Enter m3 produced",IF(COUNTIF(CI_Site,$B526)=0,"⚠ Site not set up in Current Inventory",IF($A526&gt;AsOfDate,"Future date – not yet deducted","OK")))))))</f>
        <v/>
      </c>
    </row>
    <row r="527" customFormat="false" ht="15" hidden="false" customHeight="false" outlineLevel="0" collapsed="false">
      <c r="A527" s="65"/>
      <c r="B527" s="63"/>
      <c r="C527" s="70"/>
      <c r="D527" s="66"/>
      <c r="E527" s="16" t="str">
        <f aca="false">IF($C527="","",IFERROR(INDEX(Mix_Desc,MATCH($C527,Mix_Code,0)),"⚠ Unknown mix code"))</f>
        <v/>
      </c>
      <c r="F527" s="67" t="str">
        <f aca="false">IF(OR($C527="",$D527=""),"",IFERROR($D527*INDEX(Mix_Eff,MATCH($C527,Mix_Code,0),1),""))</f>
        <v/>
      </c>
      <c r="G527" s="67" t="str">
        <f aca="false">IF(OR($C527="",$D527=""),"",IFERROR($D527*INDEX(Mix_Eff,MATCH($C527,Mix_Code,0),2),""))</f>
        <v/>
      </c>
      <c r="H527" s="67" t="str">
        <f aca="false">IF(OR($C527="",$D527=""),"",IFERROR($D527*INDEX(Mix_Eff,MATCH($C527,Mix_Code,0),3),""))</f>
        <v/>
      </c>
      <c r="I527" s="67" t="str">
        <f aca="false">IF(OR($C527="",$D527=""),"",IFERROR($D527*INDEX(Mix_Eff,MATCH($C527,Mix_Code,0),4),""))</f>
        <v/>
      </c>
      <c r="J527" s="67" t="str">
        <f aca="false">IF(OR($C527="",$D527=""),"",IFERROR($D527*INDEX(Mix_Eff,MATCH($C527,Mix_Code,0),5),""))</f>
        <v/>
      </c>
      <c r="K527" s="63"/>
      <c r="L527" s="16" t="str">
        <f aca="false">IF(AND($A527="",$B527="",$C527="",$D527=""),"",IF($A527="","⚠ Date missing",IF($B527="","⚠ Site missing",IF(ISNA(MATCH($C527,Mix_Code,0)),"⚠ Unknown mix code",IF($D527="","⚠ Enter m3 produced",IF(COUNTIF(CI_Site,$B527)=0,"⚠ Site not set up in Current Inventory",IF($A527&gt;AsOfDate,"Future date – not yet deducted","OK")))))))</f>
        <v/>
      </c>
    </row>
    <row r="528" customFormat="false" ht="15" hidden="false" customHeight="false" outlineLevel="0" collapsed="false">
      <c r="A528" s="65"/>
      <c r="B528" s="63"/>
      <c r="C528" s="70"/>
      <c r="D528" s="66"/>
      <c r="E528" s="16" t="str">
        <f aca="false">IF($C528="","",IFERROR(INDEX(Mix_Desc,MATCH($C528,Mix_Code,0)),"⚠ Unknown mix code"))</f>
        <v/>
      </c>
      <c r="F528" s="67" t="str">
        <f aca="false">IF(OR($C528="",$D528=""),"",IFERROR($D528*INDEX(Mix_Eff,MATCH($C528,Mix_Code,0),1),""))</f>
        <v/>
      </c>
      <c r="G528" s="67" t="str">
        <f aca="false">IF(OR($C528="",$D528=""),"",IFERROR($D528*INDEX(Mix_Eff,MATCH($C528,Mix_Code,0),2),""))</f>
        <v/>
      </c>
      <c r="H528" s="67" t="str">
        <f aca="false">IF(OR($C528="",$D528=""),"",IFERROR($D528*INDEX(Mix_Eff,MATCH($C528,Mix_Code,0),3),""))</f>
        <v/>
      </c>
      <c r="I528" s="67" t="str">
        <f aca="false">IF(OR($C528="",$D528=""),"",IFERROR($D528*INDEX(Mix_Eff,MATCH($C528,Mix_Code,0),4),""))</f>
        <v/>
      </c>
      <c r="J528" s="67" t="str">
        <f aca="false">IF(OR($C528="",$D528=""),"",IFERROR($D528*INDEX(Mix_Eff,MATCH($C528,Mix_Code,0),5),""))</f>
        <v/>
      </c>
      <c r="K528" s="63"/>
      <c r="L528" s="16" t="str">
        <f aca="false">IF(AND($A528="",$B528="",$C528="",$D528=""),"",IF($A528="","⚠ Date missing",IF($B528="","⚠ Site missing",IF(ISNA(MATCH($C528,Mix_Code,0)),"⚠ Unknown mix code",IF($D528="","⚠ Enter m3 produced",IF(COUNTIF(CI_Site,$B528)=0,"⚠ Site not set up in Current Inventory",IF($A528&gt;AsOfDate,"Future date – not yet deducted","OK")))))))</f>
        <v/>
      </c>
    </row>
    <row r="529" customFormat="false" ht="15" hidden="false" customHeight="false" outlineLevel="0" collapsed="false">
      <c r="A529" s="65"/>
      <c r="B529" s="63"/>
      <c r="C529" s="70"/>
      <c r="D529" s="66"/>
      <c r="E529" s="16" t="str">
        <f aca="false">IF($C529="","",IFERROR(INDEX(Mix_Desc,MATCH($C529,Mix_Code,0)),"⚠ Unknown mix code"))</f>
        <v/>
      </c>
      <c r="F529" s="67" t="str">
        <f aca="false">IF(OR($C529="",$D529=""),"",IFERROR($D529*INDEX(Mix_Eff,MATCH($C529,Mix_Code,0),1),""))</f>
        <v/>
      </c>
      <c r="G529" s="67" t="str">
        <f aca="false">IF(OR($C529="",$D529=""),"",IFERROR($D529*INDEX(Mix_Eff,MATCH($C529,Mix_Code,0),2),""))</f>
        <v/>
      </c>
      <c r="H529" s="67" t="str">
        <f aca="false">IF(OR($C529="",$D529=""),"",IFERROR($D529*INDEX(Mix_Eff,MATCH($C529,Mix_Code,0),3),""))</f>
        <v/>
      </c>
      <c r="I529" s="67" t="str">
        <f aca="false">IF(OR($C529="",$D529=""),"",IFERROR($D529*INDEX(Mix_Eff,MATCH($C529,Mix_Code,0),4),""))</f>
        <v/>
      </c>
      <c r="J529" s="67" t="str">
        <f aca="false">IF(OR($C529="",$D529=""),"",IFERROR($D529*INDEX(Mix_Eff,MATCH($C529,Mix_Code,0),5),""))</f>
        <v/>
      </c>
      <c r="K529" s="63"/>
      <c r="L529" s="16" t="str">
        <f aca="false">IF(AND($A529="",$B529="",$C529="",$D529=""),"",IF($A529="","⚠ Date missing",IF($B529="","⚠ Site missing",IF(ISNA(MATCH($C529,Mix_Code,0)),"⚠ Unknown mix code",IF($D529="","⚠ Enter m3 produced",IF(COUNTIF(CI_Site,$B529)=0,"⚠ Site not set up in Current Inventory",IF($A529&gt;AsOfDate,"Future date – not yet deducted","OK")))))))</f>
        <v/>
      </c>
    </row>
    <row r="530" customFormat="false" ht="15" hidden="false" customHeight="false" outlineLevel="0" collapsed="false">
      <c r="A530" s="65"/>
      <c r="B530" s="63"/>
      <c r="C530" s="70"/>
      <c r="D530" s="66"/>
      <c r="E530" s="16" t="str">
        <f aca="false">IF($C530="","",IFERROR(INDEX(Mix_Desc,MATCH($C530,Mix_Code,0)),"⚠ Unknown mix code"))</f>
        <v/>
      </c>
      <c r="F530" s="67" t="str">
        <f aca="false">IF(OR($C530="",$D530=""),"",IFERROR($D530*INDEX(Mix_Eff,MATCH($C530,Mix_Code,0),1),""))</f>
        <v/>
      </c>
      <c r="G530" s="67" t="str">
        <f aca="false">IF(OR($C530="",$D530=""),"",IFERROR($D530*INDEX(Mix_Eff,MATCH($C530,Mix_Code,0),2),""))</f>
        <v/>
      </c>
      <c r="H530" s="67" t="str">
        <f aca="false">IF(OR($C530="",$D530=""),"",IFERROR($D530*INDEX(Mix_Eff,MATCH($C530,Mix_Code,0),3),""))</f>
        <v/>
      </c>
      <c r="I530" s="67" t="str">
        <f aca="false">IF(OR($C530="",$D530=""),"",IFERROR($D530*INDEX(Mix_Eff,MATCH($C530,Mix_Code,0),4),""))</f>
        <v/>
      </c>
      <c r="J530" s="67" t="str">
        <f aca="false">IF(OR($C530="",$D530=""),"",IFERROR($D530*INDEX(Mix_Eff,MATCH($C530,Mix_Code,0),5),""))</f>
        <v/>
      </c>
      <c r="K530" s="63"/>
      <c r="L530" s="16" t="str">
        <f aca="false">IF(AND($A530="",$B530="",$C530="",$D530=""),"",IF($A530="","⚠ Date missing",IF($B530="","⚠ Site missing",IF(ISNA(MATCH($C530,Mix_Code,0)),"⚠ Unknown mix code",IF($D530="","⚠ Enter m3 produced",IF(COUNTIF(CI_Site,$B530)=0,"⚠ Site not set up in Current Inventory",IF($A530&gt;AsOfDate,"Future date – not yet deducted","OK")))))))</f>
        <v/>
      </c>
    </row>
    <row r="531" customFormat="false" ht="15" hidden="false" customHeight="false" outlineLevel="0" collapsed="false">
      <c r="A531" s="65"/>
      <c r="B531" s="63"/>
      <c r="C531" s="70"/>
      <c r="D531" s="66"/>
      <c r="E531" s="16" t="str">
        <f aca="false">IF($C531="","",IFERROR(INDEX(Mix_Desc,MATCH($C531,Mix_Code,0)),"⚠ Unknown mix code"))</f>
        <v/>
      </c>
      <c r="F531" s="67" t="str">
        <f aca="false">IF(OR($C531="",$D531=""),"",IFERROR($D531*INDEX(Mix_Eff,MATCH($C531,Mix_Code,0),1),""))</f>
        <v/>
      </c>
      <c r="G531" s="67" t="str">
        <f aca="false">IF(OR($C531="",$D531=""),"",IFERROR($D531*INDEX(Mix_Eff,MATCH($C531,Mix_Code,0),2),""))</f>
        <v/>
      </c>
      <c r="H531" s="67" t="str">
        <f aca="false">IF(OR($C531="",$D531=""),"",IFERROR($D531*INDEX(Mix_Eff,MATCH($C531,Mix_Code,0),3),""))</f>
        <v/>
      </c>
      <c r="I531" s="67" t="str">
        <f aca="false">IF(OR($C531="",$D531=""),"",IFERROR($D531*INDEX(Mix_Eff,MATCH($C531,Mix_Code,0),4),""))</f>
        <v/>
      </c>
      <c r="J531" s="67" t="str">
        <f aca="false">IF(OR($C531="",$D531=""),"",IFERROR($D531*INDEX(Mix_Eff,MATCH($C531,Mix_Code,0),5),""))</f>
        <v/>
      </c>
      <c r="K531" s="63"/>
      <c r="L531" s="16" t="str">
        <f aca="false">IF(AND($A531="",$B531="",$C531="",$D531=""),"",IF($A531="","⚠ Date missing",IF($B531="","⚠ Site missing",IF(ISNA(MATCH($C531,Mix_Code,0)),"⚠ Unknown mix code",IF($D531="","⚠ Enter m3 produced",IF(COUNTIF(CI_Site,$B531)=0,"⚠ Site not set up in Current Inventory",IF($A531&gt;AsOfDate,"Future date – not yet deducted","OK")))))))</f>
        <v/>
      </c>
    </row>
    <row r="532" customFormat="false" ht="15" hidden="false" customHeight="false" outlineLevel="0" collapsed="false">
      <c r="A532" s="65"/>
      <c r="B532" s="63"/>
      <c r="C532" s="70"/>
      <c r="D532" s="66"/>
      <c r="E532" s="16" t="str">
        <f aca="false">IF($C532="","",IFERROR(INDEX(Mix_Desc,MATCH($C532,Mix_Code,0)),"⚠ Unknown mix code"))</f>
        <v/>
      </c>
      <c r="F532" s="67" t="str">
        <f aca="false">IF(OR($C532="",$D532=""),"",IFERROR($D532*INDEX(Mix_Eff,MATCH($C532,Mix_Code,0),1),""))</f>
        <v/>
      </c>
      <c r="G532" s="67" t="str">
        <f aca="false">IF(OR($C532="",$D532=""),"",IFERROR($D532*INDEX(Mix_Eff,MATCH($C532,Mix_Code,0),2),""))</f>
        <v/>
      </c>
      <c r="H532" s="67" t="str">
        <f aca="false">IF(OR($C532="",$D532=""),"",IFERROR($D532*INDEX(Mix_Eff,MATCH($C532,Mix_Code,0),3),""))</f>
        <v/>
      </c>
      <c r="I532" s="67" t="str">
        <f aca="false">IF(OR($C532="",$D532=""),"",IFERROR($D532*INDEX(Mix_Eff,MATCH($C532,Mix_Code,0),4),""))</f>
        <v/>
      </c>
      <c r="J532" s="67" t="str">
        <f aca="false">IF(OR($C532="",$D532=""),"",IFERROR($D532*INDEX(Mix_Eff,MATCH($C532,Mix_Code,0),5),""))</f>
        <v/>
      </c>
      <c r="K532" s="63"/>
      <c r="L532" s="16" t="str">
        <f aca="false">IF(AND($A532="",$B532="",$C532="",$D532=""),"",IF($A532="","⚠ Date missing",IF($B532="","⚠ Site missing",IF(ISNA(MATCH($C532,Mix_Code,0)),"⚠ Unknown mix code",IF($D532="","⚠ Enter m3 produced",IF(COUNTIF(CI_Site,$B532)=0,"⚠ Site not set up in Current Inventory",IF($A532&gt;AsOfDate,"Future date – not yet deducted","OK")))))))</f>
        <v/>
      </c>
    </row>
    <row r="533" customFormat="false" ht="15" hidden="false" customHeight="false" outlineLevel="0" collapsed="false">
      <c r="A533" s="65"/>
      <c r="B533" s="63"/>
      <c r="C533" s="70"/>
      <c r="D533" s="66"/>
      <c r="E533" s="16" t="str">
        <f aca="false">IF($C533="","",IFERROR(INDEX(Mix_Desc,MATCH($C533,Mix_Code,0)),"⚠ Unknown mix code"))</f>
        <v/>
      </c>
      <c r="F533" s="67" t="str">
        <f aca="false">IF(OR($C533="",$D533=""),"",IFERROR($D533*INDEX(Mix_Eff,MATCH($C533,Mix_Code,0),1),""))</f>
        <v/>
      </c>
      <c r="G533" s="67" t="str">
        <f aca="false">IF(OR($C533="",$D533=""),"",IFERROR($D533*INDEX(Mix_Eff,MATCH($C533,Mix_Code,0),2),""))</f>
        <v/>
      </c>
      <c r="H533" s="67" t="str">
        <f aca="false">IF(OR($C533="",$D533=""),"",IFERROR($D533*INDEX(Mix_Eff,MATCH($C533,Mix_Code,0),3),""))</f>
        <v/>
      </c>
      <c r="I533" s="67" t="str">
        <f aca="false">IF(OR($C533="",$D533=""),"",IFERROR($D533*INDEX(Mix_Eff,MATCH($C533,Mix_Code,0),4),""))</f>
        <v/>
      </c>
      <c r="J533" s="67" t="str">
        <f aca="false">IF(OR($C533="",$D533=""),"",IFERROR($D533*INDEX(Mix_Eff,MATCH($C533,Mix_Code,0),5),""))</f>
        <v/>
      </c>
      <c r="K533" s="63"/>
      <c r="L533" s="16" t="str">
        <f aca="false">IF(AND($A533="",$B533="",$C533="",$D533=""),"",IF($A533="","⚠ Date missing",IF($B533="","⚠ Site missing",IF(ISNA(MATCH($C533,Mix_Code,0)),"⚠ Unknown mix code",IF($D533="","⚠ Enter m3 produced",IF(COUNTIF(CI_Site,$B533)=0,"⚠ Site not set up in Current Inventory",IF($A533&gt;AsOfDate,"Future date – not yet deducted","OK")))))))</f>
        <v/>
      </c>
    </row>
    <row r="534" customFormat="false" ht="15" hidden="false" customHeight="false" outlineLevel="0" collapsed="false">
      <c r="A534" s="65"/>
      <c r="B534" s="63"/>
      <c r="C534" s="70"/>
      <c r="D534" s="66"/>
      <c r="E534" s="16" t="str">
        <f aca="false">IF($C534="","",IFERROR(INDEX(Mix_Desc,MATCH($C534,Mix_Code,0)),"⚠ Unknown mix code"))</f>
        <v/>
      </c>
      <c r="F534" s="67" t="str">
        <f aca="false">IF(OR($C534="",$D534=""),"",IFERROR($D534*INDEX(Mix_Eff,MATCH($C534,Mix_Code,0),1),""))</f>
        <v/>
      </c>
      <c r="G534" s="67" t="str">
        <f aca="false">IF(OR($C534="",$D534=""),"",IFERROR($D534*INDEX(Mix_Eff,MATCH($C534,Mix_Code,0),2),""))</f>
        <v/>
      </c>
      <c r="H534" s="67" t="str">
        <f aca="false">IF(OR($C534="",$D534=""),"",IFERROR($D534*INDEX(Mix_Eff,MATCH($C534,Mix_Code,0),3),""))</f>
        <v/>
      </c>
      <c r="I534" s="67" t="str">
        <f aca="false">IF(OR($C534="",$D534=""),"",IFERROR($D534*INDEX(Mix_Eff,MATCH($C534,Mix_Code,0),4),""))</f>
        <v/>
      </c>
      <c r="J534" s="67" t="str">
        <f aca="false">IF(OR($C534="",$D534=""),"",IFERROR($D534*INDEX(Mix_Eff,MATCH($C534,Mix_Code,0),5),""))</f>
        <v/>
      </c>
      <c r="K534" s="63"/>
      <c r="L534" s="16" t="str">
        <f aca="false">IF(AND($A534="",$B534="",$C534="",$D534=""),"",IF($A534="","⚠ Date missing",IF($B534="","⚠ Site missing",IF(ISNA(MATCH($C534,Mix_Code,0)),"⚠ Unknown mix code",IF($D534="","⚠ Enter m3 produced",IF(COUNTIF(CI_Site,$B534)=0,"⚠ Site not set up in Current Inventory",IF($A534&gt;AsOfDate,"Future date – not yet deducted","OK")))))))</f>
        <v/>
      </c>
    </row>
    <row r="535" customFormat="false" ht="15" hidden="false" customHeight="false" outlineLevel="0" collapsed="false">
      <c r="A535" s="65"/>
      <c r="B535" s="63"/>
      <c r="C535" s="70"/>
      <c r="D535" s="66"/>
      <c r="E535" s="16" t="str">
        <f aca="false">IF($C535="","",IFERROR(INDEX(Mix_Desc,MATCH($C535,Mix_Code,0)),"⚠ Unknown mix code"))</f>
        <v/>
      </c>
      <c r="F535" s="67" t="str">
        <f aca="false">IF(OR($C535="",$D535=""),"",IFERROR($D535*INDEX(Mix_Eff,MATCH($C535,Mix_Code,0),1),""))</f>
        <v/>
      </c>
      <c r="G535" s="67" t="str">
        <f aca="false">IF(OR($C535="",$D535=""),"",IFERROR($D535*INDEX(Mix_Eff,MATCH($C535,Mix_Code,0),2),""))</f>
        <v/>
      </c>
      <c r="H535" s="67" t="str">
        <f aca="false">IF(OR($C535="",$D535=""),"",IFERROR($D535*INDEX(Mix_Eff,MATCH($C535,Mix_Code,0),3),""))</f>
        <v/>
      </c>
      <c r="I535" s="67" t="str">
        <f aca="false">IF(OR($C535="",$D535=""),"",IFERROR($D535*INDEX(Mix_Eff,MATCH($C535,Mix_Code,0),4),""))</f>
        <v/>
      </c>
      <c r="J535" s="67" t="str">
        <f aca="false">IF(OR($C535="",$D535=""),"",IFERROR($D535*INDEX(Mix_Eff,MATCH($C535,Mix_Code,0),5),""))</f>
        <v/>
      </c>
      <c r="K535" s="63"/>
      <c r="L535" s="16" t="str">
        <f aca="false">IF(AND($A535="",$B535="",$C535="",$D535=""),"",IF($A535="","⚠ Date missing",IF($B535="","⚠ Site missing",IF(ISNA(MATCH($C535,Mix_Code,0)),"⚠ Unknown mix code",IF($D535="","⚠ Enter m3 produced",IF(COUNTIF(CI_Site,$B535)=0,"⚠ Site not set up in Current Inventory",IF($A535&gt;AsOfDate,"Future date – not yet deducted","OK")))))))</f>
        <v/>
      </c>
    </row>
    <row r="536" customFormat="false" ht="15" hidden="false" customHeight="false" outlineLevel="0" collapsed="false">
      <c r="A536" s="65"/>
      <c r="B536" s="63"/>
      <c r="C536" s="70"/>
      <c r="D536" s="66"/>
      <c r="E536" s="16" t="str">
        <f aca="false">IF($C536="","",IFERROR(INDEX(Mix_Desc,MATCH($C536,Mix_Code,0)),"⚠ Unknown mix code"))</f>
        <v/>
      </c>
      <c r="F536" s="67" t="str">
        <f aca="false">IF(OR($C536="",$D536=""),"",IFERROR($D536*INDEX(Mix_Eff,MATCH($C536,Mix_Code,0),1),""))</f>
        <v/>
      </c>
      <c r="G536" s="67" t="str">
        <f aca="false">IF(OR($C536="",$D536=""),"",IFERROR($D536*INDEX(Mix_Eff,MATCH($C536,Mix_Code,0),2),""))</f>
        <v/>
      </c>
      <c r="H536" s="67" t="str">
        <f aca="false">IF(OR($C536="",$D536=""),"",IFERROR($D536*INDEX(Mix_Eff,MATCH($C536,Mix_Code,0),3),""))</f>
        <v/>
      </c>
      <c r="I536" s="67" t="str">
        <f aca="false">IF(OR($C536="",$D536=""),"",IFERROR($D536*INDEX(Mix_Eff,MATCH($C536,Mix_Code,0),4),""))</f>
        <v/>
      </c>
      <c r="J536" s="67" t="str">
        <f aca="false">IF(OR($C536="",$D536=""),"",IFERROR($D536*INDEX(Mix_Eff,MATCH($C536,Mix_Code,0),5),""))</f>
        <v/>
      </c>
      <c r="K536" s="63"/>
      <c r="L536" s="16" t="str">
        <f aca="false">IF(AND($A536="",$B536="",$C536="",$D536=""),"",IF($A536="","⚠ Date missing",IF($B536="","⚠ Site missing",IF(ISNA(MATCH($C536,Mix_Code,0)),"⚠ Unknown mix code",IF($D536="","⚠ Enter m3 produced",IF(COUNTIF(CI_Site,$B536)=0,"⚠ Site not set up in Current Inventory",IF($A536&gt;AsOfDate,"Future date – not yet deducted","OK")))))))</f>
        <v/>
      </c>
    </row>
    <row r="537" customFormat="false" ht="15" hidden="false" customHeight="false" outlineLevel="0" collapsed="false">
      <c r="A537" s="65"/>
      <c r="B537" s="63"/>
      <c r="C537" s="70"/>
      <c r="D537" s="66"/>
      <c r="E537" s="16" t="str">
        <f aca="false">IF($C537="","",IFERROR(INDEX(Mix_Desc,MATCH($C537,Mix_Code,0)),"⚠ Unknown mix code"))</f>
        <v/>
      </c>
      <c r="F537" s="67" t="str">
        <f aca="false">IF(OR($C537="",$D537=""),"",IFERROR($D537*INDEX(Mix_Eff,MATCH($C537,Mix_Code,0),1),""))</f>
        <v/>
      </c>
      <c r="G537" s="67" t="str">
        <f aca="false">IF(OR($C537="",$D537=""),"",IFERROR($D537*INDEX(Mix_Eff,MATCH($C537,Mix_Code,0),2),""))</f>
        <v/>
      </c>
      <c r="H537" s="67" t="str">
        <f aca="false">IF(OR($C537="",$D537=""),"",IFERROR($D537*INDEX(Mix_Eff,MATCH($C537,Mix_Code,0),3),""))</f>
        <v/>
      </c>
      <c r="I537" s="67" t="str">
        <f aca="false">IF(OR($C537="",$D537=""),"",IFERROR($D537*INDEX(Mix_Eff,MATCH($C537,Mix_Code,0),4),""))</f>
        <v/>
      </c>
      <c r="J537" s="67" t="str">
        <f aca="false">IF(OR($C537="",$D537=""),"",IFERROR($D537*INDEX(Mix_Eff,MATCH($C537,Mix_Code,0),5),""))</f>
        <v/>
      </c>
      <c r="K537" s="63"/>
      <c r="L537" s="16" t="str">
        <f aca="false">IF(AND($A537="",$B537="",$C537="",$D537=""),"",IF($A537="","⚠ Date missing",IF($B537="","⚠ Site missing",IF(ISNA(MATCH($C537,Mix_Code,0)),"⚠ Unknown mix code",IF($D537="","⚠ Enter m3 produced",IF(COUNTIF(CI_Site,$B537)=0,"⚠ Site not set up in Current Inventory",IF($A537&gt;AsOfDate,"Future date – not yet deducted","OK")))))))</f>
        <v/>
      </c>
    </row>
    <row r="538" customFormat="false" ht="15" hidden="false" customHeight="false" outlineLevel="0" collapsed="false">
      <c r="A538" s="65"/>
      <c r="B538" s="63"/>
      <c r="C538" s="70"/>
      <c r="D538" s="66"/>
      <c r="E538" s="16" t="str">
        <f aca="false">IF($C538="","",IFERROR(INDEX(Mix_Desc,MATCH($C538,Mix_Code,0)),"⚠ Unknown mix code"))</f>
        <v/>
      </c>
      <c r="F538" s="67" t="str">
        <f aca="false">IF(OR($C538="",$D538=""),"",IFERROR($D538*INDEX(Mix_Eff,MATCH($C538,Mix_Code,0),1),""))</f>
        <v/>
      </c>
      <c r="G538" s="67" t="str">
        <f aca="false">IF(OR($C538="",$D538=""),"",IFERROR($D538*INDEX(Mix_Eff,MATCH($C538,Mix_Code,0),2),""))</f>
        <v/>
      </c>
      <c r="H538" s="67" t="str">
        <f aca="false">IF(OR($C538="",$D538=""),"",IFERROR($D538*INDEX(Mix_Eff,MATCH($C538,Mix_Code,0),3),""))</f>
        <v/>
      </c>
      <c r="I538" s="67" t="str">
        <f aca="false">IF(OR($C538="",$D538=""),"",IFERROR($D538*INDEX(Mix_Eff,MATCH($C538,Mix_Code,0),4),""))</f>
        <v/>
      </c>
      <c r="J538" s="67" t="str">
        <f aca="false">IF(OR($C538="",$D538=""),"",IFERROR($D538*INDEX(Mix_Eff,MATCH($C538,Mix_Code,0),5),""))</f>
        <v/>
      </c>
      <c r="K538" s="63"/>
      <c r="L538" s="16" t="str">
        <f aca="false">IF(AND($A538="",$B538="",$C538="",$D538=""),"",IF($A538="","⚠ Date missing",IF($B538="","⚠ Site missing",IF(ISNA(MATCH($C538,Mix_Code,0)),"⚠ Unknown mix code",IF($D538="","⚠ Enter m3 produced",IF(COUNTIF(CI_Site,$B538)=0,"⚠ Site not set up in Current Inventory",IF($A538&gt;AsOfDate,"Future date – not yet deducted","OK")))))))</f>
        <v/>
      </c>
    </row>
    <row r="539" customFormat="false" ht="15" hidden="false" customHeight="false" outlineLevel="0" collapsed="false">
      <c r="A539" s="65"/>
      <c r="B539" s="63"/>
      <c r="C539" s="70"/>
      <c r="D539" s="66"/>
      <c r="E539" s="16" t="str">
        <f aca="false">IF($C539="","",IFERROR(INDEX(Mix_Desc,MATCH($C539,Mix_Code,0)),"⚠ Unknown mix code"))</f>
        <v/>
      </c>
      <c r="F539" s="67" t="str">
        <f aca="false">IF(OR($C539="",$D539=""),"",IFERROR($D539*INDEX(Mix_Eff,MATCH($C539,Mix_Code,0),1),""))</f>
        <v/>
      </c>
      <c r="G539" s="67" t="str">
        <f aca="false">IF(OR($C539="",$D539=""),"",IFERROR($D539*INDEX(Mix_Eff,MATCH($C539,Mix_Code,0),2),""))</f>
        <v/>
      </c>
      <c r="H539" s="67" t="str">
        <f aca="false">IF(OR($C539="",$D539=""),"",IFERROR($D539*INDEX(Mix_Eff,MATCH($C539,Mix_Code,0),3),""))</f>
        <v/>
      </c>
      <c r="I539" s="67" t="str">
        <f aca="false">IF(OR($C539="",$D539=""),"",IFERROR($D539*INDEX(Mix_Eff,MATCH($C539,Mix_Code,0),4),""))</f>
        <v/>
      </c>
      <c r="J539" s="67" t="str">
        <f aca="false">IF(OR($C539="",$D539=""),"",IFERROR($D539*INDEX(Mix_Eff,MATCH($C539,Mix_Code,0),5),""))</f>
        <v/>
      </c>
      <c r="K539" s="63"/>
      <c r="L539" s="16" t="str">
        <f aca="false">IF(AND($A539="",$B539="",$C539="",$D539=""),"",IF($A539="","⚠ Date missing",IF($B539="","⚠ Site missing",IF(ISNA(MATCH($C539,Mix_Code,0)),"⚠ Unknown mix code",IF($D539="","⚠ Enter m3 produced",IF(COUNTIF(CI_Site,$B539)=0,"⚠ Site not set up in Current Inventory",IF($A539&gt;AsOfDate,"Future date – not yet deducted","OK")))))))</f>
        <v/>
      </c>
    </row>
    <row r="540" customFormat="false" ht="15" hidden="false" customHeight="false" outlineLevel="0" collapsed="false">
      <c r="A540" s="65"/>
      <c r="B540" s="63"/>
      <c r="C540" s="70"/>
      <c r="D540" s="66"/>
      <c r="E540" s="16" t="str">
        <f aca="false">IF($C540="","",IFERROR(INDEX(Mix_Desc,MATCH($C540,Mix_Code,0)),"⚠ Unknown mix code"))</f>
        <v/>
      </c>
      <c r="F540" s="67" t="str">
        <f aca="false">IF(OR($C540="",$D540=""),"",IFERROR($D540*INDEX(Mix_Eff,MATCH($C540,Mix_Code,0),1),""))</f>
        <v/>
      </c>
      <c r="G540" s="67" t="str">
        <f aca="false">IF(OR($C540="",$D540=""),"",IFERROR($D540*INDEX(Mix_Eff,MATCH($C540,Mix_Code,0),2),""))</f>
        <v/>
      </c>
      <c r="H540" s="67" t="str">
        <f aca="false">IF(OR($C540="",$D540=""),"",IFERROR($D540*INDEX(Mix_Eff,MATCH($C540,Mix_Code,0),3),""))</f>
        <v/>
      </c>
      <c r="I540" s="67" t="str">
        <f aca="false">IF(OR($C540="",$D540=""),"",IFERROR($D540*INDEX(Mix_Eff,MATCH($C540,Mix_Code,0),4),""))</f>
        <v/>
      </c>
      <c r="J540" s="67" t="str">
        <f aca="false">IF(OR($C540="",$D540=""),"",IFERROR($D540*INDEX(Mix_Eff,MATCH($C540,Mix_Code,0),5),""))</f>
        <v/>
      </c>
      <c r="K540" s="63"/>
      <c r="L540" s="16" t="str">
        <f aca="false">IF(AND($A540="",$B540="",$C540="",$D540=""),"",IF($A540="","⚠ Date missing",IF($B540="","⚠ Site missing",IF(ISNA(MATCH($C540,Mix_Code,0)),"⚠ Unknown mix code",IF($D540="","⚠ Enter m3 produced",IF(COUNTIF(CI_Site,$B540)=0,"⚠ Site not set up in Current Inventory",IF($A540&gt;AsOfDate,"Future date – not yet deducted","OK")))))))</f>
        <v/>
      </c>
    </row>
    <row r="541" customFormat="false" ht="15" hidden="false" customHeight="false" outlineLevel="0" collapsed="false">
      <c r="A541" s="65"/>
      <c r="B541" s="63"/>
      <c r="C541" s="70"/>
      <c r="D541" s="66"/>
      <c r="E541" s="16" t="str">
        <f aca="false">IF($C541="","",IFERROR(INDEX(Mix_Desc,MATCH($C541,Mix_Code,0)),"⚠ Unknown mix code"))</f>
        <v/>
      </c>
      <c r="F541" s="67" t="str">
        <f aca="false">IF(OR($C541="",$D541=""),"",IFERROR($D541*INDEX(Mix_Eff,MATCH($C541,Mix_Code,0),1),""))</f>
        <v/>
      </c>
      <c r="G541" s="67" t="str">
        <f aca="false">IF(OR($C541="",$D541=""),"",IFERROR($D541*INDEX(Mix_Eff,MATCH($C541,Mix_Code,0),2),""))</f>
        <v/>
      </c>
      <c r="H541" s="67" t="str">
        <f aca="false">IF(OR($C541="",$D541=""),"",IFERROR($D541*INDEX(Mix_Eff,MATCH($C541,Mix_Code,0),3),""))</f>
        <v/>
      </c>
      <c r="I541" s="67" t="str">
        <f aca="false">IF(OR($C541="",$D541=""),"",IFERROR($D541*INDEX(Mix_Eff,MATCH($C541,Mix_Code,0),4),""))</f>
        <v/>
      </c>
      <c r="J541" s="67" t="str">
        <f aca="false">IF(OR($C541="",$D541=""),"",IFERROR($D541*INDEX(Mix_Eff,MATCH($C541,Mix_Code,0),5),""))</f>
        <v/>
      </c>
      <c r="K541" s="63"/>
      <c r="L541" s="16" t="str">
        <f aca="false">IF(AND($A541="",$B541="",$C541="",$D541=""),"",IF($A541="","⚠ Date missing",IF($B541="","⚠ Site missing",IF(ISNA(MATCH($C541,Mix_Code,0)),"⚠ Unknown mix code",IF($D541="","⚠ Enter m3 produced",IF(COUNTIF(CI_Site,$B541)=0,"⚠ Site not set up in Current Inventory",IF($A541&gt;AsOfDate,"Future date – not yet deducted","OK")))))))</f>
        <v/>
      </c>
    </row>
    <row r="542" customFormat="false" ht="15" hidden="false" customHeight="false" outlineLevel="0" collapsed="false">
      <c r="A542" s="65"/>
      <c r="B542" s="63"/>
      <c r="C542" s="70"/>
      <c r="D542" s="66"/>
      <c r="E542" s="16" t="str">
        <f aca="false">IF($C542="","",IFERROR(INDEX(Mix_Desc,MATCH($C542,Mix_Code,0)),"⚠ Unknown mix code"))</f>
        <v/>
      </c>
      <c r="F542" s="67" t="str">
        <f aca="false">IF(OR($C542="",$D542=""),"",IFERROR($D542*INDEX(Mix_Eff,MATCH($C542,Mix_Code,0),1),""))</f>
        <v/>
      </c>
      <c r="G542" s="67" t="str">
        <f aca="false">IF(OR($C542="",$D542=""),"",IFERROR($D542*INDEX(Mix_Eff,MATCH($C542,Mix_Code,0),2),""))</f>
        <v/>
      </c>
      <c r="H542" s="67" t="str">
        <f aca="false">IF(OR($C542="",$D542=""),"",IFERROR($D542*INDEX(Mix_Eff,MATCH($C542,Mix_Code,0),3),""))</f>
        <v/>
      </c>
      <c r="I542" s="67" t="str">
        <f aca="false">IF(OR($C542="",$D542=""),"",IFERROR($D542*INDEX(Mix_Eff,MATCH($C542,Mix_Code,0),4),""))</f>
        <v/>
      </c>
      <c r="J542" s="67" t="str">
        <f aca="false">IF(OR($C542="",$D542=""),"",IFERROR($D542*INDEX(Mix_Eff,MATCH($C542,Mix_Code,0),5),""))</f>
        <v/>
      </c>
      <c r="K542" s="63"/>
      <c r="L542" s="16" t="str">
        <f aca="false">IF(AND($A542="",$B542="",$C542="",$D542=""),"",IF($A542="","⚠ Date missing",IF($B542="","⚠ Site missing",IF(ISNA(MATCH($C542,Mix_Code,0)),"⚠ Unknown mix code",IF($D542="","⚠ Enter m3 produced",IF(COUNTIF(CI_Site,$B542)=0,"⚠ Site not set up in Current Inventory",IF($A542&gt;AsOfDate,"Future date – not yet deducted","OK")))))))</f>
        <v/>
      </c>
    </row>
    <row r="543" customFormat="false" ht="15" hidden="false" customHeight="false" outlineLevel="0" collapsed="false">
      <c r="A543" s="65"/>
      <c r="B543" s="63"/>
      <c r="C543" s="70"/>
      <c r="D543" s="66"/>
      <c r="E543" s="16" t="str">
        <f aca="false">IF($C543="","",IFERROR(INDEX(Mix_Desc,MATCH($C543,Mix_Code,0)),"⚠ Unknown mix code"))</f>
        <v/>
      </c>
      <c r="F543" s="67" t="str">
        <f aca="false">IF(OR($C543="",$D543=""),"",IFERROR($D543*INDEX(Mix_Eff,MATCH($C543,Mix_Code,0),1),""))</f>
        <v/>
      </c>
      <c r="G543" s="67" t="str">
        <f aca="false">IF(OR($C543="",$D543=""),"",IFERROR($D543*INDEX(Mix_Eff,MATCH($C543,Mix_Code,0),2),""))</f>
        <v/>
      </c>
      <c r="H543" s="67" t="str">
        <f aca="false">IF(OR($C543="",$D543=""),"",IFERROR($D543*INDEX(Mix_Eff,MATCH($C543,Mix_Code,0),3),""))</f>
        <v/>
      </c>
      <c r="I543" s="67" t="str">
        <f aca="false">IF(OR($C543="",$D543=""),"",IFERROR($D543*INDEX(Mix_Eff,MATCH($C543,Mix_Code,0),4),""))</f>
        <v/>
      </c>
      <c r="J543" s="67" t="str">
        <f aca="false">IF(OR($C543="",$D543=""),"",IFERROR($D543*INDEX(Mix_Eff,MATCH($C543,Mix_Code,0),5),""))</f>
        <v/>
      </c>
      <c r="K543" s="63"/>
      <c r="L543" s="16" t="str">
        <f aca="false">IF(AND($A543="",$B543="",$C543="",$D543=""),"",IF($A543="","⚠ Date missing",IF($B543="","⚠ Site missing",IF(ISNA(MATCH($C543,Mix_Code,0)),"⚠ Unknown mix code",IF($D543="","⚠ Enter m3 produced",IF(COUNTIF(CI_Site,$B543)=0,"⚠ Site not set up in Current Inventory",IF($A543&gt;AsOfDate,"Future date – not yet deducted","OK")))))))</f>
        <v/>
      </c>
    </row>
    <row r="544" customFormat="false" ht="15" hidden="false" customHeight="false" outlineLevel="0" collapsed="false">
      <c r="A544" s="65"/>
      <c r="B544" s="63"/>
      <c r="C544" s="70"/>
      <c r="D544" s="66"/>
      <c r="E544" s="16" t="str">
        <f aca="false">IF($C544="","",IFERROR(INDEX(Mix_Desc,MATCH($C544,Mix_Code,0)),"⚠ Unknown mix code"))</f>
        <v/>
      </c>
      <c r="F544" s="67" t="str">
        <f aca="false">IF(OR($C544="",$D544=""),"",IFERROR($D544*INDEX(Mix_Eff,MATCH($C544,Mix_Code,0),1),""))</f>
        <v/>
      </c>
      <c r="G544" s="67" t="str">
        <f aca="false">IF(OR($C544="",$D544=""),"",IFERROR($D544*INDEX(Mix_Eff,MATCH($C544,Mix_Code,0),2),""))</f>
        <v/>
      </c>
      <c r="H544" s="67" t="str">
        <f aca="false">IF(OR($C544="",$D544=""),"",IFERROR($D544*INDEX(Mix_Eff,MATCH($C544,Mix_Code,0),3),""))</f>
        <v/>
      </c>
      <c r="I544" s="67" t="str">
        <f aca="false">IF(OR($C544="",$D544=""),"",IFERROR($D544*INDEX(Mix_Eff,MATCH($C544,Mix_Code,0),4),""))</f>
        <v/>
      </c>
      <c r="J544" s="67" t="str">
        <f aca="false">IF(OR($C544="",$D544=""),"",IFERROR($D544*INDEX(Mix_Eff,MATCH($C544,Mix_Code,0),5),""))</f>
        <v/>
      </c>
      <c r="K544" s="63"/>
      <c r="L544" s="16" t="str">
        <f aca="false">IF(AND($A544="",$B544="",$C544="",$D544=""),"",IF($A544="","⚠ Date missing",IF($B544="","⚠ Site missing",IF(ISNA(MATCH($C544,Mix_Code,0)),"⚠ Unknown mix code",IF($D544="","⚠ Enter m3 produced",IF(COUNTIF(CI_Site,$B544)=0,"⚠ Site not set up in Current Inventory",IF($A544&gt;AsOfDate,"Future date – not yet deducted","OK")))))))</f>
        <v/>
      </c>
    </row>
    <row r="545" customFormat="false" ht="15" hidden="false" customHeight="false" outlineLevel="0" collapsed="false">
      <c r="A545" s="65"/>
      <c r="B545" s="63"/>
      <c r="C545" s="70"/>
      <c r="D545" s="66"/>
      <c r="E545" s="16" t="str">
        <f aca="false">IF($C545="","",IFERROR(INDEX(Mix_Desc,MATCH($C545,Mix_Code,0)),"⚠ Unknown mix code"))</f>
        <v/>
      </c>
      <c r="F545" s="67" t="str">
        <f aca="false">IF(OR($C545="",$D545=""),"",IFERROR($D545*INDEX(Mix_Eff,MATCH($C545,Mix_Code,0),1),""))</f>
        <v/>
      </c>
      <c r="G545" s="67" t="str">
        <f aca="false">IF(OR($C545="",$D545=""),"",IFERROR($D545*INDEX(Mix_Eff,MATCH($C545,Mix_Code,0),2),""))</f>
        <v/>
      </c>
      <c r="H545" s="67" t="str">
        <f aca="false">IF(OR($C545="",$D545=""),"",IFERROR($D545*INDEX(Mix_Eff,MATCH($C545,Mix_Code,0),3),""))</f>
        <v/>
      </c>
      <c r="I545" s="67" t="str">
        <f aca="false">IF(OR($C545="",$D545=""),"",IFERROR($D545*INDEX(Mix_Eff,MATCH($C545,Mix_Code,0),4),""))</f>
        <v/>
      </c>
      <c r="J545" s="67" t="str">
        <f aca="false">IF(OR($C545="",$D545=""),"",IFERROR($D545*INDEX(Mix_Eff,MATCH($C545,Mix_Code,0),5),""))</f>
        <v/>
      </c>
      <c r="K545" s="63"/>
      <c r="L545" s="16" t="str">
        <f aca="false">IF(AND($A545="",$B545="",$C545="",$D545=""),"",IF($A545="","⚠ Date missing",IF($B545="","⚠ Site missing",IF(ISNA(MATCH($C545,Mix_Code,0)),"⚠ Unknown mix code",IF($D545="","⚠ Enter m3 produced",IF(COUNTIF(CI_Site,$B545)=0,"⚠ Site not set up in Current Inventory",IF($A545&gt;AsOfDate,"Future date – not yet deducted","OK")))))))</f>
        <v/>
      </c>
    </row>
    <row r="546" customFormat="false" ht="15" hidden="false" customHeight="false" outlineLevel="0" collapsed="false">
      <c r="A546" s="65"/>
      <c r="B546" s="63"/>
      <c r="C546" s="70"/>
      <c r="D546" s="66"/>
      <c r="E546" s="16" t="str">
        <f aca="false">IF($C546="","",IFERROR(INDEX(Mix_Desc,MATCH($C546,Mix_Code,0)),"⚠ Unknown mix code"))</f>
        <v/>
      </c>
      <c r="F546" s="67" t="str">
        <f aca="false">IF(OR($C546="",$D546=""),"",IFERROR($D546*INDEX(Mix_Eff,MATCH($C546,Mix_Code,0),1),""))</f>
        <v/>
      </c>
      <c r="G546" s="67" t="str">
        <f aca="false">IF(OR($C546="",$D546=""),"",IFERROR($D546*INDEX(Mix_Eff,MATCH($C546,Mix_Code,0),2),""))</f>
        <v/>
      </c>
      <c r="H546" s="67" t="str">
        <f aca="false">IF(OR($C546="",$D546=""),"",IFERROR($D546*INDEX(Mix_Eff,MATCH($C546,Mix_Code,0),3),""))</f>
        <v/>
      </c>
      <c r="I546" s="67" t="str">
        <f aca="false">IF(OR($C546="",$D546=""),"",IFERROR($D546*INDEX(Mix_Eff,MATCH($C546,Mix_Code,0),4),""))</f>
        <v/>
      </c>
      <c r="J546" s="67" t="str">
        <f aca="false">IF(OR($C546="",$D546=""),"",IFERROR($D546*INDEX(Mix_Eff,MATCH($C546,Mix_Code,0),5),""))</f>
        <v/>
      </c>
      <c r="K546" s="63"/>
      <c r="L546" s="16" t="str">
        <f aca="false">IF(AND($A546="",$B546="",$C546="",$D546=""),"",IF($A546="","⚠ Date missing",IF($B546="","⚠ Site missing",IF(ISNA(MATCH($C546,Mix_Code,0)),"⚠ Unknown mix code",IF($D546="","⚠ Enter m3 produced",IF(COUNTIF(CI_Site,$B546)=0,"⚠ Site not set up in Current Inventory",IF($A546&gt;AsOfDate,"Future date – not yet deducted","OK")))))))</f>
        <v/>
      </c>
    </row>
    <row r="547" customFormat="false" ht="15" hidden="false" customHeight="false" outlineLevel="0" collapsed="false">
      <c r="A547" s="65"/>
      <c r="B547" s="63"/>
      <c r="C547" s="70"/>
      <c r="D547" s="66"/>
      <c r="E547" s="16" t="str">
        <f aca="false">IF($C547="","",IFERROR(INDEX(Mix_Desc,MATCH($C547,Mix_Code,0)),"⚠ Unknown mix code"))</f>
        <v/>
      </c>
      <c r="F547" s="67" t="str">
        <f aca="false">IF(OR($C547="",$D547=""),"",IFERROR($D547*INDEX(Mix_Eff,MATCH($C547,Mix_Code,0),1),""))</f>
        <v/>
      </c>
      <c r="G547" s="67" t="str">
        <f aca="false">IF(OR($C547="",$D547=""),"",IFERROR($D547*INDEX(Mix_Eff,MATCH($C547,Mix_Code,0),2),""))</f>
        <v/>
      </c>
      <c r="H547" s="67" t="str">
        <f aca="false">IF(OR($C547="",$D547=""),"",IFERROR($D547*INDEX(Mix_Eff,MATCH($C547,Mix_Code,0),3),""))</f>
        <v/>
      </c>
      <c r="I547" s="67" t="str">
        <f aca="false">IF(OR($C547="",$D547=""),"",IFERROR($D547*INDEX(Mix_Eff,MATCH($C547,Mix_Code,0),4),""))</f>
        <v/>
      </c>
      <c r="J547" s="67" t="str">
        <f aca="false">IF(OR($C547="",$D547=""),"",IFERROR($D547*INDEX(Mix_Eff,MATCH($C547,Mix_Code,0),5),""))</f>
        <v/>
      </c>
      <c r="K547" s="63"/>
      <c r="L547" s="16" t="str">
        <f aca="false">IF(AND($A547="",$B547="",$C547="",$D547=""),"",IF($A547="","⚠ Date missing",IF($B547="","⚠ Site missing",IF(ISNA(MATCH($C547,Mix_Code,0)),"⚠ Unknown mix code",IF($D547="","⚠ Enter m3 produced",IF(COUNTIF(CI_Site,$B547)=0,"⚠ Site not set up in Current Inventory",IF($A547&gt;AsOfDate,"Future date – not yet deducted","OK")))))))</f>
        <v/>
      </c>
    </row>
    <row r="548" customFormat="false" ht="15" hidden="false" customHeight="false" outlineLevel="0" collapsed="false">
      <c r="A548" s="65"/>
      <c r="B548" s="63"/>
      <c r="C548" s="70"/>
      <c r="D548" s="66"/>
      <c r="E548" s="16" t="str">
        <f aca="false">IF($C548="","",IFERROR(INDEX(Mix_Desc,MATCH($C548,Mix_Code,0)),"⚠ Unknown mix code"))</f>
        <v/>
      </c>
      <c r="F548" s="67" t="str">
        <f aca="false">IF(OR($C548="",$D548=""),"",IFERROR($D548*INDEX(Mix_Eff,MATCH($C548,Mix_Code,0),1),""))</f>
        <v/>
      </c>
      <c r="G548" s="67" t="str">
        <f aca="false">IF(OR($C548="",$D548=""),"",IFERROR($D548*INDEX(Mix_Eff,MATCH($C548,Mix_Code,0),2),""))</f>
        <v/>
      </c>
      <c r="H548" s="67" t="str">
        <f aca="false">IF(OR($C548="",$D548=""),"",IFERROR($D548*INDEX(Mix_Eff,MATCH($C548,Mix_Code,0),3),""))</f>
        <v/>
      </c>
      <c r="I548" s="67" t="str">
        <f aca="false">IF(OR($C548="",$D548=""),"",IFERROR($D548*INDEX(Mix_Eff,MATCH($C548,Mix_Code,0),4),""))</f>
        <v/>
      </c>
      <c r="J548" s="67" t="str">
        <f aca="false">IF(OR($C548="",$D548=""),"",IFERROR($D548*INDEX(Mix_Eff,MATCH($C548,Mix_Code,0),5),""))</f>
        <v/>
      </c>
      <c r="K548" s="63"/>
      <c r="L548" s="16" t="str">
        <f aca="false">IF(AND($A548="",$B548="",$C548="",$D548=""),"",IF($A548="","⚠ Date missing",IF($B548="","⚠ Site missing",IF(ISNA(MATCH($C548,Mix_Code,0)),"⚠ Unknown mix code",IF($D548="","⚠ Enter m3 produced",IF(COUNTIF(CI_Site,$B548)=0,"⚠ Site not set up in Current Inventory",IF($A548&gt;AsOfDate,"Future date – not yet deducted","OK")))))))</f>
        <v/>
      </c>
    </row>
    <row r="549" customFormat="false" ht="15" hidden="false" customHeight="false" outlineLevel="0" collapsed="false">
      <c r="A549" s="65"/>
      <c r="B549" s="63"/>
      <c r="C549" s="70"/>
      <c r="D549" s="66"/>
      <c r="E549" s="16" t="str">
        <f aca="false">IF($C549="","",IFERROR(INDEX(Mix_Desc,MATCH($C549,Mix_Code,0)),"⚠ Unknown mix code"))</f>
        <v/>
      </c>
      <c r="F549" s="67" t="str">
        <f aca="false">IF(OR($C549="",$D549=""),"",IFERROR($D549*INDEX(Mix_Eff,MATCH($C549,Mix_Code,0),1),""))</f>
        <v/>
      </c>
      <c r="G549" s="67" t="str">
        <f aca="false">IF(OR($C549="",$D549=""),"",IFERROR($D549*INDEX(Mix_Eff,MATCH($C549,Mix_Code,0),2),""))</f>
        <v/>
      </c>
      <c r="H549" s="67" t="str">
        <f aca="false">IF(OR($C549="",$D549=""),"",IFERROR($D549*INDEX(Mix_Eff,MATCH($C549,Mix_Code,0),3),""))</f>
        <v/>
      </c>
      <c r="I549" s="67" t="str">
        <f aca="false">IF(OR($C549="",$D549=""),"",IFERROR($D549*INDEX(Mix_Eff,MATCH($C549,Mix_Code,0),4),""))</f>
        <v/>
      </c>
      <c r="J549" s="67" t="str">
        <f aca="false">IF(OR($C549="",$D549=""),"",IFERROR($D549*INDEX(Mix_Eff,MATCH($C549,Mix_Code,0),5),""))</f>
        <v/>
      </c>
      <c r="K549" s="63"/>
      <c r="L549" s="16" t="str">
        <f aca="false">IF(AND($A549="",$B549="",$C549="",$D549=""),"",IF($A549="","⚠ Date missing",IF($B549="","⚠ Site missing",IF(ISNA(MATCH($C549,Mix_Code,0)),"⚠ Unknown mix code",IF($D549="","⚠ Enter m3 produced",IF(COUNTIF(CI_Site,$B549)=0,"⚠ Site not set up in Current Inventory",IF($A549&gt;AsOfDate,"Future date – not yet deducted","OK")))))))</f>
        <v/>
      </c>
    </row>
    <row r="550" customFormat="false" ht="15" hidden="false" customHeight="false" outlineLevel="0" collapsed="false">
      <c r="A550" s="65"/>
      <c r="B550" s="63"/>
      <c r="C550" s="70"/>
      <c r="D550" s="66"/>
      <c r="E550" s="16" t="str">
        <f aca="false">IF($C550="","",IFERROR(INDEX(Mix_Desc,MATCH($C550,Mix_Code,0)),"⚠ Unknown mix code"))</f>
        <v/>
      </c>
      <c r="F550" s="67" t="str">
        <f aca="false">IF(OR($C550="",$D550=""),"",IFERROR($D550*INDEX(Mix_Eff,MATCH($C550,Mix_Code,0),1),""))</f>
        <v/>
      </c>
      <c r="G550" s="67" t="str">
        <f aca="false">IF(OR($C550="",$D550=""),"",IFERROR($D550*INDEX(Mix_Eff,MATCH($C550,Mix_Code,0),2),""))</f>
        <v/>
      </c>
      <c r="H550" s="67" t="str">
        <f aca="false">IF(OR($C550="",$D550=""),"",IFERROR($D550*INDEX(Mix_Eff,MATCH($C550,Mix_Code,0),3),""))</f>
        <v/>
      </c>
      <c r="I550" s="67" t="str">
        <f aca="false">IF(OR($C550="",$D550=""),"",IFERROR($D550*INDEX(Mix_Eff,MATCH($C550,Mix_Code,0),4),""))</f>
        <v/>
      </c>
      <c r="J550" s="67" t="str">
        <f aca="false">IF(OR($C550="",$D550=""),"",IFERROR($D550*INDEX(Mix_Eff,MATCH($C550,Mix_Code,0),5),""))</f>
        <v/>
      </c>
      <c r="K550" s="63"/>
      <c r="L550" s="16" t="str">
        <f aca="false">IF(AND($A550="",$B550="",$C550="",$D550=""),"",IF($A550="","⚠ Date missing",IF($B550="","⚠ Site missing",IF(ISNA(MATCH($C550,Mix_Code,0)),"⚠ Unknown mix code",IF($D550="","⚠ Enter m3 produced",IF(COUNTIF(CI_Site,$B550)=0,"⚠ Site not set up in Current Inventory",IF($A550&gt;AsOfDate,"Future date – not yet deducted","OK")))))))</f>
        <v/>
      </c>
    </row>
    <row r="551" customFormat="false" ht="15" hidden="false" customHeight="false" outlineLevel="0" collapsed="false">
      <c r="A551" s="65"/>
      <c r="B551" s="63"/>
      <c r="C551" s="70"/>
      <c r="D551" s="66"/>
      <c r="E551" s="16" t="str">
        <f aca="false">IF($C551="","",IFERROR(INDEX(Mix_Desc,MATCH($C551,Mix_Code,0)),"⚠ Unknown mix code"))</f>
        <v/>
      </c>
      <c r="F551" s="67" t="str">
        <f aca="false">IF(OR($C551="",$D551=""),"",IFERROR($D551*INDEX(Mix_Eff,MATCH($C551,Mix_Code,0),1),""))</f>
        <v/>
      </c>
      <c r="G551" s="67" t="str">
        <f aca="false">IF(OR($C551="",$D551=""),"",IFERROR($D551*INDEX(Mix_Eff,MATCH($C551,Mix_Code,0),2),""))</f>
        <v/>
      </c>
      <c r="H551" s="67" t="str">
        <f aca="false">IF(OR($C551="",$D551=""),"",IFERROR($D551*INDEX(Mix_Eff,MATCH($C551,Mix_Code,0),3),""))</f>
        <v/>
      </c>
      <c r="I551" s="67" t="str">
        <f aca="false">IF(OR($C551="",$D551=""),"",IFERROR($D551*INDEX(Mix_Eff,MATCH($C551,Mix_Code,0),4),""))</f>
        <v/>
      </c>
      <c r="J551" s="67" t="str">
        <f aca="false">IF(OR($C551="",$D551=""),"",IFERROR($D551*INDEX(Mix_Eff,MATCH($C551,Mix_Code,0),5),""))</f>
        <v/>
      </c>
      <c r="K551" s="63"/>
      <c r="L551" s="16" t="str">
        <f aca="false">IF(AND($A551="",$B551="",$C551="",$D551=""),"",IF($A551="","⚠ Date missing",IF($B551="","⚠ Site missing",IF(ISNA(MATCH($C551,Mix_Code,0)),"⚠ Unknown mix code",IF($D551="","⚠ Enter m3 produced",IF(COUNTIF(CI_Site,$B551)=0,"⚠ Site not set up in Current Inventory",IF($A551&gt;AsOfDate,"Future date – not yet deducted","OK")))))))</f>
        <v/>
      </c>
    </row>
    <row r="552" customFormat="false" ht="15" hidden="false" customHeight="false" outlineLevel="0" collapsed="false">
      <c r="A552" s="65"/>
      <c r="B552" s="63"/>
      <c r="C552" s="70"/>
      <c r="D552" s="66"/>
      <c r="E552" s="16" t="str">
        <f aca="false">IF($C552="","",IFERROR(INDEX(Mix_Desc,MATCH($C552,Mix_Code,0)),"⚠ Unknown mix code"))</f>
        <v/>
      </c>
      <c r="F552" s="67" t="str">
        <f aca="false">IF(OR($C552="",$D552=""),"",IFERROR($D552*INDEX(Mix_Eff,MATCH($C552,Mix_Code,0),1),""))</f>
        <v/>
      </c>
      <c r="G552" s="67" t="str">
        <f aca="false">IF(OR($C552="",$D552=""),"",IFERROR($D552*INDEX(Mix_Eff,MATCH($C552,Mix_Code,0),2),""))</f>
        <v/>
      </c>
      <c r="H552" s="67" t="str">
        <f aca="false">IF(OR($C552="",$D552=""),"",IFERROR($D552*INDEX(Mix_Eff,MATCH($C552,Mix_Code,0),3),""))</f>
        <v/>
      </c>
      <c r="I552" s="67" t="str">
        <f aca="false">IF(OR($C552="",$D552=""),"",IFERROR($D552*INDEX(Mix_Eff,MATCH($C552,Mix_Code,0),4),""))</f>
        <v/>
      </c>
      <c r="J552" s="67" t="str">
        <f aca="false">IF(OR($C552="",$D552=""),"",IFERROR($D552*INDEX(Mix_Eff,MATCH($C552,Mix_Code,0),5),""))</f>
        <v/>
      </c>
      <c r="K552" s="63"/>
      <c r="L552" s="16" t="str">
        <f aca="false">IF(AND($A552="",$B552="",$C552="",$D552=""),"",IF($A552="","⚠ Date missing",IF($B552="","⚠ Site missing",IF(ISNA(MATCH($C552,Mix_Code,0)),"⚠ Unknown mix code",IF($D552="","⚠ Enter m3 produced",IF(COUNTIF(CI_Site,$B552)=0,"⚠ Site not set up in Current Inventory",IF($A552&gt;AsOfDate,"Future date – not yet deducted","OK")))))))</f>
        <v/>
      </c>
    </row>
    <row r="553" customFormat="false" ht="15" hidden="false" customHeight="false" outlineLevel="0" collapsed="false">
      <c r="A553" s="65"/>
      <c r="B553" s="63"/>
      <c r="C553" s="70"/>
      <c r="D553" s="66"/>
      <c r="E553" s="16" t="str">
        <f aca="false">IF($C553="","",IFERROR(INDEX(Mix_Desc,MATCH($C553,Mix_Code,0)),"⚠ Unknown mix code"))</f>
        <v/>
      </c>
      <c r="F553" s="67" t="str">
        <f aca="false">IF(OR($C553="",$D553=""),"",IFERROR($D553*INDEX(Mix_Eff,MATCH($C553,Mix_Code,0),1),""))</f>
        <v/>
      </c>
      <c r="G553" s="67" t="str">
        <f aca="false">IF(OR($C553="",$D553=""),"",IFERROR($D553*INDEX(Mix_Eff,MATCH($C553,Mix_Code,0),2),""))</f>
        <v/>
      </c>
      <c r="H553" s="67" t="str">
        <f aca="false">IF(OR($C553="",$D553=""),"",IFERROR($D553*INDEX(Mix_Eff,MATCH($C553,Mix_Code,0),3),""))</f>
        <v/>
      </c>
      <c r="I553" s="67" t="str">
        <f aca="false">IF(OR($C553="",$D553=""),"",IFERROR($D553*INDEX(Mix_Eff,MATCH($C553,Mix_Code,0),4),""))</f>
        <v/>
      </c>
      <c r="J553" s="67" t="str">
        <f aca="false">IF(OR($C553="",$D553=""),"",IFERROR($D553*INDEX(Mix_Eff,MATCH($C553,Mix_Code,0),5),""))</f>
        <v/>
      </c>
      <c r="K553" s="63"/>
      <c r="L553" s="16" t="str">
        <f aca="false">IF(AND($A553="",$B553="",$C553="",$D553=""),"",IF($A553="","⚠ Date missing",IF($B553="","⚠ Site missing",IF(ISNA(MATCH($C553,Mix_Code,0)),"⚠ Unknown mix code",IF($D553="","⚠ Enter m3 produced",IF(COUNTIF(CI_Site,$B553)=0,"⚠ Site not set up in Current Inventory",IF($A553&gt;AsOfDate,"Future date – not yet deducted","OK")))))))</f>
        <v/>
      </c>
    </row>
    <row r="554" customFormat="false" ht="15" hidden="false" customHeight="false" outlineLevel="0" collapsed="false">
      <c r="A554" s="65"/>
      <c r="B554" s="63"/>
      <c r="C554" s="70"/>
      <c r="D554" s="66"/>
      <c r="E554" s="16" t="str">
        <f aca="false">IF($C554="","",IFERROR(INDEX(Mix_Desc,MATCH($C554,Mix_Code,0)),"⚠ Unknown mix code"))</f>
        <v/>
      </c>
      <c r="F554" s="67" t="str">
        <f aca="false">IF(OR($C554="",$D554=""),"",IFERROR($D554*INDEX(Mix_Eff,MATCH($C554,Mix_Code,0),1),""))</f>
        <v/>
      </c>
      <c r="G554" s="67" t="str">
        <f aca="false">IF(OR($C554="",$D554=""),"",IFERROR($D554*INDEX(Mix_Eff,MATCH($C554,Mix_Code,0),2),""))</f>
        <v/>
      </c>
      <c r="H554" s="67" t="str">
        <f aca="false">IF(OR($C554="",$D554=""),"",IFERROR($D554*INDEX(Mix_Eff,MATCH($C554,Mix_Code,0),3),""))</f>
        <v/>
      </c>
      <c r="I554" s="67" t="str">
        <f aca="false">IF(OR($C554="",$D554=""),"",IFERROR($D554*INDEX(Mix_Eff,MATCH($C554,Mix_Code,0),4),""))</f>
        <v/>
      </c>
      <c r="J554" s="67" t="str">
        <f aca="false">IF(OR($C554="",$D554=""),"",IFERROR($D554*INDEX(Mix_Eff,MATCH($C554,Mix_Code,0),5),""))</f>
        <v/>
      </c>
      <c r="K554" s="63"/>
      <c r="L554" s="16" t="str">
        <f aca="false">IF(AND($A554="",$B554="",$C554="",$D554=""),"",IF($A554="","⚠ Date missing",IF($B554="","⚠ Site missing",IF(ISNA(MATCH($C554,Mix_Code,0)),"⚠ Unknown mix code",IF($D554="","⚠ Enter m3 produced",IF(COUNTIF(CI_Site,$B554)=0,"⚠ Site not set up in Current Inventory",IF($A554&gt;AsOfDate,"Future date – not yet deducted","OK")))))))</f>
        <v/>
      </c>
    </row>
    <row r="555" customFormat="false" ht="15" hidden="false" customHeight="false" outlineLevel="0" collapsed="false">
      <c r="A555" s="65"/>
      <c r="B555" s="63"/>
      <c r="C555" s="70"/>
      <c r="D555" s="66"/>
      <c r="E555" s="16" t="str">
        <f aca="false">IF($C555="","",IFERROR(INDEX(Mix_Desc,MATCH($C555,Mix_Code,0)),"⚠ Unknown mix code"))</f>
        <v/>
      </c>
      <c r="F555" s="67" t="str">
        <f aca="false">IF(OR($C555="",$D555=""),"",IFERROR($D555*INDEX(Mix_Eff,MATCH($C555,Mix_Code,0),1),""))</f>
        <v/>
      </c>
      <c r="G555" s="67" t="str">
        <f aca="false">IF(OR($C555="",$D555=""),"",IFERROR($D555*INDEX(Mix_Eff,MATCH($C555,Mix_Code,0),2),""))</f>
        <v/>
      </c>
      <c r="H555" s="67" t="str">
        <f aca="false">IF(OR($C555="",$D555=""),"",IFERROR($D555*INDEX(Mix_Eff,MATCH($C555,Mix_Code,0),3),""))</f>
        <v/>
      </c>
      <c r="I555" s="67" t="str">
        <f aca="false">IF(OR($C555="",$D555=""),"",IFERROR($D555*INDEX(Mix_Eff,MATCH($C555,Mix_Code,0),4),""))</f>
        <v/>
      </c>
      <c r="J555" s="67" t="str">
        <f aca="false">IF(OR($C555="",$D555=""),"",IFERROR($D555*INDEX(Mix_Eff,MATCH($C555,Mix_Code,0),5),""))</f>
        <v/>
      </c>
      <c r="K555" s="63"/>
      <c r="L555" s="16" t="str">
        <f aca="false">IF(AND($A555="",$B555="",$C555="",$D555=""),"",IF($A555="","⚠ Date missing",IF($B555="","⚠ Site missing",IF(ISNA(MATCH($C555,Mix_Code,0)),"⚠ Unknown mix code",IF($D555="","⚠ Enter m3 produced",IF(COUNTIF(CI_Site,$B555)=0,"⚠ Site not set up in Current Inventory",IF($A555&gt;AsOfDate,"Future date – not yet deducted","OK")))))))</f>
        <v/>
      </c>
    </row>
    <row r="556" customFormat="false" ht="15" hidden="false" customHeight="false" outlineLevel="0" collapsed="false">
      <c r="A556" s="65"/>
      <c r="B556" s="63"/>
      <c r="C556" s="70"/>
      <c r="D556" s="66"/>
      <c r="E556" s="16" t="str">
        <f aca="false">IF($C556="","",IFERROR(INDEX(Mix_Desc,MATCH($C556,Mix_Code,0)),"⚠ Unknown mix code"))</f>
        <v/>
      </c>
      <c r="F556" s="67" t="str">
        <f aca="false">IF(OR($C556="",$D556=""),"",IFERROR($D556*INDEX(Mix_Eff,MATCH($C556,Mix_Code,0),1),""))</f>
        <v/>
      </c>
      <c r="G556" s="67" t="str">
        <f aca="false">IF(OR($C556="",$D556=""),"",IFERROR($D556*INDEX(Mix_Eff,MATCH($C556,Mix_Code,0),2),""))</f>
        <v/>
      </c>
      <c r="H556" s="67" t="str">
        <f aca="false">IF(OR($C556="",$D556=""),"",IFERROR($D556*INDEX(Mix_Eff,MATCH($C556,Mix_Code,0),3),""))</f>
        <v/>
      </c>
      <c r="I556" s="67" t="str">
        <f aca="false">IF(OR($C556="",$D556=""),"",IFERROR($D556*INDEX(Mix_Eff,MATCH($C556,Mix_Code,0),4),""))</f>
        <v/>
      </c>
      <c r="J556" s="67" t="str">
        <f aca="false">IF(OR($C556="",$D556=""),"",IFERROR($D556*INDEX(Mix_Eff,MATCH($C556,Mix_Code,0),5),""))</f>
        <v/>
      </c>
      <c r="K556" s="63"/>
      <c r="L556" s="16" t="str">
        <f aca="false">IF(AND($A556="",$B556="",$C556="",$D556=""),"",IF($A556="","⚠ Date missing",IF($B556="","⚠ Site missing",IF(ISNA(MATCH($C556,Mix_Code,0)),"⚠ Unknown mix code",IF($D556="","⚠ Enter m3 produced",IF(COUNTIF(CI_Site,$B556)=0,"⚠ Site not set up in Current Inventory",IF($A556&gt;AsOfDate,"Future date – not yet deducted","OK")))))))</f>
        <v/>
      </c>
    </row>
    <row r="557" customFormat="false" ht="15" hidden="false" customHeight="false" outlineLevel="0" collapsed="false">
      <c r="A557" s="65"/>
      <c r="B557" s="63"/>
      <c r="C557" s="70"/>
      <c r="D557" s="66"/>
      <c r="E557" s="16" t="str">
        <f aca="false">IF($C557="","",IFERROR(INDEX(Mix_Desc,MATCH($C557,Mix_Code,0)),"⚠ Unknown mix code"))</f>
        <v/>
      </c>
      <c r="F557" s="67" t="str">
        <f aca="false">IF(OR($C557="",$D557=""),"",IFERROR($D557*INDEX(Mix_Eff,MATCH($C557,Mix_Code,0),1),""))</f>
        <v/>
      </c>
      <c r="G557" s="67" t="str">
        <f aca="false">IF(OR($C557="",$D557=""),"",IFERROR($D557*INDEX(Mix_Eff,MATCH($C557,Mix_Code,0),2),""))</f>
        <v/>
      </c>
      <c r="H557" s="67" t="str">
        <f aca="false">IF(OR($C557="",$D557=""),"",IFERROR($D557*INDEX(Mix_Eff,MATCH($C557,Mix_Code,0),3),""))</f>
        <v/>
      </c>
      <c r="I557" s="67" t="str">
        <f aca="false">IF(OR($C557="",$D557=""),"",IFERROR($D557*INDEX(Mix_Eff,MATCH($C557,Mix_Code,0),4),""))</f>
        <v/>
      </c>
      <c r="J557" s="67" t="str">
        <f aca="false">IF(OR($C557="",$D557=""),"",IFERROR($D557*INDEX(Mix_Eff,MATCH($C557,Mix_Code,0),5),""))</f>
        <v/>
      </c>
      <c r="K557" s="63"/>
      <c r="L557" s="16" t="str">
        <f aca="false">IF(AND($A557="",$B557="",$C557="",$D557=""),"",IF($A557="","⚠ Date missing",IF($B557="","⚠ Site missing",IF(ISNA(MATCH($C557,Mix_Code,0)),"⚠ Unknown mix code",IF($D557="","⚠ Enter m3 produced",IF(COUNTIF(CI_Site,$B557)=0,"⚠ Site not set up in Current Inventory",IF($A557&gt;AsOfDate,"Future date – not yet deducted","OK")))))))</f>
        <v/>
      </c>
    </row>
    <row r="558" customFormat="false" ht="15" hidden="false" customHeight="false" outlineLevel="0" collapsed="false">
      <c r="A558" s="65"/>
      <c r="B558" s="63"/>
      <c r="C558" s="70"/>
      <c r="D558" s="66"/>
      <c r="E558" s="16" t="str">
        <f aca="false">IF($C558="","",IFERROR(INDEX(Mix_Desc,MATCH($C558,Mix_Code,0)),"⚠ Unknown mix code"))</f>
        <v/>
      </c>
      <c r="F558" s="67" t="str">
        <f aca="false">IF(OR($C558="",$D558=""),"",IFERROR($D558*INDEX(Mix_Eff,MATCH($C558,Mix_Code,0),1),""))</f>
        <v/>
      </c>
      <c r="G558" s="67" t="str">
        <f aca="false">IF(OR($C558="",$D558=""),"",IFERROR($D558*INDEX(Mix_Eff,MATCH($C558,Mix_Code,0),2),""))</f>
        <v/>
      </c>
      <c r="H558" s="67" t="str">
        <f aca="false">IF(OR($C558="",$D558=""),"",IFERROR($D558*INDEX(Mix_Eff,MATCH($C558,Mix_Code,0),3),""))</f>
        <v/>
      </c>
      <c r="I558" s="67" t="str">
        <f aca="false">IF(OR($C558="",$D558=""),"",IFERROR($D558*INDEX(Mix_Eff,MATCH($C558,Mix_Code,0),4),""))</f>
        <v/>
      </c>
      <c r="J558" s="67" t="str">
        <f aca="false">IF(OR($C558="",$D558=""),"",IFERROR($D558*INDEX(Mix_Eff,MATCH($C558,Mix_Code,0),5),""))</f>
        <v/>
      </c>
      <c r="K558" s="63"/>
      <c r="L558" s="16" t="str">
        <f aca="false">IF(AND($A558="",$B558="",$C558="",$D558=""),"",IF($A558="","⚠ Date missing",IF($B558="","⚠ Site missing",IF(ISNA(MATCH($C558,Mix_Code,0)),"⚠ Unknown mix code",IF($D558="","⚠ Enter m3 produced",IF(COUNTIF(CI_Site,$B558)=0,"⚠ Site not set up in Current Inventory",IF($A558&gt;AsOfDate,"Future date – not yet deducted","OK")))))))</f>
        <v/>
      </c>
    </row>
    <row r="559" customFormat="false" ht="15" hidden="false" customHeight="false" outlineLevel="0" collapsed="false">
      <c r="A559" s="65"/>
      <c r="B559" s="63"/>
      <c r="C559" s="70"/>
      <c r="D559" s="66"/>
      <c r="E559" s="16" t="str">
        <f aca="false">IF($C559="","",IFERROR(INDEX(Mix_Desc,MATCH($C559,Mix_Code,0)),"⚠ Unknown mix code"))</f>
        <v/>
      </c>
      <c r="F559" s="67" t="str">
        <f aca="false">IF(OR($C559="",$D559=""),"",IFERROR($D559*INDEX(Mix_Eff,MATCH($C559,Mix_Code,0),1),""))</f>
        <v/>
      </c>
      <c r="G559" s="67" t="str">
        <f aca="false">IF(OR($C559="",$D559=""),"",IFERROR($D559*INDEX(Mix_Eff,MATCH($C559,Mix_Code,0),2),""))</f>
        <v/>
      </c>
      <c r="H559" s="67" t="str">
        <f aca="false">IF(OR($C559="",$D559=""),"",IFERROR($D559*INDEX(Mix_Eff,MATCH($C559,Mix_Code,0),3),""))</f>
        <v/>
      </c>
      <c r="I559" s="67" t="str">
        <f aca="false">IF(OR($C559="",$D559=""),"",IFERROR($D559*INDEX(Mix_Eff,MATCH($C559,Mix_Code,0),4),""))</f>
        <v/>
      </c>
      <c r="J559" s="67" t="str">
        <f aca="false">IF(OR($C559="",$D559=""),"",IFERROR($D559*INDEX(Mix_Eff,MATCH($C559,Mix_Code,0),5),""))</f>
        <v/>
      </c>
      <c r="K559" s="63"/>
      <c r="L559" s="16" t="str">
        <f aca="false">IF(AND($A559="",$B559="",$C559="",$D559=""),"",IF($A559="","⚠ Date missing",IF($B559="","⚠ Site missing",IF(ISNA(MATCH($C559,Mix_Code,0)),"⚠ Unknown mix code",IF($D559="","⚠ Enter m3 produced",IF(COUNTIF(CI_Site,$B559)=0,"⚠ Site not set up in Current Inventory",IF($A559&gt;AsOfDate,"Future date – not yet deducted","OK")))))))</f>
        <v/>
      </c>
    </row>
    <row r="560" customFormat="false" ht="15" hidden="false" customHeight="false" outlineLevel="0" collapsed="false">
      <c r="A560" s="65"/>
      <c r="B560" s="63"/>
      <c r="C560" s="70"/>
      <c r="D560" s="66"/>
      <c r="E560" s="16" t="str">
        <f aca="false">IF($C560="","",IFERROR(INDEX(Mix_Desc,MATCH($C560,Mix_Code,0)),"⚠ Unknown mix code"))</f>
        <v/>
      </c>
      <c r="F560" s="67" t="str">
        <f aca="false">IF(OR($C560="",$D560=""),"",IFERROR($D560*INDEX(Mix_Eff,MATCH($C560,Mix_Code,0),1),""))</f>
        <v/>
      </c>
      <c r="G560" s="67" t="str">
        <f aca="false">IF(OR($C560="",$D560=""),"",IFERROR($D560*INDEX(Mix_Eff,MATCH($C560,Mix_Code,0),2),""))</f>
        <v/>
      </c>
      <c r="H560" s="67" t="str">
        <f aca="false">IF(OR($C560="",$D560=""),"",IFERROR($D560*INDEX(Mix_Eff,MATCH($C560,Mix_Code,0),3),""))</f>
        <v/>
      </c>
      <c r="I560" s="67" t="str">
        <f aca="false">IF(OR($C560="",$D560=""),"",IFERROR($D560*INDEX(Mix_Eff,MATCH($C560,Mix_Code,0),4),""))</f>
        <v/>
      </c>
      <c r="J560" s="67" t="str">
        <f aca="false">IF(OR($C560="",$D560=""),"",IFERROR($D560*INDEX(Mix_Eff,MATCH($C560,Mix_Code,0),5),""))</f>
        <v/>
      </c>
      <c r="K560" s="63"/>
      <c r="L560" s="16" t="str">
        <f aca="false">IF(AND($A560="",$B560="",$C560="",$D560=""),"",IF($A560="","⚠ Date missing",IF($B560="","⚠ Site missing",IF(ISNA(MATCH($C560,Mix_Code,0)),"⚠ Unknown mix code",IF($D560="","⚠ Enter m3 produced",IF(COUNTIF(CI_Site,$B560)=0,"⚠ Site not set up in Current Inventory",IF($A560&gt;AsOfDate,"Future date – not yet deducted","OK")))))))</f>
        <v/>
      </c>
    </row>
    <row r="561" customFormat="false" ht="15" hidden="false" customHeight="false" outlineLevel="0" collapsed="false">
      <c r="A561" s="65"/>
      <c r="B561" s="63"/>
      <c r="C561" s="70"/>
      <c r="D561" s="66"/>
      <c r="E561" s="16" t="str">
        <f aca="false">IF($C561="","",IFERROR(INDEX(Mix_Desc,MATCH($C561,Mix_Code,0)),"⚠ Unknown mix code"))</f>
        <v/>
      </c>
      <c r="F561" s="67" t="str">
        <f aca="false">IF(OR($C561="",$D561=""),"",IFERROR($D561*INDEX(Mix_Eff,MATCH($C561,Mix_Code,0),1),""))</f>
        <v/>
      </c>
      <c r="G561" s="67" t="str">
        <f aca="false">IF(OR($C561="",$D561=""),"",IFERROR($D561*INDEX(Mix_Eff,MATCH($C561,Mix_Code,0),2),""))</f>
        <v/>
      </c>
      <c r="H561" s="67" t="str">
        <f aca="false">IF(OR($C561="",$D561=""),"",IFERROR($D561*INDEX(Mix_Eff,MATCH($C561,Mix_Code,0),3),""))</f>
        <v/>
      </c>
      <c r="I561" s="67" t="str">
        <f aca="false">IF(OR($C561="",$D561=""),"",IFERROR($D561*INDEX(Mix_Eff,MATCH($C561,Mix_Code,0),4),""))</f>
        <v/>
      </c>
      <c r="J561" s="67" t="str">
        <f aca="false">IF(OR($C561="",$D561=""),"",IFERROR($D561*INDEX(Mix_Eff,MATCH($C561,Mix_Code,0),5),""))</f>
        <v/>
      </c>
      <c r="K561" s="63"/>
      <c r="L561" s="16" t="str">
        <f aca="false">IF(AND($A561="",$B561="",$C561="",$D561=""),"",IF($A561="","⚠ Date missing",IF($B561="","⚠ Site missing",IF(ISNA(MATCH($C561,Mix_Code,0)),"⚠ Unknown mix code",IF($D561="","⚠ Enter m3 produced",IF(COUNTIF(CI_Site,$B561)=0,"⚠ Site not set up in Current Inventory",IF($A561&gt;AsOfDate,"Future date – not yet deducted","OK")))))))</f>
        <v/>
      </c>
    </row>
    <row r="562" customFormat="false" ht="15" hidden="false" customHeight="false" outlineLevel="0" collapsed="false">
      <c r="A562" s="65"/>
      <c r="B562" s="63"/>
      <c r="C562" s="70"/>
      <c r="D562" s="66"/>
      <c r="E562" s="16" t="str">
        <f aca="false">IF($C562="","",IFERROR(INDEX(Mix_Desc,MATCH($C562,Mix_Code,0)),"⚠ Unknown mix code"))</f>
        <v/>
      </c>
      <c r="F562" s="67" t="str">
        <f aca="false">IF(OR($C562="",$D562=""),"",IFERROR($D562*INDEX(Mix_Eff,MATCH($C562,Mix_Code,0),1),""))</f>
        <v/>
      </c>
      <c r="G562" s="67" t="str">
        <f aca="false">IF(OR($C562="",$D562=""),"",IFERROR($D562*INDEX(Mix_Eff,MATCH($C562,Mix_Code,0),2),""))</f>
        <v/>
      </c>
      <c r="H562" s="67" t="str">
        <f aca="false">IF(OR($C562="",$D562=""),"",IFERROR($D562*INDEX(Mix_Eff,MATCH($C562,Mix_Code,0),3),""))</f>
        <v/>
      </c>
      <c r="I562" s="67" t="str">
        <f aca="false">IF(OR($C562="",$D562=""),"",IFERROR($D562*INDEX(Mix_Eff,MATCH($C562,Mix_Code,0),4),""))</f>
        <v/>
      </c>
      <c r="J562" s="67" t="str">
        <f aca="false">IF(OR($C562="",$D562=""),"",IFERROR($D562*INDEX(Mix_Eff,MATCH($C562,Mix_Code,0),5),""))</f>
        <v/>
      </c>
      <c r="K562" s="63"/>
      <c r="L562" s="16" t="str">
        <f aca="false">IF(AND($A562="",$B562="",$C562="",$D562=""),"",IF($A562="","⚠ Date missing",IF($B562="","⚠ Site missing",IF(ISNA(MATCH($C562,Mix_Code,0)),"⚠ Unknown mix code",IF($D562="","⚠ Enter m3 produced",IF(COUNTIF(CI_Site,$B562)=0,"⚠ Site not set up in Current Inventory",IF($A562&gt;AsOfDate,"Future date – not yet deducted","OK")))))))</f>
        <v/>
      </c>
    </row>
    <row r="563" customFormat="false" ht="15" hidden="false" customHeight="false" outlineLevel="0" collapsed="false">
      <c r="A563" s="65"/>
      <c r="B563" s="63"/>
      <c r="C563" s="70"/>
      <c r="D563" s="66"/>
      <c r="E563" s="16" t="str">
        <f aca="false">IF($C563="","",IFERROR(INDEX(Mix_Desc,MATCH($C563,Mix_Code,0)),"⚠ Unknown mix code"))</f>
        <v/>
      </c>
      <c r="F563" s="67" t="str">
        <f aca="false">IF(OR($C563="",$D563=""),"",IFERROR($D563*INDEX(Mix_Eff,MATCH($C563,Mix_Code,0),1),""))</f>
        <v/>
      </c>
      <c r="G563" s="67" t="str">
        <f aca="false">IF(OR($C563="",$D563=""),"",IFERROR($D563*INDEX(Mix_Eff,MATCH($C563,Mix_Code,0),2),""))</f>
        <v/>
      </c>
      <c r="H563" s="67" t="str">
        <f aca="false">IF(OR($C563="",$D563=""),"",IFERROR($D563*INDEX(Mix_Eff,MATCH($C563,Mix_Code,0),3),""))</f>
        <v/>
      </c>
      <c r="I563" s="67" t="str">
        <f aca="false">IF(OR($C563="",$D563=""),"",IFERROR($D563*INDEX(Mix_Eff,MATCH($C563,Mix_Code,0),4),""))</f>
        <v/>
      </c>
      <c r="J563" s="67" t="str">
        <f aca="false">IF(OR($C563="",$D563=""),"",IFERROR($D563*INDEX(Mix_Eff,MATCH($C563,Mix_Code,0),5),""))</f>
        <v/>
      </c>
      <c r="K563" s="63"/>
      <c r="L563" s="16" t="str">
        <f aca="false">IF(AND($A563="",$B563="",$C563="",$D563=""),"",IF($A563="","⚠ Date missing",IF($B563="","⚠ Site missing",IF(ISNA(MATCH($C563,Mix_Code,0)),"⚠ Unknown mix code",IF($D563="","⚠ Enter m3 produced",IF(COUNTIF(CI_Site,$B563)=0,"⚠ Site not set up in Current Inventory",IF($A563&gt;AsOfDate,"Future date – not yet deducted","OK")))))))</f>
        <v/>
      </c>
    </row>
    <row r="564" customFormat="false" ht="15" hidden="false" customHeight="false" outlineLevel="0" collapsed="false">
      <c r="A564" s="65"/>
      <c r="B564" s="63"/>
      <c r="C564" s="70"/>
      <c r="D564" s="66"/>
      <c r="E564" s="16" t="str">
        <f aca="false">IF($C564="","",IFERROR(INDEX(Mix_Desc,MATCH($C564,Mix_Code,0)),"⚠ Unknown mix code"))</f>
        <v/>
      </c>
      <c r="F564" s="67" t="str">
        <f aca="false">IF(OR($C564="",$D564=""),"",IFERROR($D564*INDEX(Mix_Eff,MATCH($C564,Mix_Code,0),1),""))</f>
        <v/>
      </c>
      <c r="G564" s="67" t="str">
        <f aca="false">IF(OR($C564="",$D564=""),"",IFERROR($D564*INDEX(Mix_Eff,MATCH($C564,Mix_Code,0),2),""))</f>
        <v/>
      </c>
      <c r="H564" s="67" t="str">
        <f aca="false">IF(OR($C564="",$D564=""),"",IFERROR($D564*INDEX(Mix_Eff,MATCH($C564,Mix_Code,0),3),""))</f>
        <v/>
      </c>
      <c r="I564" s="67" t="str">
        <f aca="false">IF(OR($C564="",$D564=""),"",IFERROR($D564*INDEX(Mix_Eff,MATCH($C564,Mix_Code,0),4),""))</f>
        <v/>
      </c>
      <c r="J564" s="67" t="str">
        <f aca="false">IF(OR($C564="",$D564=""),"",IFERROR($D564*INDEX(Mix_Eff,MATCH($C564,Mix_Code,0),5),""))</f>
        <v/>
      </c>
      <c r="K564" s="63"/>
      <c r="L564" s="16" t="str">
        <f aca="false">IF(AND($A564="",$B564="",$C564="",$D564=""),"",IF($A564="","⚠ Date missing",IF($B564="","⚠ Site missing",IF(ISNA(MATCH($C564,Mix_Code,0)),"⚠ Unknown mix code",IF($D564="","⚠ Enter m3 produced",IF(COUNTIF(CI_Site,$B564)=0,"⚠ Site not set up in Current Inventory",IF($A564&gt;AsOfDate,"Future date – not yet deducted","OK")))))))</f>
        <v/>
      </c>
    </row>
    <row r="565" customFormat="false" ht="15" hidden="false" customHeight="false" outlineLevel="0" collapsed="false">
      <c r="A565" s="65"/>
      <c r="B565" s="63"/>
      <c r="C565" s="70"/>
      <c r="D565" s="66"/>
      <c r="E565" s="16" t="str">
        <f aca="false">IF($C565="","",IFERROR(INDEX(Mix_Desc,MATCH($C565,Mix_Code,0)),"⚠ Unknown mix code"))</f>
        <v/>
      </c>
      <c r="F565" s="67" t="str">
        <f aca="false">IF(OR($C565="",$D565=""),"",IFERROR($D565*INDEX(Mix_Eff,MATCH($C565,Mix_Code,0),1),""))</f>
        <v/>
      </c>
      <c r="G565" s="67" t="str">
        <f aca="false">IF(OR($C565="",$D565=""),"",IFERROR($D565*INDEX(Mix_Eff,MATCH($C565,Mix_Code,0),2),""))</f>
        <v/>
      </c>
      <c r="H565" s="67" t="str">
        <f aca="false">IF(OR($C565="",$D565=""),"",IFERROR($D565*INDEX(Mix_Eff,MATCH($C565,Mix_Code,0),3),""))</f>
        <v/>
      </c>
      <c r="I565" s="67" t="str">
        <f aca="false">IF(OR($C565="",$D565=""),"",IFERROR($D565*INDEX(Mix_Eff,MATCH($C565,Mix_Code,0),4),""))</f>
        <v/>
      </c>
      <c r="J565" s="67" t="str">
        <f aca="false">IF(OR($C565="",$D565=""),"",IFERROR($D565*INDEX(Mix_Eff,MATCH($C565,Mix_Code,0),5),""))</f>
        <v/>
      </c>
      <c r="K565" s="63"/>
      <c r="L565" s="16" t="str">
        <f aca="false">IF(AND($A565="",$B565="",$C565="",$D565=""),"",IF($A565="","⚠ Date missing",IF($B565="","⚠ Site missing",IF(ISNA(MATCH($C565,Mix_Code,0)),"⚠ Unknown mix code",IF($D565="","⚠ Enter m3 produced",IF(COUNTIF(CI_Site,$B565)=0,"⚠ Site not set up in Current Inventory",IF($A565&gt;AsOfDate,"Future date – not yet deducted","OK")))))))</f>
        <v/>
      </c>
    </row>
    <row r="566" customFormat="false" ht="15" hidden="false" customHeight="false" outlineLevel="0" collapsed="false">
      <c r="A566" s="65"/>
      <c r="B566" s="63"/>
      <c r="C566" s="70"/>
      <c r="D566" s="66"/>
      <c r="E566" s="16" t="str">
        <f aca="false">IF($C566="","",IFERROR(INDEX(Mix_Desc,MATCH($C566,Mix_Code,0)),"⚠ Unknown mix code"))</f>
        <v/>
      </c>
      <c r="F566" s="67" t="str">
        <f aca="false">IF(OR($C566="",$D566=""),"",IFERROR($D566*INDEX(Mix_Eff,MATCH($C566,Mix_Code,0),1),""))</f>
        <v/>
      </c>
      <c r="G566" s="67" t="str">
        <f aca="false">IF(OR($C566="",$D566=""),"",IFERROR($D566*INDEX(Mix_Eff,MATCH($C566,Mix_Code,0),2),""))</f>
        <v/>
      </c>
      <c r="H566" s="67" t="str">
        <f aca="false">IF(OR($C566="",$D566=""),"",IFERROR($D566*INDEX(Mix_Eff,MATCH($C566,Mix_Code,0),3),""))</f>
        <v/>
      </c>
      <c r="I566" s="67" t="str">
        <f aca="false">IF(OR($C566="",$D566=""),"",IFERROR($D566*INDEX(Mix_Eff,MATCH($C566,Mix_Code,0),4),""))</f>
        <v/>
      </c>
      <c r="J566" s="67" t="str">
        <f aca="false">IF(OR($C566="",$D566=""),"",IFERROR($D566*INDEX(Mix_Eff,MATCH($C566,Mix_Code,0),5),""))</f>
        <v/>
      </c>
      <c r="K566" s="63"/>
      <c r="L566" s="16" t="str">
        <f aca="false">IF(AND($A566="",$B566="",$C566="",$D566=""),"",IF($A566="","⚠ Date missing",IF($B566="","⚠ Site missing",IF(ISNA(MATCH($C566,Mix_Code,0)),"⚠ Unknown mix code",IF($D566="","⚠ Enter m3 produced",IF(COUNTIF(CI_Site,$B566)=0,"⚠ Site not set up in Current Inventory",IF($A566&gt;AsOfDate,"Future date – not yet deducted","OK")))))))</f>
        <v/>
      </c>
    </row>
    <row r="567" customFormat="false" ht="15" hidden="false" customHeight="false" outlineLevel="0" collapsed="false">
      <c r="A567" s="65"/>
      <c r="B567" s="63"/>
      <c r="C567" s="70"/>
      <c r="D567" s="66"/>
      <c r="E567" s="16" t="str">
        <f aca="false">IF($C567="","",IFERROR(INDEX(Mix_Desc,MATCH($C567,Mix_Code,0)),"⚠ Unknown mix code"))</f>
        <v/>
      </c>
      <c r="F567" s="67" t="str">
        <f aca="false">IF(OR($C567="",$D567=""),"",IFERROR($D567*INDEX(Mix_Eff,MATCH($C567,Mix_Code,0),1),""))</f>
        <v/>
      </c>
      <c r="G567" s="67" t="str">
        <f aca="false">IF(OR($C567="",$D567=""),"",IFERROR($D567*INDEX(Mix_Eff,MATCH($C567,Mix_Code,0),2),""))</f>
        <v/>
      </c>
      <c r="H567" s="67" t="str">
        <f aca="false">IF(OR($C567="",$D567=""),"",IFERROR($D567*INDEX(Mix_Eff,MATCH($C567,Mix_Code,0),3),""))</f>
        <v/>
      </c>
      <c r="I567" s="67" t="str">
        <f aca="false">IF(OR($C567="",$D567=""),"",IFERROR($D567*INDEX(Mix_Eff,MATCH($C567,Mix_Code,0),4),""))</f>
        <v/>
      </c>
      <c r="J567" s="67" t="str">
        <f aca="false">IF(OR($C567="",$D567=""),"",IFERROR($D567*INDEX(Mix_Eff,MATCH($C567,Mix_Code,0),5),""))</f>
        <v/>
      </c>
      <c r="K567" s="63"/>
      <c r="L567" s="16" t="str">
        <f aca="false">IF(AND($A567="",$B567="",$C567="",$D567=""),"",IF($A567="","⚠ Date missing",IF($B567="","⚠ Site missing",IF(ISNA(MATCH($C567,Mix_Code,0)),"⚠ Unknown mix code",IF($D567="","⚠ Enter m3 produced",IF(COUNTIF(CI_Site,$B567)=0,"⚠ Site not set up in Current Inventory",IF($A567&gt;AsOfDate,"Future date – not yet deducted","OK")))))))</f>
        <v/>
      </c>
    </row>
    <row r="568" customFormat="false" ht="15" hidden="false" customHeight="false" outlineLevel="0" collapsed="false">
      <c r="A568" s="65"/>
      <c r="B568" s="63"/>
      <c r="C568" s="70"/>
      <c r="D568" s="66"/>
      <c r="E568" s="16" t="str">
        <f aca="false">IF($C568="","",IFERROR(INDEX(Mix_Desc,MATCH($C568,Mix_Code,0)),"⚠ Unknown mix code"))</f>
        <v/>
      </c>
      <c r="F568" s="67" t="str">
        <f aca="false">IF(OR($C568="",$D568=""),"",IFERROR($D568*INDEX(Mix_Eff,MATCH($C568,Mix_Code,0),1),""))</f>
        <v/>
      </c>
      <c r="G568" s="67" t="str">
        <f aca="false">IF(OR($C568="",$D568=""),"",IFERROR($D568*INDEX(Mix_Eff,MATCH($C568,Mix_Code,0),2),""))</f>
        <v/>
      </c>
      <c r="H568" s="67" t="str">
        <f aca="false">IF(OR($C568="",$D568=""),"",IFERROR($D568*INDEX(Mix_Eff,MATCH($C568,Mix_Code,0),3),""))</f>
        <v/>
      </c>
      <c r="I568" s="67" t="str">
        <f aca="false">IF(OR($C568="",$D568=""),"",IFERROR($D568*INDEX(Mix_Eff,MATCH($C568,Mix_Code,0),4),""))</f>
        <v/>
      </c>
      <c r="J568" s="67" t="str">
        <f aca="false">IF(OR($C568="",$D568=""),"",IFERROR($D568*INDEX(Mix_Eff,MATCH($C568,Mix_Code,0),5),""))</f>
        <v/>
      </c>
      <c r="K568" s="63"/>
      <c r="L568" s="16" t="str">
        <f aca="false">IF(AND($A568="",$B568="",$C568="",$D568=""),"",IF($A568="","⚠ Date missing",IF($B568="","⚠ Site missing",IF(ISNA(MATCH($C568,Mix_Code,0)),"⚠ Unknown mix code",IF($D568="","⚠ Enter m3 produced",IF(COUNTIF(CI_Site,$B568)=0,"⚠ Site not set up in Current Inventory",IF($A568&gt;AsOfDate,"Future date – not yet deducted","OK")))))))</f>
        <v/>
      </c>
    </row>
    <row r="569" customFormat="false" ht="15" hidden="false" customHeight="false" outlineLevel="0" collapsed="false">
      <c r="A569" s="65"/>
      <c r="B569" s="63"/>
      <c r="C569" s="70"/>
      <c r="D569" s="66"/>
      <c r="E569" s="16" t="str">
        <f aca="false">IF($C569="","",IFERROR(INDEX(Mix_Desc,MATCH($C569,Mix_Code,0)),"⚠ Unknown mix code"))</f>
        <v/>
      </c>
      <c r="F569" s="67" t="str">
        <f aca="false">IF(OR($C569="",$D569=""),"",IFERROR($D569*INDEX(Mix_Eff,MATCH($C569,Mix_Code,0),1),""))</f>
        <v/>
      </c>
      <c r="G569" s="67" t="str">
        <f aca="false">IF(OR($C569="",$D569=""),"",IFERROR($D569*INDEX(Mix_Eff,MATCH($C569,Mix_Code,0),2),""))</f>
        <v/>
      </c>
      <c r="H569" s="67" t="str">
        <f aca="false">IF(OR($C569="",$D569=""),"",IFERROR($D569*INDEX(Mix_Eff,MATCH($C569,Mix_Code,0),3),""))</f>
        <v/>
      </c>
      <c r="I569" s="67" t="str">
        <f aca="false">IF(OR($C569="",$D569=""),"",IFERROR($D569*INDEX(Mix_Eff,MATCH($C569,Mix_Code,0),4),""))</f>
        <v/>
      </c>
      <c r="J569" s="67" t="str">
        <f aca="false">IF(OR($C569="",$D569=""),"",IFERROR($D569*INDEX(Mix_Eff,MATCH($C569,Mix_Code,0),5),""))</f>
        <v/>
      </c>
      <c r="K569" s="63"/>
      <c r="L569" s="16" t="str">
        <f aca="false">IF(AND($A569="",$B569="",$C569="",$D569=""),"",IF($A569="","⚠ Date missing",IF($B569="","⚠ Site missing",IF(ISNA(MATCH($C569,Mix_Code,0)),"⚠ Unknown mix code",IF($D569="","⚠ Enter m3 produced",IF(COUNTIF(CI_Site,$B569)=0,"⚠ Site not set up in Current Inventory",IF($A569&gt;AsOfDate,"Future date – not yet deducted","OK")))))))</f>
        <v/>
      </c>
    </row>
    <row r="570" customFormat="false" ht="15" hidden="false" customHeight="false" outlineLevel="0" collapsed="false">
      <c r="A570" s="65"/>
      <c r="B570" s="63"/>
      <c r="C570" s="70"/>
      <c r="D570" s="66"/>
      <c r="E570" s="16" t="str">
        <f aca="false">IF($C570="","",IFERROR(INDEX(Mix_Desc,MATCH($C570,Mix_Code,0)),"⚠ Unknown mix code"))</f>
        <v/>
      </c>
      <c r="F570" s="67" t="str">
        <f aca="false">IF(OR($C570="",$D570=""),"",IFERROR($D570*INDEX(Mix_Eff,MATCH($C570,Mix_Code,0),1),""))</f>
        <v/>
      </c>
      <c r="G570" s="67" t="str">
        <f aca="false">IF(OR($C570="",$D570=""),"",IFERROR($D570*INDEX(Mix_Eff,MATCH($C570,Mix_Code,0),2),""))</f>
        <v/>
      </c>
      <c r="H570" s="67" t="str">
        <f aca="false">IF(OR($C570="",$D570=""),"",IFERROR($D570*INDEX(Mix_Eff,MATCH($C570,Mix_Code,0),3),""))</f>
        <v/>
      </c>
      <c r="I570" s="67" t="str">
        <f aca="false">IF(OR($C570="",$D570=""),"",IFERROR($D570*INDEX(Mix_Eff,MATCH($C570,Mix_Code,0),4),""))</f>
        <v/>
      </c>
      <c r="J570" s="67" t="str">
        <f aca="false">IF(OR($C570="",$D570=""),"",IFERROR($D570*INDEX(Mix_Eff,MATCH($C570,Mix_Code,0),5),""))</f>
        <v/>
      </c>
      <c r="K570" s="63"/>
      <c r="L570" s="16" t="str">
        <f aca="false">IF(AND($A570="",$B570="",$C570="",$D570=""),"",IF($A570="","⚠ Date missing",IF($B570="","⚠ Site missing",IF(ISNA(MATCH($C570,Mix_Code,0)),"⚠ Unknown mix code",IF($D570="","⚠ Enter m3 produced",IF(COUNTIF(CI_Site,$B570)=0,"⚠ Site not set up in Current Inventory",IF($A570&gt;AsOfDate,"Future date – not yet deducted","OK")))))))</f>
        <v/>
      </c>
    </row>
    <row r="571" customFormat="false" ht="15" hidden="false" customHeight="false" outlineLevel="0" collapsed="false">
      <c r="A571" s="65"/>
      <c r="B571" s="63"/>
      <c r="C571" s="70"/>
      <c r="D571" s="66"/>
      <c r="E571" s="16" t="str">
        <f aca="false">IF($C571="","",IFERROR(INDEX(Mix_Desc,MATCH($C571,Mix_Code,0)),"⚠ Unknown mix code"))</f>
        <v/>
      </c>
      <c r="F571" s="67" t="str">
        <f aca="false">IF(OR($C571="",$D571=""),"",IFERROR($D571*INDEX(Mix_Eff,MATCH($C571,Mix_Code,0),1),""))</f>
        <v/>
      </c>
      <c r="G571" s="67" t="str">
        <f aca="false">IF(OR($C571="",$D571=""),"",IFERROR($D571*INDEX(Mix_Eff,MATCH($C571,Mix_Code,0),2),""))</f>
        <v/>
      </c>
      <c r="H571" s="67" t="str">
        <f aca="false">IF(OR($C571="",$D571=""),"",IFERROR($D571*INDEX(Mix_Eff,MATCH($C571,Mix_Code,0),3),""))</f>
        <v/>
      </c>
      <c r="I571" s="67" t="str">
        <f aca="false">IF(OR($C571="",$D571=""),"",IFERROR($D571*INDEX(Mix_Eff,MATCH($C571,Mix_Code,0),4),""))</f>
        <v/>
      </c>
      <c r="J571" s="67" t="str">
        <f aca="false">IF(OR($C571="",$D571=""),"",IFERROR($D571*INDEX(Mix_Eff,MATCH($C571,Mix_Code,0),5),""))</f>
        <v/>
      </c>
      <c r="K571" s="63"/>
      <c r="L571" s="16" t="str">
        <f aca="false">IF(AND($A571="",$B571="",$C571="",$D571=""),"",IF($A571="","⚠ Date missing",IF($B571="","⚠ Site missing",IF(ISNA(MATCH($C571,Mix_Code,0)),"⚠ Unknown mix code",IF($D571="","⚠ Enter m3 produced",IF(COUNTIF(CI_Site,$B571)=0,"⚠ Site not set up in Current Inventory",IF($A571&gt;AsOfDate,"Future date – not yet deducted","OK")))))))</f>
        <v/>
      </c>
    </row>
    <row r="572" customFormat="false" ht="15" hidden="false" customHeight="false" outlineLevel="0" collapsed="false">
      <c r="A572" s="65"/>
      <c r="B572" s="63"/>
      <c r="C572" s="70"/>
      <c r="D572" s="66"/>
      <c r="E572" s="16" t="str">
        <f aca="false">IF($C572="","",IFERROR(INDEX(Mix_Desc,MATCH($C572,Mix_Code,0)),"⚠ Unknown mix code"))</f>
        <v/>
      </c>
      <c r="F572" s="67" t="str">
        <f aca="false">IF(OR($C572="",$D572=""),"",IFERROR($D572*INDEX(Mix_Eff,MATCH($C572,Mix_Code,0),1),""))</f>
        <v/>
      </c>
      <c r="G572" s="67" t="str">
        <f aca="false">IF(OR($C572="",$D572=""),"",IFERROR($D572*INDEX(Mix_Eff,MATCH($C572,Mix_Code,0),2),""))</f>
        <v/>
      </c>
      <c r="H572" s="67" t="str">
        <f aca="false">IF(OR($C572="",$D572=""),"",IFERROR($D572*INDEX(Mix_Eff,MATCH($C572,Mix_Code,0),3),""))</f>
        <v/>
      </c>
      <c r="I572" s="67" t="str">
        <f aca="false">IF(OR($C572="",$D572=""),"",IFERROR($D572*INDEX(Mix_Eff,MATCH($C572,Mix_Code,0),4),""))</f>
        <v/>
      </c>
      <c r="J572" s="67" t="str">
        <f aca="false">IF(OR($C572="",$D572=""),"",IFERROR($D572*INDEX(Mix_Eff,MATCH($C572,Mix_Code,0),5),""))</f>
        <v/>
      </c>
      <c r="K572" s="63"/>
      <c r="L572" s="16" t="str">
        <f aca="false">IF(AND($A572="",$B572="",$C572="",$D572=""),"",IF($A572="","⚠ Date missing",IF($B572="","⚠ Site missing",IF(ISNA(MATCH($C572,Mix_Code,0)),"⚠ Unknown mix code",IF($D572="","⚠ Enter m3 produced",IF(COUNTIF(CI_Site,$B572)=0,"⚠ Site not set up in Current Inventory",IF($A572&gt;AsOfDate,"Future date – not yet deducted","OK")))))))</f>
        <v/>
      </c>
    </row>
    <row r="573" customFormat="false" ht="15" hidden="false" customHeight="false" outlineLevel="0" collapsed="false">
      <c r="A573" s="65"/>
      <c r="B573" s="63"/>
      <c r="C573" s="70"/>
      <c r="D573" s="66"/>
      <c r="E573" s="16" t="str">
        <f aca="false">IF($C573="","",IFERROR(INDEX(Mix_Desc,MATCH($C573,Mix_Code,0)),"⚠ Unknown mix code"))</f>
        <v/>
      </c>
      <c r="F573" s="67" t="str">
        <f aca="false">IF(OR($C573="",$D573=""),"",IFERROR($D573*INDEX(Mix_Eff,MATCH($C573,Mix_Code,0),1),""))</f>
        <v/>
      </c>
      <c r="G573" s="67" t="str">
        <f aca="false">IF(OR($C573="",$D573=""),"",IFERROR($D573*INDEX(Mix_Eff,MATCH($C573,Mix_Code,0),2),""))</f>
        <v/>
      </c>
      <c r="H573" s="67" t="str">
        <f aca="false">IF(OR($C573="",$D573=""),"",IFERROR($D573*INDEX(Mix_Eff,MATCH($C573,Mix_Code,0),3),""))</f>
        <v/>
      </c>
      <c r="I573" s="67" t="str">
        <f aca="false">IF(OR($C573="",$D573=""),"",IFERROR($D573*INDEX(Mix_Eff,MATCH($C573,Mix_Code,0),4),""))</f>
        <v/>
      </c>
      <c r="J573" s="67" t="str">
        <f aca="false">IF(OR($C573="",$D573=""),"",IFERROR($D573*INDEX(Mix_Eff,MATCH($C573,Mix_Code,0),5),""))</f>
        <v/>
      </c>
      <c r="K573" s="63"/>
      <c r="L573" s="16" t="str">
        <f aca="false">IF(AND($A573="",$B573="",$C573="",$D573=""),"",IF($A573="","⚠ Date missing",IF($B573="","⚠ Site missing",IF(ISNA(MATCH($C573,Mix_Code,0)),"⚠ Unknown mix code",IF($D573="","⚠ Enter m3 produced",IF(COUNTIF(CI_Site,$B573)=0,"⚠ Site not set up in Current Inventory",IF($A573&gt;AsOfDate,"Future date – not yet deducted","OK")))))))</f>
        <v/>
      </c>
    </row>
    <row r="574" customFormat="false" ht="15" hidden="false" customHeight="false" outlineLevel="0" collapsed="false">
      <c r="A574" s="65"/>
      <c r="B574" s="63"/>
      <c r="C574" s="70"/>
      <c r="D574" s="66"/>
      <c r="E574" s="16" t="str">
        <f aca="false">IF($C574="","",IFERROR(INDEX(Mix_Desc,MATCH($C574,Mix_Code,0)),"⚠ Unknown mix code"))</f>
        <v/>
      </c>
      <c r="F574" s="67" t="str">
        <f aca="false">IF(OR($C574="",$D574=""),"",IFERROR($D574*INDEX(Mix_Eff,MATCH($C574,Mix_Code,0),1),""))</f>
        <v/>
      </c>
      <c r="G574" s="67" t="str">
        <f aca="false">IF(OR($C574="",$D574=""),"",IFERROR($D574*INDEX(Mix_Eff,MATCH($C574,Mix_Code,0),2),""))</f>
        <v/>
      </c>
      <c r="H574" s="67" t="str">
        <f aca="false">IF(OR($C574="",$D574=""),"",IFERROR($D574*INDEX(Mix_Eff,MATCH($C574,Mix_Code,0),3),""))</f>
        <v/>
      </c>
      <c r="I574" s="67" t="str">
        <f aca="false">IF(OR($C574="",$D574=""),"",IFERROR($D574*INDEX(Mix_Eff,MATCH($C574,Mix_Code,0),4),""))</f>
        <v/>
      </c>
      <c r="J574" s="67" t="str">
        <f aca="false">IF(OR($C574="",$D574=""),"",IFERROR($D574*INDEX(Mix_Eff,MATCH($C574,Mix_Code,0),5),""))</f>
        <v/>
      </c>
      <c r="K574" s="63"/>
      <c r="L574" s="16" t="str">
        <f aca="false">IF(AND($A574="",$B574="",$C574="",$D574=""),"",IF($A574="","⚠ Date missing",IF($B574="","⚠ Site missing",IF(ISNA(MATCH($C574,Mix_Code,0)),"⚠ Unknown mix code",IF($D574="","⚠ Enter m3 produced",IF(COUNTIF(CI_Site,$B574)=0,"⚠ Site not set up in Current Inventory",IF($A574&gt;AsOfDate,"Future date – not yet deducted","OK")))))))</f>
        <v/>
      </c>
    </row>
    <row r="575" customFormat="false" ht="15" hidden="false" customHeight="false" outlineLevel="0" collapsed="false">
      <c r="A575" s="65"/>
      <c r="B575" s="63"/>
      <c r="C575" s="70"/>
      <c r="D575" s="66"/>
      <c r="E575" s="16" t="str">
        <f aca="false">IF($C575="","",IFERROR(INDEX(Mix_Desc,MATCH($C575,Mix_Code,0)),"⚠ Unknown mix code"))</f>
        <v/>
      </c>
      <c r="F575" s="67" t="str">
        <f aca="false">IF(OR($C575="",$D575=""),"",IFERROR($D575*INDEX(Mix_Eff,MATCH($C575,Mix_Code,0),1),""))</f>
        <v/>
      </c>
      <c r="G575" s="67" t="str">
        <f aca="false">IF(OR($C575="",$D575=""),"",IFERROR($D575*INDEX(Mix_Eff,MATCH($C575,Mix_Code,0),2),""))</f>
        <v/>
      </c>
      <c r="H575" s="67" t="str">
        <f aca="false">IF(OR($C575="",$D575=""),"",IFERROR($D575*INDEX(Mix_Eff,MATCH($C575,Mix_Code,0),3),""))</f>
        <v/>
      </c>
      <c r="I575" s="67" t="str">
        <f aca="false">IF(OR($C575="",$D575=""),"",IFERROR($D575*INDEX(Mix_Eff,MATCH($C575,Mix_Code,0),4),""))</f>
        <v/>
      </c>
      <c r="J575" s="67" t="str">
        <f aca="false">IF(OR($C575="",$D575=""),"",IFERROR($D575*INDEX(Mix_Eff,MATCH($C575,Mix_Code,0),5),""))</f>
        <v/>
      </c>
      <c r="K575" s="63"/>
      <c r="L575" s="16" t="str">
        <f aca="false">IF(AND($A575="",$B575="",$C575="",$D575=""),"",IF($A575="","⚠ Date missing",IF($B575="","⚠ Site missing",IF(ISNA(MATCH($C575,Mix_Code,0)),"⚠ Unknown mix code",IF($D575="","⚠ Enter m3 produced",IF(COUNTIF(CI_Site,$B575)=0,"⚠ Site not set up in Current Inventory",IF($A575&gt;AsOfDate,"Future date – not yet deducted","OK")))))))</f>
        <v/>
      </c>
    </row>
    <row r="576" customFormat="false" ht="15" hidden="false" customHeight="false" outlineLevel="0" collapsed="false">
      <c r="A576" s="65"/>
      <c r="B576" s="63"/>
      <c r="C576" s="70"/>
      <c r="D576" s="66"/>
      <c r="E576" s="16" t="str">
        <f aca="false">IF($C576="","",IFERROR(INDEX(Mix_Desc,MATCH($C576,Mix_Code,0)),"⚠ Unknown mix code"))</f>
        <v/>
      </c>
      <c r="F576" s="67" t="str">
        <f aca="false">IF(OR($C576="",$D576=""),"",IFERROR($D576*INDEX(Mix_Eff,MATCH($C576,Mix_Code,0),1),""))</f>
        <v/>
      </c>
      <c r="G576" s="67" t="str">
        <f aca="false">IF(OR($C576="",$D576=""),"",IFERROR($D576*INDEX(Mix_Eff,MATCH($C576,Mix_Code,0),2),""))</f>
        <v/>
      </c>
      <c r="H576" s="67" t="str">
        <f aca="false">IF(OR($C576="",$D576=""),"",IFERROR($D576*INDEX(Mix_Eff,MATCH($C576,Mix_Code,0),3),""))</f>
        <v/>
      </c>
      <c r="I576" s="67" t="str">
        <f aca="false">IF(OR($C576="",$D576=""),"",IFERROR($D576*INDEX(Mix_Eff,MATCH($C576,Mix_Code,0),4),""))</f>
        <v/>
      </c>
      <c r="J576" s="67" t="str">
        <f aca="false">IF(OR($C576="",$D576=""),"",IFERROR($D576*INDEX(Mix_Eff,MATCH($C576,Mix_Code,0),5),""))</f>
        <v/>
      </c>
      <c r="K576" s="63"/>
      <c r="L576" s="16" t="str">
        <f aca="false">IF(AND($A576="",$B576="",$C576="",$D576=""),"",IF($A576="","⚠ Date missing",IF($B576="","⚠ Site missing",IF(ISNA(MATCH($C576,Mix_Code,0)),"⚠ Unknown mix code",IF($D576="","⚠ Enter m3 produced",IF(COUNTIF(CI_Site,$B576)=0,"⚠ Site not set up in Current Inventory",IF($A576&gt;AsOfDate,"Future date – not yet deducted","OK")))))))</f>
        <v/>
      </c>
    </row>
    <row r="577" customFormat="false" ht="15" hidden="false" customHeight="false" outlineLevel="0" collapsed="false">
      <c r="A577" s="65"/>
      <c r="B577" s="63"/>
      <c r="C577" s="70"/>
      <c r="D577" s="66"/>
      <c r="E577" s="16" t="str">
        <f aca="false">IF($C577="","",IFERROR(INDEX(Mix_Desc,MATCH($C577,Mix_Code,0)),"⚠ Unknown mix code"))</f>
        <v/>
      </c>
      <c r="F577" s="67" t="str">
        <f aca="false">IF(OR($C577="",$D577=""),"",IFERROR($D577*INDEX(Mix_Eff,MATCH($C577,Mix_Code,0),1),""))</f>
        <v/>
      </c>
      <c r="G577" s="67" t="str">
        <f aca="false">IF(OR($C577="",$D577=""),"",IFERROR($D577*INDEX(Mix_Eff,MATCH($C577,Mix_Code,0),2),""))</f>
        <v/>
      </c>
      <c r="H577" s="67" t="str">
        <f aca="false">IF(OR($C577="",$D577=""),"",IFERROR($D577*INDEX(Mix_Eff,MATCH($C577,Mix_Code,0),3),""))</f>
        <v/>
      </c>
      <c r="I577" s="67" t="str">
        <f aca="false">IF(OR($C577="",$D577=""),"",IFERROR($D577*INDEX(Mix_Eff,MATCH($C577,Mix_Code,0),4),""))</f>
        <v/>
      </c>
      <c r="J577" s="67" t="str">
        <f aca="false">IF(OR($C577="",$D577=""),"",IFERROR($D577*INDEX(Mix_Eff,MATCH($C577,Mix_Code,0),5),""))</f>
        <v/>
      </c>
      <c r="K577" s="63"/>
      <c r="L577" s="16" t="str">
        <f aca="false">IF(AND($A577="",$B577="",$C577="",$D577=""),"",IF($A577="","⚠ Date missing",IF($B577="","⚠ Site missing",IF(ISNA(MATCH($C577,Mix_Code,0)),"⚠ Unknown mix code",IF($D577="","⚠ Enter m3 produced",IF(COUNTIF(CI_Site,$B577)=0,"⚠ Site not set up in Current Inventory",IF($A577&gt;AsOfDate,"Future date – not yet deducted","OK")))))))</f>
        <v/>
      </c>
    </row>
    <row r="578" customFormat="false" ht="15" hidden="false" customHeight="false" outlineLevel="0" collapsed="false">
      <c r="A578" s="65"/>
      <c r="B578" s="63"/>
      <c r="C578" s="70"/>
      <c r="D578" s="66"/>
      <c r="E578" s="16" t="str">
        <f aca="false">IF($C578="","",IFERROR(INDEX(Mix_Desc,MATCH($C578,Mix_Code,0)),"⚠ Unknown mix code"))</f>
        <v/>
      </c>
      <c r="F578" s="67" t="str">
        <f aca="false">IF(OR($C578="",$D578=""),"",IFERROR($D578*INDEX(Mix_Eff,MATCH($C578,Mix_Code,0),1),""))</f>
        <v/>
      </c>
      <c r="G578" s="67" t="str">
        <f aca="false">IF(OR($C578="",$D578=""),"",IFERROR($D578*INDEX(Mix_Eff,MATCH($C578,Mix_Code,0),2),""))</f>
        <v/>
      </c>
      <c r="H578" s="67" t="str">
        <f aca="false">IF(OR($C578="",$D578=""),"",IFERROR($D578*INDEX(Mix_Eff,MATCH($C578,Mix_Code,0),3),""))</f>
        <v/>
      </c>
      <c r="I578" s="67" t="str">
        <f aca="false">IF(OR($C578="",$D578=""),"",IFERROR($D578*INDEX(Mix_Eff,MATCH($C578,Mix_Code,0),4),""))</f>
        <v/>
      </c>
      <c r="J578" s="67" t="str">
        <f aca="false">IF(OR($C578="",$D578=""),"",IFERROR($D578*INDEX(Mix_Eff,MATCH($C578,Mix_Code,0),5),""))</f>
        <v/>
      </c>
      <c r="K578" s="63"/>
      <c r="L578" s="16" t="str">
        <f aca="false">IF(AND($A578="",$B578="",$C578="",$D578=""),"",IF($A578="","⚠ Date missing",IF($B578="","⚠ Site missing",IF(ISNA(MATCH($C578,Mix_Code,0)),"⚠ Unknown mix code",IF($D578="","⚠ Enter m3 produced",IF(COUNTIF(CI_Site,$B578)=0,"⚠ Site not set up in Current Inventory",IF($A578&gt;AsOfDate,"Future date – not yet deducted","OK")))))))</f>
        <v/>
      </c>
    </row>
    <row r="579" customFormat="false" ht="15" hidden="false" customHeight="false" outlineLevel="0" collapsed="false">
      <c r="A579" s="65"/>
      <c r="B579" s="63"/>
      <c r="C579" s="70"/>
      <c r="D579" s="66"/>
      <c r="E579" s="16" t="str">
        <f aca="false">IF($C579="","",IFERROR(INDEX(Mix_Desc,MATCH($C579,Mix_Code,0)),"⚠ Unknown mix code"))</f>
        <v/>
      </c>
      <c r="F579" s="67" t="str">
        <f aca="false">IF(OR($C579="",$D579=""),"",IFERROR($D579*INDEX(Mix_Eff,MATCH($C579,Mix_Code,0),1),""))</f>
        <v/>
      </c>
      <c r="G579" s="67" t="str">
        <f aca="false">IF(OR($C579="",$D579=""),"",IFERROR($D579*INDEX(Mix_Eff,MATCH($C579,Mix_Code,0),2),""))</f>
        <v/>
      </c>
      <c r="H579" s="67" t="str">
        <f aca="false">IF(OR($C579="",$D579=""),"",IFERROR($D579*INDEX(Mix_Eff,MATCH($C579,Mix_Code,0),3),""))</f>
        <v/>
      </c>
      <c r="I579" s="67" t="str">
        <f aca="false">IF(OR($C579="",$D579=""),"",IFERROR($D579*INDEX(Mix_Eff,MATCH($C579,Mix_Code,0),4),""))</f>
        <v/>
      </c>
      <c r="J579" s="67" t="str">
        <f aca="false">IF(OR($C579="",$D579=""),"",IFERROR($D579*INDEX(Mix_Eff,MATCH($C579,Mix_Code,0),5),""))</f>
        <v/>
      </c>
      <c r="K579" s="63"/>
      <c r="L579" s="16" t="str">
        <f aca="false">IF(AND($A579="",$B579="",$C579="",$D579=""),"",IF($A579="","⚠ Date missing",IF($B579="","⚠ Site missing",IF(ISNA(MATCH($C579,Mix_Code,0)),"⚠ Unknown mix code",IF($D579="","⚠ Enter m3 produced",IF(COUNTIF(CI_Site,$B579)=0,"⚠ Site not set up in Current Inventory",IF($A579&gt;AsOfDate,"Future date – not yet deducted","OK")))))))</f>
        <v/>
      </c>
    </row>
    <row r="580" customFormat="false" ht="15" hidden="false" customHeight="false" outlineLevel="0" collapsed="false">
      <c r="A580" s="65"/>
      <c r="B580" s="63"/>
      <c r="C580" s="70"/>
      <c r="D580" s="66"/>
      <c r="E580" s="16" t="str">
        <f aca="false">IF($C580="","",IFERROR(INDEX(Mix_Desc,MATCH($C580,Mix_Code,0)),"⚠ Unknown mix code"))</f>
        <v/>
      </c>
      <c r="F580" s="67" t="str">
        <f aca="false">IF(OR($C580="",$D580=""),"",IFERROR($D580*INDEX(Mix_Eff,MATCH($C580,Mix_Code,0),1),""))</f>
        <v/>
      </c>
      <c r="G580" s="67" t="str">
        <f aca="false">IF(OR($C580="",$D580=""),"",IFERROR($D580*INDEX(Mix_Eff,MATCH($C580,Mix_Code,0),2),""))</f>
        <v/>
      </c>
      <c r="H580" s="67" t="str">
        <f aca="false">IF(OR($C580="",$D580=""),"",IFERROR($D580*INDEX(Mix_Eff,MATCH($C580,Mix_Code,0),3),""))</f>
        <v/>
      </c>
      <c r="I580" s="67" t="str">
        <f aca="false">IF(OR($C580="",$D580=""),"",IFERROR($D580*INDEX(Mix_Eff,MATCH($C580,Mix_Code,0),4),""))</f>
        <v/>
      </c>
      <c r="J580" s="67" t="str">
        <f aca="false">IF(OR($C580="",$D580=""),"",IFERROR($D580*INDEX(Mix_Eff,MATCH($C580,Mix_Code,0),5),""))</f>
        <v/>
      </c>
      <c r="K580" s="63"/>
      <c r="L580" s="16" t="str">
        <f aca="false">IF(AND($A580="",$B580="",$C580="",$D580=""),"",IF($A580="","⚠ Date missing",IF($B580="","⚠ Site missing",IF(ISNA(MATCH($C580,Mix_Code,0)),"⚠ Unknown mix code",IF($D580="","⚠ Enter m3 produced",IF(COUNTIF(CI_Site,$B580)=0,"⚠ Site not set up in Current Inventory",IF($A580&gt;AsOfDate,"Future date – not yet deducted","OK")))))))</f>
        <v/>
      </c>
    </row>
    <row r="581" customFormat="false" ht="15" hidden="false" customHeight="false" outlineLevel="0" collapsed="false">
      <c r="A581" s="65"/>
      <c r="B581" s="63"/>
      <c r="C581" s="70"/>
      <c r="D581" s="66"/>
      <c r="E581" s="16" t="str">
        <f aca="false">IF($C581="","",IFERROR(INDEX(Mix_Desc,MATCH($C581,Mix_Code,0)),"⚠ Unknown mix code"))</f>
        <v/>
      </c>
      <c r="F581" s="67" t="str">
        <f aca="false">IF(OR($C581="",$D581=""),"",IFERROR($D581*INDEX(Mix_Eff,MATCH($C581,Mix_Code,0),1),""))</f>
        <v/>
      </c>
      <c r="G581" s="67" t="str">
        <f aca="false">IF(OR($C581="",$D581=""),"",IFERROR($D581*INDEX(Mix_Eff,MATCH($C581,Mix_Code,0),2),""))</f>
        <v/>
      </c>
      <c r="H581" s="67" t="str">
        <f aca="false">IF(OR($C581="",$D581=""),"",IFERROR($D581*INDEX(Mix_Eff,MATCH($C581,Mix_Code,0),3),""))</f>
        <v/>
      </c>
      <c r="I581" s="67" t="str">
        <f aca="false">IF(OR($C581="",$D581=""),"",IFERROR($D581*INDEX(Mix_Eff,MATCH($C581,Mix_Code,0),4),""))</f>
        <v/>
      </c>
      <c r="J581" s="67" t="str">
        <f aca="false">IF(OR($C581="",$D581=""),"",IFERROR($D581*INDEX(Mix_Eff,MATCH($C581,Mix_Code,0),5),""))</f>
        <v/>
      </c>
      <c r="K581" s="63"/>
      <c r="L581" s="16" t="str">
        <f aca="false">IF(AND($A581="",$B581="",$C581="",$D581=""),"",IF($A581="","⚠ Date missing",IF($B581="","⚠ Site missing",IF(ISNA(MATCH($C581,Mix_Code,0)),"⚠ Unknown mix code",IF($D581="","⚠ Enter m3 produced",IF(COUNTIF(CI_Site,$B581)=0,"⚠ Site not set up in Current Inventory",IF($A581&gt;AsOfDate,"Future date – not yet deducted","OK")))))))</f>
        <v/>
      </c>
    </row>
    <row r="582" customFormat="false" ht="15" hidden="false" customHeight="false" outlineLevel="0" collapsed="false">
      <c r="A582" s="65"/>
      <c r="B582" s="63"/>
      <c r="C582" s="70"/>
      <c r="D582" s="66"/>
      <c r="E582" s="16" t="str">
        <f aca="false">IF($C582="","",IFERROR(INDEX(Mix_Desc,MATCH($C582,Mix_Code,0)),"⚠ Unknown mix code"))</f>
        <v/>
      </c>
      <c r="F582" s="67" t="str">
        <f aca="false">IF(OR($C582="",$D582=""),"",IFERROR($D582*INDEX(Mix_Eff,MATCH($C582,Mix_Code,0),1),""))</f>
        <v/>
      </c>
      <c r="G582" s="67" t="str">
        <f aca="false">IF(OR($C582="",$D582=""),"",IFERROR($D582*INDEX(Mix_Eff,MATCH($C582,Mix_Code,0),2),""))</f>
        <v/>
      </c>
      <c r="H582" s="67" t="str">
        <f aca="false">IF(OR($C582="",$D582=""),"",IFERROR($D582*INDEX(Mix_Eff,MATCH($C582,Mix_Code,0),3),""))</f>
        <v/>
      </c>
      <c r="I582" s="67" t="str">
        <f aca="false">IF(OR($C582="",$D582=""),"",IFERROR($D582*INDEX(Mix_Eff,MATCH($C582,Mix_Code,0),4),""))</f>
        <v/>
      </c>
      <c r="J582" s="67" t="str">
        <f aca="false">IF(OR($C582="",$D582=""),"",IFERROR($D582*INDEX(Mix_Eff,MATCH($C582,Mix_Code,0),5),""))</f>
        <v/>
      </c>
      <c r="K582" s="63"/>
      <c r="L582" s="16" t="str">
        <f aca="false">IF(AND($A582="",$B582="",$C582="",$D582=""),"",IF($A582="","⚠ Date missing",IF($B582="","⚠ Site missing",IF(ISNA(MATCH($C582,Mix_Code,0)),"⚠ Unknown mix code",IF($D582="","⚠ Enter m3 produced",IF(COUNTIF(CI_Site,$B582)=0,"⚠ Site not set up in Current Inventory",IF($A582&gt;AsOfDate,"Future date – not yet deducted","OK")))))))</f>
        <v/>
      </c>
    </row>
    <row r="583" customFormat="false" ht="15" hidden="false" customHeight="false" outlineLevel="0" collapsed="false">
      <c r="A583" s="65"/>
      <c r="B583" s="63"/>
      <c r="C583" s="70"/>
      <c r="D583" s="66"/>
      <c r="E583" s="16" t="str">
        <f aca="false">IF($C583="","",IFERROR(INDEX(Mix_Desc,MATCH($C583,Mix_Code,0)),"⚠ Unknown mix code"))</f>
        <v/>
      </c>
      <c r="F583" s="67" t="str">
        <f aca="false">IF(OR($C583="",$D583=""),"",IFERROR($D583*INDEX(Mix_Eff,MATCH($C583,Mix_Code,0),1),""))</f>
        <v/>
      </c>
      <c r="G583" s="67" t="str">
        <f aca="false">IF(OR($C583="",$D583=""),"",IFERROR($D583*INDEX(Mix_Eff,MATCH($C583,Mix_Code,0),2),""))</f>
        <v/>
      </c>
      <c r="H583" s="67" t="str">
        <f aca="false">IF(OR($C583="",$D583=""),"",IFERROR($D583*INDEX(Mix_Eff,MATCH($C583,Mix_Code,0),3),""))</f>
        <v/>
      </c>
      <c r="I583" s="67" t="str">
        <f aca="false">IF(OR($C583="",$D583=""),"",IFERROR($D583*INDEX(Mix_Eff,MATCH($C583,Mix_Code,0),4),""))</f>
        <v/>
      </c>
      <c r="J583" s="67" t="str">
        <f aca="false">IF(OR($C583="",$D583=""),"",IFERROR($D583*INDEX(Mix_Eff,MATCH($C583,Mix_Code,0),5),""))</f>
        <v/>
      </c>
      <c r="K583" s="63"/>
      <c r="L583" s="16" t="str">
        <f aca="false">IF(AND($A583="",$B583="",$C583="",$D583=""),"",IF($A583="","⚠ Date missing",IF($B583="","⚠ Site missing",IF(ISNA(MATCH($C583,Mix_Code,0)),"⚠ Unknown mix code",IF($D583="","⚠ Enter m3 produced",IF(COUNTIF(CI_Site,$B583)=0,"⚠ Site not set up in Current Inventory",IF($A583&gt;AsOfDate,"Future date – not yet deducted","OK")))))))</f>
        <v/>
      </c>
    </row>
    <row r="584" customFormat="false" ht="15" hidden="false" customHeight="false" outlineLevel="0" collapsed="false">
      <c r="A584" s="65"/>
      <c r="B584" s="63"/>
      <c r="C584" s="70"/>
      <c r="D584" s="66"/>
      <c r="E584" s="16" t="str">
        <f aca="false">IF($C584="","",IFERROR(INDEX(Mix_Desc,MATCH($C584,Mix_Code,0)),"⚠ Unknown mix code"))</f>
        <v/>
      </c>
      <c r="F584" s="67" t="str">
        <f aca="false">IF(OR($C584="",$D584=""),"",IFERROR($D584*INDEX(Mix_Eff,MATCH($C584,Mix_Code,0),1),""))</f>
        <v/>
      </c>
      <c r="G584" s="67" t="str">
        <f aca="false">IF(OR($C584="",$D584=""),"",IFERROR($D584*INDEX(Mix_Eff,MATCH($C584,Mix_Code,0),2),""))</f>
        <v/>
      </c>
      <c r="H584" s="67" t="str">
        <f aca="false">IF(OR($C584="",$D584=""),"",IFERROR($D584*INDEX(Mix_Eff,MATCH($C584,Mix_Code,0),3),""))</f>
        <v/>
      </c>
      <c r="I584" s="67" t="str">
        <f aca="false">IF(OR($C584="",$D584=""),"",IFERROR($D584*INDEX(Mix_Eff,MATCH($C584,Mix_Code,0),4),""))</f>
        <v/>
      </c>
      <c r="J584" s="67" t="str">
        <f aca="false">IF(OR($C584="",$D584=""),"",IFERROR($D584*INDEX(Mix_Eff,MATCH($C584,Mix_Code,0),5),""))</f>
        <v/>
      </c>
      <c r="K584" s="63"/>
      <c r="L584" s="16" t="str">
        <f aca="false">IF(AND($A584="",$B584="",$C584="",$D584=""),"",IF($A584="","⚠ Date missing",IF($B584="","⚠ Site missing",IF(ISNA(MATCH($C584,Mix_Code,0)),"⚠ Unknown mix code",IF($D584="","⚠ Enter m3 produced",IF(COUNTIF(CI_Site,$B584)=0,"⚠ Site not set up in Current Inventory",IF($A584&gt;AsOfDate,"Future date – not yet deducted","OK")))))))</f>
        <v/>
      </c>
    </row>
    <row r="585" customFormat="false" ht="15" hidden="false" customHeight="false" outlineLevel="0" collapsed="false">
      <c r="A585" s="65"/>
      <c r="B585" s="63"/>
      <c r="C585" s="70"/>
      <c r="D585" s="66"/>
      <c r="E585" s="16" t="str">
        <f aca="false">IF($C585="","",IFERROR(INDEX(Mix_Desc,MATCH($C585,Mix_Code,0)),"⚠ Unknown mix code"))</f>
        <v/>
      </c>
      <c r="F585" s="67" t="str">
        <f aca="false">IF(OR($C585="",$D585=""),"",IFERROR($D585*INDEX(Mix_Eff,MATCH($C585,Mix_Code,0),1),""))</f>
        <v/>
      </c>
      <c r="G585" s="67" t="str">
        <f aca="false">IF(OR($C585="",$D585=""),"",IFERROR($D585*INDEX(Mix_Eff,MATCH($C585,Mix_Code,0),2),""))</f>
        <v/>
      </c>
      <c r="H585" s="67" t="str">
        <f aca="false">IF(OR($C585="",$D585=""),"",IFERROR($D585*INDEX(Mix_Eff,MATCH($C585,Mix_Code,0),3),""))</f>
        <v/>
      </c>
      <c r="I585" s="67" t="str">
        <f aca="false">IF(OR($C585="",$D585=""),"",IFERROR($D585*INDEX(Mix_Eff,MATCH($C585,Mix_Code,0),4),""))</f>
        <v/>
      </c>
      <c r="J585" s="67" t="str">
        <f aca="false">IF(OR($C585="",$D585=""),"",IFERROR($D585*INDEX(Mix_Eff,MATCH($C585,Mix_Code,0),5),""))</f>
        <v/>
      </c>
      <c r="K585" s="63"/>
      <c r="L585" s="16" t="str">
        <f aca="false">IF(AND($A585="",$B585="",$C585="",$D585=""),"",IF($A585="","⚠ Date missing",IF($B585="","⚠ Site missing",IF(ISNA(MATCH($C585,Mix_Code,0)),"⚠ Unknown mix code",IF($D585="","⚠ Enter m3 produced",IF(COUNTIF(CI_Site,$B585)=0,"⚠ Site not set up in Current Inventory",IF($A585&gt;AsOfDate,"Future date – not yet deducted","OK")))))))</f>
        <v/>
      </c>
    </row>
    <row r="586" customFormat="false" ht="15" hidden="false" customHeight="false" outlineLevel="0" collapsed="false">
      <c r="A586" s="65"/>
      <c r="B586" s="63"/>
      <c r="C586" s="70"/>
      <c r="D586" s="66"/>
      <c r="E586" s="16" t="str">
        <f aca="false">IF($C586="","",IFERROR(INDEX(Mix_Desc,MATCH($C586,Mix_Code,0)),"⚠ Unknown mix code"))</f>
        <v/>
      </c>
      <c r="F586" s="67" t="str">
        <f aca="false">IF(OR($C586="",$D586=""),"",IFERROR($D586*INDEX(Mix_Eff,MATCH($C586,Mix_Code,0),1),""))</f>
        <v/>
      </c>
      <c r="G586" s="67" t="str">
        <f aca="false">IF(OR($C586="",$D586=""),"",IFERROR($D586*INDEX(Mix_Eff,MATCH($C586,Mix_Code,0),2),""))</f>
        <v/>
      </c>
      <c r="H586" s="67" t="str">
        <f aca="false">IF(OR($C586="",$D586=""),"",IFERROR($D586*INDEX(Mix_Eff,MATCH($C586,Mix_Code,0),3),""))</f>
        <v/>
      </c>
      <c r="I586" s="67" t="str">
        <f aca="false">IF(OR($C586="",$D586=""),"",IFERROR($D586*INDEX(Mix_Eff,MATCH($C586,Mix_Code,0),4),""))</f>
        <v/>
      </c>
      <c r="J586" s="67" t="str">
        <f aca="false">IF(OR($C586="",$D586=""),"",IFERROR($D586*INDEX(Mix_Eff,MATCH($C586,Mix_Code,0),5),""))</f>
        <v/>
      </c>
      <c r="K586" s="63"/>
      <c r="L586" s="16" t="str">
        <f aca="false">IF(AND($A586="",$B586="",$C586="",$D586=""),"",IF($A586="","⚠ Date missing",IF($B586="","⚠ Site missing",IF(ISNA(MATCH($C586,Mix_Code,0)),"⚠ Unknown mix code",IF($D586="","⚠ Enter m3 produced",IF(COUNTIF(CI_Site,$B586)=0,"⚠ Site not set up in Current Inventory",IF($A586&gt;AsOfDate,"Future date – not yet deducted","OK")))))))</f>
        <v/>
      </c>
    </row>
    <row r="587" customFormat="false" ht="15" hidden="false" customHeight="false" outlineLevel="0" collapsed="false">
      <c r="A587" s="65"/>
      <c r="B587" s="63"/>
      <c r="C587" s="70"/>
      <c r="D587" s="66"/>
      <c r="E587" s="16" t="str">
        <f aca="false">IF($C587="","",IFERROR(INDEX(Mix_Desc,MATCH($C587,Mix_Code,0)),"⚠ Unknown mix code"))</f>
        <v/>
      </c>
      <c r="F587" s="67" t="str">
        <f aca="false">IF(OR($C587="",$D587=""),"",IFERROR($D587*INDEX(Mix_Eff,MATCH($C587,Mix_Code,0),1),""))</f>
        <v/>
      </c>
      <c r="G587" s="67" t="str">
        <f aca="false">IF(OR($C587="",$D587=""),"",IFERROR($D587*INDEX(Mix_Eff,MATCH($C587,Mix_Code,0),2),""))</f>
        <v/>
      </c>
      <c r="H587" s="67" t="str">
        <f aca="false">IF(OR($C587="",$D587=""),"",IFERROR($D587*INDEX(Mix_Eff,MATCH($C587,Mix_Code,0),3),""))</f>
        <v/>
      </c>
      <c r="I587" s="67" t="str">
        <f aca="false">IF(OR($C587="",$D587=""),"",IFERROR($D587*INDEX(Mix_Eff,MATCH($C587,Mix_Code,0),4),""))</f>
        <v/>
      </c>
      <c r="J587" s="67" t="str">
        <f aca="false">IF(OR($C587="",$D587=""),"",IFERROR($D587*INDEX(Mix_Eff,MATCH($C587,Mix_Code,0),5),""))</f>
        <v/>
      </c>
      <c r="K587" s="63"/>
      <c r="L587" s="16" t="str">
        <f aca="false">IF(AND($A587="",$B587="",$C587="",$D587=""),"",IF($A587="","⚠ Date missing",IF($B587="","⚠ Site missing",IF(ISNA(MATCH($C587,Mix_Code,0)),"⚠ Unknown mix code",IF($D587="","⚠ Enter m3 produced",IF(COUNTIF(CI_Site,$B587)=0,"⚠ Site not set up in Current Inventory",IF($A587&gt;AsOfDate,"Future date – not yet deducted","OK")))))))</f>
        <v/>
      </c>
    </row>
    <row r="588" customFormat="false" ht="15" hidden="false" customHeight="false" outlineLevel="0" collapsed="false">
      <c r="A588" s="65"/>
      <c r="B588" s="63"/>
      <c r="C588" s="70"/>
      <c r="D588" s="66"/>
      <c r="E588" s="16" t="str">
        <f aca="false">IF($C588="","",IFERROR(INDEX(Mix_Desc,MATCH($C588,Mix_Code,0)),"⚠ Unknown mix code"))</f>
        <v/>
      </c>
      <c r="F588" s="67" t="str">
        <f aca="false">IF(OR($C588="",$D588=""),"",IFERROR($D588*INDEX(Mix_Eff,MATCH($C588,Mix_Code,0),1),""))</f>
        <v/>
      </c>
      <c r="G588" s="67" t="str">
        <f aca="false">IF(OR($C588="",$D588=""),"",IFERROR($D588*INDEX(Mix_Eff,MATCH($C588,Mix_Code,0),2),""))</f>
        <v/>
      </c>
      <c r="H588" s="67" t="str">
        <f aca="false">IF(OR($C588="",$D588=""),"",IFERROR($D588*INDEX(Mix_Eff,MATCH($C588,Mix_Code,0),3),""))</f>
        <v/>
      </c>
      <c r="I588" s="67" t="str">
        <f aca="false">IF(OR($C588="",$D588=""),"",IFERROR($D588*INDEX(Mix_Eff,MATCH($C588,Mix_Code,0),4),""))</f>
        <v/>
      </c>
      <c r="J588" s="67" t="str">
        <f aca="false">IF(OR($C588="",$D588=""),"",IFERROR($D588*INDEX(Mix_Eff,MATCH($C588,Mix_Code,0),5),""))</f>
        <v/>
      </c>
      <c r="K588" s="63"/>
      <c r="L588" s="16" t="str">
        <f aca="false">IF(AND($A588="",$B588="",$C588="",$D588=""),"",IF($A588="","⚠ Date missing",IF($B588="","⚠ Site missing",IF(ISNA(MATCH($C588,Mix_Code,0)),"⚠ Unknown mix code",IF($D588="","⚠ Enter m3 produced",IF(COUNTIF(CI_Site,$B588)=0,"⚠ Site not set up in Current Inventory",IF($A588&gt;AsOfDate,"Future date – not yet deducted","OK")))))))</f>
        <v/>
      </c>
    </row>
    <row r="589" customFormat="false" ht="15" hidden="false" customHeight="false" outlineLevel="0" collapsed="false">
      <c r="A589" s="65"/>
      <c r="B589" s="63"/>
      <c r="C589" s="70"/>
      <c r="D589" s="66"/>
      <c r="E589" s="16" t="str">
        <f aca="false">IF($C589="","",IFERROR(INDEX(Mix_Desc,MATCH($C589,Mix_Code,0)),"⚠ Unknown mix code"))</f>
        <v/>
      </c>
      <c r="F589" s="67" t="str">
        <f aca="false">IF(OR($C589="",$D589=""),"",IFERROR($D589*INDEX(Mix_Eff,MATCH($C589,Mix_Code,0),1),""))</f>
        <v/>
      </c>
      <c r="G589" s="67" t="str">
        <f aca="false">IF(OR($C589="",$D589=""),"",IFERROR($D589*INDEX(Mix_Eff,MATCH($C589,Mix_Code,0),2),""))</f>
        <v/>
      </c>
      <c r="H589" s="67" t="str">
        <f aca="false">IF(OR($C589="",$D589=""),"",IFERROR($D589*INDEX(Mix_Eff,MATCH($C589,Mix_Code,0),3),""))</f>
        <v/>
      </c>
      <c r="I589" s="67" t="str">
        <f aca="false">IF(OR($C589="",$D589=""),"",IFERROR($D589*INDEX(Mix_Eff,MATCH($C589,Mix_Code,0),4),""))</f>
        <v/>
      </c>
      <c r="J589" s="67" t="str">
        <f aca="false">IF(OR($C589="",$D589=""),"",IFERROR($D589*INDEX(Mix_Eff,MATCH($C589,Mix_Code,0),5),""))</f>
        <v/>
      </c>
      <c r="K589" s="63"/>
      <c r="L589" s="16" t="str">
        <f aca="false">IF(AND($A589="",$B589="",$C589="",$D589=""),"",IF($A589="","⚠ Date missing",IF($B589="","⚠ Site missing",IF(ISNA(MATCH($C589,Mix_Code,0)),"⚠ Unknown mix code",IF($D589="","⚠ Enter m3 produced",IF(COUNTIF(CI_Site,$B589)=0,"⚠ Site not set up in Current Inventory",IF($A589&gt;AsOfDate,"Future date – not yet deducted","OK")))))))</f>
        <v/>
      </c>
    </row>
    <row r="590" customFormat="false" ht="15" hidden="false" customHeight="false" outlineLevel="0" collapsed="false">
      <c r="A590" s="65"/>
      <c r="B590" s="63"/>
      <c r="C590" s="70"/>
      <c r="D590" s="66"/>
      <c r="E590" s="16" t="str">
        <f aca="false">IF($C590="","",IFERROR(INDEX(Mix_Desc,MATCH($C590,Mix_Code,0)),"⚠ Unknown mix code"))</f>
        <v/>
      </c>
      <c r="F590" s="67" t="str">
        <f aca="false">IF(OR($C590="",$D590=""),"",IFERROR($D590*INDEX(Mix_Eff,MATCH($C590,Mix_Code,0),1),""))</f>
        <v/>
      </c>
      <c r="G590" s="67" t="str">
        <f aca="false">IF(OR($C590="",$D590=""),"",IFERROR($D590*INDEX(Mix_Eff,MATCH($C590,Mix_Code,0),2),""))</f>
        <v/>
      </c>
      <c r="H590" s="67" t="str">
        <f aca="false">IF(OR($C590="",$D590=""),"",IFERROR($D590*INDEX(Mix_Eff,MATCH($C590,Mix_Code,0),3),""))</f>
        <v/>
      </c>
      <c r="I590" s="67" t="str">
        <f aca="false">IF(OR($C590="",$D590=""),"",IFERROR($D590*INDEX(Mix_Eff,MATCH($C590,Mix_Code,0),4),""))</f>
        <v/>
      </c>
      <c r="J590" s="67" t="str">
        <f aca="false">IF(OR($C590="",$D590=""),"",IFERROR($D590*INDEX(Mix_Eff,MATCH($C590,Mix_Code,0),5),""))</f>
        <v/>
      </c>
      <c r="K590" s="63"/>
      <c r="L590" s="16" t="str">
        <f aca="false">IF(AND($A590="",$B590="",$C590="",$D590=""),"",IF($A590="","⚠ Date missing",IF($B590="","⚠ Site missing",IF(ISNA(MATCH($C590,Mix_Code,0)),"⚠ Unknown mix code",IF($D590="","⚠ Enter m3 produced",IF(COUNTIF(CI_Site,$B590)=0,"⚠ Site not set up in Current Inventory",IF($A590&gt;AsOfDate,"Future date – not yet deducted","OK")))))))</f>
        <v/>
      </c>
    </row>
    <row r="591" customFormat="false" ht="15" hidden="false" customHeight="false" outlineLevel="0" collapsed="false">
      <c r="A591" s="65"/>
      <c r="B591" s="63"/>
      <c r="C591" s="70"/>
      <c r="D591" s="66"/>
      <c r="E591" s="16" t="str">
        <f aca="false">IF($C591="","",IFERROR(INDEX(Mix_Desc,MATCH($C591,Mix_Code,0)),"⚠ Unknown mix code"))</f>
        <v/>
      </c>
      <c r="F591" s="67" t="str">
        <f aca="false">IF(OR($C591="",$D591=""),"",IFERROR($D591*INDEX(Mix_Eff,MATCH($C591,Mix_Code,0),1),""))</f>
        <v/>
      </c>
      <c r="G591" s="67" t="str">
        <f aca="false">IF(OR($C591="",$D591=""),"",IFERROR($D591*INDEX(Mix_Eff,MATCH($C591,Mix_Code,0),2),""))</f>
        <v/>
      </c>
      <c r="H591" s="67" t="str">
        <f aca="false">IF(OR($C591="",$D591=""),"",IFERROR($D591*INDEX(Mix_Eff,MATCH($C591,Mix_Code,0),3),""))</f>
        <v/>
      </c>
      <c r="I591" s="67" t="str">
        <f aca="false">IF(OR($C591="",$D591=""),"",IFERROR($D591*INDEX(Mix_Eff,MATCH($C591,Mix_Code,0),4),""))</f>
        <v/>
      </c>
      <c r="J591" s="67" t="str">
        <f aca="false">IF(OR($C591="",$D591=""),"",IFERROR($D591*INDEX(Mix_Eff,MATCH($C591,Mix_Code,0),5),""))</f>
        <v/>
      </c>
      <c r="K591" s="63"/>
      <c r="L591" s="16" t="str">
        <f aca="false">IF(AND($A591="",$B591="",$C591="",$D591=""),"",IF($A591="","⚠ Date missing",IF($B591="","⚠ Site missing",IF(ISNA(MATCH($C591,Mix_Code,0)),"⚠ Unknown mix code",IF($D591="","⚠ Enter m3 produced",IF(COUNTIF(CI_Site,$B591)=0,"⚠ Site not set up in Current Inventory",IF($A591&gt;AsOfDate,"Future date – not yet deducted","OK")))))))</f>
        <v/>
      </c>
    </row>
    <row r="592" customFormat="false" ht="15" hidden="false" customHeight="false" outlineLevel="0" collapsed="false">
      <c r="A592" s="65"/>
      <c r="B592" s="63"/>
      <c r="C592" s="70"/>
      <c r="D592" s="66"/>
      <c r="E592" s="16" t="str">
        <f aca="false">IF($C592="","",IFERROR(INDEX(Mix_Desc,MATCH($C592,Mix_Code,0)),"⚠ Unknown mix code"))</f>
        <v/>
      </c>
      <c r="F592" s="67" t="str">
        <f aca="false">IF(OR($C592="",$D592=""),"",IFERROR($D592*INDEX(Mix_Eff,MATCH($C592,Mix_Code,0),1),""))</f>
        <v/>
      </c>
      <c r="G592" s="67" t="str">
        <f aca="false">IF(OR($C592="",$D592=""),"",IFERROR($D592*INDEX(Mix_Eff,MATCH($C592,Mix_Code,0),2),""))</f>
        <v/>
      </c>
      <c r="H592" s="67" t="str">
        <f aca="false">IF(OR($C592="",$D592=""),"",IFERROR($D592*INDEX(Mix_Eff,MATCH($C592,Mix_Code,0),3),""))</f>
        <v/>
      </c>
      <c r="I592" s="67" t="str">
        <f aca="false">IF(OR($C592="",$D592=""),"",IFERROR($D592*INDEX(Mix_Eff,MATCH($C592,Mix_Code,0),4),""))</f>
        <v/>
      </c>
      <c r="J592" s="67" t="str">
        <f aca="false">IF(OR($C592="",$D592=""),"",IFERROR($D592*INDEX(Mix_Eff,MATCH($C592,Mix_Code,0),5),""))</f>
        <v/>
      </c>
      <c r="K592" s="63"/>
      <c r="L592" s="16" t="str">
        <f aca="false">IF(AND($A592="",$B592="",$C592="",$D592=""),"",IF($A592="","⚠ Date missing",IF($B592="","⚠ Site missing",IF(ISNA(MATCH($C592,Mix_Code,0)),"⚠ Unknown mix code",IF($D592="","⚠ Enter m3 produced",IF(COUNTIF(CI_Site,$B592)=0,"⚠ Site not set up in Current Inventory",IF($A592&gt;AsOfDate,"Future date – not yet deducted","OK")))))))</f>
        <v/>
      </c>
    </row>
    <row r="593" customFormat="false" ht="15" hidden="false" customHeight="false" outlineLevel="0" collapsed="false">
      <c r="A593" s="65"/>
      <c r="B593" s="63"/>
      <c r="C593" s="70"/>
      <c r="D593" s="66"/>
      <c r="E593" s="16" t="str">
        <f aca="false">IF($C593="","",IFERROR(INDEX(Mix_Desc,MATCH($C593,Mix_Code,0)),"⚠ Unknown mix code"))</f>
        <v/>
      </c>
      <c r="F593" s="67" t="str">
        <f aca="false">IF(OR($C593="",$D593=""),"",IFERROR($D593*INDEX(Mix_Eff,MATCH($C593,Mix_Code,0),1),""))</f>
        <v/>
      </c>
      <c r="G593" s="67" t="str">
        <f aca="false">IF(OR($C593="",$D593=""),"",IFERROR($D593*INDEX(Mix_Eff,MATCH($C593,Mix_Code,0),2),""))</f>
        <v/>
      </c>
      <c r="H593" s="67" t="str">
        <f aca="false">IF(OR($C593="",$D593=""),"",IFERROR($D593*INDEX(Mix_Eff,MATCH($C593,Mix_Code,0),3),""))</f>
        <v/>
      </c>
      <c r="I593" s="67" t="str">
        <f aca="false">IF(OR($C593="",$D593=""),"",IFERROR($D593*INDEX(Mix_Eff,MATCH($C593,Mix_Code,0),4),""))</f>
        <v/>
      </c>
      <c r="J593" s="67" t="str">
        <f aca="false">IF(OR($C593="",$D593=""),"",IFERROR($D593*INDEX(Mix_Eff,MATCH($C593,Mix_Code,0),5),""))</f>
        <v/>
      </c>
      <c r="K593" s="63"/>
      <c r="L593" s="16" t="str">
        <f aca="false">IF(AND($A593="",$B593="",$C593="",$D593=""),"",IF($A593="","⚠ Date missing",IF($B593="","⚠ Site missing",IF(ISNA(MATCH($C593,Mix_Code,0)),"⚠ Unknown mix code",IF($D593="","⚠ Enter m3 produced",IF(COUNTIF(CI_Site,$B593)=0,"⚠ Site not set up in Current Inventory",IF($A593&gt;AsOfDate,"Future date – not yet deducted","OK")))))))</f>
        <v/>
      </c>
    </row>
    <row r="594" customFormat="false" ht="15" hidden="false" customHeight="false" outlineLevel="0" collapsed="false">
      <c r="A594" s="65"/>
      <c r="B594" s="63"/>
      <c r="C594" s="70"/>
      <c r="D594" s="66"/>
      <c r="E594" s="16" t="str">
        <f aca="false">IF($C594="","",IFERROR(INDEX(Mix_Desc,MATCH($C594,Mix_Code,0)),"⚠ Unknown mix code"))</f>
        <v/>
      </c>
      <c r="F594" s="67" t="str">
        <f aca="false">IF(OR($C594="",$D594=""),"",IFERROR($D594*INDEX(Mix_Eff,MATCH($C594,Mix_Code,0),1),""))</f>
        <v/>
      </c>
      <c r="G594" s="67" t="str">
        <f aca="false">IF(OR($C594="",$D594=""),"",IFERROR($D594*INDEX(Mix_Eff,MATCH($C594,Mix_Code,0),2),""))</f>
        <v/>
      </c>
      <c r="H594" s="67" t="str">
        <f aca="false">IF(OR($C594="",$D594=""),"",IFERROR($D594*INDEX(Mix_Eff,MATCH($C594,Mix_Code,0),3),""))</f>
        <v/>
      </c>
      <c r="I594" s="67" t="str">
        <f aca="false">IF(OR($C594="",$D594=""),"",IFERROR($D594*INDEX(Mix_Eff,MATCH($C594,Mix_Code,0),4),""))</f>
        <v/>
      </c>
      <c r="J594" s="67" t="str">
        <f aca="false">IF(OR($C594="",$D594=""),"",IFERROR($D594*INDEX(Mix_Eff,MATCH($C594,Mix_Code,0),5),""))</f>
        <v/>
      </c>
      <c r="K594" s="63"/>
      <c r="L594" s="16" t="str">
        <f aca="false">IF(AND($A594="",$B594="",$C594="",$D594=""),"",IF($A594="","⚠ Date missing",IF($B594="","⚠ Site missing",IF(ISNA(MATCH($C594,Mix_Code,0)),"⚠ Unknown mix code",IF($D594="","⚠ Enter m3 produced",IF(COUNTIF(CI_Site,$B594)=0,"⚠ Site not set up in Current Inventory",IF($A594&gt;AsOfDate,"Future date – not yet deducted","OK")))))))</f>
        <v/>
      </c>
    </row>
    <row r="595" customFormat="false" ht="15" hidden="false" customHeight="false" outlineLevel="0" collapsed="false">
      <c r="A595" s="65"/>
      <c r="B595" s="63"/>
      <c r="C595" s="70"/>
      <c r="D595" s="66"/>
      <c r="E595" s="16" t="str">
        <f aca="false">IF($C595="","",IFERROR(INDEX(Mix_Desc,MATCH($C595,Mix_Code,0)),"⚠ Unknown mix code"))</f>
        <v/>
      </c>
      <c r="F595" s="67" t="str">
        <f aca="false">IF(OR($C595="",$D595=""),"",IFERROR($D595*INDEX(Mix_Eff,MATCH($C595,Mix_Code,0),1),""))</f>
        <v/>
      </c>
      <c r="G595" s="67" t="str">
        <f aca="false">IF(OR($C595="",$D595=""),"",IFERROR($D595*INDEX(Mix_Eff,MATCH($C595,Mix_Code,0),2),""))</f>
        <v/>
      </c>
      <c r="H595" s="67" t="str">
        <f aca="false">IF(OR($C595="",$D595=""),"",IFERROR($D595*INDEX(Mix_Eff,MATCH($C595,Mix_Code,0),3),""))</f>
        <v/>
      </c>
      <c r="I595" s="67" t="str">
        <f aca="false">IF(OR($C595="",$D595=""),"",IFERROR($D595*INDEX(Mix_Eff,MATCH($C595,Mix_Code,0),4),""))</f>
        <v/>
      </c>
      <c r="J595" s="67" t="str">
        <f aca="false">IF(OR($C595="",$D595=""),"",IFERROR($D595*INDEX(Mix_Eff,MATCH($C595,Mix_Code,0),5),""))</f>
        <v/>
      </c>
      <c r="K595" s="63"/>
      <c r="L595" s="16" t="str">
        <f aca="false">IF(AND($A595="",$B595="",$C595="",$D595=""),"",IF($A595="","⚠ Date missing",IF($B595="","⚠ Site missing",IF(ISNA(MATCH($C595,Mix_Code,0)),"⚠ Unknown mix code",IF($D595="","⚠ Enter m3 produced",IF(COUNTIF(CI_Site,$B595)=0,"⚠ Site not set up in Current Inventory",IF($A595&gt;AsOfDate,"Future date – not yet deducted","OK")))))))</f>
        <v/>
      </c>
    </row>
    <row r="596" customFormat="false" ht="15" hidden="false" customHeight="false" outlineLevel="0" collapsed="false">
      <c r="A596" s="65"/>
      <c r="B596" s="63"/>
      <c r="C596" s="70"/>
      <c r="D596" s="66"/>
      <c r="E596" s="16" t="str">
        <f aca="false">IF($C596="","",IFERROR(INDEX(Mix_Desc,MATCH($C596,Mix_Code,0)),"⚠ Unknown mix code"))</f>
        <v/>
      </c>
      <c r="F596" s="67" t="str">
        <f aca="false">IF(OR($C596="",$D596=""),"",IFERROR($D596*INDEX(Mix_Eff,MATCH($C596,Mix_Code,0),1),""))</f>
        <v/>
      </c>
      <c r="G596" s="67" t="str">
        <f aca="false">IF(OR($C596="",$D596=""),"",IFERROR($D596*INDEX(Mix_Eff,MATCH($C596,Mix_Code,0),2),""))</f>
        <v/>
      </c>
      <c r="H596" s="67" t="str">
        <f aca="false">IF(OR($C596="",$D596=""),"",IFERROR($D596*INDEX(Mix_Eff,MATCH($C596,Mix_Code,0),3),""))</f>
        <v/>
      </c>
      <c r="I596" s="67" t="str">
        <f aca="false">IF(OR($C596="",$D596=""),"",IFERROR($D596*INDEX(Mix_Eff,MATCH($C596,Mix_Code,0),4),""))</f>
        <v/>
      </c>
      <c r="J596" s="67" t="str">
        <f aca="false">IF(OR($C596="",$D596=""),"",IFERROR($D596*INDEX(Mix_Eff,MATCH($C596,Mix_Code,0),5),""))</f>
        <v/>
      </c>
      <c r="K596" s="63"/>
      <c r="L596" s="16" t="str">
        <f aca="false">IF(AND($A596="",$B596="",$C596="",$D596=""),"",IF($A596="","⚠ Date missing",IF($B596="","⚠ Site missing",IF(ISNA(MATCH($C596,Mix_Code,0)),"⚠ Unknown mix code",IF($D596="","⚠ Enter m3 produced",IF(COUNTIF(CI_Site,$B596)=0,"⚠ Site not set up in Current Inventory",IF($A596&gt;AsOfDate,"Future date – not yet deducted","OK")))))))</f>
        <v/>
      </c>
    </row>
    <row r="597" customFormat="false" ht="15" hidden="false" customHeight="false" outlineLevel="0" collapsed="false">
      <c r="A597" s="65"/>
      <c r="B597" s="63"/>
      <c r="C597" s="70"/>
      <c r="D597" s="66"/>
      <c r="E597" s="16" t="str">
        <f aca="false">IF($C597="","",IFERROR(INDEX(Mix_Desc,MATCH($C597,Mix_Code,0)),"⚠ Unknown mix code"))</f>
        <v/>
      </c>
      <c r="F597" s="67" t="str">
        <f aca="false">IF(OR($C597="",$D597=""),"",IFERROR($D597*INDEX(Mix_Eff,MATCH($C597,Mix_Code,0),1),""))</f>
        <v/>
      </c>
      <c r="G597" s="67" t="str">
        <f aca="false">IF(OR($C597="",$D597=""),"",IFERROR($D597*INDEX(Mix_Eff,MATCH($C597,Mix_Code,0),2),""))</f>
        <v/>
      </c>
      <c r="H597" s="67" t="str">
        <f aca="false">IF(OR($C597="",$D597=""),"",IFERROR($D597*INDEX(Mix_Eff,MATCH($C597,Mix_Code,0),3),""))</f>
        <v/>
      </c>
      <c r="I597" s="67" t="str">
        <f aca="false">IF(OR($C597="",$D597=""),"",IFERROR($D597*INDEX(Mix_Eff,MATCH($C597,Mix_Code,0),4),""))</f>
        <v/>
      </c>
      <c r="J597" s="67" t="str">
        <f aca="false">IF(OR($C597="",$D597=""),"",IFERROR($D597*INDEX(Mix_Eff,MATCH($C597,Mix_Code,0),5),""))</f>
        <v/>
      </c>
      <c r="K597" s="63"/>
      <c r="L597" s="16" t="str">
        <f aca="false">IF(AND($A597="",$B597="",$C597="",$D597=""),"",IF($A597="","⚠ Date missing",IF($B597="","⚠ Site missing",IF(ISNA(MATCH($C597,Mix_Code,0)),"⚠ Unknown mix code",IF($D597="","⚠ Enter m3 produced",IF(COUNTIF(CI_Site,$B597)=0,"⚠ Site not set up in Current Inventory",IF($A597&gt;AsOfDate,"Future date – not yet deducted","OK")))))))</f>
        <v/>
      </c>
    </row>
    <row r="598" customFormat="false" ht="15" hidden="false" customHeight="false" outlineLevel="0" collapsed="false">
      <c r="A598" s="65"/>
      <c r="B598" s="63"/>
      <c r="C598" s="70"/>
      <c r="D598" s="66"/>
      <c r="E598" s="16" t="str">
        <f aca="false">IF($C598="","",IFERROR(INDEX(Mix_Desc,MATCH($C598,Mix_Code,0)),"⚠ Unknown mix code"))</f>
        <v/>
      </c>
      <c r="F598" s="67" t="str">
        <f aca="false">IF(OR($C598="",$D598=""),"",IFERROR($D598*INDEX(Mix_Eff,MATCH($C598,Mix_Code,0),1),""))</f>
        <v/>
      </c>
      <c r="G598" s="67" t="str">
        <f aca="false">IF(OR($C598="",$D598=""),"",IFERROR($D598*INDEX(Mix_Eff,MATCH($C598,Mix_Code,0),2),""))</f>
        <v/>
      </c>
      <c r="H598" s="67" t="str">
        <f aca="false">IF(OR($C598="",$D598=""),"",IFERROR($D598*INDEX(Mix_Eff,MATCH($C598,Mix_Code,0),3),""))</f>
        <v/>
      </c>
      <c r="I598" s="67" t="str">
        <f aca="false">IF(OR($C598="",$D598=""),"",IFERROR($D598*INDEX(Mix_Eff,MATCH($C598,Mix_Code,0),4),""))</f>
        <v/>
      </c>
      <c r="J598" s="67" t="str">
        <f aca="false">IF(OR($C598="",$D598=""),"",IFERROR($D598*INDEX(Mix_Eff,MATCH($C598,Mix_Code,0),5),""))</f>
        <v/>
      </c>
      <c r="K598" s="63"/>
      <c r="L598" s="16" t="str">
        <f aca="false">IF(AND($A598="",$B598="",$C598="",$D598=""),"",IF($A598="","⚠ Date missing",IF($B598="","⚠ Site missing",IF(ISNA(MATCH($C598,Mix_Code,0)),"⚠ Unknown mix code",IF($D598="","⚠ Enter m3 produced",IF(COUNTIF(CI_Site,$B598)=0,"⚠ Site not set up in Current Inventory",IF($A598&gt;AsOfDate,"Future date – not yet deducted","OK")))))))</f>
        <v/>
      </c>
    </row>
    <row r="599" customFormat="false" ht="15" hidden="false" customHeight="false" outlineLevel="0" collapsed="false">
      <c r="A599" s="65"/>
      <c r="B599" s="63"/>
      <c r="C599" s="70"/>
      <c r="D599" s="66"/>
      <c r="E599" s="16" t="str">
        <f aca="false">IF($C599="","",IFERROR(INDEX(Mix_Desc,MATCH($C599,Mix_Code,0)),"⚠ Unknown mix code"))</f>
        <v/>
      </c>
      <c r="F599" s="67" t="str">
        <f aca="false">IF(OR($C599="",$D599=""),"",IFERROR($D599*INDEX(Mix_Eff,MATCH($C599,Mix_Code,0),1),""))</f>
        <v/>
      </c>
      <c r="G599" s="67" t="str">
        <f aca="false">IF(OR($C599="",$D599=""),"",IFERROR($D599*INDEX(Mix_Eff,MATCH($C599,Mix_Code,0),2),""))</f>
        <v/>
      </c>
      <c r="H599" s="67" t="str">
        <f aca="false">IF(OR($C599="",$D599=""),"",IFERROR($D599*INDEX(Mix_Eff,MATCH($C599,Mix_Code,0),3),""))</f>
        <v/>
      </c>
      <c r="I599" s="67" t="str">
        <f aca="false">IF(OR($C599="",$D599=""),"",IFERROR($D599*INDEX(Mix_Eff,MATCH($C599,Mix_Code,0),4),""))</f>
        <v/>
      </c>
      <c r="J599" s="67" t="str">
        <f aca="false">IF(OR($C599="",$D599=""),"",IFERROR($D599*INDEX(Mix_Eff,MATCH($C599,Mix_Code,0),5),""))</f>
        <v/>
      </c>
      <c r="K599" s="63"/>
      <c r="L599" s="16" t="str">
        <f aca="false">IF(AND($A599="",$B599="",$C599="",$D599=""),"",IF($A599="","⚠ Date missing",IF($B599="","⚠ Site missing",IF(ISNA(MATCH($C599,Mix_Code,0)),"⚠ Unknown mix code",IF($D599="","⚠ Enter m3 produced",IF(COUNTIF(CI_Site,$B599)=0,"⚠ Site not set up in Current Inventory",IF($A599&gt;AsOfDate,"Future date – not yet deducted","OK")))))))</f>
        <v/>
      </c>
    </row>
    <row r="600" customFormat="false" ht="15" hidden="false" customHeight="false" outlineLevel="0" collapsed="false">
      <c r="A600" s="65"/>
      <c r="B600" s="63"/>
      <c r="C600" s="70"/>
      <c r="D600" s="66"/>
      <c r="E600" s="16" t="str">
        <f aca="false">IF($C600="","",IFERROR(INDEX(Mix_Desc,MATCH($C600,Mix_Code,0)),"⚠ Unknown mix code"))</f>
        <v/>
      </c>
      <c r="F600" s="67" t="str">
        <f aca="false">IF(OR($C600="",$D600=""),"",IFERROR($D600*INDEX(Mix_Eff,MATCH($C600,Mix_Code,0),1),""))</f>
        <v/>
      </c>
      <c r="G600" s="67" t="str">
        <f aca="false">IF(OR($C600="",$D600=""),"",IFERROR($D600*INDEX(Mix_Eff,MATCH($C600,Mix_Code,0),2),""))</f>
        <v/>
      </c>
      <c r="H600" s="67" t="str">
        <f aca="false">IF(OR($C600="",$D600=""),"",IFERROR($D600*INDEX(Mix_Eff,MATCH($C600,Mix_Code,0),3),""))</f>
        <v/>
      </c>
      <c r="I600" s="67" t="str">
        <f aca="false">IF(OR($C600="",$D600=""),"",IFERROR($D600*INDEX(Mix_Eff,MATCH($C600,Mix_Code,0),4),""))</f>
        <v/>
      </c>
      <c r="J600" s="67" t="str">
        <f aca="false">IF(OR($C600="",$D600=""),"",IFERROR($D600*INDEX(Mix_Eff,MATCH($C600,Mix_Code,0),5),""))</f>
        <v/>
      </c>
      <c r="K600" s="63"/>
      <c r="L600" s="16" t="str">
        <f aca="false">IF(AND($A600="",$B600="",$C600="",$D600=""),"",IF($A600="","⚠ Date missing",IF($B600="","⚠ Site missing",IF(ISNA(MATCH($C600,Mix_Code,0)),"⚠ Unknown mix code",IF($D600="","⚠ Enter m3 produced",IF(COUNTIF(CI_Site,$B600)=0,"⚠ Site not set up in Current Inventory",IF($A600&gt;AsOfDate,"Future date – not yet deducted","OK")))))))</f>
        <v/>
      </c>
    </row>
    <row r="601" customFormat="false" ht="15" hidden="false" customHeight="false" outlineLevel="0" collapsed="false">
      <c r="A601" s="65"/>
      <c r="B601" s="63"/>
      <c r="C601" s="70"/>
      <c r="D601" s="66"/>
      <c r="E601" s="16" t="str">
        <f aca="false">IF($C601="","",IFERROR(INDEX(Mix_Desc,MATCH($C601,Mix_Code,0)),"⚠ Unknown mix code"))</f>
        <v/>
      </c>
      <c r="F601" s="67" t="str">
        <f aca="false">IF(OR($C601="",$D601=""),"",IFERROR($D601*INDEX(Mix_Eff,MATCH($C601,Mix_Code,0),1),""))</f>
        <v/>
      </c>
      <c r="G601" s="67" t="str">
        <f aca="false">IF(OR($C601="",$D601=""),"",IFERROR($D601*INDEX(Mix_Eff,MATCH($C601,Mix_Code,0),2),""))</f>
        <v/>
      </c>
      <c r="H601" s="67" t="str">
        <f aca="false">IF(OR($C601="",$D601=""),"",IFERROR($D601*INDEX(Mix_Eff,MATCH($C601,Mix_Code,0),3),""))</f>
        <v/>
      </c>
      <c r="I601" s="67" t="str">
        <f aca="false">IF(OR($C601="",$D601=""),"",IFERROR($D601*INDEX(Mix_Eff,MATCH($C601,Mix_Code,0),4),""))</f>
        <v/>
      </c>
      <c r="J601" s="67" t="str">
        <f aca="false">IF(OR($C601="",$D601=""),"",IFERROR($D601*INDEX(Mix_Eff,MATCH($C601,Mix_Code,0),5),""))</f>
        <v/>
      </c>
      <c r="K601" s="63"/>
      <c r="L601" s="16" t="str">
        <f aca="false">IF(AND($A601="",$B601="",$C601="",$D601=""),"",IF($A601="","⚠ Date missing",IF($B601="","⚠ Site missing",IF(ISNA(MATCH($C601,Mix_Code,0)),"⚠ Unknown mix code",IF($D601="","⚠ Enter m3 produced",IF(COUNTIF(CI_Site,$B601)=0,"⚠ Site not set up in Current Inventory",IF($A601&gt;AsOfDate,"Future date – not yet deducted","OK")))))))</f>
        <v/>
      </c>
    </row>
    <row r="602" customFormat="false" ht="15" hidden="false" customHeight="false" outlineLevel="0" collapsed="false">
      <c r="A602" s="65"/>
      <c r="B602" s="63"/>
      <c r="C602" s="70"/>
      <c r="D602" s="66"/>
      <c r="E602" s="16" t="str">
        <f aca="false">IF($C602="","",IFERROR(INDEX(Mix_Desc,MATCH($C602,Mix_Code,0)),"⚠ Unknown mix code"))</f>
        <v/>
      </c>
      <c r="F602" s="67" t="str">
        <f aca="false">IF(OR($C602="",$D602=""),"",IFERROR($D602*INDEX(Mix_Eff,MATCH($C602,Mix_Code,0),1),""))</f>
        <v/>
      </c>
      <c r="G602" s="67" t="str">
        <f aca="false">IF(OR($C602="",$D602=""),"",IFERROR($D602*INDEX(Mix_Eff,MATCH($C602,Mix_Code,0),2),""))</f>
        <v/>
      </c>
      <c r="H602" s="67" t="str">
        <f aca="false">IF(OR($C602="",$D602=""),"",IFERROR($D602*INDEX(Mix_Eff,MATCH($C602,Mix_Code,0),3),""))</f>
        <v/>
      </c>
      <c r="I602" s="67" t="str">
        <f aca="false">IF(OR($C602="",$D602=""),"",IFERROR($D602*INDEX(Mix_Eff,MATCH($C602,Mix_Code,0),4),""))</f>
        <v/>
      </c>
      <c r="J602" s="67" t="str">
        <f aca="false">IF(OR($C602="",$D602=""),"",IFERROR($D602*INDEX(Mix_Eff,MATCH($C602,Mix_Code,0),5),""))</f>
        <v/>
      </c>
      <c r="K602" s="63"/>
      <c r="L602" s="16" t="str">
        <f aca="false">IF(AND($A602="",$B602="",$C602="",$D602=""),"",IF($A602="","⚠ Date missing",IF($B602="","⚠ Site missing",IF(ISNA(MATCH($C602,Mix_Code,0)),"⚠ Unknown mix code",IF($D602="","⚠ Enter m3 produced",IF(COUNTIF(CI_Site,$B602)=0,"⚠ Site not set up in Current Inventory",IF($A602&gt;AsOfDate,"Future date – not yet deducted","OK")))))))</f>
        <v/>
      </c>
    </row>
    <row r="603" customFormat="false" ht="15" hidden="false" customHeight="false" outlineLevel="0" collapsed="false">
      <c r="A603" s="65"/>
      <c r="B603" s="63"/>
      <c r="C603" s="70"/>
      <c r="D603" s="66"/>
      <c r="E603" s="16" t="str">
        <f aca="false">IF($C603="","",IFERROR(INDEX(Mix_Desc,MATCH($C603,Mix_Code,0)),"⚠ Unknown mix code"))</f>
        <v/>
      </c>
      <c r="F603" s="67" t="str">
        <f aca="false">IF(OR($C603="",$D603=""),"",IFERROR($D603*INDEX(Mix_Eff,MATCH($C603,Mix_Code,0),1),""))</f>
        <v/>
      </c>
      <c r="G603" s="67" t="str">
        <f aca="false">IF(OR($C603="",$D603=""),"",IFERROR($D603*INDEX(Mix_Eff,MATCH($C603,Mix_Code,0),2),""))</f>
        <v/>
      </c>
      <c r="H603" s="67" t="str">
        <f aca="false">IF(OR($C603="",$D603=""),"",IFERROR($D603*INDEX(Mix_Eff,MATCH($C603,Mix_Code,0),3),""))</f>
        <v/>
      </c>
      <c r="I603" s="67" t="str">
        <f aca="false">IF(OR($C603="",$D603=""),"",IFERROR($D603*INDEX(Mix_Eff,MATCH($C603,Mix_Code,0),4),""))</f>
        <v/>
      </c>
      <c r="J603" s="67" t="str">
        <f aca="false">IF(OR($C603="",$D603=""),"",IFERROR($D603*INDEX(Mix_Eff,MATCH($C603,Mix_Code,0),5),""))</f>
        <v/>
      </c>
      <c r="K603" s="63"/>
      <c r="L603" s="16" t="str">
        <f aca="false">IF(AND($A603="",$B603="",$C603="",$D603=""),"",IF($A603="","⚠ Date missing",IF($B603="","⚠ Site missing",IF(ISNA(MATCH($C603,Mix_Code,0)),"⚠ Unknown mix code",IF($D603="","⚠ Enter m3 produced",IF(COUNTIF(CI_Site,$B603)=0,"⚠ Site not set up in Current Inventory",IF($A603&gt;AsOfDate,"Future date – not yet deducted","OK")))))))</f>
        <v/>
      </c>
    </row>
    <row r="604" customFormat="false" ht="15" hidden="false" customHeight="false" outlineLevel="0" collapsed="false">
      <c r="A604" s="65"/>
      <c r="B604" s="63"/>
      <c r="C604" s="70"/>
      <c r="D604" s="66"/>
      <c r="E604" s="16" t="str">
        <f aca="false">IF($C604="","",IFERROR(INDEX(Mix_Desc,MATCH($C604,Mix_Code,0)),"⚠ Unknown mix code"))</f>
        <v/>
      </c>
      <c r="F604" s="67" t="str">
        <f aca="false">IF(OR($C604="",$D604=""),"",IFERROR($D604*INDEX(Mix_Eff,MATCH($C604,Mix_Code,0),1),""))</f>
        <v/>
      </c>
      <c r="G604" s="67" t="str">
        <f aca="false">IF(OR($C604="",$D604=""),"",IFERROR($D604*INDEX(Mix_Eff,MATCH($C604,Mix_Code,0),2),""))</f>
        <v/>
      </c>
      <c r="H604" s="67" t="str">
        <f aca="false">IF(OR($C604="",$D604=""),"",IFERROR($D604*INDEX(Mix_Eff,MATCH($C604,Mix_Code,0),3),""))</f>
        <v/>
      </c>
      <c r="I604" s="67" t="str">
        <f aca="false">IF(OR($C604="",$D604=""),"",IFERROR($D604*INDEX(Mix_Eff,MATCH($C604,Mix_Code,0),4),""))</f>
        <v/>
      </c>
      <c r="J604" s="67" t="str">
        <f aca="false">IF(OR($C604="",$D604=""),"",IFERROR($D604*INDEX(Mix_Eff,MATCH($C604,Mix_Code,0),5),""))</f>
        <v/>
      </c>
      <c r="K604" s="63"/>
      <c r="L604" s="16" t="str">
        <f aca="false">IF(AND($A604="",$B604="",$C604="",$D604=""),"",IF($A604="","⚠ Date missing",IF($B604="","⚠ Site missing",IF(ISNA(MATCH($C604,Mix_Code,0)),"⚠ Unknown mix code",IF($D604="","⚠ Enter m3 produced",IF(COUNTIF(CI_Site,$B604)=0,"⚠ Site not set up in Current Inventory",IF($A604&gt;AsOfDate,"Future date – not yet deducted","OK")))))))</f>
        <v/>
      </c>
    </row>
    <row r="605" customFormat="false" ht="15" hidden="false" customHeight="false" outlineLevel="0" collapsed="false">
      <c r="A605" s="65"/>
      <c r="B605" s="63"/>
      <c r="C605" s="70"/>
      <c r="D605" s="66"/>
      <c r="E605" s="16" t="str">
        <f aca="false">IF($C605="","",IFERROR(INDEX(Mix_Desc,MATCH($C605,Mix_Code,0)),"⚠ Unknown mix code"))</f>
        <v/>
      </c>
      <c r="F605" s="67" t="str">
        <f aca="false">IF(OR($C605="",$D605=""),"",IFERROR($D605*INDEX(Mix_Eff,MATCH($C605,Mix_Code,0),1),""))</f>
        <v/>
      </c>
      <c r="G605" s="67" t="str">
        <f aca="false">IF(OR($C605="",$D605=""),"",IFERROR($D605*INDEX(Mix_Eff,MATCH($C605,Mix_Code,0),2),""))</f>
        <v/>
      </c>
      <c r="H605" s="67" t="str">
        <f aca="false">IF(OR($C605="",$D605=""),"",IFERROR($D605*INDEX(Mix_Eff,MATCH($C605,Mix_Code,0),3),""))</f>
        <v/>
      </c>
      <c r="I605" s="67" t="str">
        <f aca="false">IF(OR($C605="",$D605=""),"",IFERROR($D605*INDEX(Mix_Eff,MATCH($C605,Mix_Code,0),4),""))</f>
        <v/>
      </c>
      <c r="J605" s="67" t="str">
        <f aca="false">IF(OR($C605="",$D605=""),"",IFERROR($D605*INDEX(Mix_Eff,MATCH($C605,Mix_Code,0),5),""))</f>
        <v/>
      </c>
      <c r="K605" s="63"/>
      <c r="L605" s="16" t="str">
        <f aca="false">IF(AND($A605="",$B605="",$C605="",$D605=""),"",IF($A605="","⚠ Date missing",IF($B605="","⚠ Site missing",IF(ISNA(MATCH($C605,Mix_Code,0)),"⚠ Unknown mix code",IF($D605="","⚠ Enter m3 produced",IF(COUNTIF(CI_Site,$B605)=0,"⚠ Site not set up in Current Inventory",IF($A605&gt;AsOfDate,"Future date – not yet deducted","OK")))))))</f>
        <v/>
      </c>
    </row>
    <row r="606" customFormat="false" ht="15" hidden="false" customHeight="false" outlineLevel="0" collapsed="false">
      <c r="A606" s="65"/>
      <c r="B606" s="63"/>
      <c r="C606" s="70"/>
      <c r="D606" s="66"/>
      <c r="E606" s="16" t="str">
        <f aca="false">IF($C606="","",IFERROR(INDEX(Mix_Desc,MATCH($C606,Mix_Code,0)),"⚠ Unknown mix code"))</f>
        <v/>
      </c>
      <c r="F606" s="67" t="str">
        <f aca="false">IF(OR($C606="",$D606=""),"",IFERROR($D606*INDEX(Mix_Eff,MATCH($C606,Mix_Code,0),1),""))</f>
        <v/>
      </c>
      <c r="G606" s="67" t="str">
        <f aca="false">IF(OR($C606="",$D606=""),"",IFERROR($D606*INDEX(Mix_Eff,MATCH($C606,Mix_Code,0),2),""))</f>
        <v/>
      </c>
      <c r="H606" s="67" t="str">
        <f aca="false">IF(OR($C606="",$D606=""),"",IFERROR($D606*INDEX(Mix_Eff,MATCH($C606,Mix_Code,0),3),""))</f>
        <v/>
      </c>
      <c r="I606" s="67" t="str">
        <f aca="false">IF(OR($C606="",$D606=""),"",IFERROR($D606*INDEX(Mix_Eff,MATCH($C606,Mix_Code,0),4),""))</f>
        <v/>
      </c>
      <c r="J606" s="67" t="str">
        <f aca="false">IF(OR($C606="",$D606=""),"",IFERROR($D606*INDEX(Mix_Eff,MATCH($C606,Mix_Code,0),5),""))</f>
        <v/>
      </c>
      <c r="K606" s="63"/>
      <c r="L606" s="16" t="str">
        <f aca="false">IF(AND($A606="",$B606="",$C606="",$D606=""),"",IF($A606="","⚠ Date missing",IF($B606="","⚠ Site missing",IF(ISNA(MATCH($C606,Mix_Code,0)),"⚠ Unknown mix code",IF($D606="","⚠ Enter m3 produced",IF(COUNTIF(CI_Site,$B606)=0,"⚠ Site not set up in Current Inventory",IF($A606&gt;AsOfDate,"Future date – not yet deducted","OK")))))))</f>
        <v/>
      </c>
    </row>
    <row r="607" customFormat="false" ht="15" hidden="false" customHeight="false" outlineLevel="0" collapsed="false">
      <c r="A607" s="65"/>
      <c r="B607" s="63"/>
      <c r="C607" s="70"/>
      <c r="D607" s="66"/>
      <c r="E607" s="16" t="str">
        <f aca="false">IF($C607="","",IFERROR(INDEX(Mix_Desc,MATCH($C607,Mix_Code,0)),"⚠ Unknown mix code"))</f>
        <v/>
      </c>
      <c r="F607" s="67" t="str">
        <f aca="false">IF(OR($C607="",$D607=""),"",IFERROR($D607*INDEX(Mix_Eff,MATCH($C607,Mix_Code,0),1),""))</f>
        <v/>
      </c>
      <c r="G607" s="67" t="str">
        <f aca="false">IF(OR($C607="",$D607=""),"",IFERROR($D607*INDEX(Mix_Eff,MATCH($C607,Mix_Code,0),2),""))</f>
        <v/>
      </c>
      <c r="H607" s="67" t="str">
        <f aca="false">IF(OR($C607="",$D607=""),"",IFERROR($D607*INDEX(Mix_Eff,MATCH($C607,Mix_Code,0),3),""))</f>
        <v/>
      </c>
      <c r="I607" s="67" t="str">
        <f aca="false">IF(OR($C607="",$D607=""),"",IFERROR($D607*INDEX(Mix_Eff,MATCH($C607,Mix_Code,0),4),""))</f>
        <v/>
      </c>
      <c r="J607" s="67" t="str">
        <f aca="false">IF(OR($C607="",$D607=""),"",IFERROR($D607*INDEX(Mix_Eff,MATCH($C607,Mix_Code,0),5),""))</f>
        <v/>
      </c>
      <c r="K607" s="63"/>
      <c r="L607" s="16" t="str">
        <f aca="false">IF(AND($A607="",$B607="",$C607="",$D607=""),"",IF($A607="","⚠ Date missing",IF($B607="","⚠ Site missing",IF(ISNA(MATCH($C607,Mix_Code,0)),"⚠ Unknown mix code",IF($D607="","⚠ Enter m3 produced",IF(COUNTIF(CI_Site,$B607)=0,"⚠ Site not set up in Current Inventory",IF($A607&gt;AsOfDate,"Future date – not yet deducted","OK")))))))</f>
        <v/>
      </c>
    </row>
    <row r="608" customFormat="false" ht="15" hidden="false" customHeight="false" outlineLevel="0" collapsed="false">
      <c r="A608" s="65"/>
      <c r="B608" s="63"/>
      <c r="C608" s="70"/>
      <c r="D608" s="66"/>
      <c r="E608" s="16" t="str">
        <f aca="false">IF($C608="","",IFERROR(INDEX(Mix_Desc,MATCH($C608,Mix_Code,0)),"⚠ Unknown mix code"))</f>
        <v/>
      </c>
      <c r="F608" s="67" t="str">
        <f aca="false">IF(OR($C608="",$D608=""),"",IFERROR($D608*INDEX(Mix_Eff,MATCH($C608,Mix_Code,0),1),""))</f>
        <v/>
      </c>
      <c r="G608" s="67" t="str">
        <f aca="false">IF(OR($C608="",$D608=""),"",IFERROR($D608*INDEX(Mix_Eff,MATCH($C608,Mix_Code,0),2),""))</f>
        <v/>
      </c>
      <c r="H608" s="67" t="str">
        <f aca="false">IF(OR($C608="",$D608=""),"",IFERROR($D608*INDEX(Mix_Eff,MATCH($C608,Mix_Code,0),3),""))</f>
        <v/>
      </c>
      <c r="I608" s="67" t="str">
        <f aca="false">IF(OR($C608="",$D608=""),"",IFERROR($D608*INDEX(Mix_Eff,MATCH($C608,Mix_Code,0),4),""))</f>
        <v/>
      </c>
      <c r="J608" s="67" t="str">
        <f aca="false">IF(OR($C608="",$D608=""),"",IFERROR($D608*INDEX(Mix_Eff,MATCH($C608,Mix_Code,0),5),""))</f>
        <v/>
      </c>
      <c r="K608" s="63"/>
      <c r="L608" s="16" t="str">
        <f aca="false">IF(AND($A608="",$B608="",$C608="",$D608=""),"",IF($A608="","⚠ Date missing",IF($B608="","⚠ Site missing",IF(ISNA(MATCH($C608,Mix_Code,0)),"⚠ Unknown mix code",IF($D608="","⚠ Enter m3 produced",IF(COUNTIF(CI_Site,$B608)=0,"⚠ Site not set up in Current Inventory",IF($A608&gt;AsOfDate,"Future date – not yet deducted","OK")))))))</f>
        <v/>
      </c>
    </row>
    <row r="609" customFormat="false" ht="15" hidden="false" customHeight="false" outlineLevel="0" collapsed="false">
      <c r="A609" s="65"/>
      <c r="B609" s="63"/>
      <c r="C609" s="70"/>
      <c r="D609" s="66"/>
      <c r="E609" s="16" t="str">
        <f aca="false">IF($C609="","",IFERROR(INDEX(Mix_Desc,MATCH($C609,Mix_Code,0)),"⚠ Unknown mix code"))</f>
        <v/>
      </c>
      <c r="F609" s="67" t="str">
        <f aca="false">IF(OR($C609="",$D609=""),"",IFERROR($D609*INDEX(Mix_Eff,MATCH($C609,Mix_Code,0),1),""))</f>
        <v/>
      </c>
      <c r="G609" s="67" t="str">
        <f aca="false">IF(OR($C609="",$D609=""),"",IFERROR($D609*INDEX(Mix_Eff,MATCH($C609,Mix_Code,0),2),""))</f>
        <v/>
      </c>
      <c r="H609" s="67" t="str">
        <f aca="false">IF(OR($C609="",$D609=""),"",IFERROR($D609*INDEX(Mix_Eff,MATCH($C609,Mix_Code,0),3),""))</f>
        <v/>
      </c>
      <c r="I609" s="67" t="str">
        <f aca="false">IF(OR($C609="",$D609=""),"",IFERROR($D609*INDEX(Mix_Eff,MATCH($C609,Mix_Code,0),4),""))</f>
        <v/>
      </c>
      <c r="J609" s="67" t="str">
        <f aca="false">IF(OR($C609="",$D609=""),"",IFERROR($D609*INDEX(Mix_Eff,MATCH($C609,Mix_Code,0),5),""))</f>
        <v/>
      </c>
      <c r="K609" s="63"/>
      <c r="L609" s="16" t="str">
        <f aca="false">IF(AND($A609="",$B609="",$C609="",$D609=""),"",IF($A609="","⚠ Date missing",IF($B609="","⚠ Site missing",IF(ISNA(MATCH($C609,Mix_Code,0)),"⚠ Unknown mix code",IF($D609="","⚠ Enter m3 produced",IF(COUNTIF(CI_Site,$B609)=0,"⚠ Site not set up in Current Inventory",IF($A609&gt;AsOfDate,"Future date – not yet deducted","OK")))))))</f>
        <v/>
      </c>
    </row>
    <row r="610" customFormat="false" ht="15" hidden="false" customHeight="false" outlineLevel="0" collapsed="false">
      <c r="A610" s="65"/>
      <c r="B610" s="63"/>
      <c r="C610" s="70"/>
      <c r="D610" s="66"/>
      <c r="E610" s="16" t="str">
        <f aca="false">IF($C610="","",IFERROR(INDEX(Mix_Desc,MATCH($C610,Mix_Code,0)),"⚠ Unknown mix code"))</f>
        <v/>
      </c>
      <c r="F610" s="67" t="str">
        <f aca="false">IF(OR($C610="",$D610=""),"",IFERROR($D610*INDEX(Mix_Eff,MATCH($C610,Mix_Code,0),1),""))</f>
        <v/>
      </c>
      <c r="G610" s="67" t="str">
        <f aca="false">IF(OR($C610="",$D610=""),"",IFERROR($D610*INDEX(Mix_Eff,MATCH($C610,Mix_Code,0),2),""))</f>
        <v/>
      </c>
      <c r="H610" s="67" t="str">
        <f aca="false">IF(OR($C610="",$D610=""),"",IFERROR($D610*INDEX(Mix_Eff,MATCH($C610,Mix_Code,0),3),""))</f>
        <v/>
      </c>
      <c r="I610" s="67" t="str">
        <f aca="false">IF(OR($C610="",$D610=""),"",IFERROR($D610*INDEX(Mix_Eff,MATCH($C610,Mix_Code,0),4),""))</f>
        <v/>
      </c>
      <c r="J610" s="67" t="str">
        <f aca="false">IF(OR($C610="",$D610=""),"",IFERROR($D610*INDEX(Mix_Eff,MATCH($C610,Mix_Code,0),5),""))</f>
        <v/>
      </c>
      <c r="K610" s="63"/>
      <c r="L610" s="16" t="str">
        <f aca="false">IF(AND($A610="",$B610="",$C610="",$D610=""),"",IF($A610="","⚠ Date missing",IF($B610="","⚠ Site missing",IF(ISNA(MATCH($C610,Mix_Code,0)),"⚠ Unknown mix code",IF($D610="","⚠ Enter m3 produced",IF(COUNTIF(CI_Site,$B610)=0,"⚠ Site not set up in Current Inventory",IF($A610&gt;AsOfDate,"Future date – not yet deducted","OK")))))))</f>
        <v/>
      </c>
    </row>
    <row r="611" customFormat="false" ht="15" hidden="false" customHeight="false" outlineLevel="0" collapsed="false">
      <c r="A611" s="65"/>
      <c r="B611" s="63"/>
      <c r="C611" s="70"/>
      <c r="D611" s="66"/>
      <c r="E611" s="16" t="str">
        <f aca="false">IF($C611="","",IFERROR(INDEX(Mix_Desc,MATCH($C611,Mix_Code,0)),"⚠ Unknown mix code"))</f>
        <v/>
      </c>
      <c r="F611" s="67" t="str">
        <f aca="false">IF(OR($C611="",$D611=""),"",IFERROR($D611*INDEX(Mix_Eff,MATCH($C611,Mix_Code,0),1),""))</f>
        <v/>
      </c>
      <c r="G611" s="67" t="str">
        <f aca="false">IF(OR($C611="",$D611=""),"",IFERROR($D611*INDEX(Mix_Eff,MATCH($C611,Mix_Code,0),2),""))</f>
        <v/>
      </c>
      <c r="H611" s="67" t="str">
        <f aca="false">IF(OR($C611="",$D611=""),"",IFERROR($D611*INDEX(Mix_Eff,MATCH($C611,Mix_Code,0),3),""))</f>
        <v/>
      </c>
      <c r="I611" s="67" t="str">
        <f aca="false">IF(OR($C611="",$D611=""),"",IFERROR($D611*INDEX(Mix_Eff,MATCH($C611,Mix_Code,0),4),""))</f>
        <v/>
      </c>
      <c r="J611" s="67" t="str">
        <f aca="false">IF(OR($C611="",$D611=""),"",IFERROR($D611*INDEX(Mix_Eff,MATCH($C611,Mix_Code,0),5),""))</f>
        <v/>
      </c>
      <c r="K611" s="63"/>
      <c r="L611" s="16" t="str">
        <f aca="false">IF(AND($A611="",$B611="",$C611="",$D611=""),"",IF($A611="","⚠ Date missing",IF($B611="","⚠ Site missing",IF(ISNA(MATCH($C611,Mix_Code,0)),"⚠ Unknown mix code",IF($D611="","⚠ Enter m3 produced",IF(COUNTIF(CI_Site,$B611)=0,"⚠ Site not set up in Current Inventory",IF($A611&gt;AsOfDate,"Future date – not yet deducted","OK")))))))</f>
        <v/>
      </c>
    </row>
    <row r="612" customFormat="false" ht="15" hidden="false" customHeight="false" outlineLevel="0" collapsed="false">
      <c r="A612" s="65"/>
      <c r="B612" s="63"/>
      <c r="C612" s="70"/>
      <c r="D612" s="66"/>
      <c r="E612" s="16" t="str">
        <f aca="false">IF($C612="","",IFERROR(INDEX(Mix_Desc,MATCH($C612,Mix_Code,0)),"⚠ Unknown mix code"))</f>
        <v/>
      </c>
      <c r="F612" s="67" t="str">
        <f aca="false">IF(OR($C612="",$D612=""),"",IFERROR($D612*INDEX(Mix_Eff,MATCH($C612,Mix_Code,0),1),""))</f>
        <v/>
      </c>
      <c r="G612" s="67" t="str">
        <f aca="false">IF(OR($C612="",$D612=""),"",IFERROR($D612*INDEX(Mix_Eff,MATCH($C612,Mix_Code,0),2),""))</f>
        <v/>
      </c>
      <c r="H612" s="67" t="str">
        <f aca="false">IF(OR($C612="",$D612=""),"",IFERROR($D612*INDEX(Mix_Eff,MATCH($C612,Mix_Code,0),3),""))</f>
        <v/>
      </c>
      <c r="I612" s="67" t="str">
        <f aca="false">IF(OR($C612="",$D612=""),"",IFERROR($D612*INDEX(Mix_Eff,MATCH($C612,Mix_Code,0),4),""))</f>
        <v/>
      </c>
      <c r="J612" s="67" t="str">
        <f aca="false">IF(OR($C612="",$D612=""),"",IFERROR($D612*INDEX(Mix_Eff,MATCH($C612,Mix_Code,0),5),""))</f>
        <v/>
      </c>
      <c r="K612" s="63"/>
      <c r="L612" s="16" t="str">
        <f aca="false">IF(AND($A612="",$B612="",$C612="",$D612=""),"",IF($A612="","⚠ Date missing",IF($B612="","⚠ Site missing",IF(ISNA(MATCH($C612,Mix_Code,0)),"⚠ Unknown mix code",IF($D612="","⚠ Enter m3 produced",IF(COUNTIF(CI_Site,$B612)=0,"⚠ Site not set up in Current Inventory",IF($A612&gt;AsOfDate,"Future date – not yet deducted","OK")))))))</f>
        <v/>
      </c>
    </row>
    <row r="613" customFormat="false" ht="15" hidden="false" customHeight="false" outlineLevel="0" collapsed="false">
      <c r="A613" s="65"/>
      <c r="B613" s="63"/>
      <c r="C613" s="70"/>
      <c r="D613" s="66"/>
      <c r="E613" s="16" t="str">
        <f aca="false">IF($C613="","",IFERROR(INDEX(Mix_Desc,MATCH($C613,Mix_Code,0)),"⚠ Unknown mix code"))</f>
        <v/>
      </c>
      <c r="F613" s="67" t="str">
        <f aca="false">IF(OR($C613="",$D613=""),"",IFERROR($D613*INDEX(Mix_Eff,MATCH($C613,Mix_Code,0),1),""))</f>
        <v/>
      </c>
      <c r="G613" s="67" t="str">
        <f aca="false">IF(OR($C613="",$D613=""),"",IFERROR($D613*INDEX(Mix_Eff,MATCH($C613,Mix_Code,0),2),""))</f>
        <v/>
      </c>
      <c r="H613" s="67" t="str">
        <f aca="false">IF(OR($C613="",$D613=""),"",IFERROR($D613*INDEX(Mix_Eff,MATCH($C613,Mix_Code,0),3),""))</f>
        <v/>
      </c>
      <c r="I613" s="67" t="str">
        <f aca="false">IF(OR($C613="",$D613=""),"",IFERROR($D613*INDEX(Mix_Eff,MATCH($C613,Mix_Code,0),4),""))</f>
        <v/>
      </c>
      <c r="J613" s="67" t="str">
        <f aca="false">IF(OR($C613="",$D613=""),"",IFERROR($D613*INDEX(Mix_Eff,MATCH($C613,Mix_Code,0),5),""))</f>
        <v/>
      </c>
      <c r="K613" s="63"/>
      <c r="L613" s="16" t="str">
        <f aca="false">IF(AND($A613="",$B613="",$C613="",$D613=""),"",IF($A613="","⚠ Date missing",IF($B613="","⚠ Site missing",IF(ISNA(MATCH($C613,Mix_Code,0)),"⚠ Unknown mix code",IF($D613="","⚠ Enter m3 produced",IF(COUNTIF(CI_Site,$B613)=0,"⚠ Site not set up in Current Inventory",IF($A613&gt;AsOfDate,"Future date – not yet deducted","OK")))))))</f>
        <v/>
      </c>
    </row>
    <row r="614" customFormat="false" ht="15" hidden="false" customHeight="false" outlineLevel="0" collapsed="false">
      <c r="A614" s="65"/>
      <c r="B614" s="63"/>
      <c r="C614" s="70"/>
      <c r="D614" s="66"/>
      <c r="E614" s="16" t="str">
        <f aca="false">IF($C614="","",IFERROR(INDEX(Mix_Desc,MATCH($C614,Mix_Code,0)),"⚠ Unknown mix code"))</f>
        <v/>
      </c>
      <c r="F614" s="67" t="str">
        <f aca="false">IF(OR($C614="",$D614=""),"",IFERROR($D614*INDEX(Mix_Eff,MATCH($C614,Mix_Code,0),1),""))</f>
        <v/>
      </c>
      <c r="G614" s="67" t="str">
        <f aca="false">IF(OR($C614="",$D614=""),"",IFERROR($D614*INDEX(Mix_Eff,MATCH($C614,Mix_Code,0),2),""))</f>
        <v/>
      </c>
      <c r="H614" s="67" t="str">
        <f aca="false">IF(OR($C614="",$D614=""),"",IFERROR($D614*INDEX(Mix_Eff,MATCH($C614,Mix_Code,0),3),""))</f>
        <v/>
      </c>
      <c r="I614" s="67" t="str">
        <f aca="false">IF(OR($C614="",$D614=""),"",IFERROR($D614*INDEX(Mix_Eff,MATCH($C614,Mix_Code,0),4),""))</f>
        <v/>
      </c>
      <c r="J614" s="67" t="str">
        <f aca="false">IF(OR($C614="",$D614=""),"",IFERROR($D614*INDEX(Mix_Eff,MATCH($C614,Mix_Code,0),5),""))</f>
        <v/>
      </c>
      <c r="K614" s="63"/>
      <c r="L614" s="16" t="str">
        <f aca="false">IF(AND($A614="",$B614="",$C614="",$D614=""),"",IF($A614="","⚠ Date missing",IF($B614="","⚠ Site missing",IF(ISNA(MATCH($C614,Mix_Code,0)),"⚠ Unknown mix code",IF($D614="","⚠ Enter m3 produced",IF(COUNTIF(CI_Site,$B614)=0,"⚠ Site not set up in Current Inventory",IF($A614&gt;AsOfDate,"Future date – not yet deducted","OK")))))))</f>
        <v/>
      </c>
    </row>
    <row r="615" customFormat="false" ht="15" hidden="false" customHeight="false" outlineLevel="0" collapsed="false">
      <c r="A615" s="65"/>
      <c r="B615" s="63"/>
      <c r="C615" s="70"/>
      <c r="D615" s="66"/>
      <c r="E615" s="16" t="str">
        <f aca="false">IF($C615="","",IFERROR(INDEX(Mix_Desc,MATCH($C615,Mix_Code,0)),"⚠ Unknown mix code"))</f>
        <v/>
      </c>
      <c r="F615" s="67" t="str">
        <f aca="false">IF(OR($C615="",$D615=""),"",IFERROR($D615*INDEX(Mix_Eff,MATCH($C615,Mix_Code,0),1),""))</f>
        <v/>
      </c>
      <c r="G615" s="67" t="str">
        <f aca="false">IF(OR($C615="",$D615=""),"",IFERROR($D615*INDEX(Mix_Eff,MATCH($C615,Mix_Code,0),2),""))</f>
        <v/>
      </c>
      <c r="H615" s="67" t="str">
        <f aca="false">IF(OR($C615="",$D615=""),"",IFERROR($D615*INDEX(Mix_Eff,MATCH($C615,Mix_Code,0),3),""))</f>
        <v/>
      </c>
      <c r="I615" s="67" t="str">
        <f aca="false">IF(OR($C615="",$D615=""),"",IFERROR($D615*INDEX(Mix_Eff,MATCH($C615,Mix_Code,0),4),""))</f>
        <v/>
      </c>
      <c r="J615" s="67" t="str">
        <f aca="false">IF(OR($C615="",$D615=""),"",IFERROR($D615*INDEX(Mix_Eff,MATCH($C615,Mix_Code,0),5),""))</f>
        <v/>
      </c>
      <c r="K615" s="63"/>
      <c r="L615" s="16" t="str">
        <f aca="false">IF(AND($A615="",$B615="",$C615="",$D615=""),"",IF($A615="","⚠ Date missing",IF($B615="","⚠ Site missing",IF(ISNA(MATCH($C615,Mix_Code,0)),"⚠ Unknown mix code",IF($D615="","⚠ Enter m3 produced",IF(COUNTIF(CI_Site,$B615)=0,"⚠ Site not set up in Current Inventory",IF($A615&gt;AsOfDate,"Future date – not yet deducted","OK")))))))</f>
        <v/>
      </c>
    </row>
    <row r="616" customFormat="false" ht="15" hidden="false" customHeight="false" outlineLevel="0" collapsed="false">
      <c r="A616" s="65"/>
      <c r="B616" s="63"/>
      <c r="C616" s="70"/>
      <c r="D616" s="66"/>
      <c r="E616" s="16" t="str">
        <f aca="false">IF($C616="","",IFERROR(INDEX(Mix_Desc,MATCH($C616,Mix_Code,0)),"⚠ Unknown mix code"))</f>
        <v/>
      </c>
      <c r="F616" s="67" t="str">
        <f aca="false">IF(OR($C616="",$D616=""),"",IFERROR($D616*INDEX(Mix_Eff,MATCH($C616,Mix_Code,0),1),""))</f>
        <v/>
      </c>
      <c r="G616" s="67" t="str">
        <f aca="false">IF(OR($C616="",$D616=""),"",IFERROR($D616*INDEX(Mix_Eff,MATCH($C616,Mix_Code,0),2),""))</f>
        <v/>
      </c>
      <c r="H616" s="67" t="str">
        <f aca="false">IF(OR($C616="",$D616=""),"",IFERROR($D616*INDEX(Mix_Eff,MATCH($C616,Mix_Code,0),3),""))</f>
        <v/>
      </c>
      <c r="I616" s="67" t="str">
        <f aca="false">IF(OR($C616="",$D616=""),"",IFERROR($D616*INDEX(Mix_Eff,MATCH($C616,Mix_Code,0),4),""))</f>
        <v/>
      </c>
      <c r="J616" s="67" t="str">
        <f aca="false">IF(OR($C616="",$D616=""),"",IFERROR($D616*INDEX(Mix_Eff,MATCH($C616,Mix_Code,0),5),""))</f>
        <v/>
      </c>
      <c r="K616" s="63"/>
      <c r="L616" s="16" t="str">
        <f aca="false">IF(AND($A616="",$B616="",$C616="",$D616=""),"",IF($A616="","⚠ Date missing",IF($B616="","⚠ Site missing",IF(ISNA(MATCH($C616,Mix_Code,0)),"⚠ Unknown mix code",IF($D616="","⚠ Enter m3 produced",IF(COUNTIF(CI_Site,$B616)=0,"⚠ Site not set up in Current Inventory",IF($A616&gt;AsOfDate,"Future date – not yet deducted","OK")))))))</f>
        <v/>
      </c>
    </row>
    <row r="617" customFormat="false" ht="15" hidden="false" customHeight="false" outlineLevel="0" collapsed="false">
      <c r="A617" s="65"/>
      <c r="B617" s="63"/>
      <c r="C617" s="70"/>
      <c r="D617" s="66"/>
      <c r="E617" s="16" t="str">
        <f aca="false">IF($C617="","",IFERROR(INDEX(Mix_Desc,MATCH($C617,Mix_Code,0)),"⚠ Unknown mix code"))</f>
        <v/>
      </c>
      <c r="F617" s="67" t="str">
        <f aca="false">IF(OR($C617="",$D617=""),"",IFERROR($D617*INDEX(Mix_Eff,MATCH($C617,Mix_Code,0),1),""))</f>
        <v/>
      </c>
      <c r="G617" s="67" t="str">
        <f aca="false">IF(OR($C617="",$D617=""),"",IFERROR($D617*INDEX(Mix_Eff,MATCH($C617,Mix_Code,0),2),""))</f>
        <v/>
      </c>
      <c r="H617" s="67" t="str">
        <f aca="false">IF(OR($C617="",$D617=""),"",IFERROR($D617*INDEX(Mix_Eff,MATCH($C617,Mix_Code,0),3),""))</f>
        <v/>
      </c>
      <c r="I617" s="67" t="str">
        <f aca="false">IF(OR($C617="",$D617=""),"",IFERROR($D617*INDEX(Mix_Eff,MATCH($C617,Mix_Code,0),4),""))</f>
        <v/>
      </c>
      <c r="J617" s="67" t="str">
        <f aca="false">IF(OR($C617="",$D617=""),"",IFERROR($D617*INDEX(Mix_Eff,MATCH($C617,Mix_Code,0),5),""))</f>
        <v/>
      </c>
      <c r="K617" s="63"/>
      <c r="L617" s="16" t="str">
        <f aca="false">IF(AND($A617="",$B617="",$C617="",$D617=""),"",IF($A617="","⚠ Date missing",IF($B617="","⚠ Site missing",IF(ISNA(MATCH($C617,Mix_Code,0)),"⚠ Unknown mix code",IF($D617="","⚠ Enter m3 produced",IF(COUNTIF(CI_Site,$B617)=0,"⚠ Site not set up in Current Inventory",IF($A617&gt;AsOfDate,"Future date – not yet deducted","OK")))))))</f>
        <v/>
      </c>
    </row>
    <row r="618" customFormat="false" ht="15" hidden="false" customHeight="false" outlineLevel="0" collapsed="false">
      <c r="A618" s="65"/>
      <c r="B618" s="63"/>
      <c r="C618" s="70"/>
      <c r="D618" s="66"/>
      <c r="E618" s="16" t="str">
        <f aca="false">IF($C618="","",IFERROR(INDEX(Mix_Desc,MATCH($C618,Mix_Code,0)),"⚠ Unknown mix code"))</f>
        <v/>
      </c>
      <c r="F618" s="67" t="str">
        <f aca="false">IF(OR($C618="",$D618=""),"",IFERROR($D618*INDEX(Mix_Eff,MATCH($C618,Mix_Code,0),1),""))</f>
        <v/>
      </c>
      <c r="G618" s="67" t="str">
        <f aca="false">IF(OR($C618="",$D618=""),"",IFERROR($D618*INDEX(Mix_Eff,MATCH($C618,Mix_Code,0),2),""))</f>
        <v/>
      </c>
      <c r="H618" s="67" t="str">
        <f aca="false">IF(OR($C618="",$D618=""),"",IFERROR($D618*INDEX(Mix_Eff,MATCH($C618,Mix_Code,0),3),""))</f>
        <v/>
      </c>
      <c r="I618" s="67" t="str">
        <f aca="false">IF(OR($C618="",$D618=""),"",IFERROR($D618*INDEX(Mix_Eff,MATCH($C618,Mix_Code,0),4),""))</f>
        <v/>
      </c>
      <c r="J618" s="67" t="str">
        <f aca="false">IF(OR($C618="",$D618=""),"",IFERROR($D618*INDEX(Mix_Eff,MATCH($C618,Mix_Code,0),5),""))</f>
        <v/>
      </c>
      <c r="K618" s="63"/>
      <c r="L618" s="16" t="str">
        <f aca="false">IF(AND($A618="",$B618="",$C618="",$D618=""),"",IF($A618="","⚠ Date missing",IF($B618="","⚠ Site missing",IF(ISNA(MATCH($C618,Mix_Code,0)),"⚠ Unknown mix code",IF($D618="","⚠ Enter m3 produced",IF(COUNTIF(CI_Site,$B618)=0,"⚠ Site not set up in Current Inventory",IF($A618&gt;AsOfDate,"Future date – not yet deducted","OK")))))))</f>
        <v/>
      </c>
    </row>
    <row r="619" customFormat="false" ht="15" hidden="false" customHeight="false" outlineLevel="0" collapsed="false">
      <c r="A619" s="65"/>
      <c r="B619" s="63"/>
      <c r="C619" s="70"/>
      <c r="D619" s="66"/>
      <c r="E619" s="16" t="str">
        <f aca="false">IF($C619="","",IFERROR(INDEX(Mix_Desc,MATCH($C619,Mix_Code,0)),"⚠ Unknown mix code"))</f>
        <v/>
      </c>
      <c r="F619" s="67" t="str">
        <f aca="false">IF(OR($C619="",$D619=""),"",IFERROR($D619*INDEX(Mix_Eff,MATCH($C619,Mix_Code,0),1),""))</f>
        <v/>
      </c>
      <c r="G619" s="67" t="str">
        <f aca="false">IF(OR($C619="",$D619=""),"",IFERROR($D619*INDEX(Mix_Eff,MATCH($C619,Mix_Code,0),2),""))</f>
        <v/>
      </c>
      <c r="H619" s="67" t="str">
        <f aca="false">IF(OR($C619="",$D619=""),"",IFERROR($D619*INDEX(Mix_Eff,MATCH($C619,Mix_Code,0),3),""))</f>
        <v/>
      </c>
      <c r="I619" s="67" t="str">
        <f aca="false">IF(OR($C619="",$D619=""),"",IFERROR($D619*INDEX(Mix_Eff,MATCH($C619,Mix_Code,0),4),""))</f>
        <v/>
      </c>
      <c r="J619" s="67" t="str">
        <f aca="false">IF(OR($C619="",$D619=""),"",IFERROR($D619*INDEX(Mix_Eff,MATCH($C619,Mix_Code,0),5),""))</f>
        <v/>
      </c>
      <c r="K619" s="63"/>
      <c r="L619" s="16" t="str">
        <f aca="false">IF(AND($A619="",$B619="",$C619="",$D619=""),"",IF($A619="","⚠ Date missing",IF($B619="","⚠ Site missing",IF(ISNA(MATCH($C619,Mix_Code,0)),"⚠ Unknown mix code",IF($D619="","⚠ Enter m3 produced",IF(COUNTIF(CI_Site,$B619)=0,"⚠ Site not set up in Current Inventory",IF($A619&gt;AsOfDate,"Future date – not yet deducted","OK")))))))</f>
        <v/>
      </c>
    </row>
    <row r="620" customFormat="false" ht="15" hidden="false" customHeight="false" outlineLevel="0" collapsed="false">
      <c r="A620" s="65"/>
      <c r="B620" s="63"/>
      <c r="C620" s="70"/>
      <c r="D620" s="66"/>
      <c r="E620" s="16" t="str">
        <f aca="false">IF($C620="","",IFERROR(INDEX(Mix_Desc,MATCH($C620,Mix_Code,0)),"⚠ Unknown mix code"))</f>
        <v/>
      </c>
      <c r="F620" s="67" t="str">
        <f aca="false">IF(OR($C620="",$D620=""),"",IFERROR($D620*INDEX(Mix_Eff,MATCH($C620,Mix_Code,0),1),""))</f>
        <v/>
      </c>
      <c r="G620" s="67" t="str">
        <f aca="false">IF(OR($C620="",$D620=""),"",IFERROR($D620*INDEX(Mix_Eff,MATCH($C620,Mix_Code,0),2),""))</f>
        <v/>
      </c>
      <c r="H620" s="67" t="str">
        <f aca="false">IF(OR($C620="",$D620=""),"",IFERROR($D620*INDEX(Mix_Eff,MATCH($C620,Mix_Code,0),3),""))</f>
        <v/>
      </c>
      <c r="I620" s="67" t="str">
        <f aca="false">IF(OR($C620="",$D620=""),"",IFERROR($D620*INDEX(Mix_Eff,MATCH($C620,Mix_Code,0),4),""))</f>
        <v/>
      </c>
      <c r="J620" s="67" t="str">
        <f aca="false">IF(OR($C620="",$D620=""),"",IFERROR($D620*INDEX(Mix_Eff,MATCH($C620,Mix_Code,0),5),""))</f>
        <v/>
      </c>
      <c r="K620" s="63"/>
      <c r="L620" s="16" t="str">
        <f aca="false">IF(AND($A620="",$B620="",$C620="",$D620=""),"",IF($A620="","⚠ Date missing",IF($B620="","⚠ Site missing",IF(ISNA(MATCH($C620,Mix_Code,0)),"⚠ Unknown mix code",IF($D620="","⚠ Enter m3 produced",IF(COUNTIF(CI_Site,$B620)=0,"⚠ Site not set up in Current Inventory",IF($A620&gt;AsOfDate,"Future date – not yet deducted","OK")))))))</f>
        <v/>
      </c>
    </row>
    <row r="621" customFormat="false" ht="15" hidden="false" customHeight="false" outlineLevel="0" collapsed="false">
      <c r="A621" s="65"/>
      <c r="B621" s="63"/>
      <c r="C621" s="70"/>
      <c r="D621" s="66"/>
      <c r="E621" s="16" t="str">
        <f aca="false">IF($C621="","",IFERROR(INDEX(Mix_Desc,MATCH($C621,Mix_Code,0)),"⚠ Unknown mix code"))</f>
        <v/>
      </c>
      <c r="F621" s="67" t="str">
        <f aca="false">IF(OR($C621="",$D621=""),"",IFERROR($D621*INDEX(Mix_Eff,MATCH($C621,Mix_Code,0),1),""))</f>
        <v/>
      </c>
      <c r="G621" s="67" t="str">
        <f aca="false">IF(OR($C621="",$D621=""),"",IFERROR($D621*INDEX(Mix_Eff,MATCH($C621,Mix_Code,0),2),""))</f>
        <v/>
      </c>
      <c r="H621" s="67" t="str">
        <f aca="false">IF(OR($C621="",$D621=""),"",IFERROR($D621*INDEX(Mix_Eff,MATCH($C621,Mix_Code,0),3),""))</f>
        <v/>
      </c>
      <c r="I621" s="67" t="str">
        <f aca="false">IF(OR($C621="",$D621=""),"",IFERROR($D621*INDEX(Mix_Eff,MATCH($C621,Mix_Code,0),4),""))</f>
        <v/>
      </c>
      <c r="J621" s="67" t="str">
        <f aca="false">IF(OR($C621="",$D621=""),"",IFERROR($D621*INDEX(Mix_Eff,MATCH($C621,Mix_Code,0),5),""))</f>
        <v/>
      </c>
      <c r="K621" s="63"/>
      <c r="L621" s="16" t="str">
        <f aca="false">IF(AND($A621="",$B621="",$C621="",$D621=""),"",IF($A621="","⚠ Date missing",IF($B621="","⚠ Site missing",IF(ISNA(MATCH($C621,Mix_Code,0)),"⚠ Unknown mix code",IF($D621="","⚠ Enter m3 produced",IF(COUNTIF(CI_Site,$B621)=0,"⚠ Site not set up in Current Inventory",IF($A621&gt;AsOfDate,"Future date – not yet deducted","OK")))))))</f>
        <v/>
      </c>
    </row>
    <row r="622" customFormat="false" ht="15" hidden="false" customHeight="false" outlineLevel="0" collapsed="false">
      <c r="A622" s="65"/>
      <c r="B622" s="63"/>
      <c r="C622" s="70"/>
      <c r="D622" s="66"/>
      <c r="E622" s="16" t="str">
        <f aca="false">IF($C622="","",IFERROR(INDEX(Mix_Desc,MATCH($C622,Mix_Code,0)),"⚠ Unknown mix code"))</f>
        <v/>
      </c>
      <c r="F622" s="67" t="str">
        <f aca="false">IF(OR($C622="",$D622=""),"",IFERROR($D622*INDEX(Mix_Eff,MATCH($C622,Mix_Code,0),1),""))</f>
        <v/>
      </c>
      <c r="G622" s="67" t="str">
        <f aca="false">IF(OR($C622="",$D622=""),"",IFERROR($D622*INDEX(Mix_Eff,MATCH($C622,Mix_Code,0),2),""))</f>
        <v/>
      </c>
      <c r="H622" s="67" t="str">
        <f aca="false">IF(OR($C622="",$D622=""),"",IFERROR($D622*INDEX(Mix_Eff,MATCH($C622,Mix_Code,0),3),""))</f>
        <v/>
      </c>
      <c r="I622" s="67" t="str">
        <f aca="false">IF(OR($C622="",$D622=""),"",IFERROR($D622*INDEX(Mix_Eff,MATCH($C622,Mix_Code,0),4),""))</f>
        <v/>
      </c>
      <c r="J622" s="67" t="str">
        <f aca="false">IF(OR($C622="",$D622=""),"",IFERROR($D622*INDEX(Mix_Eff,MATCH($C622,Mix_Code,0),5),""))</f>
        <v/>
      </c>
      <c r="K622" s="63"/>
      <c r="L622" s="16" t="str">
        <f aca="false">IF(AND($A622="",$B622="",$C622="",$D622=""),"",IF($A622="","⚠ Date missing",IF($B622="","⚠ Site missing",IF(ISNA(MATCH($C622,Mix_Code,0)),"⚠ Unknown mix code",IF($D622="","⚠ Enter m3 produced",IF(COUNTIF(CI_Site,$B622)=0,"⚠ Site not set up in Current Inventory",IF($A622&gt;AsOfDate,"Future date – not yet deducted","OK")))))))</f>
        <v/>
      </c>
    </row>
    <row r="623" customFormat="false" ht="15" hidden="false" customHeight="false" outlineLevel="0" collapsed="false">
      <c r="A623" s="65"/>
      <c r="B623" s="63"/>
      <c r="C623" s="70"/>
      <c r="D623" s="66"/>
      <c r="E623" s="16" t="str">
        <f aca="false">IF($C623="","",IFERROR(INDEX(Mix_Desc,MATCH($C623,Mix_Code,0)),"⚠ Unknown mix code"))</f>
        <v/>
      </c>
      <c r="F623" s="67" t="str">
        <f aca="false">IF(OR($C623="",$D623=""),"",IFERROR($D623*INDEX(Mix_Eff,MATCH($C623,Mix_Code,0),1),""))</f>
        <v/>
      </c>
      <c r="G623" s="67" t="str">
        <f aca="false">IF(OR($C623="",$D623=""),"",IFERROR($D623*INDEX(Mix_Eff,MATCH($C623,Mix_Code,0),2),""))</f>
        <v/>
      </c>
      <c r="H623" s="67" t="str">
        <f aca="false">IF(OR($C623="",$D623=""),"",IFERROR($D623*INDEX(Mix_Eff,MATCH($C623,Mix_Code,0),3),""))</f>
        <v/>
      </c>
      <c r="I623" s="67" t="str">
        <f aca="false">IF(OR($C623="",$D623=""),"",IFERROR($D623*INDEX(Mix_Eff,MATCH($C623,Mix_Code,0),4),""))</f>
        <v/>
      </c>
      <c r="J623" s="67" t="str">
        <f aca="false">IF(OR($C623="",$D623=""),"",IFERROR($D623*INDEX(Mix_Eff,MATCH($C623,Mix_Code,0),5),""))</f>
        <v/>
      </c>
      <c r="K623" s="63"/>
      <c r="L623" s="16" t="str">
        <f aca="false">IF(AND($A623="",$B623="",$C623="",$D623=""),"",IF($A623="","⚠ Date missing",IF($B623="","⚠ Site missing",IF(ISNA(MATCH($C623,Mix_Code,0)),"⚠ Unknown mix code",IF($D623="","⚠ Enter m3 produced",IF(COUNTIF(CI_Site,$B623)=0,"⚠ Site not set up in Current Inventory",IF($A623&gt;AsOfDate,"Future date – not yet deducted","OK")))))))</f>
        <v/>
      </c>
    </row>
    <row r="624" customFormat="false" ht="15" hidden="false" customHeight="false" outlineLevel="0" collapsed="false">
      <c r="A624" s="65"/>
      <c r="B624" s="63"/>
      <c r="C624" s="70"/>
      <c r="D624" s="66"/>
      <c r="E624" s="16" t="str">
        <f aca="false">IF($C624="","",IFERROR(INDEX(Mix_Desc,MATCH($C624,Mix_Code,0)),"⚠ Unknown mix code"))</f>
        <v/>
      </c>
      <c r="F624" s="67" t="str">
        <f aca="false">IF(OR($C624="",$D624=""),"",IFERROR($D624*INDEX(Mix_Eff,MATCH($C624,Mix_Code,0),1),""))</f>
        <v/>
      </c>
      <c r="G624" s="67" t="str">
        <f aca="false">IF(OR($C624="",$D624=""),"",IFERROR($D624*INDEX(Mix_Eff,MATCH($C624,Mix_Code,0),2),""))</f>
        <v/>
      </c>
      <c r="H624" s="67" t="str">
        <f aca="false">IF(OR($C624="",$D624=""),"",IFERROR($D624*INDEX(Mix_Eff,MATCH($C624,Mix_Code,0),3),""))</f>
        <v/>
      </c>
      <c r="I624" s="67" t="str">
        <f aca="false">IF(OR($C624="",$D624=""),"",IFERROR($D624*INDEX(Mix_Eff,MATCH($C624,Mix_Code,0),4),""))</f>
        <v/>
      </c>
      <c r="J624" s="67" t="str">
        <f aca="false">IF(OR($C624="",$D624=""),"",IFERROR($D624*INDEX(Mix_Eff,MATCH($C624,Mix_Code,0),5),""))</f>
        <v/>
      </c>
      <c r="K624" s="63"/>
      <c r="L624" s="16" t="str">
        <f aca="false">IF(AND($A624="",$B624="",$C624="",$D624=""),"",IF($A624="","⚠ Date missing",IF($B624="","⚠ Site missing",IF(ISNA(MATCH($C624,Mix_Code,0)),"⚠ Unknown mix code",IF($D624="","⚠ Enter m3 produced",IF(COUNTIF(CI_Site,$B624)=0,"⚠ Site not set up in Current Inventory",IF($A624&gt;AsOfDate,"Future date – not yet deducted","OK")))))))</f>
        <v/>
      </c>
    </row>
    <row r="625" customFormat="false" ht="15" hidden="false" customHeight="false" outlineLevel="0" collapsed="false">
      <c r="A625" s="65"/>
      <c r="B625" s="63"/>
      <c r="C625" s="70"/>
      <c r="D625" s="66"/>
      <c r="E625" s="16" t="str">
        <f aca="false">IF($C625="","",IFERROR(INDEX(Mix_Desc,MATCH($C625,Mix_Code,0)),"⚠ Unknown mix code"))</f>
        <v/>
      </c>
      <c r="F625" s="67" t="str">
        <f aca="false">IF(OR($C625="",$D625=""),"",IFERROR($D625*INDEX(Mix_Eff,MATCH($C625,Mix_Code,0),1),""))</f>
        <v/>
      </c>
      <c r="G625" s="67" t="str">
        <f aca="false">IF(OR($C625="",$D625=""),"",IFERROR($D625*INDEX(Mix_Eff,MATCH($C625,Mix_Code,0),2),""))</f>
        <v/>
      </c>
      <c r="H625" s="67" t="str">
        <f aca="false">IF(OR($C625="",$D625=""),"",IFERROR($D625*INDEX(Mix_Eff,MATCH($C625,Mix_Code,0),3),""))</f>
        <v/>
      </c>
      <c r="I625" s="67" t="str">
        <f aca="false">IF(OR($C625="",$D625=""),"",IFERROR($D625*INDEX(Mix_Eff,MATCH($C625,Mix_Code,0),4),""))</f>
        <v/>
      </c>
      <c r="J625" s="67" t="str">
        <f aca="false">IF(OR($C625="",$D625=""),"",IFERROR($D625*INDEX(Mix_Eff,MATCH($C625,Mix_Code,0),5),""))</f>
        <v/>
      </c>
      <c r="K625" s="63"/>
      <c r="L625" s="16" t="str">
        <f aca="false">IF(AND($A625="",$B625="",$C625="",$D625=""),"",IF($A625="","⚠ Date missing",IF($B625="","⚠ Site missing",IF(ISNA(MATCH($C625,Mix_Code,0)),"⚠ Unknown mix code",IF($D625="","⚠ Enter m3 produced",IF(COUNTIF(CI_Site,$B625)=0,"⚠ Site not set up in Current Inventory",IF($A625&gt;AsOfDate,"Future date – not yet deducted","OK")))))))</f>
        <v/>
      </c>
    </row>
    <row r="626" customFormat="false" ht="15" hidden="false" customHeight="false" outlineLevel="0" collapsed="false">
      <c r="A626" s="65"/>
      <c r="B626" s="63"/>
      <c r="C626" s="70"/>
      <c r="D626" s="66"/>
      <c r="E626" s="16" t="str">
        <f aca="false">IF($C626="","",IFERROR(INDEX(Mix_Desc,MATCH($C626,Mix_Code,0)),"⚠ Unknown mix code"))</f>
        <v/>
      </c>
      <c r="F626" s="67" t="str">
        <f aca="false">IF(OR($C626="",$D626=""),"",IFERROR($D626*INDEX(Mix_Eff,MATCH($C626,Mix_Code,0),1),""))</f>
        <v/>
      </c>
      <c r="G626" s="67" t="str">
        <f aca="false">IF(OR($C626="",$D626=""),"",IFERROR($D626*INDEX(Mix_Eff,MATCH($C626,Mix_Code,0),2),""))</f>
        <v/>
      </c>
      <c r="H626" s="67" t="str">
        <f aca="false">IF(OR($C626="",$D626=""),"",IFERROR($D626*INDEX(Mix_Eff,MATCH($C626,Mix_Code,0),3),""))</f>
        <v/>
      </c>
      <c r="I626" s="67" t="str">
        <f aca="false">IF(OR($C626="",$D626=""),"",IFERROR($D626*INDEX(Mix_Eff,MATCH($C626,Mix_Code,0),4),""))</f>
        <v/>
      </c>
      <c r="J626" s="67" t="str">
        <f aca="false">IF(OR($C626="",$D626=""),"",IFERROR($D626*INDEX(Mix_Eff,MATCH($C626,Mix_Code,0),5),""))</f>
        <v/>
      </c>
      <c r="K626" s="63"/>
      <c r="L626" s="16" t="str">
        <f aca="false">IF(AND($A626="",$B626="",$C626="",$D626=""),"",IF($A626="","⚠ Date missing",IF($B626="","⚠ Site missing",IF(ISNA(MATCH($C626,Mix_Code,0)),"⚠ Unknown mix code",IF($D626="","⚠ Enter m3 produced",IF(COUNTIF(CI_Site,$B626)=0,"⚠ Site not set up in Current Inventory",IF($A626&gt;AsOfDate,"Future date – not yet deducted","OK")))))))</f>
        <v/>
      </c>
    </row>
    <row r="627" customFormat="false" ht="15" hidden="false" customHeight="false" outlineLevel="0" collapsed="false">
      <c r="A627" s="65"/>
      <c r="B627" s="63"/>
      <c r="C627" s="70"/>
      <c r="D627" s="66"/>
      <c r="E627" s="16" t="str">
        <f aca="false">IF($C627="","",IFERROR(INDEX(Mix_Desc,MATCH($C627,Mix_Code,0)),"⚠ Unknown mix code"))</f>
        <v/>
      </c>
      <c r="F627" s="67" t="str">
        <f aca="false">IF(OR($C627="",$D627=""),"",IFERROR($D627*INDEX(Mix_Eff,MATCH($C627,Mix_Code,0),1),""))</f>
        <v/>
      </c>
      <c r="G627" s="67" t="str">
        <f aca="false">IF(OR($C627="",$D627=""),"",IFERROR($D627*INDEX(Mix_Eff,MATCH($C627,Mix_Code,0),2),""))</f>
        <v/>
      </c>
      <c r="H627" s="67" t="str">
        <f aca="false">IF(OR($C627="",$D627=""),"",IFERROR($D627*INDEX(Mix_Eff,MATCH($C627,Mix_Code,0),3),""))</f>
        <v/>
      </c>
      <c r="I627" s="67" t="str">
        <f aca="false">IF(OR($C627="",$D627=""),"",IFERROR($D627*INDEX(Mix_Eff,MATCH($C627,Mix_Code,0),4),""))</f>
        <v/>
      </c>
      <c r="J627" s="67" t="str">
        <f aca="false">IF(OR($C627="",$D627=""),"",IFERROR($D627*INDEX(Mix_Eff,MATCH($C627,Mix_Code,0),5),""))</f>
        <v/>
      </c>
      <c r="K627" s="63"/>
      <c r="L627" s="16" t="str">
        <f aca="false">IF(AND($A627="",$B627="",$C627="",$D627=""),"",IF($A627="","⚠ Date missing",IF($B627="","⚠ Site missing",IF(ISNA(MATCH($C627,Mix_Code,0)),"⚠ Unknown mix code",IF($D627="","⚠ Enter m3 produced",IF(COUNTIF(CI_Site,$B627)=0,"⚠ Site not set up in Current Inventory",IF($A627&gt;AsOfDate,"Future date – not yet deducted","OK")))))))</f>
        <v/>
      </c>
    </row>
    <row r="628" customFormat="false" ht="15" hidden="false" customHeight="false" outlineLevel="0" collapsed="false">
      <c r="A628" s="65"/>
      <c r="B628" s="63"/>
      <c r="C628" s="70"/>
      <c r="D628" s="66"/>
      <c r="E628" s="16" t="str">
        <f aca="false">IF($C628="","",IFERROR(INDEX(Mix_Desc,MATCH($C628,Mix_Code,0)),"⚠ Unknown mix code"))</f>
        <v/>
      </c>
      <c r="F628" s="67" t="str">
        <f aca="false">IF(OR($C628="",$D628=""),"",IFERROR($D628*INDEX(Mix_Eff,MATCH($C628,Mix_Code,0),1),""))</f>
        <v/>
      </c>
      <c r="G628" s="67" t="str">
        <f aca="false">IF(OR($C628="",$D628=""),"",IFERROR($D628*INDEX(Mix_Eff,MATCH($C628,Mix_Code,0),2),""))</f>
        <v/>
      </c>
      <c r="H628" s="67" t="str">
        <f aca="false">IF(OR($C628="",$D628=""),"",IFERROR($D628*INDEX(Mix_Eff,MATCH($C628,Mix_Code,0),3),""))</f>
        <v/>
      </c>
      <c r="I628" s="67" t="str">
        <f aca="false">IF(OR($C628="",$D628=""),"",IFERROR($D628*INDEX(Mix_Eff,MATCH($C628,Mix_Code,0),4),""))</f>
        <v/>
      </c>
      <c r="J628" s="67" t="str">
        <f aca="false">IF(OR($C628="",$D628=""),"",IFERROR($D628*INDEX(Mix_Eff,MATCH($C628,Mix_Code,0),5),""))</f>
        <v/>
      </c>
      <c r="K628" s="63"/>
      <c r="L628" s="16" t="str">
        <f aca="false">IF(AND($A628="",$B628="",$C628="",$D628=""),"",IF($A628="","⚠ Date missing",IF($B628="","⚠ Site missing",IF(ISNA(MATCH($C628,Mix_Code,0)),"⚠ Unknown mix code",IF($D628="","⚠ Enter m3 produced",IF(COUNTIF(CI_Site,$B628)=0,"⚠ Site not set up in Current Inventory",IF($A628&gt;AsOfDate,"Future date – not yet deducted","OK")))))))</f>
        <v/>
      </c>
    </row>
    <row r="629" customFormat="false" ht="15" hidden="false" customHeight="false" outlineLevel="0" collapsed="false">
      <c r="A629" s="65"/>
      <c r="B629" s="63"/>
      <c r="C629" s="70"/>
      <c r="D629" s="66"/>
      <c r="E629" s="16" t="str">
        <f aca="false">IF($C629="","",IFERROR(INDEX(Mix_Desc,MATCH($C629,Mix_Code,0)),"⚠ Unknown mix code"))</f>
        <v/>
      </c>
      <c r="F629" s="67" t="str">
        <f aca="false">IF(OR($C629="",$D629=""),"",IFERROR($D629*INDEX(Mix_Eff,MATCH($C629,Mix_Code,0),1),""))</f>
        <v/>
      </c>
      <c r="G629" s="67" t="str">
        <f aca="false">IF(OR($C629="",$D629=""),"",IFERROR($D629*INDEX(Mix_Eff,MATCH($C629,Mix_Code,0),2),""))</f>
        <v/>
      </c>
      <c r="H629" s="67" t="str">
        <f aca="false">IF(OR($C629="",$D629=""),"",IFERROR($D629*INDEX(Mix_Eff,MATCH($C629,Mix_Code,0),3),""))</f>
        <v/>
      </c>
      <c r="I629" s="67" t="str">
        <f aca="false">IF(OR($C629="",$D629=""),"",IFERROR($D629*INDEX(Mix_Eff,MATCH($C629,Mix_Code,0),4),""))</f>
        <v/>
      </c>
      <c r="J629" s="67" t="str">
        <f aca="false">IF(OR($C629="",$D629=""),"",IFERROR($D629*INDEX(Mix_Eff,MATCH($C629,Mix_Code,0),5),""))</f>
        <v/>
      </c>
      <c r="K629" s="63"/>
      <c r="L629" s="16" t="str">
        <f aca="false">IF(AND($A629="",$B629="",$C629="",$D629=""),"",IF($A629="","⚠ Date missing",IF($B629="","⚠ Site missing",IF(ISNA(MATCH($C629,Mix_Code,0)),"⚠ Unknown mix code",IF($D629="","⚠ Enter m3 produced",IF(COUNTIF(CI_Site,$B629)=0,"⚠ Site not set up in Current Inventory",IF($A629&gt;AsOfDate,"Future date – not yet deducted","OK")))))))</f>
        <v/>
      </c>
    </row>
    <row r="630" customFormat="false" ht="15" hidden="false" customHeight="false" outlineLevel="0" collapsed="false">
      <c r="A630" s="65"/>
      <c r="B630" s="63"/>
      <c r="C630" s="70"/>
      <c r="D630" s="66"/>
      <c r="E630" s="16" t="str">
        <f aca="false">IF($C630="","",IFERROR(INDEX(Mix_Desc,MATCH($C630,Mix_Code,0)),"⚠ Unknown mix code"))</f>
        <v/>
      </c>
      <c r="F630" s="67" t="str">
        <f aca="false">IF(OR($C630="",$D630=""),"",IFERROR($D630*INDEX(Mix_Eff,MATCH($C630,Mix_Code,0),1),""))</f>
        <v/>
      </c>
      <c r="G630" s="67" t="str">
        <f aca="false">IF(OR($C630="",$D630=""),"",IFERROR($D630*INDEX(Mix_Eff,MATCH($C630,Mix_Code,0),2),""))</f>
        <v/>
      </c>
      <c r="H630" s="67" t="str">
        <f aca="false">IF(OR($C630="",$D630=""),"",IFERROR($D630*INDEX(Mix_Eff,MATCH($C630,Mix_Code,0),3),""))</f>
        <v/>
      </c>
      <c r="I630" s="67" t="str">
        <f aca="false">IF(OR($C630="",$D630=""),"",IFERROR($D630*INDEX(Mix_Eff,MATCH($C630,Mix_Code,0),4),""))</f>
        <v/>
      </c>
      <c r="J630" s="67" t="str">
        <f aca="false">IF(OR($C630="",$D630=""),"",IFERROR($D630*INDEX(Mix_Eff,MATCH($C630,Mix_Code,0),5),""))</f>
        <v/>
      </c>
      <c r="K630" s="63"/>
      <c r="L630" s="16" t="str">
        <f aca="false">IF(AND($A630="",$B630="",$C630="",$D630=""),"",IF($A630="","⚠ Date missing",IF($B630="","⚠ Site missing",IF(ISNA(MATCH($C630,Mix_Code,0)),"⚠ Unknown mix code",IF($D630="","⚠ Enter m3 produced",IF(COUNTIF(CI_Site,$B630)=0,"⚠ Site not set up in Current Inventory",IF($A630&gt;AsOfDate,"Future date – not yet deducted","OK")))))))</f>
        <v/>
      </c>
    </row>
    <row r="631" customFormat="false" ht="15" hidden="false" customHeight="false" outlineLevel="0" collapsed="false">
      <c r="A631" s="65"/>
      <c r="B631" s="63"/>
      <c r="C631" s="70"/>
      <c r="D631" s="66"/>
      <c r="E631" s="16" t="str">
        <f aca="false">IF($C631="","",IFERROR(INDEX(Mix_Desc,MATCH($C631,Mix_Code,0)),"⚠ Unknown mix code"))</f>
        <v/>
      </c>
      <c r="F631" s="67" t="str">
        <f aca="false">IF(OR($C631="",$D631=""),"",IFERROR($D631*INDEX(Mix_Eff,MATCH($C631,Mix_Code,0),1),""))</f>
        <v/>
      </c>
      <c r="G631" s="67" t="str">
        <f aca="false">IF(OR($C631="",$D631=""),"",IFERROR($D631*INDEX(Mix_Eff,MATCH($C631,Mix_Code,0),2),""))</f>
        <v/>
      </c>
      <c r="H631" s="67" t="str">
        <f aca="false">IF(OR($C631="",$D631=""),"",IFERROR($D631*INDEX(Mix_Eff,MATCH($C631,Mix_Code,0),3),""))</f>
        <v/>
      </c>
      <c r="I631" s="67" t="str">
        <f aca="false">IF(OR($C631="",$D631=""),"",IFERROR($D631*INDEX(Mix_Eff,MATCH($C631,Mix_Code,0),4),""))</f>
        <v/>
      </c>
      <c r="J631" s="67" t="str">
        <f aca="false">IF(OR($C631="",$D631=""),"",IFERROR($D631*INDEX(Mix_Eff,MATCH($C631,Mix_Code,0),5),""))</f>
        <v/>
      </c>
      <c r="K631" s="63"/>
      <c r="L631" s="16" t="str">
        <f aca="false">IF(AND($A631="",$B631="",$C631="",$D631=""),"",IF($A631="","⚠ Date missing",IF($B631="","⚠ Site missing",IF(ISNA(MATCH($C631,Mix_Code,0)),"⚠ Unknown mix code",IF($D631="","⚠ Enter m3 produced",IF(COUNTIF(CI_Site,$B631)=0,"⚠ Site not set up in Current Inventory",IF($A631&gt;AsOfDate,"Future date – not yet deducted","OK")))))))</f>
        <v/>
      </c>
    </row>
    <row r="632" customFormat="false" ht="15" hidden="false" customHeight="false" outlineLevel="0" collapsed="false">
      <c r="A632" s="65"/>
      <c r="B632" s="63"/>
      <c r="C632" s="70"/>
      <c r="D632" s="66"/>
      <c r="E632" s="16" t="str">
        <f aca="false">IF($C632="","",IFERROR(INDEX(Mix_Desc,MATCH($C632,Mix_Code,0)),"⚠ Unknown mix code"))</f>
        <v/>
      </c>
      <c r="F632" s="67" t="str">
        <f aca="false">IF(OR($C632="",$D632=""),"",IFERROR($D632*INDEX(Mix_Eff,MATCH($C632,Mix_Code,0),1),""))</f>
        <v/>
      </c>
      <c r="G632" s="67" t="str">
        <f aca="false">IF(OR($C632="",$D632=""),"",IFERROR($D632*INDEX(Mix_Eff,MATCH($C632,Mix_Code,0),2),""))</f>
        <v/>
      </c>
      <c r="H632" s="67" t="str">
        <f aca="false">IF(OR($C632="",$D632=""),"",IFERROR($D632*INDEX(Mix_Eff,MATCH($C632,Mix_Code,0),3),""))</f>
        <v/>
      </c>
      <c r="I632" s="67" t="str">
        <f aca="false">IF(OR($C632="",$D632=""),"",IFERROR($D632*INDEX(Mix_Eff,MATCH($C632,Mix_Code,0),4),""))</f>
        <v/>
      </c>
      <c r="J632" s="67" t="str">
        <f aca="false">IF(OR($C632="",$D632=""),"",IFERROR($D632*INDEX(Mix_Eff,MATCH($C632,Mix_Code,0),5),""))</f>
        <v/>
      </c>
      <c r="K632" s="63"/>
      <c r="L632" s="16" t="str">
        <f aca="false">IF(AND($A632="",$B632="",$C632="",$D632=""),"",IF($A632="","⚠ Date missing",IF($B632="","⚠ Site missing",IF(ISNA(MATCH($C632,Mix_Code,0)),"⚠ Unknown mix code",IF($D632="","⚠ Enter m3 produced",IF(COUNTIF(CI_Site,$B632)=0,"⚠ Site not set up in Current Inventory",IF($A632&gt;AsOfDate,"Future date – not yet deducted","OK")))))))</f>
        <v/>
      </c>
    </row>
    <row r="633" customFormat="false" ht="15" hidden="false" customHeight="false" outlineLevel="0" collapsed="false">
      <c r="A633" s="65"/>
      <c r="B633" s="63"/>
      <c r="C633" s="70"/>
      <c r="D633" s="66"/>
      <c r="E633" s="16" t="str">
        <f aca="false">IF($C633="","",IFERROR(INDEX(Mix_Desc,MATCH($C633,Mix_Code,0)),"⚠ Unknown mix code"))</f>
        <v/>
      </c>
      <c r="F633" s="67" t="str">
        <f aca="false">IF(OR($C633="",$D633=""),"",IFERROR($D633*INDEX(Mix_Eff,MATCH($C633,Mix_Code,0),1),""))</f>
        <v/>
      </c>
      <c r="G633" s="67" t="str">
        <f aca="false">IF(OR($C633="",$D633=""),"",IFERROR($D633*INDEX(Mix_Eff,MATCH($C633,Mix_Code,0),2),""))</f>
        <v/>
      </c>
      <c r="H633" s="67" t="str">
        <f aca="false">IF(OR($C633="",$D633=""),"",IFERROR($D633*INDEX(Mix_Eff,MATCH($C633,Mix_Code,0),3),""))</f>
        <v/>
      </c>
      <c r="I633" s="67" t="str">
        <f aca="false">IF(OR($C633="",$D633=""),"",IFERROR($D633*INDEX(Mix_Eff,MATCH($C633,Mix_Code,0),4),""))</f>
        <v/>
      </c>
      <c r="J633" s="67" t="str">
        <f aca="false">IF(OR($C633="",$D633=""),"",IFERROR($D633*INDEX(Mix_Eff,MATCH($C633,Mix_Code,0),5),""))</f>
        <v/>
      </c>
      <c r="K633" s="63"/>
      <c r="L633" s="16" t="str">
        <f aca="false">IF(AND($A633="",$B633="",$C633="",$D633=""),"",IF($A633="","⚠ Date missing",IF($B633="","⚠ Site missing",IF(ISNA(MATCH($C633,Mix_Code,0)),"⚠ Unknown mix code",IF($D633="","⚠ Enter m3 produced",IF(COUNTIF(CI_Site,$B633)=0,"⚠ Site not set up in Current Inventory",IF($A633&gt;AsOfDate,"Future date – not yet deducted","OK")))))))</f>
        <v/>
      </c>
    </row>
    <row r="634" customFormat="false" ht="15" hidden="false" customHeight="false" outlineLevel="0" collapsed="false">
      <c r="A634" s="65"/>
      <c r="B634" s="63"/>
      <c r="C634" s="70"/>
      <c r="D634" s="66"/>
      <c r="E634" s="16" t="str">
        <f aca="false">IF($C634="","",IFERROR(INDEX(Mix_Desc,MATCH($C634,Mix_Code,0)),"⚠ Unknown mix code"))</f>
        <v/>
      </c>
      <c r="F634" s="67" t="str">
        <f aca="false">IF(OR($C634="",$D634=""),"",IFERROR($D634*INDEX(Mix_Eff,MATCH($C634,Mix_Code,0),1),""))</f>
        <v/>
      </c>
      <c r="G634" s="67" t="str">
        <f aca="false">IF(OR($C634="",$D634=""),"",IFERROR($D634*INDEX(Mix_Eff,MATCH($C634,Mix_Code,0),2),""))</f>
        <v/>
      </c>
      <c r="H634" s="67" t="str">
        <f aca="false">IF(OR($C634="",$D634=""),"",IFERROR($D634*INDEX(Mix_Eff,MATCH($C634,Mix_Code,0),3),""))</f>
        <v/>
      </c>
      <c r="I634" s="67" t="str">
        <f aca="false">IF(OR($C634="",$D634=""),"",IFERROR($D634*INDEX(Mix_Eff,MATCH($C634,Mix_Code,0),4),""))</f>
        <v/>
      </c>
      <c r="J634" s="67" t="str">
        <f aca="false">IF(OR($C634="",$D634=""),"",IFERROR($D634*INDEX(Mix_Eff,MATCH($C634,Mix_Code,0),5),""))</f>
        <v/>
      </c>
      <c r="K634" s="63"/>
      <c r="L634" s="16" t="str">
        <f aca="false">IF(AND($A634="",$B634="",$C634="",$D634=""),"",IF($A634="","⚠ Date missing",IF($B634="","⚠ Site missing",IF(ISNA(MATCH($C634,Mix_Code,0)),"⚠ Unknown mix code",IF($D634="","⚠ Enter m3 produced",IF(COUNTIF(CI_Site,$B634)=0,"⚠ Site not set up in Current Inventory",IF($A634&gt;AsOfDate,"Future date – not yet deducted","OK")))))))</f>
        <v/>
      </c>
    </row>
    <row r="635" customFormat="false" ht="15" hidden="false" customHeight="false" outlineLevel="0" collapsed="false">
      <c r="A635" s="65"/>
      <c r="B635" s="63"/>
      <c r="C635" s="70"/>
      <c r="D635" s="66"/>
      <c r="E635" s="16" t="str">
        <f aca="false">IF($C635="","",IFERROR(INDEX(Mix_Desc,MATCH($C635,Mix_Code,0)),"⚠ Unknown mix code"))</f>
        <v/>
      </c>
      <c r="F635" s="67" t="str">
        <f aca="false">IF(OR($C635="",$D635=""),"",IFERROR($D635*INDEX(Mix_Eff,MATCH($C635,Mix_Code,0),1),""))</f>
        <v/>
      </c>
      <c r="G635" s="67" t="str">
        <f aca="false">IF(OR($C635="",$D635=""),"",IFERROR($D635*INDEX(Mix_Eff,MATCH($C635,Mix_Code,0),2),""))</f>
        <v/>
      </c>
      <c r="H635" s="67" t="str">
        <f aca="false">IF(OR($C635="",$D635=""),"",IFERROR($D635*INDEX(Mix_Eff,MATCH($C635,Mix_Code,0),3),""))</f>
        <v/>
      </c>
      <c r="I635" s="67" t="str">
        <f aca="false">IF(OR($C635="",$D635=""),"",IFERROR($D635*INDEX(Mix_Eff,MATCH($C635,Mix_Code,0),4),""))</f>
        <v/>
      </c>
      <c r="J635" s="67" t="str">
        <f aca="false">IF(OR($C635="",$D635=""),"",IFERROR($D635*INDEX(Mix_Eff,MATCH($C635,Mix_Code,0),5),""))</f>
        <v/>
      </c>
      <c r="K635" s="63"/>
      <c r="L635" s="16" t="str">
        <f aca="false">IF(AND($A635="",$B635="",$C635="",$D635=""),"",IF($A635="","⚠ Date missing",IF($B635="","⚠ Site missing",IF(ISNA(MATCH($C635,Mix_Code,0)),"⚠ Unknown mix code",IF($D635="","⚠ Enter m3 produced",IF(COUNTIF(CI_Site,$B635)=0,"⚠ Site not set up in Current Inventory",IF($A635&gt;AsOfDate,"Future date – not yet deducted","OK")))))))</f>
        <v/>
      </c>
    </row>
    <row r="636" customFormat="false" ht="15" hidden="false" customHeight="false" outlineLevel="0" collapsed="false">
      <c r="A636" s="65"/>
      <c r="B636" s="63"/>
      <c r="C636" s="70"/>
      <c r="D636" s="66"/>
      <c r="E636" s="16" t="str">
        <f aca="false">IF($C636="","",IFERROR(INDEX(Mix_Desc,MATCH($C636,Mix_Code,0)),"⚠ Unknown mix code"))</f>
        <v/>
      </c>
      <c r="F636" s="67" t="str">
        <f aca="false">IF(OR($C636="",$D636=""),"",IFERROR($D636*INDEX(Mix_Eff,MATCH($C636,Mix_Code,0),1),""))</f>
        <v/>
      </c>
      <c r="G636" s="67" t="str">
        <f aca="false">IF(OR($C636="",$D636=""),"",IFERROR($D636*INDEX(Mix_Eff,MATCH($C636,Mix_Code,0),2),""))</f>
        <v/>
      </c>
      <c r="H636" s="67" t="str">
        <f aca="false">IF(OR($C636="",$D636=""),"",IFERROR($D636*INDEX(Mix_Eff,MATCH($C636,Mix_Code,0),3),""))</f>
        <v/>
      </c>
      <c r="I636" s="67" t="str">
        <f aca="false">IF(OR($C636="",$D636=""),"",IFERROR($D636*INDEX(Mix_Eff,MATCH($C636,Mix_Code,0),4),""))</f>
        <v/>
      </c>
      <c r="J636" s="67" t="str">
        <f aca="false">IF(OR($C636="",$D636=""),"",IFERROR($D636*INDEX(Mix_Eff,MATCH($C636,Mix_Code,0),5),""))</f>
        <v/>
      </c>
      <c r="K636" s="63"/>
      <c r="L636" s="16" t="str">
        <f aca="false">IF(AND($A636="",$B636="",$C636="",$D636=""),"",IF($A636="","⚠ Date missing",IF($B636="","⚠ Site missing",IF(ISNA(MATCH($C636,Mix_Code,0)),"⚠ Unknown mix code",IF($D636="","⚠ Enter m3 produced",IF(COUNTIF(CI_Site,$B636)=0,"⚠ Site not set up in Current Inventory",IF($A636&gt;AsOfDate,"Future date – not yet deducted","OK")))))))</f>
        <v/>
      </c>
    </row>
    <row r="637" customFormat="false" ht="15" hidden="false" customHeight="false" outlineLevel="0" collapsed="false">
      <c r="A637" s="65"/>
      <c r="B637" s="63"/>
      <c r="C637" s="70"/>
      <c r="D637" s="66"/>
      <c r="E637" s="16" t="str">
        <f aca="false">IF($C637="","",IFERROR(INDEX(Mix_Desc,MATCH($C637,Mix_Code,0)),"⚠ Unknown mix code"))</f>
        <v/>
      </c>
      <c r="F637" s="67" t="str">
        <f aca="false">IF(OR($C637="",$D637=""),"",IFERROR($D637*INDEX(Mix_Eff,MATCH($C637,Mix_Code,0),1),""))</f>
        <v/>
      </c>
      <c r="G637" s="67" t="str">
        <f aca="false">IF(OR($C637="",$D637=""),"",IFERROR($D637*INDEX(Mix_Eff,MATCH($C637,Mix_Code,0),2),""))</f>
        <v/>
      </c>
      <c r="H637" s="67" t="str">
        <f aca="false">IF(OR($C637="",$D637=""),"",IFERROR($D637*INDEX(Mix_Eff,MATCH($C637,Mix_Code,0),3),""))</f>
        <v/>
      </c>
      <c r="I637" s="67" t="str">
        <f aca="false">IF(OR($C637="",$D637=""),"",IFERROR($D637*INDEX(Mix_Eff,MATCH($C637,Mix_Code,0),4),""))</f>
        <v/>
      </c>
      <c r="J637" s="67" t="str">
        <f aca="false">IF(OR($C637="",$D637=""),"",IFERROR($D637*INDEX(Mix_Eff,MATCH($C637,Mix_Code,0),5),""))</f>
        <v/>
      </c>
      <c r="K637" s="63"/>
      <c r="L637" s="16" t="str">
        <f aca="false">IF(AND($A637="",$B637="",$C637="",$D637=""),"",IF($A637="","⚠ Date missing",IF($B637="","⚠ Site missing",IF(ISNA(MATCH($C637,Mix_Code,0)),"⚠ Unknown mix code",IF($D637="","⚠ Enter m3 produced",IF(COUNTIF(CI_Site,$B637)=0,"⚠ Site not set up in Current Inventory",IF($A637&gt;AsOfDate,"Future date – not yet deducted","OK")))))))</f>
        <v/>
      </c>
    </row>
    <row r="638" customFormat="false" ht="15" hidden="false" customHeight="false" outlineLevel="0" collapsed="false">
      <c r="A638" s="65"/>
      <c r="B638" s="63"/>
      <c r="C638" s="70"/>
      <c r="D638" s="66"/>
      <c r="E638" s="16" t="str">
        <f aca="false">IF($C638="","",IFERROR(INDEX(Mix_Desc,MATCH($C638,Mix_Code,0)),"⚠ Unknown mix code"))</f>
        <v/>
      </c>
      <c r="F638" s="67" t="str">
        <f aca="false">IF(OR($C638="",$D638=""),"",IFERROR($D638*INDEX(Mix_Eff,MATCH($C638,Mix_Code,0),1),""))</f>
        <v/>
      </c>
      <c r="G638" s="67" t="str">
        <f aca="false">IF(OR($C638="",$D638=""),"",IFERROR($D638*INDEX(Mix_Eff,MATCH($C638,Mix_Code,0),2),""))</f>
        <v/>
      </c>
      <c r="H638" s="67" t="str">
        <f aca="false">IF(OR($C638="",$D638=""),"",IFERROR($D638*INDEX(Mix_Eff,MATCH($C638,Mix_Code,0),3),""))</f>
        <v/>
      </c>
      <c r="I638" s="67" t="str">
        <f aca="false">IF(OR($C638="",$D638=""),"",IFERROR($D638*INDEX(Mix_Eff,MATCH($C638,Mix_Code,0),4),""))</f>
        <v/>
      </c>
      <c r="J638" s="67" t="str">
        <f aca="false">IF(OR($C638="",$D638=""),"",IFERROR($D638*INDEX(Mix_Eff,MATCH($C638,Mix_Code,0),5),""))</f>
        <v/>
      </c>
      <c r="K638" s="63"/>
      <c r="L638" s="16" t="str">
        <f aca="false">IF(AND($A638="",$B638="",$C638="",$D638=""),"",IF($A638="","⚠ Date missing",IF($B638="","⚠ Site missing",IF(ISNA(MATCH($C638,Mix_Code,0)),"⚠ Unknown mix code",IF($D638="","⚠ Enter m3 produced",IF(COUNTIF(CI_Site,$B638)=0,"⚠ Site not set up in Current Inventory",IF($A638&gt;AsOfDate,"Future date – not yet deducted","OK")))))))</f>
        <v/>
      </c>
    </row>
    <row r="639" customFormat="false" ht="15" hidden="false" customHeight="false" outlineLevel="0" collapsed="false">
      <c r="A639" s="65"/>
      <c r="B639" s="63"/>
      <c r="C639" s="70"/>
      <c r="D639" s="66"/>
      <c r="E639" s="16" t="str">
        <f aca="false">IF($C639="","",IFERROR(INDEX(Mix_Desc,MATCH($C639,Mix_Code,0)),"⚠ Unknown mix code"))</f>
        <v/>
      </c>
      <c r="F639" s="67" t="str">
        <f aca="false">IF(OR($C639="",$D639=""),"",IFERROR($D639*INDEX(Mix_Eff,MATCH($C639,Mix_Code,0),1),""))</f>
        <v/>
      </c>
      <c r="G639" s="67" t="str">
        <f aca="false">IF(OR($C639="",$D639=""),"",IFERROR($D639*INDEX(Mix_Eff,MATCH($C639,Mix_Code,0),2),""))</f>
        <v/>
      </c>
      <c r="H639" s="67" t="str">
        <f aca="false">IF(OR($C639="",$D639=""),"",IFERROR($D639*INDEX(Mix_Eff,MATCH($C639,Mix_Code,0),3),""))</f>
        <v/>
      </c>
      <c r="I639" s="67" t="str">
        <f aca="false">IF(OR($C639="",$D639=""),"",IFERROR($D639*INDEX(Mix_Eff,MATCH($C639,Mix_Code,0),4),""))</f>
        <v/>
      </c>
      <c r="J639" s="67" t="str">
        <f aca="false">IF(OR($C639="",$D639=""),"",IFERROR($D639*INDEX(Mix_Eff,MATCH($C639,Mix_Code,0),5),""))</f>
        <v/>
      </c>
      <c r="K639" s="63"/>
      <c r="L639" s="16" t="str">
        <f aca="false">IF(AND($A639="",$B639="",$C639="",$D639=""),"",IF($A639="","⚠ Date missing",IF($B639="","⚠ Site missing",IF(ISNA(MATCH($C639,Mix_Code,0)),"⚠ Unknown mix code",IF($D639="","⚠ Enter m3 produced",IF(COUNTIF(CI_Site,$B639)=0,"⚠ Site not set up in Current Inventory",IF($A639&gt;AsOfDate,"Future date – not yet deducted","OK")))))))</f>
        <v/>
      </c>
    </row>
    <row r="640" customFormat="false" ht="15" hidden="false" customHeight="false" outlineLevel="0" collapsed="false">
      <c r="A640" s="65"/>
      <c r="B640" s="63"/>
      <c r="C640" s="70"/>
      <c r="D640" s="66"/>
      <c r="E640" s="16" t="str">
        <f aca="false">IF($C640="","",IFERROR(INDEX(Mix_Desc,MATCH($C640,Mix_Code,0)),"⚠ Unknown mix code"))</f>
        <v/>
      </c>
      <c r="F640" s="67" t="str">
        <f aca="false">IF(OR($C640="",$D640=""),"",IFERROR($D640*INDEX(Mix_Eff,MATCH($C640,Mix_Code,0),1),""))</f>
        <v/>
      </c>
      <c r="G640" s="67" t="str">
        <f aca="false">IF(OR($C640="",$D640=""),"",IFERROR($D640*INDEX(Mix_Eff,MATCH($C640,Mix_Code,0),2),""))</f>
        <v/>
      </c>
      <c r="H640" s="67" t="str">
        <f aca="false">IF(OR($C640="",$D640=""),"",IFERROR($D640*INDEX(Mix_Eff,MATCH($C640,Mix_Code,0),3),""))</f>
        <v/>
      </c>
      <c r="I640" s="67" t="str">
        <f aca="false">IF(OR($C640="",$D640=""),"",IFERROR($D640*INDEX(Mix_Eff,MATCH($C640,Mix_Code,0),4),""))</f>
        <v/>
      </c>
      <c r="J640" s="67" t="str">
        <f aca="false">IF(OR($C640="",$D640=""),"",IFERROR($D640*INDEX(Mix_Eff,MATCH($C640,Mix_Code,0),5),""))</f>
        <v/>
      </c>
      <c r="K640" s="63"/>
      <c r="L640" s="16" t="str">
        <f aca="false">IF(AND($A640="",$B640="",$C640="",$D640=""),"",IF($A640="","⚠ Date missing",IF($B640="","⚠ Site missing",IF(ISNA(MATCH($C640,Mix_Code,0)),"⚠ Unknown mix code",IF($D640="","⚠ Enter m3 produced",IF(COUNTIF(CI_Site,$B640)=0,"⚠ Site not set up in Current Inventory",IF($A640&gt;AsOfDate,"Future date – not yet deducted","OK")))))))</f>
        <v/>
      </c>
    </row>
    <row r="641" customFormat="false" ht="15" hidden="false" customHeight="false" outlineLevel="0" collapsed="false">
      <c r="A641" s="65"/>
      <c r="B641" s="63"/>
      <c r="C641" s="70"/>
      <c r="D641" s="66"/>
      <c r="E641" s="16" t="str">
        <f aca="false">IF($C641="","",IFERROR(INDEX(Mix_Desc,MATCH($C641,Mix_Code,0)),"⚠ Unknown mix code"))</f>
        <v/>
      </c>
      <c r="F641" s="67" t="str">
        <f aca="false">IF(OR($C641="",$D641=""),"",IFERROR($D641*INDEX(Mix_Eff,MATCH($C641,Mix_Code,0),1),""))</f>
        <v/>
      </c>
      <c r="G641" s="67" t="str">
        <f aca="false">IF(OR($C641="",$D641=""),"",IFERROR($D641*INDEX(Mix_Eff,MATCH($C641,Mix_Code,0),2),""))</f>
        <v/>
      </c>
      <c r="H641" s="67" t="str">
        <f aca="false">IF(OR($C641="",$D641=""),"",IFERROR($D641*INDEX(Mix_Eff,MATCH($C641,Mix_Code,0),3),""))</f>
        <v/>
      </c>
      <c r="I641" s="67" t="str">
        <f aca="false">IF(OR($C641="",$D641=""),"",IFERROR($D641*INDEX(Mix_Eff,MATCH($C641,Mix_Code,0),4),""))</f>
        <v/>
      </c>
      <c r="J641" s="67" t="str">
        <f aca="false">IF(OR($C641="",$D641=""),"",IFERROR($D641*INDEX(Mix_Eff,MATCH($C641,Mix_Code,0),5),""))</f>
        <v/>
      </c>
      <c r="K641" s="63"/>
      <c r="L641" s="16" t="str">
        <f aca="false">IF(AND($A641="",$B641="",$C641="",$D641=""),"",IF($A641="","⚠ Date missing",IF($B641="","⚠ Site missing",IF(ISNA(MATCH($C641,Mix_Code,0)),"⚠ Unknown mix code",IF($D641="","⚠ Enter m3 produced",IF(COUNTIF(CI_Site,$B641)=0,"⚠ Site not set up in Current Inventory",IF($A641&gt;AsOfDate,"Future date – not yet deducted","OK")))))))</f>
        <v/>
      </c>
    </row>
    <row r="642" customFormat="false" ht="15" hidden="false" customHeight="false" outlineLevel="0" collapsed="false">
      <c r="A642" s="65"/>
      <c r="B642" s="63"/>
      <c r="C642" s="70"/>
      <c r="D642" s="66"/>
      <c r="E642" s="16" t="str">
        <f aca="false">IF($C642="","",IFERROR(INDEX(Mix_Desc,MATCH($C642,Mix_Code,0)),"⚠ Unknown mix code"))</f>
        <v/>
      </c>
      <c r="F642" s="67" t="str">
        <f aca="false">IF(OR($C642="",$D642=""),"",IFERROR($D642*INDEX(Mix_Eff,MATCH($C642,Mix_Code,0),1),""))</f>
        <v/>
      </c>
      <c r="G642" s="67" t="str">
        <f aca="false">IF(OR($C642="",$D642=""),"",IFERROR($D642*INDEX(Mix_Eff,MATCH($C642,Mix_Code,0),2),""))</f>
        <v/>
      </c>
      <c r="H642" s="67" t="str">
        <f aca="false">IF(OR($C642="",$D642=""),"",IFERROR($D642*INDEX(Mix_Eff,MATCH($C642,Mix_Code,0),3),""))</f>
        <v/>
      </c>
      <c r="I642" s="67" t="str">
        <f aca="false">IF(OR($C642="",$D642=""),"",IFERROR($D642*INDEX(Mix_Eff,MATCH($C642,Mix_Code,0),4),""))</f>
        <v/>
      </c>
      <c r="J642" s="67" t="str">
        <f aca="false">IF(OR($C642="",$D642=""),"",IFERROR($D642*INDEX(Mix_Eff,MATCH($C642,Mix_Code,0),5),""))</f>
        <v/>
      </c>
      <c r="K642" s="63"/>
      <c r="L642" s="16" t="str">
        <f aca="false">IF(AND($A642="",$B642="",$C642="",$D642=""),"",IF($A642="","⚠ Date missing",IF($B642="","⚠ Site missing",IF(ISNA(MATCH($C642,Mix_Code,0)),"⚠ Unknown mix code",IF($D642="","⚠ Enter m3 produced",IF(COUNTIF(CI_Site,$B642)=0,"⚠ Site not set up in Current Inventory",IF($A642&gt;AsOfDate,"Future date – not yet deducted","OK")))))))</f>
        <v/>
      </c>
    </row>
    <row r="643" customFormat="false" ht="15" hidden="false" customHeight="false" outlineLevel="0" collapsed="false">
      <c r="A643" s="65"/>
      <c r="B643" s="63"/>
      <c r="C643" s="70"/>
      <c r="D643" s="66"/>
      <c r="E643" s="16" t="str">
        <f aca="false">IF($C643="","",IFERROR(INDEX(Mix_Desc,MATCH($C643,Mix_Code,0)),"⚠ Unknown mix code"))</f>
        <v/>
      </c>
      <c r="F643" s="67" t="str">
        <f aca="false">IF(OR($C643="",$D643=""),"",IFERROR($D643*INDEX(Mix_Eff,MATCH($C643,Mix_Code,0),1),""))</f>
        <v/>
      </c>
      <c r="G643" s="67" t="str">
        <f aca="false">IF(OR($C643="",$D643=""),"",IFERROR($D643*INDEX(Mix_Eff,MATCH($C643,Mix_Code,0),2),""))</f>
        <v/>
      </c>
      <c r="H643" s="67" t="str">
        <f aca="false">IF(OR($C643="",$D643=""),"",IFERROR($D643*INDEX(Mix_Eff,MATCH($C643,Mix_Code,0),3),""))</f>
        <v/>
      </c>
      <c r="I643" s="67" t="str">
        <f aca="false">IF(OR($C643="",$D643=""),"",IFERROR($D643*INDEX(Mix_Eff,MATCH($C643,Mix_Code,0),4),""))</f>
        <v/>
      </c>
      <c r="J643" s="67" t="str">
        <f aca="false">IF(OR($C643="",$D643=""),"",IFERROR($D643*INDEX(Mix_Eff,MATCH($C643,Mix_Code,0),5),""))</f>
        <v/>
      </c>
      <c r="K643" s="63"/>
      <c r="L643" s="16" t="str">
        <f aca="false">IF(AND($A643="",$B643="",$C643="",$D643=""),"",IF($A643="","⚠ Date missing",IF($B643="","⚠ Site missing",IF(ISNA(MATCH($C643,Mix_Code,0)),"⚠ Unknown mix code",IF($D643="","⚠ Enter m3 produced",IF(COUNTIF(CI_Site,$B643)=0,"⚠ Site not set up in Current Inventory",IF($A643&gt;AsOfDate,"Future date – not yet deducted","OK")))))))</f>
        <v/>
      </c>
    </row>
    <row r="644" customFormat="false" ht="15" hidden="false" customHeight="false" outlineLevel="0" collapsed="false">
      <c r="A644" s="65"/>
      <c r="B644" s="63"/>
      <c r="C644" s="70"/>
      <c r="D644" s="66"/>
      <c r="E644" s="16" t="str">
        <f aca="false">IF($C644="","",IFERROR(INDEX(Mix_Desc,MATCH($C644,Mix_Code,0)),"⚠ Unknown mix code"))</f>
        <v/>
      </c>
      <c r="F644" s="67" t="str">
        <f aca="false">IF(OR($C644="",$D644=""),"",IFERROR($D644*INDEX(Mix_Eff,MATCH($C644,Mix_Code,0),1),""))</f>
        <v/>
      </c>
      <c r="G644" s="67" t="str">
        <f aca="false">IF(OR($C644="",$D644=""),"",IFERROR($D644*INDEX(Mix_Eff,MATCH($C644,Mix_Code,0),2),""))</f>
        <v/>
      </c>
      <c r="H644" s="67" t="str">
        <f aca="false">IF(OR($C644="",$D644=""),"",IFERROR($D644*INDEX(Mix_Eff,MATCH($C644,Mix_Code,0),3),""))</f>
        <v/>
      </c>
      <c r="I644" s="67" t="str">
        <f aca="false">IF(OR($C644="",$D644=""),"",IFERROR($D644*INDEX(Mix_Eff,MATCH($C644,Mix_Code,0),4),""))</f>
        <v/>
      </c>
      <c r="J644" s="67" t="str">
        <f aca="false">IF(OR($C644="",$D644=""),"",IFERROR($D644*INDEX(Mix_Eff,MATCH($C644,Mix_Code,0),5),""))</f>
        <v/>
      </c>
      <c r="K644" s="63"/>
      <c r="L644" s="16" t="str">
        <f aca="false">IF(AND($A644="",$B644="",$C644="",$D644=""),"",IF($A644="","⚠ Date missing",IF($B644="","⚠ Site missing",IF(ISNA(MATCH($C644,Mix_Code,0)),"⚠ Unknown mix code",IF($D644="","⚠ Enter m3 produced",IF(COUNTIF(CI_Site,$B644)=0,"⚠ Site not set up in Current Inventory",IF($A644&gt;AsOfDate,"Future date – not yet deducted","OK")))))))</f>
        <v/>
      </c>
    </row>
    <row r="645" customFormat="false" ht="15" hidden="false" customHeight="false" outlineLevel="0" collapsed="false">
      <c r="A645" s="65"/>
      <c r="B645" s="63"/>
      <c r="C645" s="70"/>
      <c r="D645" s="66"/>
      <c r="E645" s="16" t="str">
        <f aca="false">IF($C645="","",IFERROR(INDEX(Mix_Desc,MATCH($C645,Mix_Code,0)),"⚠ Unknown mix code"))</f>
        <v/>
      </c>
      <c r="F645" s="67" t="str">
        <f aca="false">IF(OR($C645="",$D645=""),"",IFERROR($D645*INDEX(Mix_Eff,MATCH($C645,Mix_Code,0),1),""))</f>
        <v/>
      </c>
      <c r="G645" s="67" t="str">
        <f aca="false">IF(OR($C645="",$D645=""),"",IFERROR($D645*INDEX(Mix_Eff,MATCH($C645,Mix_Code,0),2),""))</f>
        <v/>
      </c>
      <c r="H645" s="67" t="str">
        <f aca="false">IF(OR($C645="",$D645=""),"",IFERROR($D645*INDEX(Mix_Eff,MATCH($C645,Mix_Code,0),3),""))</f>
        <v/>
      </c>
      <c r="I645" s="67" t="str">
        <f aca="false">IF(OR($C645="",$D645=""),"",IFERROR($D645*INDEX(Mix_Eff,MATCH($C645,Mix_Code,0),4),""))</f>
        <v/>
      </c>
      <c r="J645" s="67" t="str">
        <f aca="false">IF(OR($C645="",$D645=""),"",IFERROR($D645*INDEX(Mix_Eff,MATCH($C645,Mix_Code,0),5),""))</f>
        <v/>
      </c>
      <c r="K645" s="63"/>
      <c r="L645" s="16" t="str">
        <f aca="false">IF(AND($A645="",$B645="",$C645="",$D645=""),"",IF($A645="","⚠ Date missing",IF($B645="","⚠ Site missing",IF(ISNA(MATCH($C645,Mix_Code,0)),"⚠ Unknown mix code",IF($D645="","⚠ Enter m3 produced",IF(COUNTIF(CI_Site,$B645)=0,"⚠ Site not set up in Current Inventory",IF($A645&gt;AsOfDate,"Future date – not yet deducted","OK")))))))</f>
        <v/>
      </c>
    </row>
    <row r="646" customFormat="false" ht="15" hidden="false" customHeight="false" outlineLevel="0" collapsed="false">
      <c r="A646" s="65"/>
      <c r="B646" s="63"/>
      <c r="C646" s="70"/>
      <c r="D646" s="66"/>
      <c r="E646" s="16" t="str">
        <f aca="false">IF($C646="","",IFERROR(INDEX(Mix_Desc,MATCH($C646,Mix_Code,0)),"⚠ Unknown mix code"))</f>
        <v/>
      </c>
      <c r="F646" s="67" t="str">
        <f aca="false">IF(OR($C646="",$D646=""),"",IFERROR($D646*INDEX(Mix_Eff,MATCH($C646,Mix_Code,0),1),""))</f>
        <v/>
      </c>
      <c r="G646" s="67" t="str">
        <f aca="false">IF(OR($C646="",$D646=""),"",IFERROR($D646*INDEX(Mix_Eff,MATCH($C646,Mix_Code,0),2),""))</f>
        <v/>
      </c>
      <c r="H646" s="67" t="str">
        <f aca="false">IF(OR($C646="",$D646=""),"",IFERROR($D646*INDEX(Mix_Eff,MATCH($C646,Mix_Code,0),3),""))</f>
        <v/>
      </c>
      <c r="I646" s="67" t="str">
        <f aca="false">IF(OR($C646="",$D646=""),"",IFERROR($D646*INDEX(Mix_Eff,MATCH($C646,Mix_Code,0),4),""))</f>
        <v/>
      </c>
      <c r="J646" s="67" t="str">
        <f aca="false">IF(OR($C646="",$D646=""),"",IFERROR($D646*INDEX(Mix_Eff,MATCH($C646,Mix_Code,0),5),""))</f>
        <v/>
      </c>
      <c r="K646" s="63"/>
      <c r="L646" s="16" t="str">
        <f aca="false">IF(AND($A646="",$B646="",$C646="",$D646=""),"",IF($A646="","⚠ Date missing",IF($B646="","⚠ Site missing",IF(ISNA(MATCH($C646,Mix_Code,0)),"⚠ Unknown mix code",IF($D646="","⚠ Enter m3 produced",IF(COUNTIF(CI_Site,$B646)=0,"⚠ Site not set up in Current Inventory",IF($A646&gt;AsOfDate,"Future date – not yet deducted","OK")))))))</f>
        <v/>
      </c>
    </row>
    <row r="647" customFormat="false" ht="15" hidden="false" customHeight="false" outlineLevel="0" collapsed="false">
      <c r="A647" s="65"/>
      <c r="B647" s="63"/>
      <c r="C647" s="70"/>
      <c r="D647" s="66"/>
      <c r="E647" s="16" t="str">
        <f aca="false">IF($C647="","",IFERROR(INDEX(Mix_Desc,MATCH($C647,Mix_Code,0)),"⚠ Unknown mix code"))</f>
        <v/>
      </c>
      <c r="F647" s="67" t="str">
        <f aca="false">IF(OR($C647="",$D647=""),"",IFERROR($D647*INDEX(Mix_Eff,MATCH($C647,Mix_Code,0),1),""))</f>
        <v/>
      </c>
      <c r="G647" s="67" t="str">
        <f aca="false">IF(OR($C647="",$D647=""),"",IFERROR($D647*INDEX(Mix_Eff,MATCH($C647,Mix_Code,0),2),""))</f>
        <v/>
      </c>
      <c r="H647" s="67" t="str">
        <f aca="false">IF(OR($C647="",$D647=""),"",IFERROR($D647*INDEX(Mix_Eff,MATCH($C647,Mix_Code,0),3),""))</f>
        <v/>
      </c>
      <c r="I647" s="67" t="str">
        <f aca="false">IF(OR($C647="",$D647=""),"",IFERROR($D647*INDEX(Mix_Eff,MATCH($C647,Mix_Code,0),4),""))</f>
        <v/>
      </c>
      <c r="J647" s="67" t="str">
        <f aca="false">IF(OR($C647="",$D647=""),"",IFERROR($D647*INDEX(Mix_Eff,MATCH($C647,Mix_Code,0),5),""))</f>
        <v/>
      </c>
      <c r="K647" s="63"/>
      <c r="L647" s="16" t="str">
        <f aca="false">IF(AND($A647="",$B647="",$C647="",$D647=""),"",IF($A647="","⚠ Date missing",IF($B647="","⚠ Site missing",IF(ISNA(MATCH($C647,Mix_Code,0)),"⚠ Unknown mix code",IF($D647="","⚠ Enter m3 produced",IF(COUNTIF(CI_Site,$B647)=0,"⚠ Site not set up in Current Inventory",IF($A647&gt;AsOfDate,"Future date – not yet deducted","OK")))))))</f>
        <v/>
      </c>
    </row>
    <row r="648" customFormat="false" ht="15" hidden="false" customHeight="false" outlineLevel="0" collapsed="false">
      <c r="A648" s="65"/>
      <c r="B648" s="63"/>
      <c r="C648" s="70"/>
      <c r="D648" s="66"/>
      <c r="E648" s="16" t="str">
        <f aca="false">IF($C648="","",IFERROR(INDEX(Mix_Desc,MATCH($C648,Mix_Code,0)),"⚠ Unknown mix code"))</f>
        <v/>
      </c>
      <c r="F648" s="67" t="str">
        <f aca="false">IF(OR($C648="",$D648=""),"",IFERROR($D648*INDEX(Mix_Eff,MATCH($C648,Mix_Code,0),1),""))</f>
        <v/>
      </c>
      <c r="G648" s="67" t="str">
        <f aca="false">IF(OR($C648="",$D648=""),"",IFERROR($D648*INDEX(Mix_Eff,MATCH($C648,Mix_Code,0),2),""))</f>
        <v/>
      </c>
      <c r="H648" s="67" t="str">
        <f aca="false">IF(OR($C648="",$D648=""),"",IFERROR($D648*INDEX(Mix_Eff,MATCH($C648,Mix_Code,0),3),""))</f>
        <v/>
      </c>
      <c r="I648" s="67" t="str">
        <f aca="false">IF(OR($C648="",$D648=""),"",IFERROR($D648*INDEX(Mix_Eff,MATCH($C648,Mix_Code,0),4),""))</f>
        <v/>
      </c>
      <c r="J648" s="67" t="str">
        <f aca="false">IF(OR($C648="",$D648=""),"",IFERROR($D648*INDEX(Mix_Eff,MATCH($C648,Mix_Code,0),5),""))</f>
        <v/>
      </c>
      <c r="K648" s="63"/>
      <c r="L648" s="16" t="str">
        <f aca="false">IF(AND($A648="",$B648="",$C648="",$D648=""),"",IF($A648="","⚠ Date missing",IF($B648="","⚠ Site missing",IF(ISNA(MATCH($C648,Mix_Code,0)),"⚠ Unknown mix code",IF($D648="","⚠ Enter m3 produced",IF(COUNTIF(CI_Site,$B648)=0,"⚠ Site not set up in Current Inventory",IF($A648&gt;AsOfDate,"Future date – not yet deducted","OK")))))))</f>
        <v/>
      </c>
    </row>
    <row r="649" customFormat="false" ht="15" hidden="false" customHeight="false" outlineLevel="0" collapsed="false">
      <c r="A649" s="65"/>
      <c r="B649" s="63"/>
      <c r="C649" s="70"/>
      <c r="D649" s="66"/>
      <c r="E649" s="16" t="str">
        <f aca="false">IF($C649="","",IFERROR(INDEX(Mix_Desc,MATCH($C649,Mix_Code,0)),"⚠ Unknown mix code"))</f>
        <v/>
      </c>
      <c r="F649" s="67" t="str">
        <f aca="false">IF(OR($C649="",$D649=""),"",IFERROR($D649*INDEX(Mix_Eff,MATCH($C649,Mix_Code,0),1),""))</f>
        <v/>
      </c>
      <c r="G649" s="67" t="str">
        <f aca="false">IF(OR($C649="",$D649=""),"",IFERROR($D649*INDEX(Mix_Eff,MATCH($C649,Mix_Code,0),2),""))</f>
        <v/>
      </c>
      <c r="H649" s="67" t="str">
        <f aca="false">IF(OR($C649="",$D649=""),"",IFERROR($D649*INDEX(Mix_Eff,MATCH($C649,Mix_Code,0),3),""))</f>
        <v/>
      </c>
      <c r="I649" s="67" t="str">
        <f aca="false">IF(OR($C649="",$D649=""),"",IFERROR($D649*INDEX(Mix_Eff,MATCH($C649,Mix_Code,0),4),""))</f>
        <v/>
      </c>
      <c r="J649" s="67" t="str">
        <f aca="false">IF(OR($C649="",$D649=""),"",IFERROR($D649*INDEX(Mix_Eff,MATCH($C649,Mix_Code,0),5),""))</f>
        <v/>
      </c>
      <c r="K649" s="63"/>
      <c r="L649" s="16" t="str">
        <f aca="false">IF(AND($A649="",$B649="",$C649="",$D649=""),"",IF($A649="","⚠ Date missing",IF($B649="","⚠ Site missing",IF(ISNA(MATCH($C649,Mix_Code,0)),"⚠ Unknown mix code",IF($D649="","⚠ Enter m3 produced",IF(COUNTIF(CI_Site,$B649)=0,"⚠ Site not set up in Current Inventory",IF($A649&gt;AsOfDate,"Future date – not yet deducted","OK")))))))</f>
        <v/>
      </c>
    </row>
    <row r="650" customFormat="false" ht="15" hidden="false" customHeight="false" outlineLevel="0" collapsed="false">
      <c r="A650" s="65"/>
      <c r="B650" s="63"/>
      <c r="C650" s="70"/>
      <c r="D650" s="66"/>
      <c r="E650" s="16" t="str">
        <f aca="false">IF($C650="","",IFERROR(INDEX(Mix_Desc,MATCH($C650,Mix_Code,0)),"⚠ Unknown mix code"))</f>
        <v/>
      </c>
      <c r="F650" s="67" t="str">
        <f aca="false">IF(OR($C650="",$D650=""),"",IFERROR($D650*INDEX(Mix_Eff,MATCH($C650,Mix_Code,0),1),""))</f>
        <v/>
      </c>
      <c r="G650" s="67" t="str">
        <f aca="false">IF(OR($C650="",$D650=""),"",IFERROR($D650*INDEX(Mix_Eff,MATCH($C650,Mix_Code,0),2),""))</f>
        <v/>
      </c>
      <c r="H650" s="67" t="str">
        <f aca="false">IF(OR($C650="",$D650=""),"",IFERROR($D650*INDEX(Mix_Eff,MATCH($C650,Mix_Code,0),3),""))</f>
        <v/>
      </c>
      <c r="I650" s="67" t="str">
        <f aca="false">IF(OR($C650="",$D650=""),"",IFERROR($D650*INDEX(Mix_Eff,MATCH($C650,Mix_Code,0),4),""))</f>
        <v/>
      </c>
      <c r="J650" s="67" t="str">
        <f aca="false">IF(OR($C650="",$D650=""),"",IFERROR($D650*INDEX(Mix_Eff,MATCH($C650,Mix_Code,0),5),""))</f>
        <v/>
      </c>
      <c r="K650" s="63"/>
      <c r="L650" s="16" t="str">
        <f aca="false">IF(AND($A650="",$B650="",$C650="",$D650=""),"",IF($A650="","⚠ Date missing",IF($B650="","⚠ Site missing",IF(ISNA(MATCH($C650,Mix_Code,0)),"⚠ Unknown mix code",IF($D650="","⚠ Enter m3 produced",IF(COUNTIF(CI_Site,$B650)=0,"⚠ Site not set up in Current Inventory",IF($A650&gt;AsOfDate,"Future date – not yet deducted","OK")))))))</f>
        <v/>
      </c>
    </row>
    <row r="651" customFormat="false" ht="15" hidden="false" customHeight="false" outlineLevel="0" collapsed="false">
      <c r="A651" s="65"/>
      <c r="B651" s="63"/>
      <c r="C651" s="70"/>
      <c r="D651" s="66"/>
      <c r="E651" s="16" t="str">
        <f aca="false">IF($C651="","",IFERROR(INDEX(Mix_Desc,MATCH($C651,Mix_Code,0)),"⚠ Unknown mix code"))</f>
        <v/>
      </c>
      <c r="F651" s="67" t="str">
        <f aca="false">IF(OR($C651="",$D651=""),"",IFERROR($D651*INDEX(Mix_Eff,MATCH($C651,Mix_Code,0),1),""))</f>
        <v/>
      </c>
      <c r="G651" s="67" t="str">
        <f aca="false">IF(OR($C651="",$D651=""),"",IFERROR($D651*INDEX(Mix_Eff,MATCH($C651,Mix_Code,0),2),""))</f>
        <v/>
      </c>
      <c r="H651" s="67" t="str">
        <f aca="false">IF(OR($C651="",$D651=""),"",IFERROR($D651*INDEX(Mix_Eff,MATCH($C651,Mix_Code,0),3),""))</f>
        <v/>
      </c>
      <c r="I651" s="67" t="str">
        <f aca="false">IF(OR($C651="",$D651=""),"",IFERROR($D651*INDEX(Mix_Eff,MATCH($C651,Mix_Code,0),4),""))</f>
        <v/>
      </c>
      <c r="J651" s="67" t="str">
        <f aca="false">IF(OR($C651="",$D651=""),"",IFERROR($D651*INDEX(Mix_Eff,MATCH($C651,Mix_Code,0),5),""))</f>
        <v/>
      </c>
      <c r="K651" s="63"/>
      <c r="L651" s="16" t="str">
        <f aca="false">IF(AND($A651="",$B651="",$C651="",$D651=""),"",IF($A651="","⚠ Date missing",IF($B651="","⚠ Site missing",IF(ISNA(MATCH($C651,Mix_Code,0)),"⚠ Unknown mix code",IF($D651="","⚠ Enter m3 produced",IF(COUNTIF(CI_Site,$B651)=0,"⚠ Site not set up in Current Inventory",IF($A651&gt;AsOfDate,"Future date – not yet deducted","OK")))))))</f>
        <v/>
      </c>
    </row>
    <row r="652" customFormat="false" ht="15" hidden="false" customHeight="false" outlineLevel="0" collapsed="false">
      <c r="A652" s="65"/>
      <c r="B652" s="63"/>
      <c r="C652" s="70"/>
      <c r="D652" s="66"/>
      <c r="E652" s="16" t="str">
        <f aca="false">IF($C652="","",IFERROR(INDEX(Mix_Desc,MATCH($C652,Mix_Code,0)),"⚠ Unknown mix code"))</f>
        <v/>
      </c>
      <c r="F652" s="67" t="str">
        <f aca="false">IF(OR($C652="",$D652=""),"",IFERROR($D652*INDEX(Mix_Eff,MATCH($C652,Mix_Code,0),1),""))</f>
        <v/>
      </c>
      <c r="G652" s="67" t="str">
        <f aca="false">IF(OR($C652="",$D652=""),"",IFERROR($D652*INDEX(Mix_Eff,MATCH($C652,Mix_Code,0),2),""))</f>
        <v/>
      </c>
      <c r="H652" s="67" t="str">
        <f aca="false">IF(OR($C652="",$D652=""),"",IFERROR($D652*INDEX(Mix_Eff,MATCH($C652,Mix_Code,0),3),""))</f>
        <v/>
      </c>
      <c r="I652" s="67" t="str">
        <f aca="false">IF(OR($C652="",$D652=""),"",IFERROR($D652*INDEX(Mix_Eff,MATCH($C652,Mix_Code,0),4),""))</f>
        <v/>
      </c>
      <c r="J652" s="67" t="str">
        <f aca="false">IF(OR($C652="",$D652=""),"",IFERROR($D652*INDEX(Mix_Eff,MATCH($C652,Mix_Code,0),5),""))</f>
        <v/>
      </c>
      <c r="K652" s="63"/>
      <c r="L652" s="16" t="str">
        <f aca="false">IF(AND($A652="",$B652="",$C652="",$D652=""),"",IF($A652="","⚠ Date missing",IF($B652="","⚠ Site missing",IF(ISNA(MATCH($C652,Mix_Code,0)),"⚠ Unknown mix code",IF($D652="","⚠ Enter m3 produced",IF(COUNTIF(CI_Site,$B652)=0,"⚠ Site not set up in Current Inventory",IF($A652&gt;AsOfDate,"Future date – not yet deducted","OK")))))))</f>
        <v/>
      </c>
    </row>
    <row r="653" customFormat="false" ht="15" hidden="false" customHeight="false" outlineLevel="0" collapsed="false">
      <c r="A653" s="65"/>
      <c r="B653" s="63"/>
      <c r="C653" s="70"/>
      <c r="D653" s="66"/>
      <c r="E653" s="16" t="str">
        <f aca="false">IF($C653="","",IFERROR(INDEX(Mix_Desc,MATCH($C653,Mix_Code,0)),"⚠ Unknown mix code"))</f>
        <v/>
      </c>
      <c r="F653" s="67" t="str">
        <f aca="false">IF(OR($C653="",$D653=""),"",IFERROR($D653*INDEX(Mix_Eff,MATCH($C653,Mix_Code,0),1),""))</f>
        <v/>
      </c>
      <c r="G653" s="67" t="str">
        <f aca="false">IF(OR($C653="",$D653=""),"",IFERROR($D653*INDEX(Mix_Eff,MATCH($C653,Mix_Code,0),2),""))</f>
        <v/>
      </c>
      <c r="H653" s="67" t="str">
        <f aca="false">IF(OR($C653="",$D653=""),"",IFERROR($D653*INDEX(Mix_Eff,MATCH($C653,Mix_Code,0),3),""))</f>
        <v/>
      </c>
      <c r="I653" s="67" t="str">
        <f aca="false">IF(OR($C653="",$D653=""),"",IFERROR($D653*INDEX(Mix_Eff,MATCH($C653,Mix_Code,0),4),""))</f>
        <v/>
      </c>
      <c r="J653" s="67" t="str">
        <f aca="false">IF(OR($C653="",$D653=""),"",IFERROR($D653*INDEX(Mix_Eff,MATCH($C653,Mix_Code,0),5),""))</f>
        <v/>
      </c>
      <c r="K653" s="63"/>
      <c r="L653" s="16" t="str">
        <f aca="false">IF(AND($A653="",$B653="",$C653="",$D653=""),"",IF($A653="","⚠ Date missing",IF($B653="","⚠ Site missing",IF(ISNA(MATCH($C653,Mix_Code,0)),"⚠ Unknown mix code",IF($D653="","⚠ Enter m3 produced",IF(COUNTIF(CI_Site,$B653)=0,"⚠ Site not set up in Current Inventory",IF($A653&gt;AsOfDate,"Future date – not yet deducted","OK")))))))</f>
        <v/>
      </c>
    </row>
    <row r="654" customFormat="false" ht="15" hidden="false" customHeight="false" outlineLevel="0" collapsed="false">
      <c r="A654" s="65"/>
      <c r="B654" s="63"/>
      <c r="C654" s="70"/>
      <c r="D654" s="66"/>
      <c r="E654" s="16" t="str">
        <f aca="false">IF($C654="","",IFERROR(INDEX(Mix_Desc,MATCH($C654,Mix_Code,0)),"⚠ Unknown mix code"))</f>
        <v/>
      </c>
      <c r="F654" s="67" t="str">
        <f aca="false">IF(OR($C654="",$D654=""),"",IFERROR($D654*INDEX(Mix_Eff,MATCH($C654,Mix_Code,0),1),""))</f>
        <v/>
      </c>
      <c r="G654" s="67" t="str">
        <f aca="false">IF(OR($C654="",$D654=""),"",IFERROR($D654*INDEX(Mix_Eff,MATCH($C654,Mix_Code,0),2),""))</f>
        <v/>
      </c>
      <c r="H654" s="67" t="str">
        <f aca="false">IF(OR($C654="",$D654=""),"",IFERROR($D654*INDEX(Mix_Eff,MATCH($C654,Mix_Code,0),3),""))</f>
        <v/>
      </c>
      <c r="I654" s="67" t="str">
        <f aca="false">IF(OR($C654="",$D654=""),"",IFERROR($D654*INDEX(Mix_Eff,MATCH($C654,Mix_Code,0),4),""))</f>
        <v/>
      </c>
      <c r="J654" s="67" t="str">
        <f aca="false">IF(OR($C654="",$D654=""),"",IFERROR($D654*INDEX(Mix_Eff,MATCH($C654,Mix_Code,0),5),""))</f>
        <v/>
      </c>
      <c r="K654" s="63"/>
      <c r="L654" s="16" t="str">
        <f aca="false">IF(AND($A654="",$B654="",$C654="",$D654=""),"",IF($A654="","⚠ Date missing",IF($B654="","⚠ Site missing",IF(ISNA(MATCH($C654,Mix_Code,0)),"⚠ Unknown mix code",IF($D654="","⚠ Enter m3 produced",IF(COUNTIF(CI_Site,$B654)=0,"⚠ Site not set up in Current Inventory",IF($A654&gt;AsOfDate,"Future date – not yet deducted","OK")))))))</f>
        <v/>
      </c>
    </row>
    <row r="655" customFormat="false" ht="15" hidden="false" customHeight="false" outlineLevel="0" collapsed="false">
      <c r="A655" s="65"/>
      <c r="B655" s="63"/>
      <c r="C655" s="70"/>
      <c r="D655" s="66"/>
      <c r="E655" s="16" t="str">
        <f aca="false">IF($C655="","",IFERROR(INDEX(Mix_Desc,MATCH($C655,Mix_Code,0)),"⚠ Unknown mix code"))</f>
        <v/>
      </c>
      <c r="F655" s="67" t="str">
        <f aca="false">IF(OR($C655="",$D655=""),"",IFERROR($D655*INDEX(Mix_Eff,MATCH($C655,Mix_Code,0),1),""))</f>
        <v/>
      </c>
      <c r="G655" s="67" t="str">
        <f aca="false">IF(OR($C655="",$D655=""),"",IFERROR($D655*INDEX(Mix_Eff,MATCH($C655,Mix_Code,0),2),""))</f>
        <v/>
      </c>
      <c r="H655" s="67" t="str">
        <f aca="false">IF(OR($C655="",$D655=""),"",IFERROR($D655*INDEX(Mix_Eff,MATCH($C655,Mix_Code,0),3),""))</f>
        <v/>
      </c>
      <c r="I655" s="67" t="str">
        <f aca="false">IF(OR($C655="",$D655=""),"",IFERROR($D655*INDEX(Mix_Eff,MATCH($C655,Mix_Code,0),4),""))</f>
        <v/>
      </c>
      <c r="J655" s="67" t="str">
        <f aca="false">IF(OR($C655="",$D655=""),"",IFERROR($D655*INDEX(Mix_Eff,MATCH($C655,Mix_Code,0),5),""))</f>
        <v/>
      </c>
      <c r="K655" s="63"/>
      <c r="L655" s="16" t="str">
        <f aca="false">IF(AND($A655="",$B655="",$C655="",$D655=""),"",IF($A655="","⚠ Date missing",IF($B655="","⚠ Site missing",IF(ISNA(MATCH($C655,Mix_Code,0)),"⚠ Unknown mix code",IF($D655="","⚠ Enter m3 produced",IF(COUNTIF(CI_Site,$B655)=0,"⚠ Site not set up in Current Inventory",IF($A655&gt;AsOfDate,"Future date – not yet deducted","OK")))))))</f>
        <v/>
      </c>
    </row>
    <row r="656" customFormat="false" ht="15" hidden="false" customHeight="false" outlineLevel="0" collapsed="false">
      <c r="A656" s="65"/>
      <c r="B656" s="63"/>
      <c r="C656" s="70"/>
      <c r="D656" s="66"/>
      <c r="E656" s="16" t="str">
        <f aca="false">IF($C656="","",IFERROR(INDEX(Mix_Desc,MATCH($C656,Mix_Code,0)),"⚠ Unknown mix code"))</f>
        <v/>
      </c>
      <c r="F656" s="67" t="str">
        <f aca="false">IF(OR($C656="",$D656=""),"",IFERROR($D656*INDEX(Mix_Eff,MATCH($C656,Mix_Code,0),1),""))</f>
        <v/>
      </c>
      <c r="G656" s="67" t="str">
        <f aca="false">IF(OR($C656="",$D656=""),"",IFERROR($D656*INDEX(Mix_Eff,MATCH($C656,Mix_Code,0),2),""))</f>
        <v/>
      </c>
      <c r="H656" s="67" t="str">
        <f aca="false">IF(OR($C656="",$D656=""),"",IFERROR($D656*INDEX(Mix_Eff,MATCH($C656,Mix_Code,0),3),""))</f>
        <v/>
      </c>
      <c r="I656" s="67" t="str">
        <f aca="false">IF(OR($C656="",$D656=""),"",IFERROR($D656*INDEX(Mix_Eff,MATCH($C656,Mix_Code,0),4),""))</f>
        <v/>
      </c>
      <c r="J656" s="67" t="str">
        <f aca="false">IF(OR($C656="",$D656=""),"",IFERROR($D656*INDEX(Mix_Eff,MATCH($C656,Mix_Code,0),5),""))</f>
        <v/>
      </c>
      <c r="K656" s="63"/>
      <c r="L656" s="16" t="str">
        <f aca="false">IF(AND($A656="",$B656="",$C656="",$D656=""),"",IF($A656="","⚠ Date missing",IF($B656="","⚠ Site missing",IF(ISNA(MATCH($C656,Mix_Code,0)),"⚠ Unknown mix code",IF($D656="","⚠ Enter m3 produced",IF(COUNTIF(CI_Site,$B656)=0,"⚠ Site not set up in Current Inventory",IF($A656&gt;AsOfDate,"Future date – not yet deducted","OK")))))))</f>
        <v/>
      </c>
    </row>
    <row r="657" customFormat="false" ht="15" hidden="false" customHeight="false" outlineLevel="0" collapsed="false">
      <c r="A657" s="65"/>
      <c r="B657" s="63"/>
      <c r="C657" s="70"/>
      <c r="D657" s="66"/>
      <c r="E657" s="16" t="str">
        <f aca="false">IF($C657="","",IFERROR(INDEX(Mix_Desc,MATCH($C657,Mix_Code,0)),"⚠ Unknown mix code"))</f>
        <v/>
      </c>
      <c r="F657" s="67" t="str">
        <f aca="false">IF(OR($C657="",$D657=""),"",IFERROR($D657*INDEX(Mix_Eff,MATCH($C657,Mix_Code,0),1),""))</f>
        <v/>
      </c>
      <c r="G657" s="67" t="str">
        <f aca="false">IF(OR($C657="",$D657=""),"",IFERROR($D657*INDEX(Mix_Eff,MATCH($C657,Mix_Code,0),2),""))</f>
        <v/>
      </c>
      <c r="H657" s="67" t="str">
        <f aca="false">IF(OR($C657="",$D657=""),"",IFERROR($D657*INDEX(Mix_Eff,MATCH($C657,Mix_Code,0),3),""))</f>
        <v/>
      </c>
      <c r="I657" s="67" t="str">
        <f aca="false">IF(OR($C657="",$D657=""),"",IFERROR($D657*INDEX(Mix_Eff,MATCH($C657,Mix_Code,0),4),""))</f>
        <v/>
      </c>
      <c r="J657" s="67" t="str">
        <f aca="false">IF(OR($C657="",$D657=""),"",IFERROR($D657*INDEX(Mix_Eff,MATCH($C657,Mix_Code,0),5),""))</f>
        <v/>
      </c>
      <c r="K657" s="63"/>
      <c r="L657" s="16" t="str">
        <f aca="false">IF(AND($A657="",$B657="",$C657="",$D657=""),"",IF($A657="","⚠ Date missing",IF($B657="","⚠ Site missing",IF(ISNA(MATCH($C657,Mix_Code,0)),"⚠ Unknown mix code",IF($D657="","⚠ Enter m3 produced",IF(COUNTIF(CI_Site,$B657)=0,"⚠ Site not set up in Current Inventory",IF($A657&gt;AsOfDate,"Future date – not yet deducted","OK")))))))</f>
        <v/>
      </c>
    </row>
    <row r="658" customFormat="false" ht="15" hidden="false" customHeight="false" outlineLevel="0" collapsed="false">
      <c r="A658" s="65"/>
      <c r="B658" s="63"/>
      <c r="C658" s="70"/>
      <c r="D658" s="66"/>
      <c r="E658" s="16" t="str">
        <f aca="false">IF($C658="","",IFERROR(INDEX(Mix_Desc,MATCH($C658,Mix_Code,0)),"⚠ Unknown mix code"))</f>
        <v/>
      </c>
      <c r="F658" s="67" t="str">
        <f aca="false">IF(OR($C658="",$D658=""),"",IFERROR($D658*INDEX(Mix_Eff,MATCH($C658,Mix_Code,0),1),""))</f>
        <v/>
      </c>
      <c r="G658" s="67" t="str">
        <f aca="false">IF(OR($C658="",$D658=""),"",IFERROR($D658*INDEX(Mix_Eff,MATCH($C658,Mix_Code,0),2),""))</f>
        <v/>
      </c>
      <c r="H658" s="67" t="str">
        <f aca="false">IF(OR($C658="",$D658=""),"",IFERROR($D658*INDEX(Mix_Eff,MATCH($C658,Mix_Code,0),3),""))</f>
        <v/>
      </c>
      <c r="I658" s="67" t="str">
        <f aca="false">IF(OR($C658="",$D658=""),"",IFERROR($D658*INDEX(Mix_Eff,MATCH($C658,Mix_Code,0),4),""))</f>
        <v/>
      </c>
      <c r="J658" s="67" t="str">
        <f aca="false">IF(OR($C658="",$D658=""),"",IFERROR($D658*INDEX(Mix_Eff,MATCH($C658,Mix_Code,0),5),""))</f>
        <v/>
      </c>
      <c r="K658" s="63"/>
      <c r="L658" s="16" t="str">
        <f aca="false">IF(AND($A658="",$B658="",$C658="",$D658=""),"",IF($A658="","⚠ Date missing",IF($B658="","⚠ Site missing",IF(ISNA(MATCH($C658,Mix_Code,0)),"⚠ Unknown mix code",IF($D658="","⚠ Enter m3 produced",IF(COUNTIF(CI_Site,$B658)=0,"⚠ Site not set up in Current Inventory",IF($A658&gt;AsOfDate,"Future date – not yet deducted","OK")))))))</f>
        <v/>
      </c>
    </row>
    <row r="659" customFormat="false" ht="15" hidden="false" customHeight="false" outlineLevel="0" collapsed="false">
      <c r="A659" s="65"/>
      <c r="B659" s="63"/>
      <c r="C659" s="70"/>
      <c r="D659" s="66"/>
      <c r="E659" s="16" t="str">
        <f aca="false">IF($C659="","",IFERROR(INDEX(Mix_Desc,MATCH($C659,Mix_Code,0)),"⚠ Unknown mix code"))</f>
        <v/>
      </c>
      <c r="F659" s="67" t="str">
        <f aca="false">IF(OR($C659="",$D659=""),"",IFERROR($D659*INDEX(Mix_Eff,MATCH($C659,Mix_Code,0),1),""))</f>
        <v/>
      </c>
      <c r="G659" s="67" t="str">
        <f aca="false">IF(OR($C659="",$D659=""),"",IFERROR($D659*INDEX(Mix_Eff,MATCH($C659,Mix_Code,0),2),""))</f>
        <v/>
      </c>
      <c r="H659" s="67" t="str">
        <f aca="false">IF(OR($C659="",$D659=""),"",IFERROR($D659*INDEX(Mix_Eff,MATCH($C659,Mix_Code,0),3),""))</f>
        <v/>
      </c>
      <c r="I659" s="67" t="str">
        <f aca="false">IF(OR($C659="",$D659=""),"",IFERROR($D659*INDEX(Mix_Eff,MATCH($C659,Mix_Code,0),4),""))</f>
        <v/>
      </c>
      <c r="J659" s="67" t="str">
        <f aca="false">IF(OR($C659="",$D659=""),"",IFERROR($D659*INDEX(Mix_Eff,MATCH($C659,Mix_Code,0),5),""))</f>
        <v/>
      </c>
      <c r="K659" s="63"/>
      <c r="L659" s="16" t="str">
        <f aca="false">IF(AND($A659="",$B659="",$C659="",$D659=""),"",IF($A659="","⚠ Date missing",IF($B659="","⚠ Site missing",IF(ISNA(MATCH($C659,Mix_Code,0)),"⚠ Unknown mix code",IF($D659="","⚠ Enter m3 produced",IF(COUNTIF(CI_Site,$B659)=0,"⚠ Site not set up in Current Inventory",IF($A659&gt;AsOfDate,"Future date – not yet deducted","OK")))))))</f>
        <v/>
      </c>
    </row>
    <row r="660" customFormat="false" ht="15" hidden="false" customHeight="false" outlineLevel="0" collapsed="false">
      <c r="A660" s="65"/>
      <c r="B660" s="63"/>
      <c r="C660" s="70"/>
      <c r="D660" s="66"/>
      <c r="E660" s="16" t="str">
        <f aca="false">IF($C660="","",IFERROR(INDEX(Mix_Desc,MATCH($C660,Mix_Code,0)),"⚠ Unknown mix code"))</f>
        <v/>
      </c>
      <c r="F660" s="67" t="str">
        <f aca="false">IF(OR($C660="",$D660=""),"",IFERROR($D660*INDEX(Mix_Eff,MATCH($C660,Mix_Code,0),1),""))</f>
        <v/>
      </c>
      <c r="G660" s="67" t="str">
        <f aca="false">IF(OR($C660="",$D660=""),"",IFERROR($D660*INDEX(Mix_Eff,MATCH($C660,Mix_Code,0),2),""))</f>
        <v/>
      </c>
      <c r="H660" s="67" t="str">
        <f aca="false">IF(OR($C660="",$D660=""),"",IFERROR($D660*INDEX(Mix_Eff,MATCH($C660,Mix_Code,0),3),""))</f>
        <v/>
      </c>
      <c r="I660" s="67" t="str">
        <f aca="false">IF(OR($C660="",$D660=""),"",IFERROR($D660*INDEX(Mix_Eff,MATCH($C660,Mix_Code,0),4),""))</f>
        <v/>
      </c>
      <c r="J660" s="67" t="str">
        <f aca="false">IF(OR($C660="",$D660=""),"",IFERROR($D660*INDEX(Mix_Eff,MATCH($C660,Mix_Code,0),5),""))</f>
        <v/>
      </c>
      <c r="K660" s="63"/>
      <c r="L660" s="16" t="str">
        <f aca="false">IF(AND($A660="",$B660="",$C660="",$D660=""),"",IF($A660="","⚠ Date missing",IF($B660="","⚠ Site missing",IF(ISNA(MATCH($C660,Mix_Code,0)),"⚠ Unknown mix code",IF($D660="","⚠ Enter m3 produced",IF(COUNTIF(CI_Site,$B660)=0,"⚠ Site not set up in Current Inventory",IF($A660&gt;AsOfDate,"Future date – not yet deducted","OK")))))))</f>
        <v/>
      </c>
    </row>
    <row r="661" customFormat="false" ht="15" hidden="false" customHeight="false" outlineLevel="0" collapsed="false">
      <c r="A661" s="65"/>
      <c r="B661" s="63"/>
      <c r="C661" s="70"/>
      <c r="D661" s="66"/>
      <c r="E661" s="16" t="str">
        <f aca="false">IF($C661="","",IFERROR(INDEX(Mix_Desc,MATCH($C661,Mix_Code,0)),"⚠ Unknown mix code"))</f>
        <v/>
      </c>
      <c r="F661" s="67" t="str">
        <f aca="false">IF(OR($C661="",$D661=""),"",IFERROR($D661*INDEX(Mix_Eff,MATCH($C661,Mix_Code,0),1),""))</f>
        <v/>
      </c>
      <c r="G661" s="67" t="str">
        <f aca="false">IF(OR($C661="",$D661=""),"",IFERROR($D661*INDEX(Mix_Eff,MATCH($C661,Mix_Code,0),2),""))</f>
        <v/>
      </c>
      <c r="H661" s="67" t="str">
        <f aca="false">IF(OR($C661="",$D661=""),"",IFERROR($D661*INDEX(Mix_Eff,MATCH($C661,Mix_Code,0),3),""))</f>
        <v/>
      </c>
      <c r="I661" s="67" t="str">
        <f aca="false">IF(OR($C661="",$D661=""),"",IFERROR($D661*INDEX(Mix_Eff,MATCH($C661,Mix_Code,0),4),""))</f>
        <v/>
      </c>
      <c r="J661" s="67" t="str">
        <f aca="false">IF(OR($C661="",$D661=""),"",IFERROR($D661*INDEX(Mix_Eff,MATCH($C661,Mix_Code,0),5),""))</f>
        <v/>
      </c>
      <c r="K661" s="63"/>
      <c r="L661" s="16" t="str">
        <f aca="false">IF(AND($A661="",$B661="",$C661="",$D661=""),"",IF($A661="","⚠ Date missing",IF($B661="","⚠ Site missing",IF(ISNA(MATCH($C661,Mix_Code,0)),"⚠ Unknown mix code",IF($D661="","⚠ Enter m3 produced",IF(COUNTIF(CI_Site,$B661)=0,"⚠ Site not set up in Current Inventory",IF($A661&gt;AsOfDate,"Future date – not yet deducted","OK")))))))</f>
        <v/>
      </c>
    </row>
    <row r="662" customFormat="false" ht="15" hidden="false" customHeight="false" outlineLevel="0" collapsed="false">
      <c r="A662" s="65"/>
      <c r="B662" s="63"/>
      <c r="C662" s="70"/>
      <c r="D662" s="66"/>
      <c r="E662" s="16" t="str">
        <f aca="false">IF($C662="","",IFERROR(INDEX(Mix_Desc,MATCH($C662,Mix_Code,0)),"⚠ Unknown mix code"))</f>
        <v/>
      </c>
      <c r="F662" s="67" t="str">
        <f aca="false">IF(OR($C662="",$D662=""),"",IFERROR($D662*INDEX(Mix_Eff,MATCH($C662,Mix_Code,0),1),""))</f>
        <v/>
      </c>
      <c r="G662" s="67" t="str">
        <f aca="false">IF(OR($C662="",$D662=""),"",IFERROR($D662*INDEX(Mix_Eff,MATCH($C662,Mix_Code,0),2),""))</f>
        <v/>
      </c>
      <c r="H662" s="67" t="str">
        <f aca="false">IF(OR($C662="",$D662=""),"",IFERROR($D662*INDEX(Mix_Eff,MATCH($C662,Mix_Code,0),3),""))</f>
        <v/>
      </c>
      <c r="I662" s="67" t="str">
        <f aca="false">IF(OR($C662="",$D662=""),"",IFERROR($D662*INDEX(Mix_Eff,MATCH($C662,Mix_Code,0),4),""))</f>
        <v/>
      </c>
      <c r="J662" s="67" t="str">
        <f aca="false">IF(OR($C662="",$D662=""),"",IFERROR($D662*INDEX(Mix_Eff,MATCH($C662,Mix_Code,0),5),""))</f>
        <v/>
      </c>
      <c r="K662" s="63"/>
      <c r="L662" s="16" t="str">
        <f aca="false">IF(AND($A662="",$B662="",$C662="",$D662=""),"",IF($A662="","⚠ Date missing",IF($B662="","⚠ Site missing",IF(ISNA(MATCH($C662,Mix_Code,0)),"⚠ Unknown mix code",IF($D662="","⚠ Enter m3 produced",IF(COUNTIF(CI_Site,$B662)=0,"⚠ Site not set up in Current Inventory",IF($A662&gt;AsOfDate,"Future date – not yet deducted","OK")))))))</f>
        <v/>
      </c>
    </row>
    <row r="663" customFormat="false" ht="15" hidden="false" customHeight="false" outlineLevel="0" collapsed="false">
      <c r="A663" s="65"/>
      <c r="B663" s="63"/>
      <c r="C663" s="70"/>
      <c r="D663" s="66"/>
      <c r="E663" s="16" t="str">
        <f aca="false">IF($C663="","",IFERROR(INDEX(Mix_Desc,MATCH($C663,Mix_Code,0)),"⚠ Unknown mix code"))</f>
        <v/>
      </c>
      <c r="F663" s="67" t="str">
        <f aca="false">IF(OR($C663="",$D663=""),"",IFERROR($D663*INDEX(Mix_Eff,MATCH($C663,Mix_Code,0),1),""))</f>
        <v/>
      </c>
      <c r="G663" s="67" t="str">
        <f aca="false">IF(OR($C663="",$D663=""),"",IFERROR($D663*INDEX(Mix_Eff,MATCH($C663,Mix_Code,0),2),""))</f>
        <v/>
      </c>
      <c r="H663" s="67" t="str">
        <f aca="false">IF(OR($C663="",$D663=""),"",IFERROR($D663*INDEX(Mix_Eff,MATCH($C663,Mix_Code,0),3),""))</f>
        <v/>
      </c>
      <c r="I663" s="67" t="str">
        <f aca="false">IF(OR($C663="",$D663=""),"",IFERROR($D663*INDEX(Mix_Eff,MATCH($C663,Mix_Code,0),4),""))</f>
        <v/>
      </c>
      <c r="J663" s="67" t="str">
        <f aca="false">IF(OR($C663="",$D663=""),"",IFERROR($D663*INDEX(Mix_Eff,MATCH($C663,Mix_Code,0),5),""))</f>
        <v/>
      </c>
      <c r="K663" s="63"/>
      <c r="L663" s="16" t="str">
        <f aca="false">IF(AND($A663="",$B663="",$C663="",$D663=""),"",IF($A663="","⚠ Date missing",IF($B663="","⚠ Site missing",IF(ISNA(MATCH($C663,Mix_Code,0)),"⚠ Unknown mix code",IF($D663="","⚠ Enter m3 produced",IF(COUNTIF(CI_Site,$B663)=0,"⚠ Site not set up in Current Inventory",IF($A663&gt;AsOfDate,"Future date – not yet deducted","OK")))))))</f>
        <v/>
      </c>
    </row>
    <row r="664" customFormat="false" ht="15" hidden="false" customHeight="false" outlineLevel="0" collapsed="false">
      <c r="A664" s="65"/>
      <c r="B664" s="63"/>
      <c r="C664" s="70"/>
      <c r="D664" s="66"/>
      <c r="E664" s="16" t="str">
        <f aca="false">IF($C664="","",IFERROR(INDEX(Mix_Desc,MATCH($C664,Mix_Code,0)),"⚠ Unknown mix code"))</f>
        <v/>
      </c>
      <c r="F664" s="67" t="str">
        <f aca="false">IF(OR($C664="",$D664=""),"",IFERROR($D664*INDEX(Mix_Eff,MATCH($C664,Mix_Code,0),1),""))</f>
        <v/>
      </c>
      <c r="G664" s="67" t="str">
        <f aca="false">IF(OR($C664="",$D664=""),"",IFERROR($D664*INDEX(Mix_Eff,MATCH($C664,Mix_Code,0),2),""))</f>
        <v/>
      </c>
      <c r="H664" s="67" t="str">
        <f aca="false">IF(OR($C664="",$D664=""),"",IFERROR($D664*INDEX(Mix_Eff,MATCH($C664,Mix_Code,0),3),""))</f>
        <v/>
      </c>
      <c r="I664" s="67" t="str">
        <f aca="false">IF(OR($C664="",$D664=""),"",IFERROR($D664*INDEX(Mix_Eff,MATCH($C664,Mix_Code,0),4),""))</f>
        <v/>
      </c>
      <c r="J664" s="67" t="str">
        <f aca="false">IF(OR($C664="",$D664=""),"",IFERROR($D664*INDEX(Mix_Eff,MATCH($C664,Mix_Code,0),5),""))</f>
        <v/>
      </c>
      <c r="K664" s="63"/>
      <c r="L664" s="16" t="str">
        <f aca="false">IF(AND($A664="",$B664="",$C664="",$D664=""),"",IF($A664="","⚠ Date missing",IF($B664="","⚠ Site missing",IF(ISNA(MATCH($C664,Mix_Code,0)),"⚠ Unknown mix code",IF($D664="","⚠ Enter m3 produced",IF(COUNTIF(CI_Site,$B664)=0,"⚠ Site not set up in Current Inventory",IF($A664&gt;AsOfDate,"Future date – not yet deducted","OK")))))))</f>
        <v/>
      </c>
    </row>
    <row r="665" customFormat="false" ht="15" hidden="false" customHeight="false" outlineLevel="0" collapsed="false">
      <c r="A665" s="65"/>
      <c r="B665" s="63"/>
      <c r="C665" s="70"/>
      <c r="D665" s="66"/>
      <c r="E665" s="16" t="str">
        <f aca="false">IF($C665="","",IFERROR(INDEX(Mix_Desc,MATCH($C665,Mix_Code,0)),"⚠ Unknown mix code"))</f>
        <v/>
      </c>
      <c r="F665" s="67" t="str">
        <f aca="false">IF(OR($C665="",$D665=""),"",IFERROR($D665*INDEX(Mix_Eff,MATCH($C665,Mix_Code,0),1),""))</f>
        <v/>
      </c>
      <c r="G665" s="67" t="str">
        <f aca="false">IF(OR($C665="",$D665=""),"",IFERROR($D665*INDEX(Mix_Eff,MATCH($C665,Mix_Code,0),2),""))</f>
        <v/>
      </c>
      <c r="H665" s="67" t="str">
        <f aca="false">IF(OR($C665="",$D665=""),"",IFERROR($D665*INDEX(Mix_Eff,MATCH($C665,Mix_Code,0),3),""))</f>
        <v/>
      </c>
      <c r="I665" s="67" t="str">
        <f aca="false">IF(OR($C665="",$D665=""),"",IFERROR($D665*INDEX(Mix_Eff,MATCH($C665,Mix_Code,0),4),""))</f>
        <v/>
      </c>
      <c r="J665" s="67" t="str">
        <f aca="false">IF(OR($C665="",$D665=""),"",IFERROR($D665*INDEX(Mix_Eff,MATCH($C665,Mix_Code,0),5),""))</f>
        <v/>
      </c>
      <c r="K665" s="63"/>
      <c r="L665" s="16" t="str">
        <f aca="false">IF(AND($A665="",$B665="",$C665="",$D665=""),"",IF($A665="","⚠ Date missing",IF($B665="","⚠ Site missing",IF(ISNA(MATCH($C665,Mix_Code,0)),"⚠ Unknown mix code",IF($D665="","⚠ Enter m3 produced",IF(COUNTIF(CI_Site,$B665)=0,"⚠ Site not set up in Current Inventory",IF($A665&gt;AsOfDate,"Future date – not yet deducted","OK")))))))</f>
        <v/>
      </c>
    </row>
    <row r="666" customFormat="false" ht="15" hidden="false" customHeight="false" outlineLevel="0" collapsed="false">
      <c r="A666" s="65"/>
      <c r="B666" s="63"/>
      <c r="C666" s="70"/>
      <c r="D666" s="66"/>
      <c r="E666" s="16" t="str">
        <f aca="false">IF($C666="","",IFERROR(INDEX(Mix_Desc,MATCH($C666,Mix_Code,0)),"⚠ Unknown mix code"))</f>
        <v/>
      </c>
      <c r="F666" s="67" t="str">
        <f aca="false">IF(OR($C666="",$D666=""),"",IFERROR($D666*INDEX(Mix_Eff,MATCH($C666,Mix_Code,0),1),""))</f>
        <v/>
      </c>
      <c r="G666" s="67" t="str">
        <f aca="false">IF(OR($C666="",$D666=""),"",IFERROR($D666*INDEX(Mix_Eff,MATCH($C666,Mix_Code,0),2),""))</f>
        <v/>
      </c>
      <c r="H666" s="67" t="str">
        <f aca="false">IF(OR($C666="",$D666=""),"",IFERROR($D666*INDEX(Mix_Eff,MATCH($C666,Mix_Code,0),3),""))</f>
        <v/>
      </c>
      <c r="I666" s="67" t="str">
        <f aca="false">IF(OR($C666="",$D666=""),"",IFERROR($D666*INDEX(Mix_Eff,MATCH($C666,Mix_Code,0),4),""))</f>
        <v/>
      </c>
      <c r="J666" s="67" t="str">
        <f aca="false">IF(OR($C666="",$D666=""),"",IFERROR($D666*INDEX(Mix_Eff,MATCH($C666,Mix_Code,0),5),""))</f>
        <v/>
      </c>
      <c r="K666" s="63"/>
      <c r="L666" s="16" t="str">
        <f aca="false">IF(AND($A666="",$B666="",$C666="",$D666=""),"",IF($A666="","⚠ Date missing",IF($B666="","⚠ Site missing",IF(ISNA(MATCH($C666,Mix_Code,0)),"⚠ Unknown mix code",IF($D666="","⚠ Enter m3 produced",IF(COUNTIF(CI_Site,$B666)=0,"⚠ Site not set up in Current Inventory",IF($A666&gt;AsOfDate,"Future date – not yet deducted","OK")))))))</f>
        <v/>
      </c>
    </row>
    <row r="667" customFormat="false" ht="15" hidden="false" customHeight="false" outlineLevel="0" collapsed="false">
      <c r="A667" s="65"/>
      <c r="B667" s="63"/>
      <c r="C667" s="70"/>
      <c r="D667" s="66"/>
      <c r="E667" s="16" t="str">
        <f aca="false">IF($C667="","",IFERROR(INDEX(Mix_Desc,MATCH($C667,Mix_Code,0)),"⚠ Unknown mix code"))</f>
        <v/>
      </c>
      <c r="F667" s="67" t="str">
        <f aca="false">IF(OR($C667="",$D667=""),"",IFERROR($D667*INDEX(Mix_Eff,MATCH($C667,Mix_Code,0),1),""))</f>
        <v/>
      </c>
      <c r="G667" s="67" t="str">
        <f aca="false">IF(OR($C667="",$D667=""),"",IFERROR($D667*INDEX(Mix_Eff,MATCH($C667,Mix_Code,0),2),""))</f>
        <v/>
      </c>
      <c r="H667" s="67" t="str">
        <f aca="false">IF(OR($C667="",$D667=""),"",IFERROR($D667*INDEX(Mix_Eff,MATCH($C667,Mix_Code,0),3),""))</f>
        <v/>
      </c>
      <c r="I667" s="67" t="str">
        <f aca="false">IF(OR($C667="",$D667=""),"",IFERROR($D667*INDEX(Mix_Eff,MATCH($C667,Mix_Code,0),4),""))</f>
        <v/>
      </c>
      <c r="J667" s="67" t="str">
        <f aca="false">IF(OR($C667="",$D667=""),"",IFERROR($D667*INDEX(Mix_Eff,MATCH($C667,Mix_Code,0),5),""))</f>
        <v/>
      </c>
      <c r="K667" s="63"/>
      <c r="L667" s="16" t="str">
        <f aca="false">IF(AND($A667="",$B667="",$C667="",$D667=""),"",IF($A667="","⚠ Date missing",IF($B667="","⚠ Site missing",IF(ISNA(MATCH($C667,Mix_Code,0)),"⚠ Unknown mix code",IF($D667="","⚠ Enter m3 produced",IF(COUNTIF(CI_Site,$B667)=0,"⚠ Site not set up in Current Inventory",IF($A667&gt;AsOfDate,"Future date – not yet deducted","OK")))))))</f>
        <v/>
      </c>
    </row>
    <row r="668" customFormat="false" ht="15" hidden="false" customHeight="false" outlineLevel="0" collapsed="false">
      <c r="A668" s="65"/>
      <c r="B668" s="63"/>
      <c r="C668" s="70"/>
      <c r="D668" s="66"/>
      <c r="E668" s="16" t="str">
        <f aca="false">IF($C668="","",IFERROR(INDEX(Mix_Desc,MATCH($C668,Mix_Code,0)),"⚠ Unknown mix code"))</f>
        <v/>
      </c>
      <c r="F668" s="67" t="str">
        <f aca="false">IF(OR($C668="",$D668=""),"",IFERROR($D668*INDEX(Mix_Eff,MATCH($C668,Mix_Code,0),1),""))</f>
        <v/>
      </c>
      <c r="G668" s="67" t="str">
        <f aca="false">IF(OR($C668="",$D668=""),"",IFERROR($D668*INDEX(Mix_Eff,MATCH($C668,Mix_Code,0),2),""))</f>
        <v/>
      </c>
      <c r="H668" s="67" t="str">
        <f aca="false">IF(OR($C668="",$D668=""),"",IFERROR($D668*INDEX(Mix_Eff,MATCH($C668,Mix_Code,0),3),""))</f>
        <v/>
      </c>
      <c r="I668" s="67" t="str">
        <f aca="false">IF(OR($C668="",$D668=""),"",IFERROR($D668*INDEX(Mix_Eff,MATCH($C668,Mix_Code,0),4),""))</f>
        <v/>
      </c>
      <c r="J668" s="67" t="str">
        <f aca="false">IF(OR($C668="",$D668=""),"",IFERROR($D668*INDEX(Mix_Eff,MATCH($C668,Mix_Code,0),5),""))</f>
        <v/>
      </c>
      <c r="K668" s="63"/>
      <c r="L668" s="16" t="str">
        <f aca="false">IF(AND($A668="",$B668="",$C668="",$D668=""),"",IF($A668="","⚠ Date missing",IF($B668="","⚠ Site missing",IF(ISNA(MATCH($C668,Mix_Code,0)),"⚠ Unknown mix code",IF($D668="","⚠ Enter m3 produced",IF(COUNTIF(CI_Site,$B668)=0,"⚠ Site not set up in Current Inventory",IF($A668&gt;AsOfDate,"Future date – not yet deducted","OK")))))))</f>
        <v/>
      </c>
    </row>
    <row r="669" customFormat="false" ht="15" hidden="false" customHeight="false" outlineLevel="0" collapsed="false">
      <c r="A669" s="65"/>
      <c r="B669" s="63"/>
      <c r="C669" s="70"/>
      <c r="D669" s="66"/>
      <c r="E669" s="16" t="str">
        <f aca="false">IF($C669="","",IFERROR(INDEX(Mix_Desc,MATCH($C669,Mix_Code,0)),"⚠ Unknown mix code"))</f>
        <v/>
      </c>
      <c r="F669" s="67" t="str">
        <f aca="false">IF(OR($C669="",$D669=""),"",IFERROR($D669*INDEX(Mix_Eff,MATCH($C669,Mix_Code,0),1),""))</f>
        <v/>
      </c>
      <c r="G669" s="67" t="str">
        <f aca="false">IF(OR($C669="",$D669=""),"",IFERROR($D669*INDEX(Mix_Eff,MATCH($C669,Mix_Code,0),2),""))</f>
        <v/>
      </c>
      <c r="H669" s="67" t="str">
        <f aca="false">IF(OR($C669="",$D669=""),"",IFERROR($D669*INDEX(Mix_Eff,MATCH($C669,Mix_Code,0),3),""))</f>
        <v/>
      </c>
      <c r="I669" s="67" t="str">
        <f aca="false">IF(OR($C669="",$D669=""),"",IFERROR($D669*INDEX(Mix_Eff,MATCH($C669,Mix_Code,0),4),""))</f>
        <v/>
      </c>
      <c r="J669" s="67" t="str">
        <f aca="false">IF(OR($C669="",$D669=""),"",IFERROR($D669*INDEX(Mix_Eff,MATCH($C669,Mix_Code,0),5),""))</f>
        <v/>
      </c>
      <c r="K669" s="63"/>
      <c r="L669" s="16" t="str">
        <f aca="false">IF(AND($A669="",$B669="",$C669="",$D669=""),"",IF($A669="","⚠ Date missing",IF($B669="","⚠ Site missing",IF(ISNA(MATCH($C669,Mix_Code,0)),"⚠ Unknown mix code",IF($D669="","⚠ Enter m3 produced",IF(COUNTIF(CI_Site,$B669)=0,"⚠ Site not set up in Current Inventory",IF($A669&gt;AsOfDate,"Future date – not yet deducted","OK")))))))</f>
        <v/>
      </c>
    </row>
    <row r="670" customFormat="false" ht="15" hidden="false" customHeight="false" outlineLevel="0" collapsed="false">
      <c r="A670" s="65"/>
      <c r="B670" s="63"/>
      <c r="C670" s="70"/>
      <c r="D670" s="66"/>
      <c r="E670" s="16" t="str">
        <f aca="false">IF($C670="","",IFERROR(INDEX(Mix_Desc,MATCH($C670,Mix_Code,0)),"⚠ Unknown mix code"))</f>
        <v/>
      </c>
      <c r="F670" s="67" t="str">
        <f aca="false">IF(OR($C670="",$D670=""),"",IFERROR($D670*INDEX(Mix_Eff,MATCH($C670,Mix_Code,0),1),""))</f>
        <v/>
      </c>
      <c r="G670" s="67" t="str">
        <f aca="false">IF(OR($C670="",$D670=""),"",IFERROR($D670*INDEX(Mix_Eff,MATCH($C670,Mix_Code,0),2),""))</f>
        <v/>
      </c>
      <c r="H670" s="67" t="str">
        <f aca="false">IF(OR($C670="",$D670=""),"",IFERROR($D670*INDEX(Mix_Eff,MATCH($C670,Mix_Code,0),3),""))</f>
        <v/>
      </c>
      <c r="I670" s="67" t="str">
        <f aca="false">IF(OR($C670="",$D670=""),"",IFERROR($D670*INDEX(Mix_Eff,MATCH($C670,Mix_Code,0),4),""))</f>
        <v/>
      </c>
      <c r="J670" s="67" t="str">
        <f aca="false">IF(OR($C670="",$D670=""),"",IFERROR($D670*INDEX(Mix_Eff,MATCH($C670,Mix_Code,0),5),""))</f>
        <v/>
      </c>
      <c r="K670" s="63"/>
      <c r="L670" s="16" t="str">
        <f aca="false">IF(AND($A670="",$B670="",$C670="",$D670=""),"",IF($A670="","⚠ Date missing",IF($B670="","⚠ Site missing",IF(ISNA(MATCH($C670,Mix_Code,0)),"⚠ Unknown mix code",IF($D670="","⚠ Enter m3 produced",IF(COUNTIF(CI_Site,$B670)=0,"⚠ Site not set up in Current Inventory",IF($A670&gt;AsOfDate,"Future date – not yet deducted","OK")))))))</f>
        <v/>
      </c>
    </row>
    <row r="671" customFormat="false" ht="15" hidden="false" customHeight="false" outlineLevel="0" collapsed="false">
      <c r="A671" s="65"/>
      <c r="B671" s="63"/>
      <c r="C671" s="70"/>
      <c r="D671" s="66"/>
      <c r="E671" s="16" t="str">
        <f aca="false">IF($C671="","",IFERROR(INDEX(Mix_Desc,MATCH($C671,Mix_Code,0)),"⚠ Unknown mix code"))</f>
        <v/>
      </c>
      <c r="F671" s="67" t="str">
        <f aca="false">IF(OR($C671="",$D671=""),"",IFERROR($D671*INDEX(Mix_Eff,MATCH($C671,Mix_Code,0),1),""))</f>
        <v/>
      </c>
      <c r="G671" s="67" t="str">
        <f aca="false">IF(OR($C671="",$D671=""),"",IFERROR($D671*INDEX(Mix_Eff,MATCH($C671,Mix_Code,0),2),""))</f>
        <v/>
      </c>
      <c r="H671" s="67" t="str">
        <f aca="false">IF(OR($C671="",$D671=""),"",IFERROR($D671*INDEX(Mix_Eff,MATCH($C671,Mix_Code,0),3),""))</f>
        <v/>
      </c>
      <c r="I671" s="67" t="str">
        <f aca="false">IF(OR($C671="",$D671=""),"",IFERROR($D671*INDEX(Mix_Eff,MATCH($C671,Mix_Code,0),4),""))</f>
        <v/>
      </c>
      <c r="J671" s="67" t="str">
        <f aca="false">IF(OR($C671="",$D671=""),"",IFERROR($D671*INDEX(Mix_Eff,MATCH($C671,Mix_Code,0),5),""))</f>
        <v/>
      </c>
      <c r="K671" s="63"/>
      <c r="L671" s="16" t="str">
        <f aca="false">IF(AND($A671="",$B671="",$C671="",$D671=""),"",IF($A671="","⚠ Date missing",IF($B671="","⚠ Site missing",IF(ISNA(MATCH($C671,Mix_Code,0)),"⚠ Unknown mix code",IF($D671="","⚠ Enter m3 produced",IF(COUNTIF(CI_Site,$B671)=0,"⚠ Site not set up in Current Inventory",IF($A671&gt;AsOfDate,"Future date – not yet deducted","OK")))))))</f>
        <v/>
      </c>
    </row>
    <row r="672" customFormat="false" ht="15" hidden="false" customHeight="false" outlineLevel="0" collapsed="false">
      <c r="A672" s="65"/>
      <c r="B672" s="63"/>
      <c r="C672" s="70"/>
      <c r="D672" s="66"/>
      <c r="E672" s="16" t="str">
        <f aca="false">IF($C672="","",IFERROR(INDEX(Mix_Desc,MATCH($C672,Mix_Code,0)),"⚠ Unknown mix code"))</f>
        <v/>
      </c>
      <c r="F672" s="67" t="str">
        <f aca="false">IF(OR($C672="",$D672=""),"",IFERROR($D672*INDEX(Mix_Eff,MATCH($C672,Mix_Code,0),1),""))</f>
        <v/>
      </c>
      <c r="G672" s="67" t="str">
        <f aca="false">IF(OR($C672="",$D672=""),"",IFERROR($D672*INDEX(Mix_Eff,MATCH($C672,Mix_Code,0),2),""))</f>
        <v/>
      </c>
      <c r="H672" s="67" t="str">
        <f aca="false">IF(OR($C672="",$D672=""),"",IFERROR($D672*INDEX(Mix_Eff,MATCH($C672,Mix_Code,0),3),""))</f>
        <v/>
      </c>
      <c r="I672" s="67" t="str">
        <f aca="false">IF(OR($C672="",$D672=""),"",IFERROR($D672*INDEX(Mix_Eff,MATCH($C672,Mix_Code,0),4),""))</f>
        <v/>
      </c>
      <c r="J672" s="67" t="str">
        <f aca="false">IF(OR($C672="",$D672=""),"",IFERROR($D672*INDEX(Mix_Eff,MATCH($C672,Mix_Code,0),5),""))</f>
        <v/>
      </c>
      <c r="K672" s="63"/>
      <c r="L672" s="16" t="str">
        <f aca="false">IF(AND($A672="",$B672="",$C672="",$D672=""),"",IF($A672="","⚠ Date missing",IF($B672="","⚠ Site missing",IF(ISNA(MATCH($C672,Mix_Code,0)),"⚠ Unknown mix code",IF($D672="","⚠ Enter m3 produced",IF(COUNTIF(CI_Site,$B672)=0,"⚠ Site not set up in Current Inventory",IF($A672&gt;AsOfDate,"Future date – not yet deducted","OK")))))))</f>
        <v/>
      </c>
    </row>
    <row r="673" customFormat="false" ht="15" hidden="false" customHeight="false" outlineLevel="0" collapsed="false">
      <c r="A673" s="65"/>
      <c r="B673" s="63"/>
      <c r="C673" s="70"/>
      <c r="D673" s="66"/>
      <c r="E673" s="16" t="str">
        <f aca="false">IF($C673="","",IFERROR(INDEX(Mix_Desc,MATCH($C673,Mix_Code,0)),"⚠ Unknown mix code"))</f>
        <v/>
      </c>
      <c r="F673" s="67" t="str">
        <f aca="false">IF(OR($C673="",$D673=""),"",IFERROR($D673*INDEX(Mix_Eff,MATCH($C673,Mix_Code,0),1),""))</f>
        <v/>
      </c>
      <c r="G673" s="67" t="str">
        <f aca="false">IF(OR($C673="",$D673=""),"",IFERROR($D673*INDEX(Mix_Eff,MATCH($C673,Mix_Code,0),2),""))</f>
        <v/>
      </c>
      <c r="H673" s="67" t="str">
        <f aca="false">IF(OR($C673="",$D673=""),"",IFERROR($D673*INDEX(Mix_Eff,MATCH($C673,Mix_Code,0),3),""))</f>
        <v/>
      </c>
      <c r="I673" s="67" t="str">
        <f aca="false">IF(OR($C673="",$D673=""),"",IFERROR($D673*INDEX(Mix_Eff,MATCH($C673,Mix_Code,0),4),""))</f>
        <v/>
      </c>
      <c r="J673" s="67" t="str">
        <f aca="false">IF(OR($C673="",$D673=""),"",IFERROR($D673*INDEX(Mix_Eff,MATCH($C673,Mix_Code,0),5),""))</f>
        <v/>
      </c>
      <c r="K673" s="63"/>
      <c r="L673" s="16" t="str">
        <f aca="false">IF(AND($A673="",$B673="",$C673="",$D673=""),"",IF($A673="","⚠ Date missing",IF($B673="","⚠ Site missing",IF(ISNA(MATCH($C673,Mix_Code,0)),"⚠ Unknown mix code",IF($D673="","⚠ Enter m3 produced",IF(COUNTIF(CI_Site,$B673)=0,"⚠ Site not set up in Current Inventory",IF($A673&gt;AsOfDate,"Future date – not yet deducted","OK")))))))</f>
        <v/>
      </c>
    </row>
    <row r="674" customFormat="false" ht="15" hidden="false" customHeight="false" outlineLevel="0" collapsed="false">
      <c r="A674" s="65"/>
      <c r="B674" s="63"/>
      <c r="C674" s="70"/>
      <c r="D674" s="66"/>
      <c r="E674" s="16" t="str">
        <f aca="false">IF($C674="","",IFERROR(INDEX(Mix_Desc,MATCH($C674,Mix_Code,0)),"⚠ Unknown mix code"))</f>
        <v/>
      </c>
      <c r="F674" s="67" t="str">
        <f aca="false">IF(OR($C674="",$D674=""),"",IFERROR($D674*INDEX(Mix_Eff,MATCH($C674,Mix_Code,0),1),""))</f>
        <v/>
      </c>
      <c r="G674" s="67" t="str">
        <f aca="false">IF(OR($C674="",$D674=""),"",IFERROR($D674*INDEX(Mix_Eff,MATCH($C674,Mix_Code,0),2),""))</f>
        <v/>
      </c>
      <c r="H674" s="67" t="str">
        <f aca="false">IF(OR($C674="",$D674=""),"",IFERROR($D674*INDEX(Mix_Eff,MATCH($C674,Mix_Code,0),3),""))</f>
        <v/>
      </c>
      <c r="I674" s="67" t="str">
        <f aca="false">IF(OR($C674="",$D674=""),"",IFERROR($D674*INDEX(Mix_Eff,MATCH($C674,Mix_Code,0),4),""))</f>
        <v/>
      </c>
      <c r="J674" s="67" t="str">
        <f aca="false">IF(OR($C674="",$D674=""),"",IFERROR($D674*INDEX(Mix_Eff,MATCH($C674,Mix_Code,0),5),""))</f>
        <v/>
      </c>
      <c r="K674" s="63"/>
      <c r="L674" s="16" t="str">
        <f aca="false">IF(AND($A674="",$B674="",$C674="",$D674=""),"",IF($A674="","⚠ Date missing",IF($B674="","⚠ Site missing",IF(ISNA(MATCH($C674,Mix_Code,0)),"⚠ Unknown mix code",IF($D674="","⚠ Enter m3 produced",IF(COUNTIF(CI_Site,$B674)=0,"⚠ Site not set up in Current Inventory",IF($A674&gt;AsOfDate,"Future date – not yet deducted","OK")))))))</f>
        <v/>
      </c>
    </row>
    <row r="675" customFormat="false" ht="15" hidden="false" customHeight="false" outlineLevel="0" collapsed="false">
      <c r="A675" s="65"/>
      <c r="B675" s="63"/>
      <c r="C675" s="70"/>
      <c r="D675" s="66"/>
      <c r="E675" s="16" t="str">
        <f aca="false">IF($C675="","",IFERROR(INDEX(Mix_Desc,MATCH($C675,Mix_Code,0)),"⚠ Unknown mix code"))</f>
        <v/>
      </c>
      <c r="F675" s="67" t="str">
        <f aca="false">IF(OR($C675="",$D675=""),"",IFERROR($D675*INDEX(Mix_Eff,MATCH($C675,Mix_Code,0),1),""))</f>
        <v/>
      </c>
      <c r="G675" s="67" t="str">
        <f aca="false">IF(OR($C675="",$D675=""),"",IFERROR($D675*INDEX(Mix_Eff,MATCH($C675,Mix_Code,0),2),""))</f>
        <v/>
      </c>
      <c r="H675" s="67" t="str">
        <f aca="false">IF(OR($C675="",$D675=""),"",IFERROR($D675*INDEX(Mix_Eff,MATCH($C675,Mix_Code,0),3),""))</f>
        <v/>
      </c>
      <c r="I675" s="67" t="str">
        <f aca="false">IF(OR($C675="",$D675=""),"",IFERROR($D675*INDEX(Mix_Eff,MATCH($C675,Mix_Code,0),4),""))</f>
        <v/>
      </c>
      <c r="J675" s="67" t="str">
        <f aca="false">IF(OR($C675="",$D675=""),"",IFERROR($D675*INDEX(Mix_Eff,MATCH($C675,Mix_Code,0),5),""))</f>
        <v/>
      </c>
      <c r="K675" s="63"/>
      <c r="L675" s="16" t="str">
        <f aca="false">IF(AND($A675="",$B675="",$C675="",$D675=""),"",IF($A675="","⚠ Date missing",IF($B675="","⚠ Site missing",IF(ISNA(MATCH($C675,Mix_Code,0)),"⚠ Unknown mix code",IF($D675="","⚠ Enter m3 produced",IF(COUNTIF(CI_Site,$B675)=0,"⚠ Site not set up in Current Inventory",IF($A675&gt;AsOfDate,"Future date – not yet deducted","OK")))))))</f>
        <v/>
      </c>
    </row>
    <row r="676" customFormat="false" ht="15" hidden="false" customHeight="false" outlineLevel="0" collapsed="false">
      <c r="A676" s="65"/>
      <c r="B676" s="63"/>
      <c r="C676" s="70"/>
      <c r="D676" s="66"/>
      <c r="E676" s="16" t="str">
        <f aca="false">IF($C676="","",IFERROR(INDEX(Mix_Desc,MATCH($C676,Mix_Code,0)),"⚠ Unknown mix code"))</f>
        <v/>
      </c>
      <c r="F676" s="67" t="str">
        <f aca="false">IF(OR($C676="",$D676=""),"",IFERROR($D676*INDEX(Mix_Eff,MATCH($C676,Mix_Code,0),1),""))</f>
        <v/>
      </c>
      <c r="G676" s="67" t="str">
        <f aca="false">IF(OR($C676="",$D676=""),"",IFERROR($D676*INDEX(Mix_Eff,MATCH($C676,Mix_Code,0),2),""))</f>
        <v/>
      </c>
      <c r="H676" s="67" t="str">
        <f aca="false">IF(OR($C676="",$D676=""),"",IFERROR($D676*INDEX(Mix_Eff,MATCH($C676,Mix_Code,0),3),""))</f>
        <v/>
      </c>
      <c r="I676" s="67" t="str">
        <f aca="false">IF(OR($C676="",$D676=""),"",IFERROR($D676*INDEX(Mix_Eff,MATCH($C676,Mix_Code,0),4),""))</f>
        <v/>
      </c>
      <c r="J676" s="67" t="str">
        <f aca="false">IF(OR($C676="",$D676=""),"",IFERROR($D676*INDEX(Mix_Eff,MATCH($C676,Mix_Code,0),5),""))</f>
        <v/>
      </c>
      <c r="K676" s="63"/>
      <c r="L676" s="16" t="str">
        <f aca="false">IF(AND($A676="",$B676="",$C676="",$D676=""),"",IF($A676="","⚠ Date missing",IF($B676="","⚠ Site missing",IF(ISNA(MATCH($C676,Mix_Code,0)),"⚠ Unknown mix code",IF($D676="","⚠ Enter m3 produced",IF(COUNTIF(CI_Site,$B676)=0,"⚠ Site not set up in Current Inventory",IF($A676&gt;AsOfDate,"Future date – not yet deducted","OK")))))))</f>
        <v/>
      </c>
    </row>
    <row r="677" customFormat="false" ht="15" hidden="false" customHeight="false" outlineLevel="0" collapsed="false">
      <c r="A677" s="65"/>
      <c r="B677" s="63"/>
      <c r="C677" s="70"/>
      <c r="D677" s="66"/>
      <c r="E677" s="16" t="str">
        <f aca="false">IF($C677="","",IFERROR(INDEX(Mix_Desc,MATCH($C677,Mix_Code,0)),"⚠ Unknown mix code"))</f>
        <v/>
      </c>
      <c r="F677" s="67" t="str">
        <f aca="false">IF(OR($C677="",$D677=""),"",IFERROR($D677*INDEX(Mix_Eff,MATCH($C677,Mix_Code,0),1),""))</f>
        <v/>
      </c>
      <c r="G677" s="67" t="str">
        <f aca="false">IF(OR($C677="",$D677=""),"",IFERROR($D677*INDEX(Mix_Eff,MATCH($C677,Mix_Code,0),2),""))</f>
        <v/>
      </c>
      <c r="H677" s="67" t="str">
        <f aca="false">IF(OR($C677="",$D677=""),"",IFERROR($D677*INDEX(Mix_Eff,MATCH($C677,Mix_Code,0),3),""))</f>
        <v/>
      </c>
      <c r="I677" s="67" t="str">
        <f aca="false">IF(OR($C677="",$D677=""),"",IFERROR($D677*INDEX(Mix_Eff,MATCH($C677,Mix_Code,0),4),""))</f>
        <v/>
      </c>
      <c r="J677" s="67" t="str">
        <f aca="false">IF(OR($C677="",$D677=""),"",IFERROR($D677*INDEX(Mix_Eff,MATCH($C677,Mix_Code,0),5),""))</f>
        <v/>
      </c>
      <c r="K677" s="63"/>
      <c r="L677" s="16" t="str">
        <f aca="false">IF(AND($A677="",$B677="",$C677="",$D677=""),"",IF($A677="","⚠ Date missing",IF($B677="","⚠ Site missing",IF(ISNA(MATCH($C677,Mix_Code,0)),"⚠ Unknown mix code",IF($D677="","⚠ Enter m3 produced",IF(COUNTIF(CI_Site,$B677)=0,"⚠ Site not set up in Current Inventory",IF($A677&gt;AsOfDate,"Future date – not yet deducted","OK")))))))</f>
        <v/>
      </c>
    </row>
    <row r="678" customFormat="false" ht="15" hidden="false" customHeight="false" outlineLevel="0" collapsed="false">
      <c r="A678" s="65"/>
      <c r="B678" s="63"/>
      <c r="C678" s="70"/>
      <c r="D678" s="66"/>
      <c r="E678" s="16" t="str">
        <f aca="false">IF($C678="","",IFERROR(INDEX(Mix_Desc,MATCH($C678,Mix_Code,0)),"⚠ Unknown mix code"))</f>
        <v/>
      </c>
      <c r="F678" s="67" t="str">
        <f aca="false">IF(OR($C678="",$D678=""),"",IFERROR($D678*INDEX(Mix_Eff,MATCH($C678,Mix_Code,0),1),""))</f>
        <v/>
      </c>
      <c r="G678" s="67" t="str">
        <f aca="false">IF(OR($C678="",$D678=""),"",IFERROR($D678*INDEX(Mix_Eff,MATCH($C678,Mix_Code,0),2),""))</f>
        <v/>
      </c>
      <c r="H678" s="67" t="str">
        <f aca="false">IF(OR($C678="",$D678=""),"",IFERROR($D678*INDEX(Mix_Eff,MATCH($C678,Mix_Code,0),3),""))</f>
        <v/>
      </c>
      <c r="I678" s="67" t="str">
        <f aca="false">IF(OR($C678="",$D678=""),"",IFERROR($D678*INDEX(Mix_Eff,MATCH($C678,Mix_Code,0),4),""))</f>
        <v/>
      </c>
      <c r="J678" s="67" t="str">
        <f aca="false">IF(OR($C678="",$D678=""),"",IFERROR($D678*INDEX(Mix_Eff,MATCH($C678,Mix_Code,0),5),""))</f>
        <v/>
      </c>
      <c r="K678" s="63"/>
      <c r="L678" s="16" t="str">
        <f aca="false">IF(AND($A678="",$B678="",$C678="",$D678=""),"",IF($A678="","⚠ Date missing",IF($B678="","⚠ Site missing",IF(ISNA(MATCH($C678,Mix_Code,0)),"⚠ Unknown mix code",IF($D678="","⚠ Enter m3 produced",IF(COUNTIF(CI_Site,$B678)=0,"⚠ Site not set up in Current Inventory",IF($A678&gt;AsOfDate,"Future date – not yet deducted","OK")))))))</f>
        <v/>
      </c>
    </row>
    <row r="679" customFormat="false" ht="15" hidden="false" customHeight="false" outlineLevel="0" collapsed="false">
      <c r="A679" s="65"/>
      <c r="B679" s="63"/>
      <c r="C679" s="70"/>
      <c r="D679" s="66"/>
      <c r="E679" s="16" t="str">
        <f aca="false">IF($C679="","",IFERROR(INDEX(Mix_Desc,MATCH($C679,Mix_Code,0)),"⚠ Unknown mix code"))</f>
        <v/>
      </c>
      <c r="F679" s="67" t="str">
        <f aca="false">IF(OR($C679="",$D679=""),"",IFERROR($D679*INDEX(Mix_Eff,MATCH($C679,Mix_Code,0),1),""))</f>
        <v/>
      </c>
      <c r="G679" s="67" t="str">
        <f aca="false">IF(OR($C679="",$D679=""),"",IFERROR($D679*INDEX(Mix_Eff,MATCH($C679,Mix_Code,0),2),""))</f>
        <v/>
      </c>
      <c r="H679" s="67" t="str">
        <f aca="false">IF(OR($C679="",$D679=""),"",IFERROR($D679*INDEX(Mix_Eff,MATCH($C679,Mix_Code,0),3),""))</f>
        <v/>
      </c>
      <c r="I679" s="67" t="str">
        <f aca="false">IF(OR($C679="",$D679=""),"",IFERROR($D679*INDEX(Mix_Eff,MATCH($C679,Mix_Code,0),4),""))</f>
        <v/>
      </c>
      <c r="J679" s="67" t="str">
        <f aca="false">IF(OR($C679="",$D679=""),"",IFERROR($D679*INDEX(Mix_Eff,MATCH($C679,Mix_Code,0),5),""))</f>
        <v/>
      </c>
      <c r="K679" s="63"/>
      <c r="L679" s="16" t="str">
        <f aca="false">IF(AND($A679="",$B679="",$C679="",$D679=""),"",IF($A679="","⚠ Date missing",IF($B679="","⚠ Site missing",IF(ISNA(MATCH($C679,Mix_Code,0)),"⚠ Unknown mix code",IF($D679="","⚠ Enter m3 produced",IF(COUNTIF(CI_Site,$B679)=0,"⚠ Site not set up in Current Inventory",IF($A679&gt;AsOfDate,"Future date – not yet deducted","OK")))))))</f>
        <v/>
      </c>
    </row>
    <row r="680" customFormat="false" ht="15" hidden="false" customHeight="false" outlineLevel="0" collapsed="false">
      <c r="A680" s="65"/>
      <c r="B680" s="63"/>
      <c r="C680" s="70"/>
      <c r="D680" s="66"/>
      <c r="E680" s="16" t="str">
        <f aca="false">IF($C680="","",IFERROR(INDEX(Mix_Desc,MATCH($C680,Mix_Code,0)),"⚠ Unknown mix code"))</f>
        <v/>
      </c>
      <c r="F680" s="67" t="str">
        <f aca="false">IF(OR($C680="",$D680=""),"",IFERROR($D680*INDEX(Mix_Eff,MATCH($C680,Mix_Code,0),1),""))</f>
        <v/>
      </c>
      <c r="G680" s="67" t="str">
        <f aca="false">IF(OR($C680="",$D680=""),"",IFERROR($D680*INDEX(Mix_Eff,MATCH($C680,Mix_Code,0),2),""))</f>
        <v/>
      </c>
      <c r="H680" s="67" t="str">
        <f aca="false">IF(OR($C680="",$D680=""),"",IFERROR($D680*INDEX(Mix_Eff,MATCH($C680,Mix_Code,0),3),""))</f>
        <v/>
      </c>
      <c r="I680" s="67" t="str">
        <f aca="false">IF(OR($C680="",$D680=""),"",IFERROR($D680*INDEX(Mix_Eff,MATCH($C680,Mix_Code,0),4),""))</f>
        <v/>
      </c>
      <c r="J680" s="67" t="str">
        <f aca="false">IF(OR($C680="",$D680=""),"",IFERROR($D680*INDEX(Mix_Eff,MATCH($C680,Mix_Code,0),5),""))</f>
        <v/>
      </c>
      <c r="K680" s="63"/>
      <c r="L680" s="16" t="str">
        <f aca="false">IF(AND($A680="",$B680="",$C680="",$D680=""),"",IF($A680="","⚠ Date missing",IF($B680="","⚠ Site missing",IF(ISNA(MATCH($C680,Mix_Code,0)),"⚠ Unknown mix code",IF($D680="","⚠ Enter m3 produced",IF(COUNTIF(CI_Site,$B680)=0,"⚠ Site not set up in Current Inventory",IF($A680&gt;AsOfDate,"Future date – not yet deducted","OK")))))))</f>
        <v/>
      </c>
    </row>
    <row r="681" customFormat="false" ht="15" hidden="false" customHeight="false" outlineLevel="0" collapsed="false">
      <c r="A681" s="65"/>
      <c r="B681" s="63"/>
      <c r="C681" s="70"/>
      <c r="D681" s="66"/>
      <c r="E681" s="16" t="str">
        <f aca="false">IF($C681="","",IFERROR(INDEX(Mix_Desc,MATCH($C681,Mix_Code,0)),"⚠ Unknown mix code"))</f>
        <v/>
      </c>
      <c r="F681" s="67" t="str">
        <f aca="false">IF(OR($C681="",$D681=""),"",IFERROR($D681*INDEX(Mix_Eff,MATCH($C681,Mix_Code,0),1),""))</f>
        <v/>
      </c>
      <c r="G681" s="67" t="str">
        <f aca="false">IF(OR($C681="",$D681=""),"",IFERROR($D681*INDEX(Mix_Eff,MATCH($C681,Mix_Code,0),2),""))</f>
        <v/>
      </c>
      <c r="H681" s="67" t="str">
        <f aca="false">IF(OR($C681="",$D681=""),"",IFERROR($D681*INDEX(Mix_Eff,MATCH($C681,Mix_Code,0),3),""))</f>
        <v/>
      </c>
      <c r="I681" s="67" t="str">
        <f aca="false">IF(OR($C681="",$D681=""),"",IFERROR($D681*INDEX(Mix_Eff,MATCH($C681,Mix_Code,0),4),""))</f>
        <v/>
      </c>
      <c r="J681" s="67" t="str">
        <f aca="false">IF(OR($C681="",$D681=""),"",IFERROR($D681*INDEX(Mix_Eff,MATCH($C681,Mix_Code,0),5),""))</f>
        <v/>
      </c>
      <c r="K681" s="63"/>
      <c r="L681" s="16" t="str">
        <f aca="false">IF(AND($A681="",$B681="",$C681="",$D681=""),"",IF($A681="","⚠ Date missing",IF($B681="","⚠ Site missing",IF(ISNA(MATCH($C681,Mix_Code,0)),"⚠ Unknown mix code",IF($D681="","⚠ Enter m3 produced",IF(COUNTIF(CI_Site,$B681)=0,"⚠ Site not set up in Current Inventory",IF($A681&gt;AsOfDate,"Future date – not yet deducted","OK")))))))</f>
        <v/>
      </c>
    </row>
    <row r="682" customFormat="false" ht="15" hidden="false" customHeight="false" outlineLevel="0" collapsed="false">
      <c r="A682" s="65"/>
      <c r="B682" s="63"/>
      <c r="C682" s="70"/>
      <c r="D682" s="66"/>
      <c r="E682" s="16" t="str">
        <f aca="false">IF($C682="","",IFERROR(INDEX(Mix_Desc,MATCH($C682,Mix_Code,0)),"⚠ Unknown mix code"))</f>
        <v/>
      </c>
      <c r="F682" s="67" t="str">
        <f aca="false">IF(OR($C682="",$D682=""),"",IFERROR($D682*INDEX(Mix_Eff,MATCH($C682,Mix_Code,0),1),""))</f>
        <v/>
      </c>
      <c r="G682" s="67" t="str">
        <f aca="false">IF(OR($C682="",$D682=""),"",IFERROR($D682*INDEX(Mix_Eff,MATCH($C682,Mix_Code,0),2),""))</f>
        <v/>
      </c>
      <c r="H682" s="67" t="str">
        <f aca="false">IF(OR($C682="",$D682=""),"",IFERROR($D682*INDEX(Mix_Eff,MATCH($C682,Mix_Code,0),3),""))</f>
        <v/>
      </c>
      <c r="I682" s="67" t="str">
        <f aca="false">IF(OR($C682="",$D682=""),"",IFERROR($D682*INDEX(Mix_Eff,MATCH($C682,Mix_Code,0),4),""))</f>
        <v/>
      </c>
      <c r="J682" s="67" t="str">
        <f aca="false">IF(OR($C682="",$D682=""),"",IFERROR($D682*INDEX(Mix_Eff,MATCH($C682,Mix_Code,0),5),""))</f>
        <v/>
      </c>
      <c r="K682" s="63"/>
      <c r="L682" s="16" t="str">
        <f aca="false">IF(AND($A682="",$B682="",$C682="",$D682=""),"",IF($A682="","⚠ Date missing",IF($B682="","⚠ Site missing",IF(ISNA(MATCH($C682,Mix_Code,0)),"⚠ Unknown mix code",IF($D682="","⚠ Enter m3 produced",IF(COUNTIF(CI_Site,$B682)=0,"⚠ Site not set up in Current Inventory",IF($A682&gt;AsOfDate,"Future date – not yet deducted","OK")))))))</f>
        <v/>
      </c>
    </row>
    <row r="683" customFormat="false" ht="15" hidden="false" customHeight="false" outlineLevel="0" collapsed="false">
      <c r="A683" s="65"/>
      <c r="B683" s="63"/>
      <c r="C683" s="70"/>
      <c r="D683" s="66"/>
      <c r="E683" s="16" t="str">
        <f aca="false">IF($C683="","",IFERROR(INDEX(Mix_Desc,MATCH($C683,Mix_Code,0)),"⚠ Unknown mix code"))</f>
        <v/>
      </c>
      <c r="F683" s="67" t="str">
        <f aca="false">IF(OR($C683="",$D683=""),"",IFERROR($D683*INDEX(Mix_Eff,MATCH($C683,Mix_Code,0),1),""))</f>
        <v/>
      </c>
      <c r="G683" s="67" t="str">
        <f aca="false">IF(OR($C683="",$D683=""),"",IFERROR($D683*INDEX(Mix_Eff,MATCH($C683,Mix_Code,0),2),""))</f>
        <v/>
      </c>
      <c r="H683" s="67" t="str">
        <f aca="false">IF(OR($C683="",$D683=""),"",IFERROR($D683*INDEX(Mix_Eff,MATCH($C683,Mix_Code,0),3),""))</f>
        <v/>
      </c>
      <c r="I683" s="67" t="str">
        <f aca="false">IF(OR($C683="",$D683=""),"",IFERROR($D683*INDEX(Mix_Eff,MATCH($C683,Mix_Code,0),4),""))</f>
        <v/>
      </c>
      <c r="J683" s="67" t="str">
        <f aca="false">IF(OR($C683="",$D683=""),"",IFERROR($D683*INDEX(Mix_Eff,MATCH($C683,Mix_Code,0),5),""))</f>
        <v/>
      </c>
      <c r="K683" s="63"/>
      <c r="L683" s="16" t="str">
        <f aca="false">IF(AND($A683="",$B683="",$C683="",$D683=""),"",IF($A683="","⚠ Date missing",IF($B683="","⚠ Site missing",IF(ISNA(MATCH($C683,Mix_Code,0)),"⚠ Unknown mix code",IF($D683="","⚠ Enter m3 produced",IF(COUNTIF(CI_Site,$B683)=0,"⚠ Site not set up in Current Inventory",IF($A683&gt;AsOfDate,"Future date – not yet deducted","OK")))))))</f>
        <v/>
      </c>
    </row>
    <row r="684" customFormat="false" ht="15" hidden="false" customHeight="false" outlineLevel="0" collapsed="false">
      <c r="A684" s="65"/>
      <c r="B684" s="63"/>
      <c r="C684" s="70"/>
      <c r="D684" s="66"/>
      <c r="E684" s="16" t="str">
        <f aca="false">IF($C684="","",IFERROR(INDEX(Mix_Desc,MATCH($C684,Mix_Code,0)),"⚠ Unknown mix code"))</f>
        <v/>
      </c>
      <c r="F684" s="67" t="str">
        <f aca="false">IF(OR($C684="",$D684=""),"",IFERROR($D684*INDEX(Mix_Eff,MATCH($C684,Mix_Code,0),1),""))</f>
        <v/>
      </c>
      <c r="G684" s="67" t="str">
        <f aca="false">IF(OR($C684="",$D684=""),"",IFERROR($D684*INDEX(Mix_Eff,MATCH($C684,Mix_Code,0),2),""))</f>
        <v/>
      </c>
      <c r="H684" s="67" t="str">
        <f aca="false">IF(OR($C684="",$D684=""),"",IFERROR($D684*INDEX(Mix_Eff,MATCH($C684,Mix_Code,0),3),""))</f>
        <v/>
      </c>
      <c r="I684" s="67" t="str">
        <f aca="false">IF(OR($C684="",$D684=""),"",IFERROR($D684*INDEX(Mix_Eff,MATCH($C684,Mix_Code,0),4),""))</f>
        <v/>
      </c>
      <c r="J684" s="67" t="str">
        <f aca="false">IF(OR($C684="",$D684=""),"",IFERROR($D684*INDEX(Mix_Eff,MATCH($C684,Mix_Code,0),5),""))</f>
        <v/>
      </c>
      <c r="K684" s="63"/>
      <c r="L684" s="16" t="str">
        <f aca="false">IF(AND($A684="",$B684="",$C684="",$D684=""),"",IF($A684="","⚠ Date missing",IF($B684="","⚠ Site missing",IF(ISNA(MATCH($C684,Mix_Code,0)),"⚠ Unknown mix code",IF($D684="","⚠ Enter m3 produced",IF(COUNTIF(CI_Site,$B684)=0,"⚠ Site not set up in Current Inventory",IF($A684&gt;AsOfDate,"Future date – not yet deducted","OK")))))))</f>
        <v/>
      </c>
    </row>
    <row r="685" customFormat="false" ht="15" hidden="false" customHeight="false" outlineLevel="0" collapsed="false">
      <c r="A685" s="65"/>
      <c r="B685" s="63"/>
      <c r="C685" s="70"/>
      <c r="D685" s="66"/>
      <c r="E685" s="16" t="str">
        <f aca="false">IF($C685="","",IFERROR(INDEX(Mix_Desc,MATCH($C685,Mix_Code,0)),"⚠ Unknown mix code"))</f>
        <v/>
      </c>
      <c r="F685" s="67" t="str">
        <f aca="false">IF(OR($C685="",$D685=""),"",IFERROR($D685*INDEX(Mix_Eff,MATCH($C685,Mix_Code,0),1),""))</f>
        <v/>
      </c>
      <c r="G685" s="67" t="str">
        <f aca="false">IF(OR($C685="",$D685=""),"",IFERROR($D685*INDEX(Mix_Eff,MATCH($C685,Mix_Code,0),2),""))</f>
        <v/>
      </c>
      <c r="H685" s="67" t="str">
        <f aca="false">IF(OR($C685="",$D685=""),"",IFERROR($D685*INDEX(Mix_Eff,MATCH($C685,Mix_Code,0),3),""))</f>
        <v/>
      </c>
      <c r="I685" s="67" t="str">
        <f aca="false">IF(OR($C685="",$D685=""),"",IFERROR($D685*INDEX(Mix_Eff,MATCH($C685,Mix_Code,0),4),""))</f>
        <v/>
      </c>
      <c r="J685" s="67" t="str">
        <f aca="false">IF(OR($C685="",$D685=""),"",IFERROR($D685*INDEX(Mix_Eff,MATCH($C685,Mix_Code,0),5),""))</f>
        <v/>
      </c>
      <c r="K685" s="63"/>
      <c r="L685" s="16" t="str">
        <f aca="false">IF(AND($A685="",$B685="",$C685="",$D685=""),"",IF($A685="","⚠ Date missing",IF($B685="","⚠ Site missing",IF(ISNA(MATCH($C685,Mix_Code,0)),"⚠ Unknown mix code",IF($D685="","⚠ Enter m3 produced",IF(COUNTIF(CI_Site,$B685)=0,"⚠ Site not set up in Current Inventory",IF($A685&gt;AsOfDate,"Future date – not yet deducted","OK")))))))</f>
        <v/>
      </c>
    </row>
    <row r="686" customFormat="false" ht="15" hidden="false" customHeight="false" outlineLevel="0" collapsed="false">
      <c r="A686" s="65"/>
      <c r="B686" s="63"/>
      <c r="C686" s="70"/>
      <c r="D686" s="66"/>
      <c r="E686" s="16" t="str">
        <f aca="false">IF($C686="","",IFERROR(INDEX(Mix_Desc,MATCH($C686,Mix_Code,0)),"⚠ Unknown mix code"))</f>
        <v/>
      </c>
      <c r="F686" s="67" t="str">
        <f aca="false">IF(OR($C686="",$D686=""),"",IFERROR($D686*INDEX(Mix_Eff,MATCH($C686,Mix_Code,0),1),""))</f>
        <v/>
      </c>
      <c r="G686" s="67" t="str">
        <f aca="false">IF(OR($C686="",$D686=""),"",IFERROR($D686*INDEX(Mix_Eff,MATCH($C686,Mix_Code,0),2),""))</f>
        <v/>
      </c>
      <c r="H686" s="67" t="str">
        <f aca="false">IF(OR($C686="",$D686=""),"",IFERROR($D686*INDEX(Mix_Eff,MATCH($C686,Mix_Code,0),3),""))</f>
        <v/>
      </c>
      <c r="I686" s="67" t="str">
        <f aca="false">IF(OR($C686="",$D686=""),"",IFERROR($D686*INDEX(Mix_Eff,MATCH($C686,Mix_Code,0),4),""))</f>
        <v/>
      </c>
      <c r="J686" s="67" t="str">
        <f aca="false">IF(OR($C686="",$D686=""),"",IFERROR($D686*INDEX(Mix_Eff,MATCH($C686,Mix_Code,0),5),""))</f>
        <v/>
      </c>
      <c r="K686" s="63"/>
      <c r="L686" s="16" t="str">
        <f aca="false">IF(AND($A686="",$B686="",$C686="",$D686=""),"",IF($A686="","⚠ Date missing",IF($B686="","⚠ Site missing",IF(ISNA(MATCH($C686,Mix_Code,0)),"⚠ Unknown mix code",IF($D686="","⚠ Enter m3 produced",IF(COUNTIF(CI_Site,$B686)=0,"⚠ Site not set up in Current Inventory",IF($A686&gt;AsOfDate,"Future date – not yet deducted","OK")))))))</f>
        <v/>
      </c>
    </row>
    <row r="687" customFormat="false" ht="15" hidden="false" customHeight="false" outlineLevel="0" collapsed="false">
      <c r="A687" s="65"/>
      <c r="B687" s="63"/>
      <c r="C687" s="70"/>
      <c r="D687" s="66"/>
      <c r="E687" s="16" t="str">
        <f aca="false">IF($C687="","",IFERROR(INDEX(Mix_Desc,MATCH($C687,Mix_Code,0)),"⚠ Unknown mix code"))</f>
        <v/>
      </c>
      <c r="F687" s="67" t="str">
        <f aca="false">IF(OR($C687="",$D687=""),"",IFERROR($D687*INDEX(Mix_Eff,MATCH($C687,Mix_Code,0),1),""))</f>
        <v/>
      </c>
      <c r="G687" s="67" t="str">
        <f aca="false">IF(OR($C687="",$D687=""),"",IFERROR($D687*INDEX(Mix_Eff,MATCH($C687,Mix_Code,0),2),""))</f>
        <v/>
      </c>
      <c r="H687" s="67" t="str">
        <f aca="false">IF(OR($C687="",$D687=""),"",IFERROR($D687*INDEX(Mix_Eff,MATCH($C687,Mix_Code,0),3),""))</f>
        <v/>
      </c>
      <c r="I687" s="67" t="str">
        <f aca="false">IF(OR($C687="",$D687=""),"",IFERROR($D687*INDEX(Mix_Eff,MATCH($C687,Mix_Code,0),4),""))</f>
        <v/>
      </c>
      <c r="J687" s="67" t="str">
        <f aca="false">IF(OR($C687="",$D687=""),"",IFERROR($D687*INDEX(Mix_Eff,MATCH($C687,Mix_Code,0),5),""))</f>
        <v/>
      </c>
      <c r="K687" s="63"/>
      <c r="L687" s="16" t="str">
        <f aca="false">IF(AND($A687="",$B687="",$C687="",$D687=""),"",IF($A687="","⚠ Date missing",IF($B687="","⚠ Site missing",IF(ISNA(MATCH($C687,Mix_Code,0)),"⚠ Unknown mix code",IF($D687="","⚠ Enter m3 produced",IF(COUNTIF(CI_Site,$B687)=0,"⚠ Site not set up in Current Inventory",IF($A687&gt;AsOfDate,"Future date – not yet deducted","OK")))))))</f>
        <v/>
      </c>
    </row>
    <row r="688" customFormat="false" ht="15" hidden="false" customHeight="false" outlineLevel="0" collapsed="false">
      <c r="A688" s="65"/>
      <c r="B688" s="63"/>
      <c r="C688" s="70"/>
      <c r="D688" s="66"/>
      <c r="E688" s="16" t="str">
        <f aca="false">IF($C688="","",IFERROR(INDEX(Mix_Desc,MATCH($C688,Mix_Code,0)),"⚠ Unknown mix code"))</f>
        <v/>
      </c>
      <c r="F688" s="67" t="str">
        <f aca="false">IF(OR($C688="",$D688=""),"",IFERROR($D688*INDEX(Mix_Eff,MATCH($C688,Mix_Code,0),1),""))</f>
        <v/>
      </c>
      <c r="G688" s="67" t="str">
        <f aca="false">IF(OR($C688="",$D688=""),"",IFERROR($D688*INDEX(Mix_Eff,MATCH($C688,Mix_Code,0),2),""))</f>
        <v/>
      </c>
      <c r="H688" s="67" t="str">
        <f aca="false">IF(OR($C688="",$D688=""),"",IFERROR($D688*INDEX(Mix_Eff,MATCH($C688,Mix_Code,0),3),""))</f>
        <v/>
      </c>
      <c r="I688" s="67" t="str">
        <f aca="false">IF(OR($C688="",$D688=""),"",IFERROR($D688*INDEX(Mix_Eff,MATCH($C688,Mix_Code,0),4),""))</f>
        <v/>
      </c>
      <c r="J688" s="67" t="str">
        <f aca="false">IF(OR($C688="",$D688=""),"",IFERROR($D688*INDEX(Mix_Eff,MATCH($C688,Mix_Code,0),5),""))</f>
        <v/>
      </c>
      <c r="K688" s="63"/>
      <c r="L688" s="16" t="str">
        <f aca="false">IF(AND($A688="",$B688="",$C688="",$D688=""),"",IF($A688="","⚠ Date missing",IF($B688="","⚠ Site missing",IF(ISNA(MATCH($C688,Mix_Code,0)),"⚠ Unknown mix code",IF($D688="","⚠ Enter m3 produced",IF(COUNTIF(CI_Site,$B688)=0,"⚠ Site not set up in Current Inventory",IF($A688&gt;AsOfDate,"Future date – not yet deducted","OK")))))))</f>
        <v/>
      </c>
    </row>
    <row r="689" customFormat="false" ht="15" hidden="false" customHeight="false" outlineLevel="0" collapsed="false">
      <c r="A689" s="65"/>
      <c r="B689" s="63"/>
      <c r="C689" s="70"/>
      <c r="D689" s="66"/>
      <c r="E689" s="16" t="str">
        <f aca="false">IF($C689="","",IFERROR(INDEX(Mix_Desc,MATCH($C689,Mix_Code,0)),"⚠ Unknown mix code"))</f>
        <v/>
      </c>
      <c r="F689" s="67" t="str">
        <f aca="false">IF(OR($C689="",$D689=""),"",IFERROR($D689*INDEX(Mix_Eff,MATCH($C689,Mix_Code,0),1),""))</f>
        <v/>
      </c>
      <c r="G689" s="67" t="str">
        <f aca="false">IF(OR($C689="",$D689=""),"",IFERROR($D689*INDEX(Mix_Eff,MATCH($C689,Mix_Code,0),2),""))</f>
        <v/>
      </c>
      <c r="H689" s="67" t="str">
        <f aca="false">IF(OR($C689="",$D689=""),"",IFERROR($D689*INDEX(Mix_Eff,MATCH($C689,Mix_Code,0),3),""))</f>
        <v/>
      </c>
      <c r="I689" s="67" t="str">
        <f aca="false">IF(OR($C689="",$D689=""),"",IFERROR($D689*INDEX(Mix_Eff,MATCH($C689,Mix_Code,0),4),""))</f>
        <v/>
      </c>
      <c r="J689" s="67" t="str">
        <f aca="false">IF(OR($C689="",$D689=""),"",IFERROR($D689*INDEX(Mix_Eff,MATCH($C689,Mix_Code,0),5),""))</f>
        <v/>
      </c>
      <c r="K689" s="63"/>
      <c r="L689" s="16" t="str">
        <f aca="false">IF(AND($A689="",$B689="",$C689="",$D689=""),"",IF($A689="","⚠ Date missing",IF($B689="","⚠ Site missing",IF(ISNA(MATCH($C689,Mix_Code,0)),"⚠ Unknown mix code",IF($D689="","⚠ Enter m3 produced",IF(COUNTIF(CI_Site,$B689)=0,"⚠ Site not set up in Current Inventory",IF($A689&gt;AsOfDate,"Future date – not yet deducted","OK")))))))</f>
        <v/>
      </c>
    </row>
    <row r="690" customFormat="false" ht="15" hidden="false" customHeight="false" outlineLevel="0" collapsed="false">
      <c r="A690" s="65"/>
      <c r="B690" s="63"/>
      <c r="C690" s="70"/>
      <c r="D690" s="66"/>
      <c r="E690" s="16" t="str">
        <f aca="false">IF($C690="","",IFERROR(INDEX(Mix_Desc,MATCH($C690,Mix_Code,0)),"⚠ Unknown mix code"))</f>
        <v/>
      </c>
      <c r="F690" s="67" t="str">
        <f aca="false">IF(OR($C690="",$D690=""),"",IFERROR($D690*INDEX(Mix_Eff,MATCH($C690,Mix_Code,0),1),""))</f>
        <v/>
      </c>
      <c r="G690" s="67" t="str">
        <f aca="false">IF(OR($C690="",$D690=""),"",IFERROR($D690*INDEX(Mix_Eff,MATCH($C690,Mix_Code,0),2),""))</f>
        <v/>
      </c>
      <c r="H690" s="67" t="str">
        <f aca="false">IF(OR($C690="",$D690=""),"",IFERROR($D690*INDEX(Mix_Eff,MATCH($C690,Mix_Code,0),3),""))</f>
        <v/>
      </c>
      <c r="I690" s="67" t="str">
        <f aca="false">IF(OR($C690="",$D690=""),"",IFERROR($D690*INDEX(Mix_Eff,MATCH($C690,Mix_Code,0),4),""))</f>
        <v/>
      </c>
      <c r="J690" s="67" t="str">
        <f aca="false">IF(OR($C690="",$D690=""),"",IFERROR($D690*INDEX(Mix_Eff,MATCH($C690,Mix_Code,0),5),""))</f>
        <v/>
      </c>
      <c r="K690" s="63"/>
      <c r="L690" s="16" t="str">
        <f aca="false">IF(AND($A690="",$B690="",$C690="",$D690=""),"",IF($A690="","⚠ Date missing",IF($B690="","⚠ Site missing",IF(ISNA(MATCH($C690,Mix_Code,0)),"⚠ Unknown mix code",IF($D690="","⚠ Enter m3 produced",IF(COUNTIF(CI_Site,$B690)=0,"⚠ Site not set up in Current Inventory",IF($A690&gt;AsOfDate,"Future date – not yet deducted","OK")))))))</f>
        <v/>
      </c>
    </row>
    <row r="691" customFormat="false" ht="15" hidden="false" customHeight="false" outlineLevel="0" collapsed="false">
      <c r="A691" s="65"/>
      <c r="B691" s="63"/>
      <c r="C691" s="70"/>
      <c r="D691" s="66"/>
      <c r="E691" s="16" t="str">
        <f aca="false">IF($C691="","",IFERROR(INDEX(Mix_Desc,MATCH($C691,Mix_Code,0)),"⚠ Unknown mix code"))</f>
        <v/>
      </c>
      <c r="F691" s="67" t="str">
        <f aca="false">IF(OR($C691="",$D691=""),"",IFERROR($D691*INDEX(Mix_Eff,MATCH($C691,Mix_Code,0),1),""))</f>
        <v/>
      </c>
      <c r="G691" s="67" t="str">
        <f aca="false">IF(OR($C691="",$D691=""),"",IFERROR($D691*INDEX(Mix_Eff,MATCH($C691,Mix_Code,0),2),""))</f>
        <v/>
      </c>
      <c r="H691" s="67" t="str">
        <f aca="false">IF(OR($C691="",$D691=""),"",IFERROR($D691*INDEX(Mix_Eff,MATCH($C691,Mix_Code,0),3),""))</f>
        <v/>
      </c>
      <c r="I691" s="67" t="str">
        <f aca="false">IF(OR($C691="",$D691=""),"",IFERROR($D691*INDEX(Mix_Eff,MATCH($C691,Mix_Code,0),4),""))</f>
        <v/>
      </c>
      <c r="J691" s="67" t="str">
        <f aca="false">IF(OR($C691="",$D691=""),"",IFERROR($D691*INDEX(Mix_Eff,MATCH($C691,Mix_Code,0),5),""))</f>
        <v/>
      </c>
      <c r="K691" s="63"/>
      <c r="L691" s="16" t="str">
        <f aca="false">IF(AND($A691="",$B691="",$C691="",$D691=""),"",IF($A691="","⚠ Date missing",IF($B691="","⚠ Site missing",IF(ISNA(MATCH($C691,Mix_Code,0)),"⚠ Unknown mix code",IF($D691="","⚠ Enter m3 produced",IF(COUNTIF(CI_Site,$B691)=0,"⚠ Site not set up in Current Inventory",IF($A691&gt;AsOfDate,"Future date – not yet deducted","OK")))))))</f>
        <v/>
      </c>
    </row>
    <row r="692" customFormat="false" ht="15" hidden="false" customHeight="false" outlineLevel="0" collapsed="false">
      <c r="A692" s="65"/>
      <c r="B692" s="63"/>
      <c r="C692" s="70"/>
      <c r="D692" s="66"/>
      <c r="E692" s="16" t="str">
        <f aca="false">IF($C692="","",IFERROR(INDEX(Mix_Desc,MATCH($C692,Mix_Code,0)),"⚠ Unknown mix code"))</f>
        <v/>
      </c>
      <c r="F692" s="67" t="str">
        <f aca="false">IF(OR($C692="",$D692=""),"",IFERROR($D692*INDEX(Mix_Eff,MATCH($C692,Mix_Code,0),1),""))</f>
        <v/>
      </c>
      <c r="G692" s="67" t="str">
        <f aca="false">IF(OR($C692="",$D692=""),"",IFERROR($D692*INDEX(Mix_Eff,MATCH($C692,Mix_Code,0),2),""))</f>
        <v/>
      </c>
      <c r="H692" s="67" t="str">
        <f aca="false">IF(OR($C692="",$D692=""),"",IFERROR($D692*INDEX(Mix_Eff,MATCH($C692,Mix_Code,0),3),""))</f>
        <v/>
      </c>
      <c r="I692" s="67" t="str">
        <f aca="false">IF(OR($C692="",$D692=""),"",IFERROR($D692*INDEX(Mix_Eff,MATCH($C692,Mix_Code,0),4),""))</f>
        <v/>
      </c>
      <c r="J692" s="67" t="str">
        <f aca="false">IF(OR($C692="",$D692=""),"",IFERROR($D692*INDEX(Mix_Eff,MATCH($C692,Mix_Code,0),5),""))</f>
        <v/>
      </c>
      <c r="K692" s="63"/>
      <c r="L692" s="16" t="str">
        <f aca="false">IF(AND($A692="",$B692="",$C692="",$D692=""),"",IF($A692="","⚠ Date missing",IF($B692="","⚠ Site missing",IF(ISNA(MATCH($C692,Mix_Code,0)),"⚠ Unknown mix code",IF($D692="","⚠ Enter m3 produced",IF(COUNTIF(CI_Site,$B692)=0,"⚠ Site not set up in Current Inventory",IF($A692&gt;AsOfDate,"Future date – not yet deducted","OK")))))))</f>
        <v/>
      </c>
    </row>
    <row r="693" customFormat="false" ht="15" hidden="false" customHeight="false" outlineLevel="0" collapsed="false">
      <c r="A693" s="65"/>
      <c r="B693" s="63"/>
      <c r="C693" s="70"/>
      <c r="D693" s="66"/>
      <c r="E693" s="16" t="str">
        <f aca="false">IF($C693="","",IFERROR(INDEX(Mix_Desc,MATCH($C693,Mix_Code,0)),"⚠ Unknown mix code"))</f>
        <v/>
      </c>
      <c r="F693" s="67" t="str">
        <f aca="false">IF(OR($C693="",$D693=""),"",IFERROR($D693*INDEX(Mix_Eff,MATCH($C693,Mix_Code,0),1),""))</f>
        <v/>
      </c>
      <c r="G693" s="67" t="str">
        <f aca="false">IF(OR($C693="",$D693=""),"",IFERROR($D693*INDEX(Mix_Eff,MATCH($C693,Mix_Code,0),2),""))</f>
        <v/>
      </c>
      <c r="H693" s="67" t="str">
        <f aca="false">IF(OR($C693="",$D693=""),"",IFERROR($D693*INDEX(Mix_Eff,MATCH($C693,Mix_Code,0),3),""))</f>
        <v/>
      </c>
      <c r="I693" s="67" t="str">
        <f aca="false">IF(OR($C693="",$D693=""),"",IFERROR($D693*INDEX(Mix_Eff,MATCH($C693,Mix_Code,0),4),""))</f>
        <v/>
      </c>
      <c r="J693" s="67" t="str">
        <f aca="false">IF(OR($C693="",$D693=""),"",IFERROR($D693*INDEX(Mix_Eff,MATCH($C693,Mix_Code,0),5),""))</f>
        <v/>
      </c>
      <c r="K693" s="63"/>
      <c r="L693" s="16" t="str">
        <f aca="false">IF(AND($A693="",$B693="",$C693="",$D693=""),"",IF($A693="","⚠ Date missing",IF($B693="","⚠ Site missing",IF(ISNA(MATCH($C693,Mix_Code,0)),"⚠ Unknown mix code",IF($D693="","⚠ Enter m3 produced",IF(COUNTIF(CI_Site,$B693)=0,"⚠ Site not set up in Current Inventory",IF($A693&gt;AsOfDate,"Future date – not yet deducted","OK")))))))</f>
        <v/>
      </c>
    </row>
    <row r="694" customFormat="false" ht="15" hidden="false" customHeight="false" outlineLevel="0" collapsed="false">
      <c r="A694" s="65"/>
      <c r="B694" s="63"/>
      <c r="C694" s="70"/>
      <c r="D694" s="66"/>
      <c r="E694" s="16" t="str">
        <f aca="false">IF($C694="","",IFERROR(INDEX(Mix_Desc,MATCH($C694,Mix_Code,0)),"⚠ Unknown mix code"))</f>
        <v/>
      </c>
      <c r="F694" s="67" t="str">
        <f aca="false">IF(OR($C694="",$D694=""),"",IFERROR($D694*INDEX(Mix_Eff,MATCH($C694,Mix_Code,0),1),""))</f>
        <v/>
      </c>
      <c r="G694" s="67" t="str">
        <f aca="false">IF(OR($C694="",$D694=""),"",IFERROR($D694*INDEX(Mix_Eff,MATCH($C694,Mix_Code,0),2),""))</f>
        <v/>
      </c>
      <c r="H694" s="67" t="str">
        <f aca="false">IF(OR($C694="",$D694=""),"",IFERROR($D694*INDEX(Mix_Eff,MATCH($C694,Mix_Code,0),3),""))</f>
        <v/>
      </c>
      <c r="I694" s="67" t="str">
        <f aca="false">IF(OR($C694="",$D694=""),"",IFERROR($D694*INDEX(Mix_Eff,MATCH($C694,Mix_Code,0),4),""))</f>
        <v/>
      </c>
      <c r="J694" s="67" t="str">
        <f aca="false">IF(OR($C694="",$D694=""),"",IFERROR($D694*INDEX(Mix_Eff,MATCH($C694,Mix_Code,0),5),""))</f>
        <v/>
      </c>
      <c r="K694" s="63"/>
      <c r="L694" s="16" t="str">
        <f aca="false">IF(AND($A694="",$B694="",$C694="",$D694=""),"",IF($A694="","⚠ Date missing",IF($B694="","⚠ Site missing",IF(ISNA(MATCH($C694,Mix_Code,0)),"⚠ Unknown mix code",IF($D694="","⚠ Enter m3 produced",IF(COUNTIF(CI_Site,$B694)=0,"⚠ Site not set up in Current Inventory",IF($A694&gt;AsOfDate,"Future date – not yet deducted","OK")))))))</f>
        <v/>
      </c>
    </row>
    <row r="695" customFormat="false" ht="15" hidden="false" customHeight="false" outlineLevel="0" collapsed="false">
      <c r="A695" s="65"/>
      <c r="B695" s="63"/>
      <c r="C695" s="70"/>
      <c r="D695" s="66"/>
      <c r="E695" s="16" t="str">
        <f aca="false">IF($C695="","",IFERROR(INDEX(Mix_Desc,MATCH($C695,Mix_Code,0)),"⚠ Unknown mix code"))</f>
        <v/>
      </c>
      <c r="F695" s="67" t="str">
        <f aca="false">IF(OR($C695="",$D695=""),"",IFERROR($D695*INDEX(Mix_Eff,MATCH($C695,Mix_Code,0),1),""))</f>
        <v/>
      </c>
      <c r="G695" s="67" t="str">
        <f aca="false">IF(OR($C695="",$D695=""),"",IFERROR($D695*INDEX(Mix_Eff,MATCH($C695,Mix_Code,0),2),""))</f>
        <v/>
      </c>
      <c r="H695" s="67" t="str">
        <f aca="false">IF(OR($C695="",$D695=""),"",IFERROR($D695*INDEX(Mix_Eff,MATCH($C695,Mix_Code,0),3),""))</f>
        <v/>
      </c>
      <c r="I695" s="67" t="str">
        <f aca="false">IF(OR($C695="",$D695=""),"",IFERROR($D695*INDEX(Mix_Eff,MATCH($C695,Mix_Code,0),4),""))</f>
        <v/>
      </c>
      <c r="J695" s="67" t="str">
        <f aca="false">IF(OR($C695="",$D695=""),"",IFERROR($D695*INDEX(Mix_Eff,MATCH($C695,Mix_Code,0),5),""))</f>
        <v/>
      </c>
      <c r="K695" s="63"/>
      <c r="L695" s="16" t="str">
        <f aca="false">IF(AND($A695="",$B695="",$C695="",$D695=""),"",IF($A695="","⚠ Date missing",IF($B695="","⚠ Site missing",IF(ISNA(MATCH($C695,Mix_Code,0)),"⚠ Unknown mix code",IF($D695="","⚠ Enter m3 produced",IF(COUNTIF(CI_Site,$B695)=0,"⚠ Site not set up in Current Inventory",IF($A695&gt;AsOfDate,"Future date – not yet deducted","OK")))))))</f>
        <v/>
      </c>
    </row>
    <row r="696" customFormat="false" ht="15" hidden="false" customHeight="false" outlineLevel="0" collapsed="false">
      <c r="A696" s="65"/>
      <c r="B696" s="63"/>
      <c r="C696" s="70"/>
      <c r="D696" s="66"/>
      <c r="E696" s="16" t="str">
        <f aca="false">IF($C696="","",IFERROR(INDEX(Mix_Desc,MATCH($C696,Mix_Code,0)),"⚠ Unknown mix code"))</f>
        <v/>
      </c>
      <c r="F696" s="67" t="str">
        <f aca="false">IF(OR($C696="",$D696=""),"",IFERROR($D696*INDEX(Mix_Eff,MATCH($C696,Mix_Code,0),1),""))</f>
        <v/>
      </c>
      <c r="G696" s="67" t="str">
        <f aca="false">IF(OR($C696="",$D696=""),"",IFERROR($D696*INDEX(Mix_Eff,MATCH($C696,Mix_Code,0),2),""))</f>
        <v/>
      </c>
      <c r="H696" s="67" t="str">
        <f aca="false">IF(OR($C696="",$D696=""),"",IFERROR($D696*INDEX(Mix_Eff,MATCH($C696,Mix_Code,0),3),""))</f>
        <v/>
      </c>
      <c r="I696" s="67" t="str">
        <f aca="false">IF(OR($C696="",$D696=""),"",IFERROR($D696*INDEX(Mix_Eff,MATCH($C696,Mix_Code,0),4),""))</f>
        <v/>
      </c>
      <c r="J696" s="67" t="str">
        <f aca="false">IF(OR($C696="",$D696=""),"",IFERROR($D696*INDEX(Mix_Eff,MATCH($C696,Mix_Code,0),5),""))</f>
        <v/>
      </c>
      <c r="K696" s="63"/>
      <c r="L696" s="16" t="str">
        <f aca="false">IF(AND($A696="",$B696="",$C696="",$D696=""),"",IF($A696="","⚠ Date missing",IF($B696="","⚠ Site missing",IF(ISNA(MATCH($C696,Mix_Code,0)),"⚠ Unknown mix code",IF($D696="","⚠ Enter m3 produced",IF(COUNTIF(CI_Site,$B696)=0,"⚠ Site not set up in Current Inventory",IF($A696&gt;AsOfDate,"Future date – not yet deducted","OK")))))))</f>
        <v/>
      </c>
    </row>
    <row r="697" customFormat="false" ht="15" hidden="false" customHeight="false" outlineLevel="0" collapsed="false">
      <c r="A697" s="65"/>
      <c r="B697" s="63"/>
      <c r="C697" s="70"/>
      <c r="D697" s="66"/>
      <c r="E697" s="16" t="str">
        <f aca="false">IF($C697="","",IFERROR(INDEX(Mix_Desc,MATCH($C697,Mix_Code,0)),"⚠ Unknown mix code"))</f>
        <v/>
      </c>
      <c r="F697" s="67" t="str">
        <f aca="false">IF(OR($C697="",$D697=""),"",IFERROR($D697*INDEX(Mix_Eff,MATCH($C697,Mix_Code,0),1),""))</f>
        <v/>
      </c>
      <c r="G697" s="67" t="str">
        <f aca="false">IF(OR($C697="",$D697=""),"",IFERROR($D697*INDEX(Mix_Eff,MATCH($C697,Mix_Code,0),2),""))</f>
        <v/>
      </c>
      <c r="H697" s="67" t="str">
        <f aca="false">IF(OR($C697="",$D697=""),"",IFERROR($D697*INDEX(Mix_Eff,MATCH($C697,Mix_Code,0),3),""))</f>
        <v/>
      </c>
      <c r="I697" s="67" t="str">
        <f aca="false">IF(OR($C697="",$D697=""),"",IFERROR($D697*INDEX(Mix_Eff,MATCH($C697,Mix_Code,0),4),""))</f>
        <v/>
      </c>
      <c r="J697" s="67" t="str">
        <f aca="false">IF(OR($C697="",$D697=""),"",IFERROR($D697*INDEX(Mix_Eff,MATCH($C697,Mix_Code,0),5),""))</f>
        <v/>
      </c>
      <c r="K697" s="63"/>
      <c r="L697" s="16" t="str">
        <f aca="false">IF(AND($A697="",$B697="",$C697="",$D697=""),"",IF($A697="","⚠ Date missing",IF($B697="","⚠ Site missing",IF(ISNA(MATCH($C697,Mix_Code,0)),"⚠ Unknown mix code",IF($D697="","⚠ Enter m3 produced",IF(COUNTIF(CI_Site,$B697)=0,"⚠ Site not set up in Current Inventory",IF($A697&gt;AsOfDate,"Future date – not yet deducted","OK")))))))</f>
        <v/>
      </c>
    </row>
    <row r="698" customFormat="false" ht="15" hidden="false" customHeight="false" outlineLevel="0" collapsed="false">
      <c r="A698" s="65"/>
      <c r="B698" s="63"/>
      <c r="C698" s="70"/>
      <c r="D698" s="66"/>
      <c r="E698" s="16" t="str">
        <f aca="false">IF($C698="","",IFERROR(INDEX(Mix_Desc,MATCH($C698,Mix_Code,0)),"⚠ Unknown mix code"))</f>
        <v/>
      </c>
      <c r="F698" s="67" t="str">
        <f aca="false">IF(OR($C698="",$D698=""),"",IFERROR($D698*INDEX(Mix_Eff,MATCH($C698,Mix_Code,0),1),""))</f>
        <v/>
      </c>
      <c r="G698" s="67" t="str">
        <f aca="false">IF(OR($C698="",$D698=""),"",IFERROR($D698*INDEX(Mix_Eff,MATCH($C698,Mix_Code,0),2),""))</f>
        <v/>
      </c>
      <c r="H698" s="67" t="str">
        <f aca="false">IF(OR($C698="",$D698=""),"",IFERROR($D698*INDEX(Mix_Eff,MATCH($C698,Mix_Code,0),3),""))</f>
        <v/>
      </c>
      <c r="I698" s="67" t="str">
        <f aca="false">IF(OR($C698="",$D698=""),"",IFERROR($D698*INDEX(Mix_Eff,MATCH($C698,Mix_Code,0),4),""))</f>
        <v/>
      </c>
      <c r="J698" s="67" t="str">
        <f aca="false">IF(OR($C698="",$D698=""),"",IFERROR($D698*INDEX(Mix_Eff,MATCH($C698,Mix_Code,0),5),""))</f>
        <v/>
      </c>
      <c r="K698" s="63"/>
      <c r="L698" s="16" t="str">
        <f aca="false">IF(AND($A698="",$B698="",$C698="",$D698=""),"",IF($A698="","⚠ Date missing",IF($B698="","⚠ Site missing",IF(ISNA(MATCH($C698,Mix_Code,0)),"⚠ Unknown mix code",IF($D698="","⚠ Enter m3 produced",IF(COUNTIF(CI_Site,$B698)=0,"⚠ Site not set up in Current Inventory",IF($A698&gt;AsOfDate,"Future date – not yet deducted","OK")))))))</f>
        <v/>
      </c>
    </row>
    <row r="699" customFormat="false" ht="15" hidden="false" customHeight="false" outlineLevel="0" collapsed="false">
      <c r="A699" s="65"/>
      <c r="B699" s="63"/>
      <c r="C699" s="70"/>
      <c r="D699" s="66"/>
      <c r="E699" s="16" t="str">
        <f aca="false">IF($C699="","",IFERROR(INDEX(Mix_Desc,MATCH($C699,Mix_Code,0)),"⚠ Unknown mix code"))</f>
        <v/>
      </c>
      <c r="F699" s="67" t="str">
        <f aca="false">IF(OR($C699="",$D699=""),"",IFERROR($D699*INDEX(Mix_Eff,MATCH($C699,Mix_Code,0),1),""))</f>
        <v/>
      </c>
      <c r="G699" s="67" t="str">
        <f aca="false">IF(OR($C699="",$D699=""),"",IFERROR($D699*INDEX(Mix_Eff,MATCH($C699,Mix_Code,0),2),""))</f>
        <v/>
      </c>
      <c r="H699" s="67" t="str">
        <f aca="false">IF(OR($C699="",$D699=""),"",IFERROR($D699*INDEX(Mix_Eff,MATCH($C699,Mix_Code,0),3),""))</f>
        <v/>
      </c>
      <c r="I699" s="67" t="str">
        <f aca="false">IF(OR($C699="",$D699=""),"",IFERROR($D699*INDEX(Mix_Eff,MATCH($C699,Mix_Code,0),4),""))</f>
        <v/>
      </c>
      <c r="J699" s="67" t="str">
        <f aca="false">IF(OR($C699="",$D699=""),"",IFERROR($D699*INDEX(Mix_Eff,MATCH($C699,Mix_Code,0),5),""))</f>
        <v/>
      </c>
      <c r="K699" s="63"/>
      <c r="L699" s="16" t="str">
        <f aca="false">IF(AND($A699="",$B699="",$C699="",$D699=""),"",IF($A699="","⚠ Date missing",IF($B699="","⚠ Site missing",IF(ISNA(MATCH($C699,Mix_Code,0)),"⚠ Unknown mix code",IF($D699="","⚠ Enter m3 produced",IF(COUNTIF(CI_Site,$B699)=0,"⚠ Site not set up in Current Inventory",IF($A699&gt;AsOfDate,"Future date – not yet deducted","OK")))))))</f>
        <v/>
      </c>
    </row>
    <row r="700" customFormat="false" ht="15" hidden="false" customHeight="false" outlineLevel="0" collapsed="false">
      <c r="A700" s="65"/>
      <c r="B700" s="63"/>
      <c r="C700" s="70"/>
      <c r="D700" s="66"/>
      <c r="E700" s="16" t="str">
        <f aca="false">IF($C700="","",IFERROR(INDEX(Mix_Desc,MATCH($C700,Mix_Code,0)),"⚠ Unknown mix code"))</f>
        <v/>
      </c>
      <c r="F700" s="67" t="str">
        <f aca="false">IF(OR($C700="",$D700=""),"",IFERROR($D700*INDEX(Mix_Eff,MATCH($C700,Mix_Code,0),1),""))</f>
        <v/>
      </c>
      <c r="G700" s="67" t="str">
        <f aca="false">IF(OR($C700="",$D700=""),"",IFERROR($D700*INDEX(Mix_Eff,MATCH($C700,Mix_Code,0),2),""))</f>
        <v/>
      </c>
      <c r="H700" s="67" t="str">
        <f aca="false">IF(OR($C700="",$D700=""),"",IFERROR($D700*INDEX(Mix_Eff,MATCH($C700,Mix_Code,0),3),""))</f>
        <v/>
      </c>
      <c r="I700" s="67" t="str">
        <f aca="false">IF(OR($C700="",$D700=""),"",IFERROR($D700*INDEX(Mix_Eff,MATCH($C700,Mix_Code,0),4),""))</f>
        <v/>
      </c>
      <c r="J700" s="67" t="str">
        <f aca="false">IF(OR($C700="",$D700=""),"",IFERROR($D700*INDEX(Mix_Eff,MATCH($C700,Mix_Code,0),5),""))</f>
        <v/>
      </c>
      <c r="K700" s="63"/>
      <c r="L700" s="16" t="str">
        <f aca="false">IF(AND($A700="",$B700="",$C700="",$D700=""),"",IF($A700="","⚠ Date missing",IF($B700="","⚠ Site missing",IF(ISNA(MATCH($C700,Mix_Code,0)),"⚠ Unknown mix code",IF($D700="","⚠ Enter m3 produced",IF(COUNTIF(CI_Site,$B700)=0,"⚠ Site not set up in Current Inventory",IF($A700&gt;AsOfDate,"Future date – not yet deducted","OK")))))))</f>
        <v/>
      </c>
    </row>
    <row r="701" customFormat="false" ht="15" hidden="false" customHeight="false" outlineLevel="0" collapsed="false">
      <c r="A701" s="65"/>
      <c r="B701" s="63"/>
      <c r="C701" s="70"/>
      <c r="D701" s="66"/>
      <c r="E701" s="16" t="str">
        <f aca="false">IF($C701="","",IFERROR(INDEX(Mix_Desc,MATCH($C701,Mix_Code,0)),"⚠ Unknown mix code"))</f>
        <v/>
      </c>
      <c r="F701" s="67" t="str">
        <f aca="false">IF(OR($C701="",$D701=""),"",IFERROR($D701*INDEX(Mix_Eff,MATCH($C701,Mix_Code,0),1),""))</f>
        <v/>
      </c>
      <c r="G701" s="67" t="str">
        <f aca="false">IF(OR($C701="",$D701=""),"",IFERROR($D701*INDEX(Mix_Eff,MATCH($C701,Mix_Code,0),2),""))</f>
        <v/>
      </c>
      <c r="H701" s="67" t="str">
        <f aca="false">IF(OR($C701="",$D701=""),"",IFERROR($D701*INDEX(Mix_Eff,MATCH($C701,Mix_Code,0),3),""))</f>
        <v/>
      </c>
      <c r="I701" s="67" t="str">
        <f aca="false">IF(OR($C701="",$D701=""),"",IFERROR($D701*INDEX(Mix_Eff,MATCH($C701,Mix_Code,0),4),""))</f>
        <v/>
      </c>
      <c r="J701" s="67" t="str">
        <f aca="false">IF(OR($C701="",$D701=""),"",IFERROR($D701*INDEX(Mix_Eff,MATCH($C701,Mix_Code,0),5),""))</f>
        <v/>
      </c>
      <c r="K701" s="63"/>
      <c r="L701" s="16" t="str">
        <f aca="false">IF(AND($A701="",$B701="",$C701="",$D701=""),"",IF($A701="","⚠ Date missing",IF($B701="","⚠ Site missing",IF(ISNA(MATCH($C701,Mix_Code,0)),"⚠ Unknown mix code",IF($D701="","⚠ Enter m3 produced",IF(COUNTIF(CI_Site,$B701)=0,"⚠ Site not set up in Current Inventory",IF($A701&gt;AsOfDate,"Future date – not yet deducted","OK")))))))</f>
        <v/>
      </c>
    </row>
    <row r="702" customFormat="false" ht="15" hidden="false" customHeight="false" outlineLevel="0" collapsed="false">
      <c r="A702" s="65"/>
      <c r="B702" s="63"/>
      <c r="C702" s="70"/>
      <c r="D702" s="66"/>
      <c r="E702" s="16" t="str">
        <f aca="false">IF($C702="","",IFERROR(INDEX(Mix_Desc,MATCH($C702,Mix_Code,0)),"⚠ Unknown mix code"))</f>
        <v/>
      </c>
      <c r="F702" s="67" t="str">
        <f aca="false">IF(OR($C702="",$D702=""),"",IFERROR($D702*INDEX(Mix_Eff,MATCH($C702,Mix_Code,0),1),""))</f>
        <v/>
      </c>
      <c r="G702" s="67" t="str">
        <f aca="false">IF(OR($C702="",$D702=""),"",IFERROR($D702*INDEX(Mix_Eff,MATCH($C702,Mix_Code,0),2),""))</f>
        <v/>
      </c>
      <c r="H702" s="67" t="str">
        <f aca="false">IF(OR($C702="",$D702=""),"",IFERROR($D702*INDEX(Mix_Eff,MATCH($C702,Mix_Code,0),3),""))</f>
        <v/>
      </c>
      <c r="I702" s="67" t="str">
        <f aca="false">IF(OR($C702="",$D702=""),"",IFERROR($D702*INDEX(Mix_Eff,MATCH($C702,Mix_Code,0),4),""))</f>
        <v/>
      </c>
      <c r="J702" s="67" t="str">
        <f aca="false">IF(OR($C702="",$D702=""),"",IFERROR($D702*INDEX(Mix_Eff,MATCH($C702,Mix_Code,0),5),""))</f>
        <v/>
      </c>
      <c r="K702" s="63"/>
      <c r="L702" s="16" t="str">
        <f aca="false">IF(AND($A702="",$B702="",$C702="",$D702=""),"",IF($A702="","⚠ Date missing",IF($B702="","⚠ Site missing",IF(ISNA(MATCH($C702,Mix_Code,0)),"⚠ Unknown mix code",IF($D702="","⚠ Enter m3 produced",IF(COUNTIF(CI_Site,$B702)=0,"⚠ Site not set up in Current Inventory",IF($A702&gt;AsOfDate,"Future date – not yet deducted","OK")))))))</f>
        <v/>
      </c>
    </row>
    <row r="703" customFormat="false" ht="15" hidden="false" customHeight="false" outlineLevel="0" collapsed="false">
      <c r="A703" s="65"/>
      <c r="B703" s="63"/>
      <c r="C703" s="70"/>
      <c r="D703" s="66"/>
      <c r="E703" s="16" t="str">
        <f aca="false">IF($C703="","",IFERROR(INDEX(Mix_Desc,MATCH($C703,Mix_Code,0)),"⚠ Unknown mix code"))</f>
        <v/>
      </c>
      <c r="F703" s="67" t="str">
        <f aca="false">IF(OR($C703="",$D703=""),"",IFERROR($D703*INDEX(Mix_Eff,MATCH($C703,Mix_Code,0),1),""))</f>
        <v/>
      </c>
      <c r="G703" s="67" t="str">
        <f aca="false">IF(OR($C703="",$D703=""),"",IFERROR($D703*INDEX(Mix_Eff,MATCH($C703,Mix_Code,0),2),""))</f>
        <v/>
      </c>
      <c r="H703" s="67" t="str">
        <f aca="false">IF(OR($C703="",$D703=""),"",IFERROR($D703*INDEX(Mix_Eff,MATCH($C703,Mix_Code,0),3),""))</f>
        <v/>
      </c>
      <c r="I703" s="67" t="str">
        <f aca="false">IF(OR($C703="",$D703=""),"",IFERROR($D703*INDEX(Mix_Eff,MATCH($C703,Mix_Code,0),4),""))</f>
        <v/>
      </c>
      <c r="J703" s="67" t="str">
        <f aca="false">IF(OR($C703="",$D703=""),"",IFERROR($D703*INDEX(Mix_Eff,MATCH($C703,Mix_Code,0),5),""))</f>
        <v/>
      </c>
      <c r="K703" s="63"/>
      <c r="L703" s="16" t="str">
        <f aca="false">IF(AND($A703="",$B703="",$C703="",$D703=""),"",IF($A703="","⚠ Date missing",IF($B703="","⚠ Site missing",IF(ISNA(MATCH($C703,Mix_Code,0)),"⚠ Unknown mix code",IF($D703="","⚠ Enter m3 produced",IF(COUNTIF(CI_Site,$B703)=0,"⚠ Site not set up in Current Inventory",IF($A703&gt;AsOfDate,"Future date – not yet deducted","OK")))))))</f>
        <v/>
      </c>
    </row>
    <row r="704" customFormat="false" ht="15" hidden="false" customHeight="false" outlineLevel="0" collapsed="false">
      <c r="A704" s="65"/>
      <c r="B704" s="63"/>
      <c r="C704" s="70"/>
      <c r="D704" s="66"/>
      <c r="E704" s="16" t="str">
        <f aca="false">IF($C704="","",IFERROR(INDEX(Mix_Desc,MATCH($C704,Mix_Code,0)),"⚠ Unknown mix code"))</f>
        <v/>
      </c>
      <c r="F704" s="67" t="str">
        <f aca="false">IF(OR($C704="",$D704=""),"",IFERROR($D704*INDEX(Mix_Eff,MATCH($C704,Mix_Code,0),1),""))</f>
        <v/>
      </c>
      <c r="G704" s="67" t="str">
        <f aca="false">IF(OR($C704="",$D704=""),"",IFERROR($D704*INDEX(Mix_Eff,MATCH($C704,Mix_Code,0),2),""))</f>
        <v/>
      </c>
      <c r="H704" s="67" t="str">
        <f aca="false">IF(OR($C704="",$D704=""),"",IFERROR($D704*INDEX(Mix_Eff,MATCH($C704,Mix_Code,0),3),""))</f>
        <v/>
      </c>
      <c r="I704" s="67" t="str">
        <f aca="false">IF(OR($C704="",$D704=""),"",IFERROR($D704*INDEX(Mix_Eff,MATCH($C704,Mix_Code,0),4),""))</f>
        <v/>
      </c>
      <c r="J704" s="67" t="str">
        <f aca="false">IF(OR($C704="",$D704=""),"",IFERROR($D704*INDEX(Mix_Eff,MATCH($C704,Mix_Code,0),5),""))</f>
        <v/>
      </c>
      <c r="K704" s="63"/>
      <c r="L704" s="16" t="str">
        <f aca="false">IF(AND($A704="",$B704="",$C704="",$D704=""),"",IF($A704="","⚠ Date missing",IF($B704="","⚠ Site missing",IF(ISNA(MATCH($C704,Mix_Code,0)),"⚠ Unknown mix code",IF($D704="","⚠ Enter m3 produced",IF(COUNTIF(CI_Site,$B704)=0,"⚠ Site not set up in Current Inventory",IF($A704&gt;AsOfDate,"Future date – not yet deducted","OK")))))))</f>
        <v/>
      </c>
    </row>
    <row r="705" customFormat="false" ht="15" hidden="false" customHeight="false" outlineLevel="0" collapsed="false">
      <c r="A705" s="65"/>
      <c r="B705" s="63"/>
      <c r="C705" s="70"/>
      <c r="D705" s="66"/>
      <c r="E705" s="16" t="str">
        <f aca="false">IF($C705="","",IFERROR(INDEX(Mix_Desc,MATCH($C705,Mix_Code,0)),"⚠ Unknown mix code"))</f>
        <v/>
      </c>
      <c r="F705" s="67" t="str">
        <f aca="false">IF(OR($C705="",$D705=""),"",IFERROR($D705*INDEX(Mix_Eff,MATCH($C705,Mix_Code,0),1),""))</f>
        <v/>
      </c>
      <c r="G705" s="67" t="str">
        <f aca="false">IF(OR($C705="",$D705=""),"",IFERROR($D705*INDEX(Mix_Eff,MATCH($C705,Mix_Code,0),2),""))</f>
        <v/>
      </c>
      <c r="H705" s="67" t="str">
        <f aca="false">IF(OR($C705="",$D705=""),"",IFERROR($D705*INDEX(Mix_Eff,MATCH($C705,Mix_Code,0),3),""))</f>
        <v/>
      </c>
      <c r="I705" s="67" t="str">
        <f aca="false">IF(OR($C705="",$D705=""),"",IFERROR($D705*INDEX(Mix_Eff,MATCH($C705,Mix_Code,0),4),""))</f>
        <v/>
      </c>
      <c r="J705" s="67" t="str">
        <f aca="false">IF(OR($C705="",$D705=""),"",IFERROR($D705*INDEX(Mix_Eff,MATCH($C705,Mix_Code,0),5),""))</f>
        <v/>
      </c>
      <c r="K705" s="63"/>
      <c r="L705" s="16" t="str">
        <f aca="false">IF(AND($A705="",$B705="",$C705="",$D705=""),"",IF($A705="","⚠ Date missing",IF($B705="","⚠ Site missing",IF(ISNA(MATCH($C705,Mix_Code,0)),"⚠ Unknown mix code",IF($D705="","⚠ Enter m3 produced",IF(COUNTIF(CI_Site,$B705)=0,"⚠ Site not set up in Current Inventory",IF($A705&gt;AsOfDate,"Future date – not yet deducted","OK")))))))</f>
        <v/>
      </c>
    </row>
    <row r="706" customFormat="false" ht="15" hidden="false" customHeight="false" outlineLevel="0" collapsed="false">
      <c r="A706" s="65"/>
      <c r="B706" s="63"/>
      <c r="C706" s="70"/>
      <c r="D706" s="66"/>
      <c r="E706" s="16" t="str">
        <f aca="false">IF($C706="","",IFERROR(INDEX(Mix_Desc,MATCH($C706,Mix_Code,0)),"⚠ Unknown mix code"))</f>
        <v/>
      </c>
      <c r="F706" s="67" t="str">
        <f aca="false">IF(OR($C706="",$D706=""),"",IFERROR($D706*INDEX(Mix_Eff,MATCH($C706,Mix_Code,0),1),""))</f>
        <v/>
      </c>
      <c r="G706" s="67" t="str">
        <f aca="false">IF(OR($C706="",$D706=""),"",IFERROR($D706*INDEX(Mix_Eff,MATCH($C706,Mix_Code,0),2),""))</f>
        <v/>
      </c>
      <c r="H706" s="67" t="str">
        <f aca="false">IF(OR($C706="",$D706=""),"",IFERROR($D706*INDEX(Mix_Eff,MATCH($C706,Mix_Code,0),3),""))</f>
        <v/>
      </c>
      <c r="I706" s="67" t="str">
        <f aca="false">IF(OR($C706="",$D706=""),"",IFERROR($D706*INDEX(Mix_Eff,MATCH($C706,Mix_Code,0),4),""))</f>
        <v/>
      </c>
      <c r="J706" s="67" t="str">
        <f aca="false">IF(OR($C706="",$D706=""),"",IFERROR($D706*INDEX(Mix_Eff,MATCH($C706,Mix_Code,0),5),""))</f>
        <v/>
      </c>
      <c r="K706" s="63"/>
      <c r="L706" s="16" t="str">
        <f aca="false">IF(AND($A706="",$B706="",$C706="",$D706=""),"",IF($A706="","⚠ Date missing",IF($B706="","⚠ Site missing",IF(ISNA(MATCH($C706,Mix_Code,0)),"⚠ Unknown mix code",IF($D706="","⚠ Enter m3 produced",IF(COUNTIF(CI_Site,$B706)=0,"⚠ Site not set up in Current Inventory",IF($A706&gt;AsOfDate,"Future date – not yet deducted","OK")))))))</f>
        <v/>
      </c>
    </row>
    <row r="707" customFormat="false" ht="15" hidden="false" customHeight="false" outlineLevel="0" collapsed="false">
      <c r="A707" s="65"/>
      <c r="B707" s="63"/>
      <c r="C707" s="70"/>
      <c r="D707" s="66"/>
      <c r="E707" s="16" t="str">
        <f aca="false">IF($C707="","",IFERROR(INDEX(Mix_Desc,MATCH($C707,Mix_Code,0)),"⚠ Unknown mix code"))</f>
        <v/>
      </c>
      <c r="F707" s="67" t="str">
        <f aca="false">IF(OR($C707="",$D707=""),"",IFERROR($D707*INDEX(Mix_Eff,MATCH($C707,Mix_Code,0),1),""))</f>
        <v/>
      </c>
      <c r="G707" s="67" t="str">
        <f aca="false">IF(OR($C707="",$D707=""),"",IFERROR($D707*INDEX(Mix_Eff,MATCH($C707,Mix_Code,0),2),""))</f>
        <v/>
      </c>
      <c r="H707" s="67" t="str">
        <f aca="false">IF(OR($C707="",$D707=""),"",IFERROR($D707*INDEX(Mix_Eff,MATCH($C707,Mix_Code,0),3),""))</f>
        <v/>
      </c>
      <c r="I707" s="67" t="str">
        <f aca="false">IF(OR($C707="",$D707=""),"",IFERROR($D707*INDEX(Mix_Eff,MATCH($C707,Mix_Code,0),4),""))</f>
        <v/>
      </c>
      <c r="J707" s="67" t="str">
        <f aca="false">IF(OR($C707="",$D707=""),"",IFERROR($D707*INDEX(Mix_Eff,MATCH($C707,Mix_Code,0),5),""))</f>
        <v/>
      </c>
      <c r="K707" s="63"/>
      <c r="L707" s="16" t="str">
        <f aca="false">IF(AND($A707="",$B707="",$C707="",$D707=""),"",IF($A707="","⚠ Date missing",IF($B707="","⚠ Site missing",IF(ISNA(MATCH($C707,Mix_Code,0)),"⚠ Unknown mix code",IF($D707="","⚠ Enter m3 produced",IF(COUNTIF(CI_Site,$B707)=0,"⚠ Site not set up in Current Inventory",IF($A707&gt;AsOfDate,"Future date – not yet deducted","OK")))))))</f>
        <v/>
      </c>
    </row>
    <row r="708" customFormat="false" ht="15" hidden="false" customHeight="false" outlineLevel="0" collapsed="false">
      <c r="A708" s="65"/>
      <c r="B708" s="63"/>
      <c r="C708" s="70"/>
      <c r="D708" s="66"/>
      <c r="E708" s="16" t="str">
        <f aca="false">IF($C708="","",IFERROR(INDEX(Mix_Desc,MATCH($C708,Mix_Code,0)),"⚠ Unknown mix code"))</f>
        <v/>
      </c>
      <c r="F708" s="67" t="str">
        <f aca="false">IF(OR($C708="",$D708=""),"",IFERROR($D708*INDEX(Mix_Eff,MATCH($C708,Mix_Code,0),1),""))</f>
        <v/>
      </c>
      <c r="G708" s="67" t="str">
        <f aca="false">IF(OR($C708="",$D708=""),"",IFERROR($D708*INDEX(Mix_Eff,MATCH($C708,Mix_Code,0),2),""))</f>
        <v/>
      </c>
      <c r="H708" s="67" t="str">
        <f aca="false">IF(OR($C708="",$D708=""),"",IFERROR($D708*INDEX(Mix_Eff,MATCH($C708,Mix_Code,0),3),""))</f>
        <v/>
      </c>
      <c r="I708" s="67" t="str">
        <f aca="false">IF(OR($C708="",$D708=""),"",IFERROR($D708*INDEX(Mix_Eff,MATCH($C708,Mix_Code,0),4),""))</f>
        <v/>
      </c>
      <c r="J708" s="67" t="str">
        <f aca="false">IF(OR($C708="",$D708=""),"",IFERROR($D708*INDEX(Mix_Eff,MATCH($C708,Mix_Code,0),5),""))</f>
        <v/>
      </c>
      <c r="K708" s="63"/>
      <c r="L708" s="16" t="str">
        <f aca="false">IF(AND($A708="",$B708="",$C708="",$D708=""),"",IF($A708="","⚠ Date missing",IF($B708="","⚠ Site missing",IF(ISNA(MATCH($C708,Mix_Code,0)),"⚠ Unknown mix code",IF($D708="","⚠ Enter m3 produced",IF(COUNTIF(CI_Site,$B708)=0,"⚠ Site not set up in Current Inventory",IF($A708&gt;AsOfDate,"Future date – not yet deducted","OK")))))))</f>
        <v/>
      </c>
    </row>
    <row r="709" customFormat="false" ht="15" hidden="false" customHeight="false" outlineLevel="0" collapsed="false">
      <c r="A709" s="65"/>
      <c r="B709" s="63"/>
      <c r="C709" s="70"/>
      <c r="D709" s="66"/>
      <c r="E709" s="16" t="str">
        <f aca="false">IF($C709="","",IFERROR(INDEX(Mix_Desc,MATCH($C709,Mix_Code,0)),"⚠ Unknown mix code"))</f>
        <v/>
      </c>
      <c r="F709" s="67" t="str">
        <f aca="false">IF(OR($C709="",$D709=""),"",IFERROR($D709*INDEX(Mix_Eff,MATCH($C709,Mix_Code,0),1),""))</f>
        <v/>
      </c>
      <c r="G709" s="67" t="str">
        <f aca="false">IF(OR($C709="",$D709=""),"",IFERROR($D709*INDEX(Mix_Eff,MATCH($C709,Mix_Code,0),2),""))</f>
        <v/>
      </c>
      <c r="H709" s="67" t="str">
        <f aca="false">IF(OR($C709="",$D709=""),"",IFERROR($D709*INDEX(Mix_Eff,MATCH($C709,Mix_Code,0),3),""))</f>
        <v/>
      </c>
      <c r="I709" s="67" t="str">
        <f aca="false">IF(OR($C709="",$D709=""),"",IFERROR($D709*INDEX(Mix_Eff,MATCH($C709,Mix_Code,0),4),""))</f>
        <v/>
      </c>
      <c r="J709" s="67" t="str">
        <f aca="false">IF(OR($C709="",$D709=""),"",IFERROR($D709*INDEX(Mix_Eff,MATCH($C709,Mix_Code,0),5),""))</f>
        <v/>
      </c>
      <c r="K709" s="63"/>
      <c r="L709" s="16" t="str">
        <f aca="false">IF(AND($A709="",$B709="",$C709="",$D709=""),"",IF($A709="","⚠ Date missing",IF($B709="","⚠ Site missing",IF(ISNA(MATCH($C709,Mix_Code,0)),"⚠ Unknown mix code",IF($D709="","⚠ Enter m3 produced",IF(COUNTIF(CI_Site,$B709)=0,"⚠ Site not set up in Current Inventory",IF($A709&gt;AsOfDate,"Future date – not yet deducted","OK")))))))</f>
        <v/>
      </c>
    </row>
    <row r="710" customFormat="false" ht="15" hidden="false" customHeight="false" outlineLevel="0" collapsed="false">
      <c r="A710" s="65"/>
      <c r="B710" s="63"/>
      <c r="C710" s="70"/>
      <c r="D710" s="66"/>
      <c r="E710" s="16" t="str">
        <f aca="false">IF($C710="","",IFERROR(INDEX(Mix_Desc,MATCH($C710,Mix_Code,0)),"⚠ Unknown mix code"))</f>
        <v/>
      </c>
      <c r="F710" s="67" t="str">
        <f aca="false">IF(OR($C710="",$D710=""),"",IFERROR($D710*INDEX(Mix_Eff,MATCH($C710,Mix_Code,0),1),""))</f>
        <v/>
      </c>
      <c r="G710" s="67" t="str">
        <f aca="false">IF(OR($C710="",$D710=""),"",IFERROR($D710*INDEX(Mix_Eff,MATCH($C710,Mix_Code,0),2),""))</f>
        <v/>
      </c>
      <c r="H710" s="67" t="str">
        <f aca="false">IF(OR($C710="",$D710=""),"",IFERROR($D710*INDEX(Mix_Eff,MATCH($C710,Mix_Code,0),3),""))</f>
        <v/>
      </c>
      <c r="I710" s="67" t="str">
        <f aca="false">IF(OR($C710="",$D710=""),"",IFERROR($D710*INDEX(Mix_Eff,MATCH($C710,Mix_Code,0),4),""))</f>
        <v/>
      </c>
      <c r="J710" s="67" t="str">
        <f aca="false">IF(OR($C710="",$D710=""),"",IFERROR($D710*INDEX(Mix_Eff,MATCH($C710,Mix_Code,0),5),""))</f>
        <v/>
      </c>
      <c r="K710" s="63"/>
      <c r="L710" s="16" t="str">
        <f aca="false">IF(AND($A710="",$B710="",$C710="",$D710=""),"",IF($A710="","⚠ Date missing",IF($B710="","⚠ Site missing",IF(ISNA(MATCH($C710,Mix_Code,0)),"⚠ Unknown mix code",IF($D710="","⚠ Enter m3 produced",IF(COUNTIF(CI_Site,$B710)=0,"⚠ Site not set up in Current Inventory",IF($A710&gt;AsOfDate,"Future date – not yet deducted","OK")))))))</f>
        <v/>
      </c>
    </row>
    <row r="711" customFormat="false" ht="15" hidden="false" customHeight="false" outlineLevel="0" collapsed="false">
      <c r="A711" s="65"/>
      <c r="B711" s="63"/>
      <c r="C711" s="70"/>
      <c r="D711" s="66"/>
      <c r="E711" s="16" t="str">
        <f aca="false">IF($C711="","",IFERROR(INDEX(Mix_Desc,MATCH($C711,Mix_Code,0)),"⚠ Unknown mix code"))</f>
        <v/>
      </c>
      <c r="F711" s="67" t="str">
        <f aca="false">IF(OR($C711="",$D711=""),"",IFERROR($D711*INDEX(Mix_Eff,MATCH($C711,Mix_Code,0),1),""))</f>
        <v/>
      </c>
      <c r="G711" s="67" t="str">
        <f aca="false">IF(OR($C711="",$D711=""),"",IFERROR($D711*INDEX(Mix_Eff,MATCH($C711,Mix_Code,0),2),""))</f>
        <v/>
      </c>
      <c r="H711" s="67" t="str">
        <f aca="false">IF(OR($C711="",$D711=""),"",IFERROR($D711*INDEX(Mix_Eff,MATCH($C711,Mix_Code,0),3),""))</f>
        <v/>
      </c>
      <c r="I711" s="67" t="str">
        <f aca="false">IF(OR($C711="",$D711=""),"",IFERROR($D711*INDEX(Mix_Eff,MATCH($C711,Mix_Code,0),4),""))</f>
        <v/>
      </c>
      <c r="J711" s="67" t="str">
        <f aca="false">IF(OR($C711="",$D711=""),"",IFERROR($D711*INDEX(Mix_Eff,MATCH($C711,Mix_Code,0),5),""))</f>
        <v/>
      </c>
      <c r="K711" s="63"/>
      <c r="L711" s="16" t="str">
        <f aca="false">IF(AND($A711="",$B711="",$C711="",$D711=""),"",IF($A711="","⚠ Date missing",IF($B711="","⚠ Site missing",IF(ISNA(MATCH($C711,Mix_Code,0)),"⚠ Unknown mix code",IF($D711="","⚠ Enter m3 produced",IF(COUNTIF(CI_Site,$B711)=0,"⚠ Site not set up in Current Inventory",IF($A711&gt;AsOfDate,"Future date – not yet deducted","OK")))))))</f>
        <v/>
      </c>
    </row>
    <row r="712" customFormat="false" ht="15" hidden="false" customHeight="false" outlineLevel="0" collapsed="false">
      <c r="A712" s="65"/>
      <c r="B712" s="63"/>
      <c r="C712" s="70"/>
      <c r="D712" s="66"/>
      <c r="E712" s="16" t="str">
        <f aca="false">IF($C712="","",IFERROR(INDEX(Mix_Desc,MATCH($C712,Mix_Code,0)),"⚠ Unknown mix code"))</f>
        <v/>
      </c>
      <c r="F712" s="67" t="str">
        <f aca="false">IF(OR($C712="",$D712=""),"",IFERROR($D712*INDEX(Mix_Eff,MATCH($C712,Mix_Code,0),1),""))</f>
        <v/>
      </c>
      <c r="G712" s="67" t="str">
        <f aca="false">IF(OR($C712="",$D712=""),"",IFERROR($D712*INDEX(Mix_Eff,MATCH($C712,Mix_Code,0),2),""))</f>
        <v/>
      </c>
      <c r="H712" s="67" t="str">
        <f aca="false">IF(OR($C712="",$D712=""),"",IFERROR($D712*INDEX(Mix_Eff,MATCH($C712,Mix_Code,0),3),""))</f>
        <v/>
      </c>
      <c r="I712" s="67" t="str">
        <f aca="false">IF(OR($C712="",$D712=""),"",IFERROR($D712*INDEX(Mix_Eff,MATCH($C712,Mix_Code,0),4),""))</f>
        <v/>
      </c>
      <c r="J712" s="67" t="str">
        <f aca="false">IF(OR($C712="",$D712=""),"",IFERROR($D712*INDEX(Mix_Eff,MATCH($C712,Mix_Code,0),5),""))</f>
        <v/>
      </c>
      <c r="K712" s="63"/>
      <c r="L712" s="16" t="str">
        <f aca="false">IF(AND($A712="",$B712="",$C712="",$D712=""),"",IF($A712="","⚠ Date missing",IF($B712="","⚠ Site missing",IF(ISNA(MATCH($C712,Mix_Code,0)),"⚠ Unknown mix code",IF($D712="","⚠ Enter m3 produced",IF(COUNTIF(CI_Site,$B712)=0,"⚠ Site not set up in Current Inventory",IF($A712&gt;AsOfDate,"Future date – not yet deducted","OK")))))))</f>
        <v/>
      </c>
    </row>
    <row r="713" customFormat="false" ht="15" hidden="false" customHeight="false" outlineLevel="0" collapsed="false">
      <c r="A713" s="65"/>
      <c r="B713" s="63"/>
      <c r="C713" s="70"/>
      <c r="D713" s="66"/>
      <c r="E713" s="16" t="str">
        <f aca="false">IF($C713="","",IFERROR(INDEX(Mix_Desc,MATCH($C713,Mix_Code,0)),"⚠ Unknown mix code"))</f>
        <v/>
      </c>
      <c r="F713" s="67" t="str">
        <f aca="false">IF(OR($C713="",$D713=""),"",IFERROR($D713*INDEX(Mix_Eff,MATCH($C713,Mix_Code,0),1),""))</f>
        <v/>
      </c>
      <c r="G713" s="67" t="str">
        <f aca="false">IF(OR($C713="",$D713=""),"",IFERROR($D713*INDEX(Mix_Eff,MATCH($C713,Mix_Code,0),2),""))</f>
        <v/>
      </c>
      <c r="H713" s="67" t="str">
        <f aca="false">IF(OR($C713="",$D713=""),"",IFERROR($D713*INDEX(Mix_Eff,MATCH($C713,Mix_Code,0),3),""))</f>
        <v/>
      </c>
      <c r="I713" s="67" t="str">
        <f aca="false">IF(OR($C713="",$D713=""),"",IFERROR($D713*INDEX(Mix_Eff,MATCH($C713,Mix_Code,0),4),""))</f>
        <v/>
      </c>
      <c r="J713" s="67" t="str">
        <f aca="false">IF(OR($C713="",$D713=""),"",IFERROR($D713*INDEX(Mix_Eff,MATCH($C713,Mix_Code,0),5),""))</f>
        <v/>
      </c>
      <c r="K713" s="63"/>
      <c r="L713" s="16" t="str">
        <f aca="false">IF(AND($A713="",$B713="",$C713="",$D713=""),"",IF($A713="","⚠ Date missing",IF($B713="","⚠ Site missing",IF(ISNA(MATCH($C713,Mix_Code,0)),"⚠ Unknown mix code",IF($D713="","⚠ Enter m3 produced",IF(COUNTIF(CI_Site,$B713)=0,"⚠ Site not set up in Current Inventory",IF($A713&gt;AsOfDate,"Future date – not yet deducted","OK")))))))</f>
        <v/>
      </c>
    </row>
    <row r="714" customFormat="false" ht="15" hidden="false" customHeight="false" outlineLevel="0" collapsed="false">
      <c r="A714" s="65"/>
      <c r="B714" s="63"/>
      <c r="C714" s="70"/>
      <c r="D714" s="66"/>
      <c r="E714" s="16" t="str">
        <f aca="false">IF($C714="","",IFERROR(INDEX(Mix_Desc,MATCH($C714,Mix_Code,0)),"⚠ Unknown mix code"))</f>
        <v/>
      </c>
      <c r="F714" s="67" t="str">
        <f aca="false">IF(OR($C714="",$D714=""),"",IFERROR($D714*INDEX(Mix_Eff,MATCH($C714,Mix_Code,0),1),""))</f>
        <v/>
      </c>
      <c r="G714" s="67" t="str">
        <f aca="false">IF(OR($C714="",$D714=""),"",IFERROR($D714*INDEX(Mix_Eff,MATCH($C714,Mix_Code,0),2),""))</f>
        <v/>
      </c>
      <c r="H714" s="67" t="str">
        <f aca="false">IF(OR($C714="",$D714=""),"",IFERROR($D714*INDEX(Mix_Eff,MATCH($C714,Mix_Code,0),3),""))</f>
        <v/>
      </c>
      <c r="I714" s="67" t="str">
        <f aca="false">IF(OR($C714="",$D714=""),"",IFERROR($D714*INDEX(Mix_Eff,MATCH($C714,Mix_Code,0),4),""))</f>
        <v/>
      </c>
      <c r="J714" s="67" t="str">
        <f aca="false">IF(OR($C714="",$D714=""),"",IFERROR($D714*INDEX(Mix_Eff,MATCH($C714,Mix_Code,0),5),""))</f>
        <v/>
      </c>
      <c r="K714" s="63"/>
      <c r="L714" s="16" t="str">
        <f aca="false">IF(AND($A714="",$B714="",$C714="",$D714=""),"",IF($A714="","⚠ Date missing",IF($B714="","⚠ Site missing",IF(ISNA(MATCH($C714,Mix_Code,0)),"⚠ Unknown mix code",IF($D714="","⚠ Enter m3 produced",IF(COUNTIF(CI_Site,$B714)=0,"⚠ Site not set up in Current Inventory",IF($A714&gt;AsOfDate,"Future date – not yet deducted","OK")))))))</f>
        <v/>
      </c>
    </row>
    <row r="715" customFormat="false" ht="15" hidden="false" customHeight="false" outlineLevel="0" collapsed="false">
      <c r="A715" s="65"/>
      <c r="B715" s="63"/>
      <c r="C715" s="70"/>
      <c r="D715" s="66"/>
      <c r="E715" s="16" t="str">
        <f aca="false">IF($C715="","",IFERROR(INDEX(Mix_Desc,MATCH($C715,Mix_Code,0)),"⚠ Unknown mix code"))</f>
        <v/>
      </c>
      <c r="F715" s="67" t="str">
        <f aca="false">IF(OR($C715="",$D715=""),"",IFERROR($D715*INDEX(Mix_Eff,MATCH($C715,Mix_Code,0),1),""))</f>
        <v/>
      </c>
      <c r="G715" s="67" t="str">
        <f aca="false">IF(OR($C715="",$D715=""),"",IFERROR($D715*INDEX(Mix_Eff,MATCH($C715,Mix_Code,0),2),""))</f>
        <v/>
      </c>
      <c r="H715" s="67" t="str">
        <f aca="false">IF(OR($C715="",$D715=""),"",IFERROR($D715*INDEX(Mix_Eff,MATCH($C715,Mix_Code,0),3),""))</f>
        <v/>
      </c>
      <c r="I715" s="67" t="str">
        <f aca="false">IF(OR($C715="",$D715=""),"",IFERROR($D715*INDEX(Mix_Eff,MATCH($C715,Mix_Code,0),4),""))</f>
        <v/>
      </c>
      <c r="J715" s="67" t="str">
        <f aca="false">IF(OR($C715="",$D715=""),"",IFERROR($D715*INDEX(Mix_Eff,MATCH($C715,Mix_Code,0),5),""))</f>
        <v/>
      </c>
      <c r="K715" s="63"/>
      <c r="L715" s="16" t="str">
        <f aca="false">IF(AND($A715="",$B715="",$C715="",$D715=""),"",IF($A715="","⚠ Date missing",IF($B715="","⚠ Site missing",IF(ISNA(MATCH($C715,Mix_Code,0)),"⚠ Unknown mix code",IF($D715="","⚠ Enter m3 produced",IF(COUNTIF(CI_Site,$B715)=0,"⚠ Site not set up in Current Inventory",IF($A715&gt;AsOfDate,"Future date – not yet deducted","OK")))))))</f>
        <v/>
      </c>
    </row>
    <row r="716" customFormat="false" ht="15" hidden="false" customHeight="false" outlineLevel="0" collapsed="false">
      <c r="A716" s="65"/>
      <c r="B716" s="63"/>
      <c r="C716" s="70"/>
      <c r="D716" s="66"/>
      <c r="E716" s="16" t="str">
        <f aca="false">IF($C716="","",IFERROR(INDEX(Mix_Desc,MATCH($C716,Mix_Code,0)),"⚠ Unknown mix code"))</f>
        <v/>
      </c>
      <c r="F716" s="67" t="str">
        <f aca="false">IF(OR($C716="",$D716=""),"",IFERROR($D716*INDEX(Mix_Eff,MATCH($C716,Mix_Code,0),1),""))</f>
        <v/>
      </c>
      <c r="G716" s="67" t="str">
        <f aca="false">IF(OR($C716="",$D716=""),"",IFERROR($D716*INDEX(Mix_Eff,MATCH($C716,Mix_Code,0),2),""))</f>
        <v/>
      </c>
      <c r="H716" s="67" t="str">
        <f aca="false">IF(OR($C716="",$D716=""),"",IFERROR($D716*INDEX(Mix_Eff,MATCH($C716,Mix_Code,0),3),""))</f>
        <v/>
      </c>
      <c r="I716" s="67" t="str">
        <f aca="false">IF(OR($C716="",$D716=""),"",IFERROR($D716*INDEX(Mix_Eff,MATCH($C716,Mix_Code,0),4),""))</f>
        <v/>
      </c>
      <c r="J716" s="67" t="str">
        <f aca="false">IF(OR($C716="",$D716=""),"",IFERROR($D716*INDEX(Mix_Eff,MATCH($C716,Mix_Code,0),5),""))</f>
        <v/>
      </c>
      <c r="K716" s="63"/>
      <c r="L716" s="16" t="str">
        <f aca="false">IF(AND($A716="",$B716="",$C716="",$D716=""),"",IF($A716="","⚠ Date missing",IF($B716="","⚠ Site missing",IF(ISNA(MATCH($C716,Mix_Code,0)),"⚠ Unknown mix code",IF($D716="","⚠ Enter m3 produced",IF(COUNTIF(CI_Site,$B716)=0,"⚠ Site not set up in Current Inventory",IF($A716&gt;AsOfDate,"Future date – not yet deducted","OK")))))))</f>
        <v/>
      </c>
    </row>
    <row r="717" customFormat="false" ht="15" hidden="false" customHeight="false" outlineLevel="0" collapsed="false">
      <c r="A717" s="65"/>
      <c r="B717" s="63"/>
      <c r="C717" s="70"/>
      <c r="D717" s="66"/>
      <c r="E717" s="16" t="str">
        <f aca="false">IF($C717="","",IFERROR(INDEX(Mix_Desc,MATCH($C717,Mix_Code,0)),"⚠ Unknown mix code"))</f>
        <v/>
      </c>
      <c r="F717" s="67" t="str">
        <f aca="false">IF(OR($C717="",$D717=""),"",IFERROR($D717*INDEX(Mix_Eff,MATCH($C717,Mix_Code,0),1),""))</f>
        <v/>
      </c>
      <c r="G717" s="67" t="str">
        <f aca="false">IF(OR($C717="",$D717=""),"",IFERROR($D717*INDEX(Mix_Eff,MATCH($C717,Mix_Code,0),2),""))</f>
        <v/>
      </c>
      <c r="H717" s="67" t="str">
        <f aca="false">IF(OR($C717="",$D717=""),"",IFERROR($D717*INDEX(Mix_Eff,MATCH($C717,Mix_Code,0),3),""))</f>
        <v/>
      </c>
      <c r="I717" s="67" t="str">
        <f aca="false">IF(OR($C717="",$D717=""),"",IFERROR($D717*INDEX(Mix_Eff,MATCH($C717,Mix_Code,0),4),""))</f>
        <v/>
      </c>
      <c r="J717" s="67" t="str">
        <f aca="false">IF(OR($C717="",$D717=""),"",IFERROR($D717*INDEX(Mix_Eff,MATCH($C717,Mix_Code,0),5),""))</f>
        <v/>
      </c>
      <c r="K717" s="63"/>
      <c r="L717" s="16" t="str">
        <f aca="false">IF(AND($A717="",$B717="",$C717="",$D717=""),"",IF($A717="","⚠ Date missing",IF($B717="","⚠ Site missing",IF(ISNA(MATCH($C717,Mix_Code,0)),"⚠ Unknown mix code",IF($D717="","⚠ Enter m3 produced",IF(COUNTIF(CI_Site,$B717)=0,"⚠ Site not set up in Current Inventory",IF($A717&gt;AsOfDate,"Future date – not yet deducted","OK")))))))</f>
        <v/>
      </c>
    </row>
    <row r="718" customFormat="false" ht="15" hidden="false" customHeight="false" outlineLevel="0" collapsed="false">
      <c r="A718" s="65"/>
      <c r="B718" s="63"/>
      <c r="C718" s="70"/>
      <c r="D718" s="66"/>
      <c r="E718" s="16" t="str">
        <f aca="false">IF($C718="","",IFERROR(INDEX(Mix_Desc,MATCH($C718,Mix_Code,0)),"⚠ Unknown mix code"))</f>
        <v/>
      </c>
      <c r="F718" s="67" t="str">
        <f aca="false">IF(OR($C718="",$D718=""),"",IFERROR($D718*INDEX(Mix_Eff,MATCH($C718,Mix_Code,0),1),""))</f>
        <v/>
      </c>
      <c r="G718" s="67" t="str">
        <f aca="false">IF(OR($C718="",$D718=""),"",IFERROR($D718*INDEX(Mix_Eff,MATCH($C718,Mix_Code,0),2),""))</f>
        <v/>
      </c>
      <c r="H718" s="67" t="str">
        <f aca="false">IF(OR($C718="",$D718=""),"",IFERROR($D718*INDEX(Mix_Eff,MATCH($C718,Mix_Code,0),3),""))</f>
        <v/>
      </c>
      <c r="I718" s="67" t="str">
        <f aca="false">IF(OR($C718="",$D718=""),"",IFERROR($D718*INDEX(Mix_Eff,MATCH($C718,Mix_Code,0),4),""))</f>
        <v/>
      </c>
      <c r="J718" s="67" t="str">
        <f aca="false">IF(OR($C718="",$D718=""),"",IFERROR($D718*INDEX(Mix_Eff,MATCH($C718,Mix_Code,0),5),""))</f>
        <v/>
      </c>
      <c r="K718" s="63"/>
      <c r="L718" s="16" t="str">
        <f aca="false">IF(AND($A718="",$B718="",$C718="",$D718=""),"",IF($A718="","⚠ Date missing",IF($B718="","⚠ Site missing",IF(ISNA(MATCH($C718,Mix_Code,0)),"⚠ Unknown mix code",IF($D718="","⚠ Enter m3 produced",IF(COUNTIF(CI_Site,$B718)=0,"⚠ Site not set up in Current Inventory",IF($A718&gt;AsOfDate,"Future date – not yet deducted","OK")))))))</f>
        <v/>
      </c>
    </row>
    <row r="719" customFormat="false" ht="15" hidden="false" customHeight="false" outlineLevel="0" collapsed="false">
      <c r="A719" s="65"/>
      <c r="B719" s="63"/>
      <c r="C719" s="70"/>
      <c r="D719" s="66"/>
      <c r="E719" s="16" t="str">
        <f aca="false">IF($C719="","",IFERROR(INDEX(Mix_Desc,MATCH($C719,Mix_Code,0)),"⚠ Unknown mix code"))</f>
        <v/>
      </c>
      <c r="F719" s="67" t="str">
        <f aca="false">IF(OR($C719="",$D719=""),"",IFERROR($D719*INDEX(Mix_Eff,MATCH($C719,Mix_Code,0),1),""))</f>
        <v/>
      </c>
      <c r="G719" s="67" t="str">
        <f aca="false">IF(OR($C719="",$D719=""),"",IFERROR($D719*INDEX(Mix_Eff,MATCH($C719,Mix_Code,0),2),""))</f>
        <v/>
      </c>
      <c r="H719" s="67" t="str">
        <f aca="false">IF(OR($C719="",$D719=""),"",IFERROR($D719*INDEX(Mix_Eff,MATCH($C719,Mix_Code,0),3),""))</f>
        <v/>
      </c>
      <c r="I719" s="67" t="str">
        <f aca="false">IF(OR($C719="",$D719=""),"",IFERROR($D719*INDEX(Mix_Eff,MATCH($C719,Mix_Code,0),4),""))</f>
        <v/>
      </c>
      <c r="J719" s="67" t="str">
        <f aca="false">IF(OR($C719="",$D719=""),"",IFERROR($D719*INDEX(Mix_Eff,MATCH($C719,Mix_Code,0),5),""))</f>
        <v/>
      </c>
      <c r="K719" s="63"/>
      <c r="L719" s="16" t="str">
        <f aca="false">IF(AND($A719="",$B719="",$C719="",$D719=""),"",IF($A719="","⚠ Date missing",IF($B719="","⚠ Site missing",IF(ISNA(MATCH($C719,Mix_Code,0)),"⚠ Unknown mix code",IF($D719="","⚠ Enter m3 produced",IF(COUNTIF(CI_Site,$B719)=0,"⚠ Site not set up in Current Inventory",IF($A719&gt;AsOfDate,"Future date – not yet deducted","OK")))))))</f>
        <v/>
      </c>
    </row>
    <row r="720" customFormat="false" ht="15" hidden="false" customHeight="false" outlineLevel="0" collapsed="false">
      <c r="A720" s="65"/>
      <c r="B720" s="63"/>
      <c r="C720" s="70"/>
      <c r="D720" s="66"/>
      <c r="E720" s="16" t="str">
        <f aca="false">IF($C720="","",IFERROR(INDEX(Mix_Desc,MATCH($C720,Mix_Code,0)),"⚠ Unknown mix code"))</f>
        <v/>
      </c>
      <c r="F720" s="67" t="str">
        <f aca="false">IF(OR($C720="",$D720=""),"",IFERROR($D720*INDEX(Mix_Eff,MATCH($C720,Mix_Code,0),1),""))</f>
        <v/>
      </c>
      <c r="G720" s="67" t="str">
        <f aca="false">IF(OR($C720="",$D720=""),"",IFERROR($D720*INDEX(Mix_Eff,MATCH($C720,Mix_Code,0),2),""))</f>
        <v/>
      </c>
      <c r="H720" s="67" t="str">
        <f aca="false">IF(OR($C720="",$D720=""),"",IFERROR($D720*INDEX(Mix_Eff,MATCH($C720,Mix_Code,0),3),""))</f>
        <v/>
      </c>
      <c r="I720" s="67" t="str">
        <f aca="false">IF(OR($C720="",$D720=""),"",IFERROR($D720*INDEX(Mix_Eff,MATCH($C720,Mix_Code,0),4),""))</f>
        <v/>
      </c>
      <c r="J720" s="67" t="str">
        <f aca="false">IF(OR($C720="",$D720=""),"",IFERROR($D720*INDEX(Mix_Eff,MATCH($C720,Mix_Code,0),5),""))</f>
        <v/>
      </c>
      <c r="K720" s="63"/>
      <c r="L720" s="16" t="str">
        <f aca="false">IF(AND($A720="",$B720="",$C720="",$D720=""),"",IF($A720="","⚠ Date missing",IF($B720="","⚠ Site missing",IF(ISNA(MATCH($C720,Mix_Code,0)),"⚠ Unknown mix code",IF($D720="","⚠ Enter m3 produced",IF(COUNTIF(CI_Site,$B720)=0,"⚠ Site not set up in Current Inventory",IF($A720&gt;AsOfDate,"Future date – not yet deducted","OK")))))))</f>
        <v/>
      </c>
    </row>
    <row r="721" customFormat="false" ht="15" hidden="false" customHeight="false" outlineLevel="0" collapsed="false">
      <c r="A721" s="65"/>
      <c r="B721" s="63"/>
      <c r="C721" s="70"/>
      <c r="D721" s="66"/>
      <c r="E721" s="16" t="str">
        <f aca="false">IF($C721="","",IFERROR(INDEX(Mix_Desc,MATCH($C721,Mix_Code,0)),"⚠ Unknown mix code"))</f>
        <v/>
      </c>
      <c r="F721" s="67" t="str">
        <f aca="false">IF(OR($C721="",$D721=""),"",IFERROR($D721*INDEX(Mix_Eff,MATCH($C721,Mix_Code,0),1),""))</f>
        <v/>
      </c>
      <c r="G721" s="67" t="str">
        <f aca="false">IF(OR($C721="",$D721=""),"",IFERROR($D721*INDEX(Mix_Eff,MATCH($C721,Mix_Code,0),2),""))</f>
        <v/>
      </c>
      <c r="H721" s="67" t="str">
        <f aca="false">IF(OR($C721="",$D721=""),"",IFERROR($D721*INDEX(Mix_Eff,MATCH($C721,Mix_Code,0),3),""))</f>
        <v/>
      </c>
      <c r="I721" s="67" t="str">
        <f aca="false">IF(OR($C721="",$D721=""),"",IFERROR($D721*INDEX(Mix_Eff,MATCH($C721,Mix_Code,0),4),""))</f>
        <v/>
      </c>
      <c r="J721" s="67" t="str">
        <f aca="false">IF(OR($C721="",$D721=""),"",IFERROR($D721*INDEX(Mix_Eff,MATCH($C721,Mix_Code,0),5),""))</f>
        <v/>
      </c>
      <c r="K721" s="63"/>
      <c r="L721" s="16" t="str">
        <f aca="false">IF(AND($A721="",$B721="",$C721="",$D721=""),"",IF($A721="","⚠ Date missing",IF($B721="","⚠ Site missing",IF(ISNA(MATCH($C721,Mix_Code,0)),"⚠ Unknown mix code",IF($D721="","⚠ Enter m3 produced",IF(COUNTIF(CI_Site,$B721)=0,"⚠ Site not set up in Current Inventory",IF($A721&gt;AsOfDate,"Future date – not yet deducted","OK")))))))</f>
        <v/>
      </c>
    </row>
    <row r="722" customFormat="false" ht="15" hidden="false" customHeight="false" outlineLevel="0" collapsed="false">
      <c r="A722" s="65"/>
      <c r="B722" s="63"/>
      <c r="C722" s="70"/>
      <c r="D722" s="66"/>
      <c r="E722" s="16" t="str">
        <f aca="false">IF($C722="","",IFERROR(INDEX(Mix_Desc,MATCH($C722,Mix_Code,0)),"⚠ Unknown mix code"))</f>
        <v/>
      </c>
      <c r="F722" s="67" t="str">
        <f aca="false">IF(OR($C722="",$D722=""),"",IFERROR($D722*INDEX(Mix_Eff,MATCH($C722,Mix_Code,0),1),""))</f>
        <v/>
      </c>
      <c r="G722" s="67" t="str">
        <f aca="false">IF(OR($C722="",$D722=""),"",IFERROR($D722*INDEX(Mix_Eff,MATCH($C722,Mix_Code,0),2),""))</f>
        <v/>
      </c>
      <c r="H722" s="67" t="str">
        <f aca="false">IF(OR($C722="",$D722=""),"",IFERROR($D722*INDEX(Mix_Eff,MATCH($C722,Mix_Code,0),3),""))</f>
        <v/>
      </c>
      <c r="I722" s="67" t="str">
        <f aca="false">IF(OR($C722="",$D722=""),"",IFERROR($D722*INDEX(Mix_Eff,MATCH($C722,Mix_Code,0),4),""))</f>
        <v/>
      </c>
      <c r="J722" s="67" t="str">
        <f aca="false">IF(OR($C722="",$D722=""),"",IFERROR($D722*INDEX(Mix_Eff,MATCH($C722,Mix_Code,0),5),""))</f>
        <v/>
      </c>
      <c r="K722" s="63"/>
      <c r="L722" s="16" t="str">
        <f aca="false">IF(AND($A722="",$B722="",$C722="",$D722=""),"",IF($A722="","⚠ Date missing",IF($B722="","⚠ Site missing",IF(ISNA(MATCH($C722,Mix_Code,0)),"⚠ Unknown mix code",IF($D722="","⚠ Enter m3 produced",IF(COUNTIF(CI_Site,$B722)=0,"⚠ Site not set up in Current Inventory",IF($A722&gt;AsOfDate,"Future date – not yet deducted","OK")))))))</f>
        <v/>
      </c>
    </row>
    <row r="723" customFormat="false" ht="15" hidden="false" customHeight="false" outlineLevel="0" collapsed="false">
      <c r="A723" s="65"/>
      <c r="B723" s="63"/>
      <c r="C723" s="70"/>
      <c r="D723" s="66"/>
      <c r="E723" s="16" t="str">
        <f aca="false">IF($C723="","",IFERROR(INDEX(Mix_Desc,MATCH($C723,Mix_Code,0)),"⚠ Unknown mix code"))</f>
        <v/>
      </c>
      <c r="F723" s="67" t="str">
        <f aca="false">IF(OR($C723="",$D723=""),"",IFERROR($D723*INDEX(Mix_Eff,MATCH($C723,Mix_Code,0),1),""))</f>
        <v/>
      </c>
      <c r="G723" s="67" t="str">
        <f aca="false">IF(OR($C723="",$D723=""),"",IFERROR($D723*INDEX(Mix_Eff,MATCH($C723,Mix_Code,0),2),""))</f>
        <v/>
      </c>
      <c r="H723" s="67" t="str">
        <f aca="false">IF(OR($C723="",$D723=""),"",IFERROR($D723*INDEX(Mix_Eff,MATCH($C723,Mix_Code,0),3),""))</f>
        <v/>
      </c>
      <c r="I723" s="67" t="str">
        <f aca="false">IF(OR($C723="",$D723=""),"",IFERROR($D723*INDEX(Mix_Eff,MATCH($C723,Mix_Code,0),4),""))</f>
        <v/>
      </c>
      <c r="J723" s="67" t="str">
        <f aca="false">IF(OR($C723="",$D723=""),"",IFERROR($D723*INDEX(Mix_Eff,MATCH($C723,Mix_Code,0),5),""))</f>
        <v/>
      </c>
      <c r="K723" s="63"/>
      <c r="L723" s="16" t="str">
        <f aca="false">IF(AND($A723="",$B723="",$C723="",$D723=""),"",IF($A723="","⚠ Date missing",IF($B723="","⚠ Site missing",IF(ISNA(MATCH($C723,Mix_Code,0)),"⚠ Unknown mix code",IF($D723="","⚠ Enter m3 produced",IF(COUNTIF(CI_Site,$B723)=0,"⚠ Site not set up in Current Inventory",IF($A723&gt;AsOfDate,"Future date – not yet deducted","OK")))))))</f>
        <v/>
      </c>
    </row>
    <row r="724" customFormat="false" ht="15" hidden="false" customHeight="false" outlineLevel="0" collapsed="false">
      <c r="A724" s="65"/>
      <c r="B724" s="63"/>
      <c r="C724" s="70"/>
      <c r="D724" s="66"/>
      <c r="E724" s="16" t="str">
        <f aca="false">IF($C724="","",IFERROR(INDEX(Mix_Desc,MATCH($C724,Mix_Code,0)),"⚠ Unknown mix code"))</f>
        <v/>
      </c>
      <c r="F724" s="67" t="str">
        <f aca="false">IF(OR($C724="",$D724=""),"",IFERROR($D724*INDEX(Mix_Eff,MATCH($C724,Mix_Code,0),1),""))</f>
        <v/>
      </c>
      <c r="G724" s="67" t="str">
        <f aca="false">IF(OR($C724="",$D724=""),"",IFERROR($D724*INDEX(Mix_Eff,MATCH($C724,Mix_Code,0),2),""))</f>
        <v/>
      </c>
      <c r="H724" s="67" t="str">
        <f aca="false">IF(OR($C724="",$D724=""),"",IFERROR($D724*INDEX(Mix_Eff,MATCH($C724,Mix_Code,0),3),""))</f>
        <v/>
      </c>
      <c r="I724" s="67" t="str">
        <f aca="false">IF(OR($C724="",$D724=""),"",IFERROR($D724*INDEX(Mix_Eff,MATCH($C724,Mix_Code,0),4),""))</f>
        <v/>
      </c>
      <c r="J724" s="67" t="str">
        <f aca="false">IF(OR($C724="",$D724=""),"",IFERROR($D724*INDEX(Mix_Eff,MATCH($C724,Mix_Code,0),5),""))</f>
        <v/>
      </c>
      <c r="K724" s="63"/>
      <c r="L724" s="16" t="str">
        <f aca="false">IF(AND($A724="",$B724="",$C724="",$D724=""),"",IF($A724="","⚠ Date missing",IF($B724="","⚠ Site missing",IF(ISNA(MATCH($C724,Mix_Code,0)),"⚠ Unknown mix code",IF($D724="","⚠ Enter m3 produced",IF(COUNTIF(CI_Site,$B724)=0,"⚠ Site not set up in Current Inventory",IF($A724&gt;AsOfDate,"Future date – not yet deducted","OK")))))))</f>
        <v/>
      </c>
    </row>
    <row r="725" customFormat="false" ht="15" hidden="false" customHeight="false" outlineLevel="0" collapsed="false">
      <c r="A725" s="65"/>
      <c r="B725" s="63"/>
      <c r="C725" s="70"/>
      <c r="D725" s="66"/>
      <c r="E725" s="16" t="str">
        <f aca="false">IF($C725="","",IFERROR(INDEX(Mix_Desc,MATCH($C725,Mix_Code,0)),"⚠ Unknown mix code"))</f>
        <v/>
      </c>
      <c r="F725" s="67" t="str">
        <f aca="false">IF(OR($C725="",$D725=""),"",IFERROR($D725*INDEX(Mix_Eff,MATCH($C725,Mix_Code,0),1),""))</f>
        <v/>
      </c>
      <c r="G725" s="67" t="str">
        <f aca="false">IF(OR($C725="",$D725=""),"",IFERROR($D725*INDEX(Mix_Eff,MATCH($C725,Mix_Code,0),2),""))</f>
        <v/>
      </c>
      <c r="H725" s="67" t="str">
        <f aca="false">IF(OR($C725="",$D725=""),"",IFERROR($D725*INDEX(Mix_Eff,MATCH($C725,Mix_Code,0),3),""))</f>
        <v/>
      </c>
      <c r="I725" s="67" t="str">
        <f aca="false">IF(OR($C725="",$D725=""),"",IFERROR($D725*INDEX(Mix_Eff,MATCH($C725,Mix_Code,0),4),""))</f>
        <v/>
      </c>
      <c r="J725" s="67" t="str">
        <f aca="false">IF(OR($C725="",$D725=""),"",IFERROR($D725*INDEX(Mix_Eff,MATCH($C725,Mix_Code,0),5),""))</f>
        <v/>
      </c>
      <c r="K725" s="63"/>
      <c r="L725" s="16" t="str">
        <f aca="false">IF(AND($A725="",$B725="",$C725="",$D725=""),"",IF($A725="","⚠ Date missing",IF($B725="","⚠ Site missing",IF(ISNA(MATCH($C725,Mix_Code,0)),"⚠ Unknown mix code",IF($D725="","⚠ Enter m3 produced",IF(COUNTIF(CI_Site,$B725)=0,"⚠ Site not set up in Current Inventory",IF($A725&gt;AsOfDate,"Future date – not yet deducted","OK")))))))</f>
        <v/>
      </c>
    </row>
    <row r="726" customFormat="false" ht="15" hidden="false" customHeight="false" outlineLevel="0" collapsed="false">
      <c r="A726" s="65"/>
      <c r="B726" s="63"/>
      <c r="C726" s="70"/>
      <c r="D726" s="66"/>
      <c r="E726" s="16" t="str">
        <f aca="false">IF($C726="","",IFERROR(INDEX(Mix_Desc,MATCH($C726,Mix_Code,0)),"⚠ Unknown mix code"))</f>
        <v/>
      </c>
      <c r="F726" s="67" t="str">
        <f aca="false">IF(OR($C726="",$D726=""),"",IFERROR($D726*INDEX(Mix_Eff,MATCH($C726,Mix_Code,0),1),""))</f>
        <v/>
      </c>
      <c r="G726" s="67" t="str">
        <f aca="false">IF(OR($C726="",$D726=""),"",IFERROR($D726*INDEX(Mix_Eff,MATCH($C726,Mix_Code,0),2),""))</f>
        <v/>
      </c>
      <c r="H726" s="67" t="str">
        <f aca="false">IF(OR($C726="",$D726=""),"",IFERROR($D726*INDEX(Mix_Eff,MATCH($C726,Mix_Code,0),3),""))</f>
        <v/>
      </c>
      <c r="I726" s="67" t="str">
        <f aca="false">IF(OR($C726="",$D726=""),"",IFERROR($D726*INDEX(Mix_Eff,MATCH($C726,Mix_Code,0),4),""))</f>
        <v/>
      </c>
      <c r="J726" s="67" t="str">
        <f aca="false">IF(OR($C726="",$D726=""),"",IFERROR($D726*INDEX(Mix_Eff,MATCH($C726,Mix_Code,0),5),""))</f>
        <v/>
      </c>
      <c r="K726" s="63"/>
      <c r="L726" s="16" t="str">
        <f aca="false">IF(AND($A726="",$B726="",$C726="",$D726=""),"",IF($A726="","⚠ Date missing",IF($B726="","⚠ Site missing",IF(ISNA(MATCH($C726,Mix_Code,0)),"⚠ Unknown mix code",IF($D726="","⚠ Enter m3 produced",IF(COUNTIF(CI_Site,$B726)=0,"⚠ Site not set up in Current Inventory",IF($A726&gt;AsOfDate,"Future date – not yet deducted","OK")))))))</f>
        <v/>
      </c>
    </row>
    <row r="727" customFormat="false" ht="15" hidden="false" customHeight="false" outlineLevel="0" collapsed="false">
      <c r="A727" s="65"/>
      <c r="B727" s="63"/>
      <c r="C727" s="70"/>
      <c r="D727" s="66"/>
      <c r="E727" s="16" t="str">
        <f aca="false">IF($C727="","",IFERROR(INDEX(Mix_Desc,MATCH($C727,Mix_Code,0)),"⚠ Unknown mix code"))</f>
        <v/>
      </c>
      <c r="F727" s="67" t="str">
        <f aca="false">IF(OR($C727="",$D727=""),"",IFERROR($D727*INDEX(Mix_Eff,MATCH($C727,Mix_Code,0),1),""))</f>
        <v/>
      </c>
      <c r="G727" s="67" t="str">
        <f aca="false">IF(OR($C727="",$D727=""),"",IFERROR($D727*INDEX(Mix_Eff,MATCH($C727,Mix_Code,0),2),""))</f>
        <v/>
      </c>
      <c r="H727" s="67" t="str">
        <f aca="false">IF(OR($C727="",$D727=""),"",IFERROR($D727*INDEX(Mix_Eff,MATCH($C727,Mix_Code,0),3),""))</f>
        <v/>
      </c>
      <c r="I727" s="67" t="str">
        <f aca="false">IF(OR($C727="",$D727=""),"",IFERROR($D727*INDEX(Mix_Eff,MATCH($C727,Mix_Code,0),4),""))</f>
        <v/>
      </c>
      <c r="J727" s="67" t="str">
        <f aca="false">IF(OR($C727="",$D727=""),"",IFERROR($D727*INDEX(Mix_Eff,MATCH($C727,Mix_Code,0),5),""))</f>
        <v/>
      </c>
      <c r="K727" s="63"/>
      <c r="L727" s="16" t="str">
        <f aca="false">IF(AND($A727="",$B727="",$C727="",$D727=""),"",IF($A727="","⚠ Date missing",IF($B727="","⚠ Site missing",IF(ISNA(MATCH($C727,Mix_Code,0)),"⚠ Unknown mix code",IF($D727="","⚠ Enter m3 produced",IF(COUNTIF(CI_Site,$B727)=0,"⚠ Site not set up in Current Inventory",IF($A727&gt;AsOfDate,"Future date – not yet deducted","OK")))))))</f>
        <v/>
      </c>
    </row>
    <row r="728" customFormat="false" ht="15" hidden="false" customHeight="false" outlineLevel="0" collapsed="false">
      <c r="A728" s="65"/>
      <c r="B728" s="63"/>
      <c r="C728" s="70"/>
      <c r="D728" s="66"/>
      <c r="E728" s="16" t="str">
        <f aca="false">IF($C728="","",IFERROR(INDEX(Mix_Desc,MATCH($C728,Mix_Code,0)),"⚠ Unknown mix code"))</f>
        <v/>
      </c>
      <c r="F728" s="67" t="str">
        <f aca="false">IF(OR($C728="",$D728=""),"",IFERROR($D728*INDEX(Mix_Eff,MATCH($C728,Mix_Code,0),1),""))</f>
        <v/>
      </c>
      <c r="G728" s="67" t="str">
        <f aca="false">IF(OR($C728="",$D728=""),"",IFERROR($D728*INDEX(Mix_Eff,MATCH($C728,Mix_Code,0),2),""))</f>
        <v/>
      </c>
      <c r="H728" s="67" t="str">
        <f aca="false">IF(OR($C728="",$D728=""),"",IFERROR($D728*INDEX(Mix_Eff,MATCH($C728,Mix_Code,0),3),""))</f>
        <v/>
      </c>
      <c r="I728" s="67" t="str">
        <f aca="false">IF(OR($C728="",$D728=""),"",IFERROR($D728*INDEX(Mix_Eff,MATCH($C728,Mix_Code,0),4),""))</f>
        <v/>
      </c>
      <c r="J728" s="67" t="str">
        <f aca="false">IF(OR($C728="",$D728=""),"",IFERROR($D728*INDEX(Mix_Eff,MATCH($C728,Mix_Code,0),5),""))</f>
        <v/>
      </c>
      <c r="K728" s="63"/>
      <c r="L728" s="16" t="str">
        <f aca="false">IF(AND($A728="",$B728="",$C728="",$D728=""),"",IF($A728="","⚠ Date missing",IF($B728="","⚠ Site missing",IF(ISNA(MATCH($C728,Mix_Code,0)),"⚠ Unknown mix code",IF($D728="","⚠ Enter m3 produced",IF(COUNTIF(CI_Site,$B728)=0,"⚠ Site not set up in Current Inventory",IF($A728&gt;AsOfDate,"Future date – not yet deducted","OK")))))))</f>
        <v/>
      </c>
    </row>
    <row r="729" customFormat="false" ht="15" hidden="false" customHeight="false" outlineLevel="0" collapsed="false">
      <c r="A729" s="65"/>
      <c r="B729" s="63"/>
      <c r="C729" s="70"/>
      <c r="D729" s="66"/>
      <c r="E729" s="16" t="str">
        <f aca="false">IF($C729="","",IFERROR(INDEX(Mix_Desc,MATCH($C729,Mix_Code,0)),"⚠ Unknown mix code"))</f>
        <v/>
      </c>
      <c r="F729" s="67" t="str">
        <f aca="false">IF(OR($C729="",$D729=""),"",IFERROR($D729*INDEX(Mix_Eff,MATCH($C729,Mix_Code,0),1),""))</f>
        <v/>
      </c>
      <c r="G729" s="67" t="str">
        <f aca="false">IF(OR($C729="",$D729=""),"",IFERROR($D729*INDEX(Mix_Eff,MATCH($C729,Mix_Code,0),2),""))</f>
        <v/>
      </c>
      <c r="H729" s="67" t="str">
        <f aca="false">IF(OR($C729="",$D729=""),"",IFERROR($D729*INDEX(Mix_Eff,MATCH($C729,Mix_Code,0),3),""))</f>
        <v/>
      </c>
      <c r="I729" s="67" t="str">
        <f aca="false">IF(OR($C729="",$D729=""),"",IFERROR($D729*INDEX(Mix_Eff,MATCH($C729,Mix_Code,0),4),""))</f>
        <v/>
      </c>
      <c r="J729" s="67" t="str">
        <f aca="false">IF(OR($C729="",$D729=""),"",IFERROR($D729*INDEX(Mix_Eff,MATCH($C729,Mix_Code,0),5),""))</f>
        <v/>
      </c>
      <c r="K729" s="63"/>
      <c r="L729" s="16" t="str">
        <f aca="false">IF(AND($A729="",$B729="",$C729="",$D729=""),"",IF($A729="","⚠ Date missing",IF($B729="","⚠ Site missing",IF(ISNA(MATCH($C729,Mix_Code,0)),"⚠ Unknown mix code",IF($D729="","⚠ Enter m3 produced",IF(COUNTIF(CI_Site,$B729)=0,"⚠ Site not set up in Current Inventory",IF($A729&gt;AsOfDate,"Future date – not yet deducted","OK")))))))</f>
        <v/>
      </c>
    </row>
    <row r="730" customFormat="false" ht="15" hidden="false" customHeight="false" outlineLevel="0" collapsed="false">
      <c r="A730" s="65"/>
      <c r="B730" s="63"/>
      <c r="C730" s="70"/>
      <c r="D730" s="66"/>
      <c r="E730" s="16" t="str">
        <f aca="false">IF($C730="","",IFERROR(INDEX(Mix_Desc,MATCH($C730,Mix_Code,0)),"⚠ Unknown mix code"))</f>
        <v/>
      </c>
      <c r="F730" s="67" t="str">
        <f aca="false">IF(OR($C730="",$D730=""),"",IFERROR($D730*INDEX(Mix_Eff,MATCH($C730,Mix_Code,0),1),""))</f>
        <v/>
      </c>
      <c r="G730" s="67" t="str">
        <f aca="false">IF(OR($C730="",$D730=""),"",IFERROR($D730*INDEX(Mix_Eff,MATCH($C730,Mix_Code,0),2),""))</f>
        <v/>
      </c>
      <c r="H730" s="67" t="str">
        <f aca="false">IF(OR($C730="",$D730=""),"",IFERROR($D730*INDEX(Mix_Eff,MATCH($C730,Mix_Code,0),3),""))</f>
        <v/>
      </c>
      <c r="I730" s="67" t="str">
        <f aca="false">IF(OR($C730="",$D730=""),"",IFERROR($D730*INDEX(Mix_Eff,MATCH($C730,Mix_Code,0),4),""))</f>
        <v/>
      </c>
      <c r="J730" s="67" t="str">
        <f aca="false">IF(OR($C730="",$D730=""),"",IFERROR($D730*INDEX(Mix_Eff,MATCH($C730,Mix_Code,0),5),""))</f>
        <v/>
      </c>
      <c r="K730" s="63"/>
      <c r="L730" s="16" t="str">
        <f aca="false">IF(AND($A730="",$B730="",$C730="",$D730=""),"",IF($A730="","⚠ Date missing",IF($B730="","⚠ Site missing",IF(ISNA(MATCH($C730,Mix_Code,0)),"⚠ Unknown mix code",IF($D730="","⚠ Enter m3 produced",IF(COUNTIF(CI_Site,$B730)=0,"⚠ Site not set up in Current Inventory",IF($A730&gt;AsOfDate,"Future date – not yet deducted","OK")))))))</f>
        <v/>
      </c>
    </row>
    <row r="731" customFormat="false" ht="15" hidden="false" customHeight="false" outlineLevel="0" collapsed="false">
      <c r="A731" s="65"/>
      <c r="B731" s="63"/>
      <c r="C731" s="70"/>
      <c r="D731" s="66"/>
      <c r="E731" s="16" t="str">
        <f aca="false">IF($C731="","",IFERROR(INDEX(Mix_Desc,MATCH($C731,Mix_Code,0)),"⚠ Unknown mix code"))</f>
        <v/>
      </c>
      <c r="F731" s="67" t="str">
        <f aca="false">IF(OR($C731="",$D731=""),"",IFERROR($D731*INDEX(Mix_Eff,MATCH($C731,Mix_Code,0),1),""))</f>
        <v/>
      </c>
      <c r="G731" s="67" t="str">
        <f aca="false">IF(OR($C731="",$D731=""),"",IFERROR($D731*INDEX(Mix_Eff,MATCH($C731,Mix_Code,0),2),""))</f>
        <v/>
      </c>
      <c r="H731" s="67" t="str">
        <f aca="false">IF(OR($C731="",$D731=""),"",IFERROR($D731*INDEX(Mix_Eff,MATCH($C731,Mix_Code,0),3),""))</f>
        <v/>
      </c>
      <c r="I731" s="67" t="str">
        <f aca="false">IF(OR($C731="",$D731=""),"",IFERROR($D731*INDEX(Mix_Eff,MATCH($C731,Mix_Code,0),4),""))</f>
        <v/>
      </c>
      <c r="J731" s="67" t="str">
        <f aca="false">IF(OR($C731="",$D731=""),"",IFERROR($D731*INDEX(Mix_Eff,MATCH($C731,Mix_Code,0),5),""))</f>
        <v/>
      </c>
      <c r="K731" s="63"/>
      <c r="L731" s="16" t="str">
        <f aca="false">IF(AND($A731="",$B731="",$C731="",$D731=""),"",IF($A731="","⚠ Date missing",IF($B731="","⚠ Site missing",IF(ISNA(MATCH($C731,Mix_Code,0)),"⚠ Unknown mix code",IF($D731="","⚠ Enter m3 produced",IF(COUNTIF(CI_Site,$B731)=0,"⚠ Site not set up in Current Inventory",IF($A731&gt;AsOfDate,"Future date – not yet deducted","OK")))))))</f>
        <v/>
      </c>
    </row>
    <row r="732" customFormat="false" ht="15" hidden="false" customHeight="false" outlineLevel="0" collapsed="false">
      <c r="A732" s="65"/>
      <c r="B732" s="63"/>
      <c r="C732" s="70"/>
      <c r="D732" s="66"/>
      <c r="E732" s="16" t="str">
        <f aca="false">IF($C732="","",IFERROR(INDEX(Mix_Desc,MATCH($C732,Mix_Code,0)),"⚠ Unknown mix code"))</f>
        <v/>
      </c>
      <c r="F732" s="67" t="str">
        <f aca="false">IF(OR($C732="",$D732=""),"",IFERROR($D732*INDEX(Mix_Eff,MATCH($C732,Mix_Code,0),1),""))</f>
        <v/>
      </c>
      <c r="G732" s="67" t="str">
        <f aca="false">IF(OR($C732="",$D732=""),"",IFERROR($D732*INDEX(Mix_Eff,MATCH($C732,Mix_Code,0),2),""))</f>
        <v/>
      </c>
      <c r="H732" s="67" t="str">
        <f aca="false">IF(OR($C732="",$D732=""),"",IFERROR($D732*INDEX(Mix_Eff,MATCH($C732,Mix_Code,0),3),""))</f>
        <v/>
      </c>
      <c r="I732" s="67" t="str">
        <f aca="false">IF(OR($C732="",$D732=""),"",IFERROR($D732*INDEX(Mix_Eff,MATCH($C732,Mix_Code,0),4),""))</f>
        <v/>
      </c>
      <c r="J732" s="67" t="str">
        <f aca="false">IF(OR($C732="",$D732=""),"",IFERROR($D732*INDEX(Mix_Eff,MATCH($C732,Mix_Code,0),5),""))</f>
        <v/>
      </c>
      <c r="K732" s="63"/>
      <c r="L732" s="16" t="str">
        <f aca="false">IF(AND($A732="",$B732="",$C732="",$D732=""),"",IF($A732="","⚠ Date missing",IF($B732="","⚠ Site missing",IF(ISNA(MATCH($C732,Mix_Code,0)),"⚠ Unknown mix code",IF($D732="","⚠ Enter m3 produced",IF(COUNTIF(CI_Site,$B732)=0,"⚠ Site not set up in Current Inventory",IF($A732&gt;AsOfDate,"Future date – not yet deducted","OK")))))))</f>
        <v/>
      </c>
    </row>
    <row r="733" customFormat="false" ht="15" hidden="false" customHeight="false" outlineLevel="0" collapsed="false">
      <c r="A733" s="65"/>
      <c r="B733" s="63"/>
      <c r="C733" s="70"/>
      <c r="D733" s="66"/>
      <c r="E733" s="16" t="str">
        <f aca="false">IF($C733="","",IFERROR(INDEX(Mix_Desc,MATCH($C733,Mix_Code,0)),"⚠ Unknown mix code"))</f>
        <v/>
      </c>
      <c r="F733" s="67" t="str">
        <f aca="false">IF(OR($C733="",$D733=""),"",IFERROR($D733*INDEX(Mix_Eff,MATCH($C733,Mix_Code,0),1),""))</f>
        <v/>
      </c>
      <c r="G733" s="67" t="str">
        <f aca="false">IF(OR($C733="",$D733=""),"",IFERROR($D733*INDEX(Mix_Eff,MATCH($C733,Mix_Code,0),2),""))</f>
        <v/>
      </c>
      <c r="H733" s="67" t="str">
        <f aca="false">IF(OR($C733="",$D733=""),"",IFERROR($D733*INDEX(Mix_Eff,MATCH($C733,Mix_Code,0),3),""))</f>
        <v/>
      </c>
      <c r="I733" s="67" t="str">
        <f aca="false">IF(OR($C733="",$D733=""),"",IFERROR($D733*INDEX(Mix_Eff,MATCH($C733,Mix_Code,0),4),""))</f>
        <v/>
      </c>
      <c r="J733" s="67" t="str">
        <f aca="false">IF(OR($C733="",$D733=""),"",IFERROR($D733*INDEX(Mix_Eff,MATCH($C733,Mix_Code,0),5),""))</f>
        <v/>
      </c>
      <c r="K733" s="63"/>
      <c r="L733" s="16" t="str">
        <f aca="false">IF(AND($A733="",$B733="",$C733="",$D733=""),"",IF($A733="","⚠ Date missing",IF($B733="","⚠ Site missing",IF(ISNA(MATCH($C733,Mix_Code,0)),"⚠ Unknown mix code",IF($D733="","⚠ Enter m3 produced",IF(COUNTIF(CI_Site,$B733)=0,"⚠ Site not set up in Current Inventory",IF($A733&gt;AsOfDate,"Future date – not yet deducted","OK")))))))</f>
        <v/>
      </c>
    </row>
    <row r="734" customFormat="false" ht="15" hidden="false" customHeight="false" outlineLevel="0" collapsed="false">
      <c r="A734" s="65"/>
      <c r="B734" s="63"/>
      <c r="C734" s="70"/>
      <c r="D734" s="66"/>
      <c r="E734" s="16" t="str">
        <f aca="false">IF($C734="","",IFERROR(INDEX(Mix_Desc,MATCH($C734,Mix_Code,0)),"⚠ Unknown mix code"))</f>
        <v/>
      </c>
      <c r="F734" s="67" t="str">
        <f aca="false">IF(OR($C734="",$D734=""),"",IFERROR($D734*INDEX(Mix_Eff,MATCH($C734,Mix_Code,0),1),""))</f>
        <v/>
      </c>
      <c r="G734" s="67" t="str">
        <f aca="false">IF(OR($C734="",$D734=""),"",IFERROR($D734*INDEX(Mix_Eff,MATCH($C734,Mix_Code,0),2),""))</f>
        <v/>
      </c>
      <c r="H734" s="67" t="str">
        <f aca="false">IF(OR($C734="",$D734=""),"",IFERROR($D734*INDEX(Mix_Eff,MATCH($C734,Mix_Code,0),3),""))</f>
        <v/>
      </c>
      <c r="I734" s="67" t="str">
        <f aca="false">IF(OR($C734="",$D734=""),"",IFERROR($D734*INDEX(Mix_Eff,MATCH($C734,Mix_Code,0),4),""))</f>
        <v/>
      </c>
      <c r="J734" s="67" t="str">
        <f aca="false">IF(OR($C734="",$D734=""),"",IFERROR($D734*INDEX(Mix_Eff,MATCH($C734,Mix_Code,0),5),""))</f>
        <v/>
      </c>
      <c r="K734" s="63"/>
      <c r="L734" s="16" t="str">
        <f aca="false">IF(AND($A734="",$B734="",$C734="",$D734=""),"",IF($A734="","⚠ Date missing",IF($B734="","⚠ Site missing",IF(ISNA(MATCH($C734,Mix_Code,0)),"⚠ Unknown mix code",IF($D734="","⚠ Enter m3 produced",IF(COUNTIF(CI_Site,$B734)=0,"⚠ Site not set up in Current Inventory",IF($A734&gt;AsOfDate,"Future date – not yet deducted","OK")))))))</f>
        <v/>
      </c>
    </row>
    <row r="735" customFormat="false" ht="15" hidden="false" customHeight="false" outlineLevel="0" collapsed="false">
      <c r="A735" s="65"/>
      <c r="B735" s="63"/>
      <c r="C735" s="70"/>
      <c r="D735" s="66"/>
      <c r="E735" s="16" t="str">
        <f aca="false">IF($C735="","",IFERROR(INDEX(Mix_Desc,MATCH($C735,Mix_Code,0)),"⚠ Unknown mix code"))</f>
        <v/>
      </c>
      <c r="F735" s="67" t="str">
        <f aca="false">IF(OR($C735="",$D735=""),"",IFERROR($D735*INDEX(Mix_Eff,MATCH($C735,Mix_Code,0),1),""))</f>
        <v/>
      </c>
      <c r="G735" s="67" t="str">
        <f aca="false">IF(OR($C735="",$D735=""),"",IFERROR($D735*INDEX(Mix_Eff,MATCH($C735,Mix_Code,0),2),""))</f>
        <v/>
      </c>
      <c r="H735" s="67" t="str">
        <f aca="false">IF(OR($C735="",$D735=""),"",IFERROR($D735*INDEX(Mix_Eff,MATCH($C735,Mix_Code,0),3),""))</f>
        <v/>
      </c>
      <c r="I735" s="67" t="str">
        <f aca="false">IF(OR($C735="",$D735=""),"",IFERROR($D735*INDEX(Mix_Eff,MATCH($C735,Mix_Code,0),4),""))</f>
        <v/>
      </c>
      <c r="J735" s="67" t="str">
        <f aca="false">IF(OR($C735="",$D735=""),"",IFERROR($D735*INDEX(Mix_Eff,MATCH($C735,Mix_Code,0),5),""))</f>
        <v/>
      </c>
      <c r="K735" s="63"/>
      <c r="L735" s="16" t="str">
        <f aca="false">IF(AND($A735="",$B735="",$C735="",$D735=""),"",IF($A735="","⚠ Date missing",IF($B735="","⚠ Site missing",IF(ISNA(MATCH($C735,Mix_Code,0)),"⚠ Unknown mix code",IF($D735="","⚠ Enter m3 produced",IF(COUNTIF(CI_Site,$B735)=0,"⚠ Site not set up in Current Inventory",IF($A735&gt;AsOfDate,"Future date – not yet deducted","OK")))))))</f>
        <v/>
      </c>
    </row>
    <row r="736" customFormat="false" ht="15" hidden="false" customHeight="false" outlineLevel="0" collapsed="false">
      <c r="A736" s="65"/>
      <c r="B736" s="63"/>
      <c r="C736" s="70"/>
      <c r="D736" s="66"/>
      <c r="E736" s="16" t="str">
        <f aca="false">IF($C736="","",IFERROR(INDEX(Mix_Desc,MATCH($C736,Mix_Code,0)),"⚠ Unknown mix code"))</f>
        <v/>
      </c>
      <c r="F736" s="67" t="str">
        <f aca="false">IF(OR($C736="",$D736=""),"",IFERROR($D736*INDEX(Mix_Eff,MATCH($C736,Mix_Code,0),1),""))</f>
        <v/>
      </c>
      <c r="G736" s="67" t="str">
        <f aca="false">IF(OR($C736="",$D736=""),"",IFERROR($D736*INDEX(Mix_Eff,MATCH($C736,Mix_Code,0),2),""))</f>
        <v/>
      </c>
      <c r="H736" s="67" t="str">
        <f aca="false">IF(OR($C736="",$D736=""),"",IFERROR($D736*INDEX(Mix_Eff,MATCH($C736,Mix_Code,0),3),""))</f>
        <v/>
      </c>
      <c r="I736" s="67" t="str">
        <f aca="false">IF(OR($C736="",$D736=""),"",IFERROR($D736*INDEX(Mix_Eff,MATCH($C736,Mix_Code,0),4),""))</f>
        <v/>
      </c>
      <c r="J736" s="67" t="str">
        <f aca="false">IF(OR($C736="",$D736=""),"",IFERROR($D736*INDEX(Mix_Eff,MATCH($C736,Mix_Code,0),5),""))</f>
        <v/>
      </c>
      <c r="K736" s="63"/>
      <c r="L736" s="16" t="str">
        <f aca="false">IF(AND($A736="",$B736="",$C736="",$D736=""),"",IF($A736="","⚠ Date missing",IF($B736="","⚠ Site missing",IF(ISNA(MATCH($C736,Mix_Code,0)),"⚠ Unknown mix code",IF($D736="","⚠ Enter m3 produced",IF(COUNTIF(CI_Site,$B736)=0,"⚠ Site not set up in Current Inventory",IF($A736&gt;AsOfDate,"Future date – not yet deducted","OK")))))))</f>
        <v/>
      </c>
    </row>
    <row r="737" customFormat="false" ht="15" hidden="false" customHeight="false" outlineLevel="0" collapsed="false">
      <c r="A737" s="65"/>
      <c r="B737" s="63"/>
      <c r="C737" s="70"/>
      <c r="D737" s="66"/>
      <c r="E737" s="16" t="str">
        <f aca="false">IF($C737="","",IFERROR(INDEX(Mix_Desc,MATCH($C737,Mix_Code,0)),"⚠ Unknown mix code"))</f>
        <v/>
      </c>
      <c r="F737" s="67" t="str">
        <f aca="false">IF(OR($C737="",$D737=""),"",IFERROR($D737*INDEX(Mix_Eff,MATCH($C737,Mix_Code,0),1),""))</f>
        <v/>
      </c>
      <c r="G737" s="67" t="str">
        <f aca="false">IF(OR($C737="",$D737=""),"",IFERROR($D737*INDEX(Mix_Eff,MATCH($C737,Mix_Code,0),2),""))</f>
        <v/>
      </c>
      <c r="H737" s="67" t="str">
        <f aca="false">IF(OR($C737="",$D737=""),"",IFERROR($D737*INDEX(Mix_Eff,MATCH($C737,Mix_Code,0),3),""))</f>
        <v/>
      </c>
      <c r="I737" s="67" t="str">
        <f aca="false">IF(OR($C737="",$D737=""),"",IFERROR($D737*INDEX(Mix_Eff,MATCH($C737,Mix_Code,0),4),""))</f>
        <v/>
      </c>
      <c r="J737" s="67" t="str">
        <f aca="false">IF(OR($C737="",$D737=""),"",IFERROR($D737*INDEX(Mix_Eff,MATCH($C737,Mix_Code,0),5),""))</f>
        <v/>
      </c>
      <c r="K737" s="63"/>
      <c r="L737" s="16" t="str">
        <f aca="false">IF(AND($A737="",$B737="",$C737="",$D737=""),"",IF($A737="","⚠ Date missing",IF($B737="","⚠ Site missing",IF(ISNA(MATCH($C737,Mix_Code,0)),"⚠ Unknown mix code",IF($D737="","⚠ Enter m3 produced",IF(COUNTIF(CI_Site,$B737)=0,"⚠ Site not set up in Current Inventory",IF($A737&gt;AsOfDate,"Future date – not yet deducted","OK")))))))</f>
        <v/>
      </c>
    </row>
    <row r="738" customFormat="false" ht="15" hidden="false" customHeight="false" outlineLevel="0" collapsed="false">
      <c r="A738" s="65"/>
      <c r="B738" s="63"/>
      <c r="C738" s="70"/>
      <c r="D738" s="66"/>
      <c r="E738" s="16" t="str">
        <f aca="false">IF($C738="","",IFERROR(INDEX(Mix_Desc,MATCH($C738,Mix_Code,0)),"⚠ Unknown mix code"))</f>
        <v/>
      </c>
      <c r="F738" s="67" t="str">
        <f aca="false">IF(OR($C738="",$D738=""),"",IFERROR($D738*INDEX(Mix_Eff,MATCH($C738,Mix_Code,0),1),""))</f>
        <v/>
      </c>
      <c r="G738" s="67" t="str">
        <f aca="false">IF(OR($C738="",$D738=""),"",IFERROR($D738*INDEX(Mix_Eff,MATCH($C738,Mix_Code,0),2),""))</f>
        <v/>
      </c>
      <c r="H738" s="67" t="str">
        <f aca="false">IF(OR($C738="",$D738=""),"",IFERROR($D738*INDEX(Mix_Eff,MATCH($C738,Mix_Code,0),3),""))</f>
        <v/>
      </c>
      <c r="I738" s="67" t="str">
        <f aca="false">IF(OR($C738="",$D738=""),"",IFERROR($D738*INDEX(Mix_Eff,MATCH($C738,Mix_Code,0),4),""))</f>
        <v/>
      </c>
      <c r="J738" s="67" t="str">
        <f aca="false">IF(OR($C738="",$D738=""),"",IFERROR($D738*INDEX(Mix_Eff,MATCH($C738,Mix_Code,0),5),""))</f>
        <v/>
      </c>
      <c r="K738" s="63"/>
      <c r="L738" s="16" t="str">
        <f aca="false">IF(AND($A738="",$B738="",$C738="",$D738=""),"",IF($A738="","⚠ Date missing",IF($B738="","⚠ Site missing",IF(ISNA(MATCH($C738,Mix_Code,0)),"⚠ Unknown mix code",IF($D738="","⚠ Enter m3 produced",IF(COUNTIF(CI_Site,$B738)=0,"⚠ Site not set up in Current Inventory",IF($A738&gt;AsOfDate,"Future date – not yet deducted","OK")))))))</f>
        <v/>
      </c>
    </row>
    <row r="739" customFormat="false" ht="15" hidden="false" customHeight="false" outlineLevel="0" collapsed="false">
      <c r="A739" s="65"/>
      <c r="B739" s="63"/>
      <c r="C739" s="70"/>
      <c r="D739" s="66"/>
      <c r="E739" s="16" t="str">
        <f aca="false">IF($C739="","",IFERROR(INDEX(Mix_Desc,MATCH($C739,Mix_Code,0)),"⚠ Unknown mix code"))</f>
        <v/>
      </c>
      <c r="F739" s="67" t="str">
        <f aca="false">IF(OR($C739="",$D739=""),"",IFERROR($D739*INDEX(Mix_Eff,MATCH($C739,Mix_Code,0),1),""))</f>
        <v/>
      </c>
      <c r="G739" s="67" t="str">
        <f aca="false">IF(OR($C739="",$D739=""),"",IFERROR($D739*INDEX(Mix_Eff,MATCH($C739,Mix_Code,0),2),""))</f>
        <v/>
      </c>
      <c r="H739" s="67" t="str">
        <f aca="false">IF(OR($C739="",$D739=""),"",IFERROR($D739*INDEX(Mix_Eff,MATCH($C739,Mix_Code,0),3),""))</f>
        <v/>
      </c>
      <c r="I739" s="67" t="str">
        <f aca="false">IF(OR($C739="",$D739=""),"",IFERROR($D739*INDEX(Mix_Eff,MATCH($C739,Mix_Code,0),4),""))</f>
        <v/>
      </c>
      <c r="J739" s="67" t="str">
        <f aca="false">IF(OR($C739="",$D739=""),"",IFERROR($D739*INDEX(Mix_Eff,MATCH($C739,Mix_Code,0),5),""))</f>
        <v/>
      </c>
      <c r="K739" s="63"/>
      <c r="L739" s="16" t="str">
        <f aca="false">IF(AND($A739="",$B739="",$C739="",$D739=""),"",IF($A739="","⚠ Date missing",IF($B739="","⚠ Site missing",IF(ISNA(MATCH($C739,Mix_Code,0)),"⚠ Unknown mix code",IF($D739="","⚠ Enter m3 produced",IF(COUNTIF(CI_Site,$B739)=0,"⚠ Site not set up in Current Inventory",IF($A739&gt;AsOfDate,"Future date – not yet deducted","OK")))))))</f>
        <v/>
      </c>
    </row>
    <row r="740" customFormat="false" ht="15" hidden="false" customHeight="false" outlineLevel="0" collapsed="false">
      <c r="A740" s="65"/>
      <c r="B740" s="63"/>
      <c r="C740" s="70"/>
      <c r="D740" s="66"/>
      <c r="E740" s="16" t="str">
        <f aca="false">IF($C740="","",IFERROR(INDEX(Mix_Desc,MATCH($C740,Mix_Code,0)),"⚠ Unknown mix code"))</f>
        <v/>
      </c>
      <c r="F740" s="67" t="str">
        <f aca="false">IF(OR($C740="",$D740=""),"",IFERROR($D740*INDEX(Mix_Eff,MATCH($C740,Mix_Code,0),1),""))</f>
        <v/>
      </c>
      <c r="G740" s="67" t="str">
        <f aca="false">IF(OR($C740="",$D740=""),"",IFERROR($D740*INDEX(Mix_Eff,MATCH($C740,Mix_Code,0),2),""))</f>
        <v/>
      </c>
      <c r="H740" s="67" t="str">
        <f aca="false">IF(OR($C740="",$D740=""),"",IFERROR($D740*INDEX(Mix_Eff,MATCH($C740,Mix_Code,0),3),""))</f>
        <v/>
      </c>
      <c r="I740" s="67" t="str">
        <f aca="false">IF(OR($C740="",$D740=""),"",IFERROR($D740*INDEX(Mix_Eff,MATCH($C740,Mix_Code,0),4),""))</f>
        <v/>
      </c>
      <c r="J740" s="67" t="str">
        <f aca="false">IF(OR($C740="",$D740=""),"",IFERROR($D740*INDEX(Mix_Eff,MATCH($C740,Mix_Code,0),5),""))</f>
        <v/>
      </c>
      <c r="K740" s="63"/>
      <c r="L740" s="16" t="str">
        <f aca="false">IF(AND($A740="",$B740="",$C740="",$D740=""),"",IF($A740="","⚠ Date missing",IF($B740="","⚠ Site missing",IF(ISNA(MATCH($C740,Mix_Code,0)),"⚠ Unknown mix code",IF($D740="","⚠ Enter m3 produced",IF(COUNTIF(CI_Site,$B740)=0,"⚠ Site not set up in Current Inventory",IF($A740&gt;AsOfDate,"Future date – not yet deducted","OK")))))))</f>
        <v/>
      </c>
    </row>
    <row r="741" customFormat="false" ht="15" hidden="false" customHeight="false" outlineLevel="0" collapsed="false">
      <c r="A741" s="65"/>
      <c r="B741" s="63"/>
      <c r="C741" s="70"/>
      <c r="D741" s="66"/>
      <c r="E741" s="16" t="str">
        <f aca="false">IF($C741="","",IFERROR(INDEX(Mix_Desc,MATCH($C741,Mix_Code,0)),"⚠ Unknown mix code"))</f>
        <v/>
      </c>
      <c r="F741" s="67" t="str">
        <f aca="false">IF(OR($C741="",$D741=""),"",IFERROR($D741*INDEX(Mix_Eff,MATCH($C741,Mix_Code,0),1),""))</f>
        <v/>
      </c>
      <c r="G741" s="67" t="str">
        <f aca="false">IF(OR($C741="",$D741=""),"",IFERROR($D741*INDEX(Mix_Eff,MATCH($C741,Mix_Code,0),2),""))</f>
        <v/>
      </c>
      <c r="H741" s="67" t="str">
        <f aca="false">IF(OR($C741="",$D741=""),"",IFERROR($D741*INDEX(Mix_Eff,MATCH($C741,Mix_Code,0),3),""))</f>
        <v/>
      </c>
      <c r="I741" s="67" t="str">
        <f aca="false">IF(OR($C741="",$D741=""),"",IFERROR($D741*INDEX(Mix_Eff,MATCH($C741,Mix_Code,0),4),""))</f>
        <v/>
      </c>
      <c r="J741" s="67" t="str">
        <f aca="false">IF(OR($C741="",$D741=""),"",IFERROR($D741*INDEX(Mix_Eff,MATCH($C741,Mix_Code,0),5),""))</f>
        <v/>
      </c>
      <c r="K741" s="63"/>
      <c r="L741" s="16" t="str">
        <f aca="false">IF(AND($A741="",$B741="",$C741="",$D741=""),"",IF($A741="","⚠ Date missing",IF($B741="","⚠ Site missing",IF(ISNA(MATCH($C741,Mix_Code,0)),"⚠ Unknown mix code",IF($D741="","⚠ Enter m3 produced",IF(COUNTIF(CI_Site,$B741)=0,"⚠ Site not set up in Current Inventory",IF($A741&gt;AsOfDate,"Future date – not yet deducted","OK")))))))</f>
        <v/>
      </c>
    </row>
    <row r="742" customFormat="false" ht="15" hidden="false" customHeight="false" outlineLevel="0" collapsed="false">
      <c r="A742" s="65"/>
      <c r="B742" s="63"/>
      <c r="C742" s="70"/>
      <c r="D742" s="66"/>
      <c r="E742" s="16" t="str">
        <f aca="false">IF($C742="","",IFERROR(INDEX(Mix_Desc,MATCH($C742,Mix_Code,0)),"⚠ Unknown mix code"))</f>
        <v/>
      </c>
      <c r="F742" s="67" t="str">
        <f aca="false">IF(OR($C742="",$D742=""),"",IFERROR($D742*INDEX(Mix_Eff,MATCH($C742,Mix_Code,0),1),""))</f>
        <v/>
      </c>
      <c r="G742" s="67" t="str">
        <f aca="false">IF(OR($C742="",$D742=""),"",IFERROR($D742*INDEX(Mix_Eff,MATCH($C742,Mix_Code,0),2),""))</f>
        <v/>
      </c>
      <c r="H742" s="67" t="str">
        <f aca="false">IF(OR($C742="",$D742=""),"",IFERROR($D742*INDEX(Mix_Eff,MATCH($C742,Mix_Code,0),3),""))</f>
        <v/>
      </c>
      <c r="I742" s="67" t="str">
        <f aca="false">IF(OR($C742="",$D742=""),"",IFERROR($D742*INDEX(Mix_Eff,MATCH($C742,Mix_Code,0),4),""))</f>
        <v/>
      </c>
      <c r="J742" s="67" t="str">
        <f aca="false">IF(OR($C742="",$D742=""),"",IFERROR($D742*INDEX(Mix_Eff,MATCH($C742,Mix_Code,0),5),""))</f>
        <v/>
      </c>
      <c r="K742" s="63"/>
      <c r="L742" s="16" t="str">
        <f aca="false">IF(AND($A742="",$B742="",$C742="",$D742=""),"",IF($A742="","⚠ Date missing",IF($B742="","⚠ Site missing",IF(ISNA(MATCH($C742,Mix_Code,0)),"⚠ Unknown mix code",IF($D742="","⚠ Enter m3 produced",IF(COUNTIF(CI_Site,$B742)=0,"⚠ Site not set up in Current Inventory",IF($A742&gt;AsOfDate,"Future date – not yet deducted","OK")))))))</f>
        <v/>
      </c>
    </row>
    <row r="743" customFormat="false" ht="15" hidden="false" customHeight="false" outlineLevel="0" collapsed="false">
      <c r="A743" s="65"/>
      <c r="B743" s="63"/>
      <c r="C743" s="70"/>
      <c r="D743" s="66"/>
      <c r="E743" s="16" t="str">
        <f aca="false">IF($C743="","",IFERROR(INDEX(Mix_Desc,MATCH($C743,Mix_Code,0)),"⚠ Unknown mix code"))</f>
        <v/>
      </c>
      <c r="F743" s="67" t="str">
        <f aca="false">IF(OR($C743="",$D743=""),"",IFERROR($D743*INDEX(Mix_Eff,MATCH($C743,Mix_Code,0),1),""))</f>
        <v/>
      </c>
      <c r="G743" s="67" t="str">
        <f aca="false">IF(OR($C743="",$D743=""),"",IFERROR($D743*INDEX(Mix_Eff,MATCH($C743,Mix_Code,0),2),""))</f>
        <v/>
      </c>
      <c r="H743" s="67" t="str">
        <f aca="false">IF(OR($C743="",$D743=""),"",IFERROR($D743*INDEX(Mix_Eff,MATCH($C743,Mix_Code,0),3),""))</f>
        <v/>
      </c>
      <c r="I743" s="67" t="str">
        <f aca="false">IF(OR($C743="",$D743=""),"",IFERROR($D743*INDEX(Mix_Eff,MATCH($C743,Mix_Code,0),4),""))</f>
        <v/>
      </c>
      <c r="J743" s="67" t="str">
        <f aca="false">IF(OR($C743="",$D743=""),"",IFERROR($D743*INDEX(Mix_Eff,MATCH($C743,Mix_Code,0),5),""))</f>
        <v/>
      </c>
      <c r="K743" s="63"/>
      <c r="L743" s="16" t="str">
        <f aca="false">IF(AND($A743="",$B743="",$C743="",$D743=""),"",IF($A743="","⚠ Date missing",IF($B743="","⚠ Site missing",IF(ISNA(MATCH($C743,Mix_Code,0)),"⚠ Unknown mix code",IF($D743="","⚠ Enter m3 produced",IF(COUNTIF(CI_Site,$B743)=0,"⚠ Site not set up in Current Inventory",IF($A743&gt;AsOfDate,"Future date – not yet deducted","OK")))))))</f>
        <v/>
      </c>
    </row>
    <row r="744" customFormat="false" ht="15" hidden="false" customHeight="false" outlineLevel="0" collapsed="false">
      <c r="A744" s="65"/>
      <c r="B744" s="63"/>
      <c r="C744" s="70"/>
      <c r="D744" s="66"/>
      <c r="E744" s="16" t="str">
        <f aca="false">IF($C744="","",IFERROR(INDEX(Mix_Desc,MATCH($C744,Mix_Code,0)),"⚠ Unknown mix code"))</f>
        <v/>
      </c>
      <c r="F744" s="67" t="str">
        <f aca="false">IF(OR($C744="",$D744=""),"",IFERROR($D744*INDEX(Mix_Eff,MATCH($C744,Mix_Code,0),1),""))</f>
        <v/>
      </c>
      <c r="G744" s="67" t="str">
        <f aca="false">IF(OR($C744="",$D744=""),"",IFERROR($D744*INDEX(Mix_Eff,MATCH($C744,Mix_Code,0),2),""))</f>
        <v/>
      </c>
      <c r="H744" s="67" t="str">
        <f aca="false">IF(OR($C744="",$D744=""),"",IFERROR($D744*INDEX(Mix_Eff,MATCH($C744,Mix_Code,0),3),""))</f>
        <v/>
      </c>
      <c r="I744" s="67" t="str">
        <f aca="false">IF(OR($C744="",$D744=""),"",IFERROR($D744*INDEX(Mix_Eff,MATCH($C744,Mix_Code,0),4),""))</f>
        <v/>
      </c>
      <c r="J744" s="67" t="str">
        <f aca="false">IF(OR($C744="",$D744=""),"",IFERROR($D744*INDEX(Mix_Eff,MATCH($C744,Mix_Code,0),5),""))</f>
        <v/>
      </c>
      <c r="K744" s="63"/>
      <c r="L744" s="16" t="str">
        <f aca="false">IF(AND($A744="",$B744="",$C744="",$D744=""),"",IF($A744="","⚠ Date missing",IF($B744="","⚠ Site missing",IF(ISNA(MATCH($C744,Mix_Code,0)),"⚠ Unknown mix code",IF($D744="","⚠ Enter m3 produced",IF(COUNTIF(CI_Site,$B744)=0,"⚠ Site not set up in Current Inventory",IF($A744&gt;AsOfDate,"Future date – not yet deducted","OK")))))))</f>
        <v/>
      </c>
    </row>
    <row r="745" customFormat="false" ht="15" hidden="false" customHeight="false" outlineLevel="0" collapsed="false">
      <c r="A745" s="65"/>
      <c r="B745" s="63"/>
      <c r="C745" s="70"/>
      <c r="D745" s="66"/>
      <c r="E745" s="16" t="str">
        <f aca="false">IF($C745="","",IFERROR(INDEX(Mix_Desc,MATCH($C745,Mix_Code,0)),"⚠ Unknown mix code"))</f>
        <v/>
      </c>
      <c r="F745" s="67" t="str">
        <f aca="false">IF(OR($C745="",$D745=""),"",IFERROR($D745*INDEX(Mix_Eff,MATCH($C745,Mix_Code,0),1),""))</f>
        <v/>
      </c>
      <c r="G745" s="67" t="str">
        <f aca="false">IF(OR($C745="",$D745=""),"",IFERROR($D745*INDEX(Mix_Eff,MATCH($C745,Mix_Code,0),2),""))</f>
        <v/>
      </c>
      <c r="H745" s="67" t="str">
        <f aca="false">IF(OR($C745="",$D745=""),"",IFERROR($D745*INDEX(Mix_Eff,MATCH($C745,Mix_Code,0),3),""))</f>
        <v/>
      </c>
      <c r="I745" s="67" t="str">
        <f aca="false">IF(OR($C745="",$D745=""),"",IFERROR($D745*INDEX(Mix_Eff,MATCH($C745,Mix_Code,0),4),""))</f>
        <v/>
      </c>
      <c r="J745" s="67" t="str">
        <f aca="false">IF(OR($C745="",$D745=""),"",IFERROR($D745*INDEX(Mix_Eff,MATCH($C745,Mix_Code,0),5),""))</f>
        <v/>
      </c>
      <c r="K745" s="63"/>
      <c r="L745" s="16" t="str">
        <f aca="false">IF(AND($A745="",$B745="",$C745="",$D745=""),"",IF($A745="","⚠ Date missing",IF($B745="","⚠ Site missing",IF(ISNA(MATCH($C745,Mix_Code,0)),"⚠ Unknown mix code",IF($D745="","⚠ Enter m3 produced",IF(COUNTIF(CI_Site,$B745)=0,"⚠ Site not set up in Current Inventory",IF($A745&gt;AsOfDate,"Future date – not yet deducted","OK")))))))</f>
        <v/>
      </c>
    </row>
    <row r="746" customFormat="false" ht="15" hidden="false" customHeight="false" outlineLevel="0" collapsed="false">
      <c r="A746" s="65"/>
      <c r="B746" s="63"/>
      <c r="C746" s="70"/>
      <c r="D746" s="66"/>
      <c r="E746" s="16" t="str">
        <f aca="false">IF($C746="","",IFERROR(INDEX(Mix_Desc,MATCH($C746,Mix_Code,0)),"⚠ Unknown mix code"))</f>
        <v/>
      </c>
      <c r="F746" s="67" t="str">
        <f aca="false">IF(OR($C746="",$D746=""),"",IFERROR($D746*INDEX(Mix_Eff,MATCH($C746,Mix_Code,0),1),""))</f>
        <v/>
      </c>
      <c r="G746" s="67" t="str">
        <f aca="false">IF(OR($C746="",$D746=""),"",IFERROR($D746*INDEX(Mix_Eff,MATCH($C746,Mix_Code,0),2),""))</f>
        <v/>
      </c>
      <c r="H746" s="67" t="str">
        <f aca="false">IF(OR($C746="",$D746=""),"",IFERROR($D746*INDEX(Mix_Eff,MATCH($C746,Mix_Code,0),3),""))</f>
        <v/>
      </c>
      <c r="I746" s="67" t="str">
        <f aca="false">IF(OR($C746="",$D746=""),"",IFERROR($D746*INDEX(Mix_Eff,MATCH($C746,Mix_Code,0),4),""))</f>
        <v/>
      </c>
      <c r="J746" s="67" t="str">
        <f aca="false">IF(OR($C746="",$D746=""),"",IFERROR($D746*INDEX(Mix_Eff,MATCH($C746,Mix_Code,0),5),""))</f>
        <v/>
      </c>
      <c r="K746" s="63"/>
      <c r="L746" s="16" t="str">
        <f aca="false">IF(AND($A746="",$B746="",$C746="",$D746=""),"",IF($A746="","⚠ Date missing",IF($B746="","⚠ Site missing",IF(ISNA(MATCH($C746,Mix_Code,0)),"⚠ Unknown mix code",IF($D746="","⚠ Enter m3 produced",IF(COUNTIF(CI_Site,$B746)=0,"⚠ Site not set up in Current Inventory",IF($A746&gt;AsOfDate,"Future date – not yet deducted","OK")))))))</f>
        <v/>
      </c>
    </row>
    <row r="747" customFormat="false" ht="15" hidden="false" customHeight="false" outlineLevel="0" collapsed="false">
      <c r="A747" s="65"/>
      <c r="B747" s="63"/>
      <c r="C747" s="70"/>
      <c r="D747" s="66"/>
      <c r="E747" s="16" t="str">
        <f aca="false">IF($C747="","",IFERROR(INDEX(Mix_Desc,MATCH($C747,Mix_Code,0)),"⚠ Unknown mix code"))</f>
        <v/>
      </c>
      <c r="F747" s="67" t="str">
        <f aca="false">IF(OR($C747="",$D747=""),"",IFERROR($D747*INDEX(Mix_Eff,MATCH($C747,Mix_Code,0),1),""))</f>
        <v/>
      </c>
      <c r="G747" s="67" t="str">
        <f aca="false">IF(OR($C747="",$D747=""),"",IFERROR($D747*INDEX(Mix_Eff,MATCH($C747,Mix_Code,0),2),""))</f>
        <v/>
      </c>
      <c r="H747" s="67" t="str">
        <f aca="false">IF(OR($C747="",$D747=""),"",IFERROR($D747*INDEX(Mix_Eff,MATCH($C747,Mix_Code,0),3),""))</f>
        <v/>
      </c>
      <c r="I747" s="67" t="str">
        <f aca="false">IF(OR($C747="",$D747=""),"",IFERROR($D747*INDEX(Mix_Eff,MATCH($C747,Mix_Code,0),4),""))</f>
        <v/>
      </c>
      <c r="J747" s="67" t="str">
        <f aca="false">IF(OR($C747="",$D747=""),"",IFERROR($D747*INDEX(Mix_Eff,MATCH($C747,Mix_Code,0),5),""))</f>
        <v/>
      </c>
      <c r="K747" s="63"/>
      <c r="L747" s="16" t="str">
        <f aca="false">IF(AND($A747="",$B747="",$C747="",$D747=""),"",IF($A747="","⚠ Date missing",IF($B747="","⚠ Site missing",IF(ISNA(MATCH($C747,Mix_Code,0)),"⚠ Unknown mix code",IF($D747="","⚠ Enter m3 produced",IF(COUNTIF(CI_Site,$B747)=0,"⚠ Site not set up in Current Inventory",IF($A747&gt;AsOfDate,"Future date – not yet deducted","OK")))))))</f>
        <v/>
      </c>
    </row>
    <row r="748" customFormat="false" ht="15" hidden="false" customHeight="false" outlineLevel="0" collapsed="false">
      <c r="A748" s="65"/>
      <c r="B748" s="63"/>
      <c r="C748" s="70"/>
      <c r="D748" s="66"/>
      <c r="E748" s="16" t="str">
        <f aca="false">IF($C748="","",IFERROR(INDEX(Mix_Desc,MATCH($C748,Mix_Code,0)),"⚠ Unknown mix code"))</f>
        <v/>
      </c>
      <c r="F748" s="67" t="str">
        <f aca="false">IF(OR($C748="",$D748=""),"",IFERROR($D748*INDEX(Mix_Eff,MATCH($C748,Mix_Code,0),1),""))</f>
        <v/>
      </c>
      <c r="G748" s="67" t="str">
        <f aca="false">IF(OR($C748="",$D748=""),"",IFERROR($D748*INDEX(Mix_Eff,MATCH($C748,Mix_Code,0),2),""))</f>
        <v/>
      </c>
      <c r="H748" s="67" t="str">
        <f aca="false">IF(OR($C748="",$D748=""),"",IFERROR($D748*INDEX(Mix_Eff,MATCH($C748,Mix_Code,0),3),""))</f>
        <v/>
      </c>
      <c r="I748" s="67" t="str">
        <f aca="false">IF(OR($C748="",$D748=""),"",IFERROR($D748*INDEX(Mix_Eff,MATCH($C748,Mix_Code,0),4),""))</f>
        <v/>
      </c>
      <c r="J748" s="67" t="str">
        <f aca="false">IF(OR($C748="",$D748=""),"",IFERROR($D748*INDEX(Mix_Eff,MATCH($C748,Mix_Code,0),5),""))</f>
        <v/>
      </c>
      <c r="K748" s="63"/>
      <c r="L748" s="16" t="str">
        <f aca="false">IF(AND($A748="",$B748="",$C748="",$D748=""),"",IF($A748="","⚠ Date missing",IF($B748="","⚠ Site missing",IF(ISNA(MATCH($C748,Mix_Code,0)),"⚠ Unknown mix code",IF($D748="","⚠ Enter m3 produced",IF(COUNTIF(CI_Site,$B748)=0,"⚠ Site not set up in Current Inventory",IF($A748&gt;AsOfDate,"Future date – not yet deducted","OK")))))))</f>
        <v/>
      </c>
    </row>
    <row r="749" customFormat="false" ht="15" hidden="false" customHeight="false" outlineLevel="0" collapsed="false">
      <c r="A749" s="65"/>
      <c r="B749" s="63"/>
      <c r="C749" s="70"/>
      <c r="D749" s="66"/>
      <c r="E749" s="16" t="str">
        <f aca="false">IF($C749="","",IFERROR(INDEX(Mix_Desc,MATCH($C749,Mix_Code,0)),"⚠ Unknown mix code"))</f>
        <v/>
      </c>
      <c r="F749" s="67" t="str">
        <f aca="false">IF(OR($C749="",$D749=""),"",IFERROR($D749*INDEX(Mix_Eff,MATCH($C749,Mix_Code,0),1),""))</f>
        <v/>
      </c>
      <c r="G749" s="67" t="str">
        <f aca="false">IF(OR($C749="",$D749=""),"",IFERROR($D749*INDEX(Mix_Eff,MATCH($C749,Mix_Code,0),2),""))</f>
        <v/>
      </c>
      <c r="H749" s="67" t="str">
        <f aca="false">IF(OR($C749="",$D749=""),"",IFERROR($D749*INDEX(Mix_Eff,MATCH($C749,Mix_Code,0),3),""))</f>
        <v/>
      </c>
      <c r="I749" s="67" t="str">
        <f aca="false">IF(OR($C749="",$D749=""),"",IFERROR($D749*INDEX(Mix_Eff,MATCH($C749,Mix_Code,0),4),""))</f>
        <v/>
      </c>
      <c r="J749" s="67" t="str">
        <f aca="false">IF(OR($C749="",$D749=""),"",IFERROR($D749*INDEX(Mix_Eff,MATCH($C749,Mix_Code,0),5),""))</f>
        <v/>
      </c>
      <c r="K749" s="63"/>
      <c r="L749" s="16" t="str">
        <f aca="false">IF(AND($A749="",$B749="",$C749="",$D749=""),"",IF($A749="","⚠ Date missing",IF($B749="","⚠ Site missing",IF(ISNA(MATCH($C749,Mix_Code,0)),"⚠ Unknown mix code",IF($D749="","⚠ Enter m3 produced",IF(COUNTIF(CI_Site,$B749)=0,"⚠ Site not set up in Current Inventory",IF($A749&gt;AsOfDate,"Future date – not yet deducted","OK")))))))</f>
        <v/>
      </c>
    </row>
    <row r="750" customFormat="false" ht="15" hidden="false" customHeight="false" outlineLevel="0" collapsed="false">
      <c r="A750" s="65"/>
      <c r="B750" s="63"/>
      <c r="C750" s="70"/>
      <c r="D750" s="66"/>
      <c r="E750" s="16" t="str">
        <f aca="false">IF($C750="","",IFERROR(INDEX(Mix_Desc,MATCH($C750,Mix_Code,0)),"⚠ Unknown mix code"))</f>
        <v/>
      </c>
      <c r="F750" s="67" t="str">
        <f aca="false">IF(OR($C750="",$D750=""),"",IFERROR($D750*INDEX(Mix_Eff,MATCH($C750,Mix_Code,0),1),""))</f>
        <v/>
      </c>
      <c r="G750" s="67" t="str">
        <f aca="false">IF(OR($C750="",$D750=""),"",IFERROR($D750*INDEX(Mix_Eff,MATCH($C750,Mix_Code,0),2),""))</f>
        <v/>
      </c>
      <c r="H750" s="67" t="str">
        <f aca="false">IF(OR($C750="",$D750=""),"",IFERROR($D750*INDEX(Mix_Eff,MATCH($C750,Mix_Code,0),3),""))</f>
        <v/>
      </c>
      <c r="I750" s="67" t="str">
        <f aca="false">IF(OR($C750="",$D750=""),"",IFERROR($D750*INDEX(Mix_Eff,MATCH($C750,Mix_Code,0),4),""))</f>
        <v/>
      </c>
      <c r="J750" s="67" t="str">
        <f aca="false">IF(OR($C750="",$D750=""),"",IFERROR($D750*INDEX(Mix_Eff,MATCH($C750,Mix_Code,0),5),""))</f>
        <v/>
      </c>
      <c r="K750" s="63"/>
      <c r="L750" s="16" t="str">
        <f aca="false">IF(AND($A750="",$B750="",$C750="",$D750=""),"",IF($A750="","⚠ Date missing",IF($B750="","⚠ Site missing",IF(ISNA(MATCH($C750,Mix_Code,0)),"⚠ Unknown mix code",IF($D750="","⚠ Enter m3 produced",IF(COUNTIF(CI_Site,$B750)=0,"⚠ Site not set up in Current Inventory",IF($A750&gt;AsOfDate,"Future date – not yet deducted","OK")))))))</f>
        <v/>
      </c>
    </row>
    <row r="751" customFormat="false" ht="15" hidden="false" customHeight="false" outlineLevel="0" collapsed="false">
      <c r="A751" s="65"/>
      <c r="B751" s="63"/>
      <c r="C751" s="70"/>
      <c r="D751" s="66"/>
      <c r="E751" s="16" t="str">
        <f aca="false">IF($C751="","",IFERROR(INDEX(Mix_Desc,MATCH($C751,Mix_Code,0)),"⚠ Unknown mix code"))</f>
        <v/>
      </c>
      <c r="F751" s="67" t="str">
        <f aca="false">IF(OR($C751="",$D751=""),"",IFERROR($D751*INDEX(Mix_Eff,MATCH($C751,Mix_Code,0),1),""))</f>
        <v/>
      </c>
      <c r="G751" s="67" t="str">
        <f aca="false">IF(OR($C751="",$D751=""),"",IFERROR($D751*INDEX(Mix_Eff,MATCH($C751,Mix_Code,0),2),""))</f>
        <v/>
      </c>
      <c r="H751" s="67" t="str">
        <f aca="false">IF(OR($C751="",$D751=""),"",IFERROR($D751*INDEX(Mix_Eff,MATCH($C751,Mix_Code,0),3),""))</f>
        <v/>
      </c>
      <c r="I751" s="67" t="str">
        <f aca="false">IF(OR($C751="",$D751=""),"",IFERROR($D751*INDEX(Mix_Eff,MATCH($C751,Mix_Code,0),4),""))</f>
        <v/>
      </c>
      <c r="J751" s="67" t="str">
        <f aca="false">IF(OR($C751="",$D751=""),"",IFERROR($D751*INDEX(Mix_Eff,MATCH($C751,Mix_Code,0),5),""))</f>
        <v/>
      </c>
      <c r="K751" s="63"/>
      <c r="L751" s="16" t="str">
        <f aca="false">IF(AND($A751="",$B751="",$C751="",$D751=""),"",IF($A751="","⚠ Date missing",IF($B751="","⚠ Site missing",IF(ISNA(MATCH($C751,Mix_Code,0)),"⚠ Unknown mix code",IF($D751="","⚠ Enter m3 produced",IF(COUNTIF(CI_Site,$B751)=0,"⚠ Site not set up in Current Inventory",IF($A751&gt;AsOfDate,"Future date – not yet deducted","OK")))))))</f>
        <v/>
      </c>
    </row>
    <row r="752" customFormat="false" ht="15" hidden="false" customHeight="false" outlineLevel="0" collapsed="false">
      <c r="A752" s="65"/>
      <c r="B752" s="63"/>
      <c r="C752" s="70"/>
      <c r="D752" s="66"/>
      <c r="E752" s="16" t="str">
        <f aca="false">IF($C752="","",IFERROR(INDEX(Mix_Desc,MATCH($C752,Mix_Code,0)),"⚠ Unknown mix code"))</f>
        <v/>
      </c>
      <c r="F752" s="67" t="str">
        <f aca="false">IF(OR($C752="",$D752=""),"",IFERROR($D752*INDEX(Mix_Eff,MATCH($C752,Mix_Code,0),1),""))</f>
        <v/>
      </c>
      <c r="G752" s="67" t="str">
        <f aca="false">IF(OR($C752="",$D752=""),"",IFERROR($D752*INDEX(Mix_Eff,MATCH($C752,Mix_Code,0),2),""))</f>
        <v/>
      </c>
      <c r="H752" s="67" t="str">
        <f aca="false">IF(OR($C752="",$D752=""),"",IFERROR($D752*INDEX(Mix_Eff,MATCH($C752,Mix_Code,0),3),""))</f>
        <v/>
      </c>
      <c r="I752" s="67" t="str">
        <f aca="false">IF(OR($C752="",$D752=""),"",IFERROR($D752*INDEX(Mix_Eff,MATCH($C752,Mix_Code,0),4),""))</f>
        <v/>
      </c>
      <c r="J752" s="67" t="str">
        <f aca="false">IF(OR($C752="",$D752=""),"",IFERROR($D752*INDEX(Mix_Eff,MATCH($C752,Mix_Code,0),5),""))</f>
        <v/>
      </c>
      <c r="K752" s="63"/>
      <c r="L752" s="16" t="str">
        <f aca="false">IF(AND($A752="",$B752="",$C752="",$D752=""),"",IF($A752="","⚠ Date missing",IF($B752="","⚠ Site missing",IF(ISNA(MATCH($C752,Mix_Code,0)),"⚠ Unknown mix code",IF($D752="","⚠ Enter m3 produced",IF(COUNTIF(CI_Site,$B752)=0,"⚠ Site not set up in Current Inventory",IF($A752&gt;AsOfDate,"Future date – not yet deducted","OK")))))))</f>
        <v/>
      </c>
    </row>
    <row r="753" customFormat="false" ht="15" hidden="false" customHeight="false" outlineLevel="0" collapsed="false">
      <c r="A753" s="65"/>
      <c r="B753" s="63"/>
      <c r="C753" s="70"/>
      <c r="D753" s="66"/>
      <c r="E753" s="16" t="str">
        <f aca="false">IF($C753="","",IFERROR(INDEX(Mix_Desc,MATCH($C753,Mix_Code,0)),"⚠ Unknown mix code"))</f>
        <v/>
      </c>
      <c r="F753" s="67" t="str">
        <f aca="false">IF(OR($C753="",$D753=""),"",IFERROR($D753*INDEX(Mix_Eff,MATCH($C753,Mix_Code,0),1),""))</f>
        <v/>
      </c>
      <c r="G753" s="67" t="str">
        <f aca="false">IF(OR($C753="",$D753=""),"",IFERROR($D753*INDEX(Mix_Eff,MATCH($C753,Mix_Code,0),2),""))</f>
        <v/>
      </c>
      <c r="H753" s="67" t="str">
        <f aca="false">IF(OR($C753="",$D753=""),"",IFERROR($D753*INDEX(Mix_Eff,MATCH($C753,Mix_Code,0),3),""))</f>
        <v/>
      </c>
      <c r="I753" s="67" t="str">
        <f aca="false">IF(OR($C753="",$D753=""),"",IFERROR($D753*INDEX(Mix_Eff,MATCH($C753,Mix_Code,0),4),""))</f>
        <v/>
      </c>
      <c r="J753" s="67" t="str">
        <f aca="false">IF(OR($C753="",$D753=""),"",IFERROR($D753*INDEX(Mix_Eff,MATCH($C753,Mix_Code,0),5),""))</f>
        <v/>
      </c>
      <c r="K753" s="63"/>
      <c r="L753" s="16" t="str">
        <f aca="false">IF(AND($A753="",$B753="",$C753="",$D753=""),"",IF($A753="","⚠ Date missing",IF($B753="","⚠ Site missing",IF(ISNA(MATCH($C753,Mix_Code,0)),"⚠ Unknown mix code",IF($D753="","⚠ Enter m3 produced",IF(COUNTIF(CI_Site,$B753)=0,"⚠ Site not set up in Current Inventory",IF($A753&gt;AsOfDate,"Future date – not yet deducted","OK")))))))</f>
        <v/>
      </c>
    </row>
    <row r="754" customFormat="false" ht="15" hidden="false" customHeight="false" outlineLevel="0" collapsed="false">
      <c r="A754" s="65"/>
      <c r="B754" s="63"/>
      <c r="C754" s="70"/>
      <c r="D754" s="66"/>
      <c r="E754" s="16" t="str">
        <f aca="false">IF($C754="","",IFERROR(INDEX(Mix_Desc,MATCH($C754,Mix_Code,0)),"⚠ Unknown mix code"))</f>
        <v/>
      </c>
      <c r="F754" s="67" t="str">
        <f aca="false">IF(OR($C754="",$D754=""),"",IFERROR($D754*INDEX(Mix_Eff,MATCH($C754,Mix_Code,0),1),""))</f>
        <v/>
      </c>
      <c r="G754" s="67" t="str">
        <f aca="false">IF(OR($C754="",$D754=""),"",IFERROR($D754*INDEX(Mix_Eff,MATCH($C754,Mix_Code,0),2),""))</f>
        <v/>
      </c>
      <c r="H754" s="67" t="str">
        <f aca="false">IF(OR($C754="",$D754=""),"",IFERROR($D754*INDEX(Mix_Eff,MATCH($C754,Mix_Code,0),3),""))</f>
        <v/>
      </c>
      <c r="I754" s="67" t="str">
        <f aca="false">IF(OR($C754="",$D754=""),"",IFERROR($D754*INDEX(Mix_Eff,MATCH($C754,Mix_Code,0),4),""))</f>
        <v/>
      </c>
      <c r="J754" s="67" t="str">
        <f aca="false">IF(OR($C754="",$D754=""),"",IFERROR($D754*INDEX(Mix_Eff,MATCH($C754,Mix_Code,0),5),""))</f>
        <v/>
      </c>
      <c r="K754" s="63"/>
      <c r="L754" s="16" t="str">
        <f aca="false">IF(AND($A754="",$B754="",$C754="",$D754=""),"",IF($A754="","⚠ Date missing",IF($B754="","⚠ Site missing",IF(ISNA(MATCH($C754,Mix_Code,0)),"⚠ Unknown mix code",IF($D754="","⚠ Enter m3 produced",IF(COUNTIF(CI_Site,$B754)=0,"⚠ Site not set up in Current Inventory",IF($A754&gt;AsOfDate,"Future date – not yet deducted","OK")))))))</f>
        <v/>
      </c>
    </row>
    <row r="755" customFormat="false" ht="15" hidden="false" customHeight="false" outlineLevel="0" collapsed="false">
      <c r="A755" s="65"/>
      <c r="B755" s="63"/>
      <c r="C755" s="70"/>
      <c r="D755" s="66"/>
      <c r="E755" s="16" t="str">
        <f aca="false">IF($C755="","",IFERROR(INDEX(Mix_Desc,MATCH($C755,Mix_Code,0)),"⚠ Unknown mix code"))</f>
        <v/>
      </c>
      <c r="F755" s="67" t="str">
        <f aca="false">IF(OR($C755="",$D755=""),"",IFERROR($D755*INDEX(Mix_Eff,MATCH($C755,Mix_Code,0),1),""))</f>
        <v/>
      </c>
      <c r="G755" s="67" t="str">
        <f aca="false">IF(OR($C755="",$D755=""),"",IFERROR($D755*INDEX(Mix_Eff,MATCH($C755,Mix_Code,0),2),""))</f>
        <v/>
      </c>
      <c r="H755" s="67" t="str">
        <f aca="false">IF(OR($C755="",$D755=""),"",IFERROR($D755*INDEX(Mix_Eff,MATCH($C755,Mix_Code,0),3),""))</f>
        <v/>
      </c>
      <c r="I755" s="67" t="str">
        <f aca="false">IF(OR($C755="",$D755=""),"",IFERROR($D755*INDEX(Mix_Eff,MATCH($C755,Mix_Code,0),4),""))</f>
        <v/>
      </c>
      <c r="J755" s="67" t="str">
        <f aca="false">IF(OR($C755="",$D755=""),"",IFERROR($D755*INDEX(Mix_Eff,MATCH($C755,Mix_Code,0),5),""))</f>
        <v/>
      </c>
      <c r="K755" s="63"/>
      <c r="L755" s="16" t="str">
        <f aca="false">IF(AND($A755="",$B755="",$C755="",$D755=""),"",IF($A755="","⚠ Date missing",IF($B755="","⚠ Site missing",IF(ISNA(MATCH($C755,Mix_Code,0)),"⚠ Unknown mix code",IF($D755="","⚠ Enter m3 produced",IF(COUNTIF(CI_Site,$B755)=0,"⚠ Site not set up in Current Inventory",IF($A755&gt;AsOfDate,"Future date – not yet deducted","OK")))))))</f>
        <v/>
      </c>
    </row>
    <row r="756" customFormat="false" ht="15" hidden="false" customHeight="false" outlineLevel="0" collapsed="false">
      <c r="A756" s="65"/>
      <c r="B756" s="63"/>
      <c r="C756" s="70"/>
      <c r="D756" s="66"/>
      <c r="E756" s="16" t="str">
        <f aca="false">IF($C756="","",IFERROR(INDEX(Mix_Desc,MATCH($C756,Mix_Code,0)),"⚠ Unknown mix code"))</f>
        <v/>
      </c>
      <c r="F756" s="67" t="str">
        <f aca="false">IF(OR($C756="",$D756=""),"",IFERROR($D756*INDEX(Mix_Eff,MATCH($C756,Mix_Code,0),1),""))</f>
        <v/>
      </c>
      <c r="G756" s="67" t="str">
        <f aca="false">IF(OR($C756="",$D756=""),"",IFERROR($D756*INDEX(Mix_Eff,MATCH($C756,Mix_Code,0),2),""))</f>
        <v/>
      </c>
      <c r="H756" s="67" t="str">
        <f aca="false">IF(OR($C756="",$D756=""),"",IFERROR($D756*INDEX(Mix_Eff,MATCH($C756,Mix_Code,0),3),""))</f>
        <v/>
      </c>
      <c r="I756" s="67" t="str">
        <f aca="false">IF(OR($C756="",$D756=""),"",IFERROR($D756*INDEX(Mix_Eff,MATCH($C756,Mix_Code,0),4),""))</f>
        <v/>
      </c>
      <c r="J756" s="67" t="str">
        <f aca="false">IF(OR($C756="",$D756=""),"",IFERROR($D756*INDEX(Mix_Eff,MATCH($C756,Mix_Code,0),5),""))</f>
        <v/>
      </c>
      <c r="K756" s="63"/>
      <c r="L756" s="16" t="str">
        <f aca="false">IF(AND($A756="",$B756="",$C756="",$D756=""),"",IF($A756="","⚠ Date missing",IF($B756="","⚠ Site missing",IF(ISNA(MATCH($C756,Mix_Code,0)),"⚠ Unknown mix code",IF($D756="","⚠ Enter m3 produced",IF(COUNTIF(CI_Site,$B756)=0,"⚠ Site not set up in Current Inventory",IF($A756&gt;AsOfDate,"Future date – not yet deducted","OK")))))))</f>
        <v/>
      </c>
    </row>
    <row r="757" customFormat="false" ht="15" hidden="false" customHeight="false" outlineLevel="0" collapsed="false">
      <c r="A757" s="65"/>
      <c r="B757" s="63"/>
      <c r="C757" s="70"/>
      <c r="D757" s="66"/>
      <c r="E757" s="16" t="str">
        <f aca="false">IF($C757="","",IFERROR(INDEX(Mix_Desc,MATCH($C757,Mix_Code,0)),"⚠ Unknown mix code"))</f>
        <v/>
      </c>
      <c r="F757" s="67" t="str">
        <f aca="false">IF(OR($C757="",$D757=""),"",IFERROR($D757*INDEX(Mix_Eff,MATCH($C757,Mix_Code,0),1),""))</f>
        <v/>
      </c>
      <c r="G757" s="67" t="str">
        <f aca="false">IF(OR($C757="",$D757=""),"",IFERROR($D757*INDEX(Mix_Eff,MATCH($C757,Mix_Code,0),2),""))</f>
        <v/>
      </c>
      <c r="H757" s="67" t="str">
        <f aca="false">IF(OR($C757="",$D757=""),"",IFERROR($D757*INDEX(Mix_Eff,MATCH($C757,Mix_Code,0),3),""))</f>
        <v/>
      </c>
      <c r="I757" s="67" t="str">
        <f aca="false">IF(OR($C757="",$D757=""),"",IFERROR($D757*INDEX(Mix_Eff,MATCH($C757,Mix_Code,0),4),""))</f>
        <v/>
      </c>
      <c r="J757" s="67" t="str">
        <f aca="false">IF(OR($C757="",$D757=""),"",IFERROR($D757*INDEX(Mix_Eff,MATCH($C757,Mix_Code,0),5),""))</f>
        <v/>
      </c>
      <c r="K757" s="63"/>
      <c r="L757" s="16" t="str">
        <f aca="false">IF(AND($A757="",$B757="",$C757="",$D757=""),"",IF($A757="","⚠ Date missing",IF($B757="","⚠ Site missing",IF(ISNA(MATCH($C757,Mix_Code,0)),"⚠ Unknown mix code",IF($D757="","⚠ Enter m3 produced",IF(COUNTIF(CI_Site,$B757)=0,"⚠ Site not set up in Current Inventory",IF($A757&gt;AsOfDate,"Future date – not yet deducted","OK")))))))</f>
        <v/>
      </c>
    </row>
    <row r="758" customFormat="false" ht="15" hidden="false" customHeight="false" outlineLevel="0" collapsed="false">
      <c r="A758" s="65"/>
      <c r="B758" s="63"/>
      <c r="C758" s="70"/>
      <c r="D758" s="66"/>
      <c r="E758" s="16" t="str">
        <f aca="false">IF($C758="","",IFERROR(INDEX(Mix_Desc,MATCH($C758,Mix_Code,0)),"⚠ Unknown mix code"))</f>
        <v/>
      </c>
      <c r="F758" s="67" t="str">
        <f aca="false">IF(OR($C758="",$D758=""),"",IFERROR($D758*INDEX(Mix_Eff,MATCH($C758,Mix_Code,0),1),""))</f>
        <v/>
      </c>
      <c r="G758" s="67" t="str">
        <f aca="false">IF(OR($C758="",$D758=""),"",IFERROR($D758*INDEX(Mix_Eff,MATCH($C758,Mix_Code,0),2),""))</f>
        <v/>
      </c>
      <c r="H758" s="67" t="str">
        <f aca="false">IF(OR($C758="",$D758=""),"",IFERROR($D758*INDEX(Mix_Eff,MATCH($C758,Mix_Code,0),3),""))</f>
        <v/>
      </c>
      <c r="I758" s="67" t="str">
        <f aca="false">IF(OR($C758="",$D758=""),"",IFERROR($D758*INDEX(Mix_Eff,MATCH($C758,Mix_Code,0),4),""))</f>
        <v/>
      </c>
      <c r="J758" s="67" t="str">
        <f aca="false">IF(OR($C758="",$D758=""),"",IFERROR($D758*INDEX(Mix_Eff,MATCH($C758,Mix_Code,0),5),""))</f>
        <v/>
      </c>
      <c r="K758" s="63"/>
      <c r="L758" s="16" t="str">
        <f aca="false">IF(AND($A758="",$B758="",$C758="",$D758=""),"",IF($A758="","⚠ Date missing",IF($B758="","⚠ Site missing",IF(ISNA(MATCH($C758,Mix_Code,0)),"⚠ Unknown mix code",IF($D758="","⚠ Enter m3 produced",IF(COUNTIF(CI_Site,$B758)=0,"⚠ Site not set up in Current Inventory",IF($A758&gt;AsOfDate,"Future date – not yet deducted","OK")))))))</f>
        <v/>
      </c>
    </row>
    <row r="759" customFormat="false" ht="15" hidden="false" customHeight="false" outlineLevel="0" collapsed="false">
      <c r="A759" s="65"/>
      <c r="B759" s="63"/>
      <c r="C759" s="70"/>
      <c r="D759" s="66"/>
      <c r="E759" s="16" t="str">
        <f aca="false">IF($C759="","",IFERROR(INDEX(Mix_Desc,MATCH($C759,Mix_Code,0)),"⚠ Unknown mix code"))</f>
        <v/>
      </c>
      <c r="F759" s="67" t="str">
        <f aca="false">IF(OR($C759="",$D759=""),"",IFERROR($D759*INDEX(Mix_Eff,MATCH($C759,Mix_Code,0),1),""))</f>
        <v/>
      </c>
      <c r="G759" s="67" t="str">
        <f aca="false">IF(OR($C759="",$D759=""),"",IFERROR($D759*INDEX(Mix_Eff,MATCH($C759,Mix_Code,0),2),""))</f>
        <v/>
      </c>
      <c r="H759" s="67" t="str">
        <f aca="false">IF(OR($C759="",$D759=""),"",IFERROR($D759*INDEX(Mix_Eff,MATCH($C759,Mix_Code,0),3),""))</f>
        <v/>
      </c>
      <c r="I759" s="67" t="str">
        <f aca="false">IF(OR($C759="",$D759=""),"",IFERROR($D759*INDEX(Mix_Eff,MATCH($C759,Mix_Code,0),4),""))</f>
        <v/>
      </c>
      <c r="J759" s="67" t="str">
        <f aca="false">IF(OR($C759="",$D759=""),"",IFERROR($D759*INDEX(Mix_Eff,MATCH($C759,Mix_Code,0),5),""))</f>
        <v/>
      </c>
      <c r="K759" s="63"/>
      <c r="L759" s="16" t="str">
        <f aca="false">IF(AND($A759="",$B759="",$C759="",$D759=""),"",IF($A759="","⚠ Date missing",IF($B759="","⚠ Site missing",IF(ISNA(MATCH($C759,Mix_Code,0)),"⚠ Unknown mix code",IF($D759="","⚠ Enter m3 produced",IF(COUNTIF(CI_Site,$B759)=0,"⚠ Site not set up in Current Inventory",IF($A759&gt;AsOfDate,"Future date – not yet deducted","OK")))))))</f>
        <v/>
      </c>
    </row>
    <row r="760" customFormat="false" ht="15" hidden="false" customHeight="false" outlineLevel="0" collapsed="false">
      <c r="A760" s="65"/>
      <c r="B760" s="63"/>
      <c r="C760" s="70"/>
      <c r="D760" s="66"/>
      <c r="E760" s="16" t="str">
        <f aca="false">IF($C760="","",IFERROR(INDEX(Mix_Desc,MATCH($C760,Mix_Code,0)),"⚠ Unknown mix code"))</f>
        <v/>
      </c>
      <c r="F760" s="67" t="str">
        <f aca="false">IF(OR($C760="",$D760=""),"",IFERROR($D760*INDEX(Mix_Eff,MATCH($C760,Mix_Code,0),1),""))</f>
        <v/>
      </c>
      <c r="G760" s="67" t="str">
        <f aca="false">IF(OR($C760="",$D760=""),"",IFERROR($D760*INDEX(Mix_Eff,MATCH($C760,Mix_Code,0),2),""))</f>
        <v/>
      </c>
      <c r="H760" s="67" t="str">
        <f aca="false">IF(OR($C760="",$D760=""),"",IFERROR($D760*INDEX(Mix_Eff,MATCH($C760,Mix_Code,0),3),""))</f>
        <v/>
      </c>
      <c r="I760" s="67" t="str">
        <f aca="false">IF(OR($C760="",$D760=""),"",IFERROR($D760*INDEX(Mix_Eff,MATCH($C760,Mix_Code,0),4),""))</f>
        <v/>
      </c>
      <c r="J760" s="67" t="str">
        <f aca="false">IF(OR($C760="",$D760=""),"",IFERROR($D760*INDEX(Mix_Eff,MATCH($C760,Mix_Code,0),5),""))</f>
        <v/>
      </c>
      <c r="K760" s="63"/>
      <c r="L760" s="16" t="str">
        <f aca="false">IF(AND($A760="",$B760="",$C760="",$D760=""),"",IF($A760="","⚠ Date missing",IF($B760="","⚠ Site missing",IF(ISNA(MATCH($C760,Mix_Code,0)),"⚠ Unknown mix code",IF($D760="","⚠ Enter m3 produced",IF(COUNTIF(CI_Site,$B760)=0,"⚠ Site not set up in Current Inventory",IF($A760&gt;AsOfDate,"Future date – not yet deducted","OK")))))))</f>
        <v/>
      </c>
    </row>
    <row r="761" customFormat="false" ht="15" hidden="false" customHeight="false" outlineLevel="0" collapsed="false">
      <c r="A761" s="65"/>
      <c r="B761" s="63"/>
      <c r="C761" s="70"/>
      <c r="D761" s="66"/>
      <c r="E761" s="16" t="str">
        <f aca="false">IF($C761="","",IFERROR(INDEX(Mix_Desc,MATCH($C761,Mix_Code,0)),"⚠ Unknown mix code"))</f>
        <v/>
      </c>
      <c r="F761" s="67" t="str">
        <f aca="false">IF(OR($C761="",$D761=""),"",IFERROR($D761*INDEX(Mix_Eff,MATCH($C761,Mix_Code,0),1),""))</f>
        <v/>
      </c>
      <c r="G761" s="67" t="str">
        <f aca="false">IF(OR($C761="",$D761=""),"",IFERROR($D761*INDEX(Mix_Eff,MATCH($C761,Mix_Code,0),2),""))</f>
        <v/>
      </c>
      <c r="H761" s="67" t="str">
        <f aca="false">IF(OR($C761="",$D761=""),"",IFERROR($D761*INDEX(Mix_Eff,MATCH($C761,Mix_Code,0),3),""))</f>
        <v/>
      </c>
      <c r="I761" s="67" t="str">
        <f aca="false">IF(OR($C761="",$D761=""),"",IFERROR($D761*INDEX(Mix_Eff,MATCH($C761,Mix_Code,0),4),""))</f>
        <v/>
      </c>
      <c r="J761" s="67" t="str">
        <f aca="false">IF(OR($C761="",$D761=""),"",IFERROR($D761*INDEX(Mix_Eff,MATCH($C761,Mix_Code,0),5),""))</f>
        <v/>
      </c>
      <c r="K761" s="63"/>
      <c r="L761" s="16" t="str">
        <f aca="false">IF(AND($A761="",$B761="",$C761="",$D761=""),"",IF($A761="","⚠ Date missing",IF($B761="","⚠ Site missing",IF(ISNA(MATCH($C761,Mix_Code,0)),"⚠ Unknown mix code",IF($D761="","⚠ Enter m3 produced",IF(COUNTIF(CI_Site,$B761)=0,"⚠ Site not set up in Current Inventory",IF($A761&gt;AsOfDate,"Future date – not yet deducted","OK")))))))</f>
        <v/>
      </c>
    </row>
    <row r="762" customFormat="false" ht="15" hidden="false" customHeight="false" outlineLevel="0" collapsed="false">
      <c r="A762" s="65"/>
      <c r="B762" s="63"/>
      <c r="C762" s="70"/>
      <c r="D762" s="66"/>
      <c r="E762" s="16" t="str">
        <f aca="false">IF($C762="","",IFERROR(INDEX(Mix_Desc,MATCH($C762,Mix_Code,0)),"⚠ Unknown mix code"))</f>
        <v/>
      </c>
      <c r="F762" s="67" t="str">
        <f aca="false">IF(OR($C762="",$D762=""),"",IFERROR($D762*INDEX(Mix_Eff,MATCH($C762,Mix_Code,0),1),""))</f>
        <v/>
      </c>
      <c r="G762" s="67" t="str">
        <f aca="false">IF(OR($C762="",$D762=""),"",IFERROR($D762*INDEX(Mix_Eff,MATCH($C762,Mix_Code,0),2),""))</f>
        <v/>
      </c>
      <c r="H762" s="67" t="str">
        <f aca="false">IF(OR($C762="",$D762=""),"",IFERROR($D762*INDEX(Mix_Eff,MATCH($C762,Mix_Code,0),3),""))</f>
        <v/>
      </c>
      <c r="I762" s="67" t="str">
        <f aca="false">IF(OR($C762="",$D762=""),"",IFERROR($D762*INDEX(Mix_Eff,MATCH($C762,Mix_Code,0),4),""))</f>
        <v/>
      </c>
      <c r="J762" s="67" t="str">
        <f aca="false">IF(OR($C762="",$D762=""),"",IFERROR($D762*INDEX(Mix_Eff,MATCH($C762,Mix_Code,0),5),""))</f>
        <v/>
      </c>
      <c r="K762" s="63"/>
      <c r="L762" s="16" t="str">
        <f aca="false">IF(AND($A762="",$B762="",$C762="",$D762=""),"",IF($A762="","⚠ Date missing",IF($B762="","⚠ Site missing",IF(ISNA(MATCH($C762,Mix_Code,0)),"⚠ Unknown mix code",IF($D762="","⚠ Enter m3 produced",IF(COUNTIF(CI_Site,$B762)=0,"⚠ Site not set up in Current Inventory",IF($A762&gt;AsOfDate,"Future date – not yet deducted","OK")))))))</f>
        <v/>
      </c>
    </row>
    <row r="763" customFormat="false" ht="15" hidden="false" customHeight="false" outlineLevel="0" collapsed="false">
      <c r="A763" s="65"/>
      <c r="B763" s="63"/>
      <c r="C763" s="70"/>
      <c r="D763" s="66"/>
      <c r="E763" s="16" t="str">
        <f aca="false">IF($C763="","",IFERROR(INDEX(Mix_Desc,MATCH($C763,Mix_Code,0)),"⚠ Unknown mix code"))</f>
        <v/>
      </c>
      <c r="F763" s="67" t="str">
        <f aca="false">IF(OR($C763="",$D763=""),"",IFERROR($D763*INDEX(Mix_Eff,MATCH($C763,Mix_Code,0),1),""))</f>
        <v/>
      </c>
      <c r="G763" s="67" t="str">
        <f aca="false">IF(OR($C763="",$D763=""),"",IFERROR($D763*INDEX(Mix_Eff,MATCH($C763,Mix_Code,0),2),""))</f>
        <v/>
      </c>
      <c r="H763" s="67" t="str">
        <f aca="false">IF(OR($C763="",$D763=""),"",IFERROR($D763*INDEX(Mix_Eff,MATCH($C763,Mix_Code,0),3),""))</f>
        <v/>
      </c>
      <c r="I763" s="67" t="str">
        <f aca="false">IF(OR($C763="",$D763=""),"",IFERROR($D763*INDEX(Mix_Eff,MATCH($C763,Mix_Code,0),4),""))</f>
        <v/>
      </c>
      <c r="J763" s="67" t="str">
        <f aca="false">IF(OR($C763="",$D763=""),"",IFERROR($D763*INDEX(Mix_Eff,MATCH($C763,Mix_Code,0),5),""))</f>
        <v/>
      </c>
      <c r="K763" s="63"/>
      <c r="L763" s="16" t="str">
        <f aca="false">IF(AND($A763="",$B763="",$C763="",$D763=""),"",IF($A763="","⚠ Date missing",IF($B763="","⚠ Site missing",IF(ISNA(MATCH($C763,Mix_Code,0)),"⚠ Unknown mix code",IF($D763="","⚠ Enter m3 produced",IF(COUNTIF(CI_Site,$B763)=0,"⚠ Site not set up in Current Inventory",IF($A763&gt;AsOfDate,"Future date – not yet deducted","OK")))))))</f>
        <v/>
      </c>
    </row>
    <row r="764" customFormat="false" ht="15" hidden="false" customHeight="false" outlineLevel="0" collapsed="false">
      <c r="A764" s="65"/>
      <c r="B764" s="63"/>
      <c r="C764" s="70"/>
      <c r="D764" s="66"/>
      <c r="E764" s="16" t="str">
        <f aca="false">IF($C764="","",IFERROR(INDEX(Mix_Desc,MATCH($C764,Mix_Code,0)),"⚠ Unknown mix code"))</f>
        <v/>
      </c>
      <c r="F764" s="67" t="str">
        <f aca="false">IF(OR($C764="",$D764=""),"",IFERROR($D764*INDEX(Mix_Eff,MATCH($C764,Mix_Code,0),1),""))</f>
        <v/>
      </c>
      <c r="G764" s="67" t="str">
        <f aca="false">IF(OR($C764="",$D764=""),"",IFERROR($D764*INDEX(Mix_Eff,MATCH($C764,Mix_Code,0),2),""))</f>
        <v/>
      </c>
      <c r="H764" s="67" t="str">
        <f aca="false">IF(OR($C764="",$D764=""),"",IFERROR($D764*INDEX(Mix_Eff,MATCH($C764,Mix_Code,0),3),""))</f>
        <v/>
      </c>
      <c r="I764" s="67" t="str">
        <f aca="false">IF(OR($C764="",$D764=""),"",IFERROR($D764*INDEX(Mix_Eff,MATCH($C764,Mix_Code,0),4),""))</f>
        <v/>
      </c>
      <c r="J764" s="67" t="str">
        <f aca="false">IF(OR($C764="",$D764=""),"",IFERROR($D764*INDEX(Mix_Eff,MATCH($C764,Mix_Code,0),5),""))</f>
        <v/>
      </c>
      <c r="K764" s="63"/>
      <c r="L764" s="16" t="str">
        <f aca="false">IF(AND($A764="",$B764="",$C764="",$D764=""),"",IF($A764="","⚠ Date missing",IF($B764="","⚠ Site missing",IF(ISNA(MATCH($C764,Mix_Code,0)),"⚠ Unknown mix code",IF($D764="","⚠ Enter m3 produced",IF(COUNTIF(CI_Site,$B764)=0,"⚠ Site not set up in Current Inventory",IF($A764&gt;AsOfDate,"Future date – not yet deducted","OK")))))))</f>
        <v/>
      </c>
    </row>
    <row r="765" customFormat="false" ht="15" hidden="false" customHeight="false" outlineLevel="0" collapsed="false">
      <c r="A765" s="65"/>
      <c r="B765" s="63"/>
      <c r="C765" s="70"/>
      <c r="D765" s="66"/>
      <c r="E765" s="16" t="str">
        <f aca="false">IF($C765="","",IFERROR(INDEX(Mix_Desc,MATCH($C765,Mix_Code,0)),"⚠ Unknown mix code"))</f>
        <v/>
      </c>
      <c r="F765" s="67" t="str">
        <f aca="false">IF(OR($C765="",$D765=""),"",IFERROR($D765*INDEX(Mix_Eff,MATCH($C765,Mix_Code,0),1),""))</f>
        <v/>
      </c>
      <c r="G765" s="67" t="str">
        <f aca="false">IF(OR($C765="",$D765=""),"",IFERROR($D765*INDEX(Mix_Eff,MATCH($C765,Mix_Code,0),2),""))</f>
        <v/>
      </c>
      <c r="H765" s="67" t="str">
        <f aca="false">IF(OR($C765="",$D765=""),"",IFERROR($D765*INDEX(Mix_Eff,MATCH($C765,Mix_Code,0),3),""))</f>
        <v/>
      </c>
      <c r="I765" s="67" t="str">
        <f aca="false">IF(OR($C765="",$D765=""),"",IFERROR($D765*INDEX(Mix_Eff,MATCH($C765,Mix_Code,0),4),""))</f>
        <v/>
      </c>
      <c r="J765" s="67" t="str">
        <f aca="false">IF(OR($C765="",$D765=""),"",IFERROR($D765*INDEX(Mix_Eff,MATCH($C765,Mix_Code,0),5),""))</f>
        <v/>
      </c>
      <c r="K765" s="63"/>
      <c r="L765" s="16" t="str">
        <f aca="false">IF(AND($A765="",$B765="",$C765="",$D765=""),"",IF($A765="","⚠ Date missing",IF($B765="","⚠ Site missing",IF(ISNA(MATCH($C765,Mix_Code,0)),"⚠ Unknown mix code",IF($D765="","⚠ Enter m3 produced",IF(COUNTIF(CI_Site,$B765)=0,"⚠ Site not set up in Current Inventory",IF($A765&gt;AsOfDate,"Future date – not yet deducted","OK")))))))</f>
        <v/>
      </c>
    </row>
    <row r="766" customFormat="false" ht="15" hidden="false" customHeight="false" outlineLevel="0" collapsed="false">
      <c r="A766" s="65"/>
      <c r="B766" s="63"/>
      <c r="C766" s="70"/>
      <c r="D766" s="66"/>
      <c r="E766" s="16" t="str">
        <f aca="false">IF($C766="","",IFERROR(INDEX(Mix_Desc,MATCH($C766,Mix_Code,0)),"⚠ Unknown mix code"))</f>
        <v/>
      </c>
      <c r="F766" s="67" t="str">
        <f aca="false">IF(OR($C766="",$D766=""),"",IFERROR($D766*INDEX(Mix_Eff,MATCH($C766,Mix_Code,0),1),""))</f>
        <v/>
      </c>
      <c r="G766" s="67" t="str">
        <f aca="false">IF(OR($C766="",$D766=""),"",IFERROR($D766*INDEX(Mix_Eff,MATCH($C766,Mix_Code,0),2),""))</f>
        <v/>
      </c>
      <c r="H766" s="67" t="str">
        <f aca="false">IF(OR($C766="",$D766=""),"",IFERROR($D766*INDEX(Mix_Eff,MATCH($C766,Mix_Code,0),3),""))</f>
        <v/>
      </c>
      <c r="I766" s="67" t="str">
        <f aca="false">IF(OR($C766="",$D766=""),"",IFERROR($D766*INDEX(Mix_Eff,MATCH($C766,Mix_Code,0),4),""))</f>
        <v/>
      </c>
      <c r="J766" s="67" t="str">
        <f aca="false">IF(OR($C766="",$D766=""),"",IFERROR($D766*INDEX(Mix_Eff,MATCH($C766,Mix_Code,0),5),""))</f>
        <v/>
      </c>
      <c r="K766" s="63"/>
      <c r="L766" s="16" t="str">
        <f aca="false">IF(AND($A766="",$B766="",$C766="",$D766=""),"",IF($A766="","⚠ Date missing",IF($B766="","⚠ Site missing",IF(ISNA(MATCH($C766,Mix_Code,0)),"⚠ Unknown mix code",IF($D766="","⚠ Enter m3 produced",IF(COUNTIF(CI_Site,$B766)=0,"⚠ Site not set up in Current Inventory",IF($A766&gt;AsOfDate,"Future date – not yet deducted","OK")))))))</f>
        <v/>
      </c>
    </row>
    <row r="767" customFormat="false" ht="15" hidden="false" customHeight="false" outlineLevel="0" collapsed="false">
      <c r="A767" s="65"/>
      <c r="B767" s="63"/>
      <c r="C767" s="70"/>
      <c r="D767" s="66"/>
      <c r="E767" s="16" t="str">
        <f aca="false">IF($C767="","",IFERROR(INDEX(Mix_Desc,MATCH($C767,Mix_Code,0)),"⚠ Unknown mix code"))</f>
        <v/>
      </c>
      <c r="F767" s="67" t="str">
        <f aca="false">IF(OR($C767="",$D767=""),"",IFERROR($D767*INDEX(Mix_Eff,MATCH($C767,Mix_Code,0),1),""))</f>
        <v/>
      </c>
      <c r="G767" s="67" t="str">
        <f aca="false">IF(OR($C767="",$D767=""),"",IFERROR($D767*INDEX(Mix_Eff,MATCH($C767,Mix_Code,0),2),""))</f>
        <v/>
      </c>
      <c r="H767" s="67" t="str">
        <f aca="false">IF(OR($C767="",$D767=""),"",IFERROR($D767*INDEX(Mix_Eff,MATCH($C767,Mix_Code,0),3),""))</f>
        <v/>
      </c>
      <c r="I767" s="67" t="str">
        <f aca="false">IF(OR($C767="",$D767=""),"",IFERROR($D767*INDEX(Mix_Eff,MATCH($C767,Mix_Code,0),4),""))</f>
        <v/>
      </c>
      <c r="J767" s="67" t="str">
        <f aca="false">IF(OR($C767="",$D767=""),"",IFERROR($D767*INDEX(Mix_Eff,MATCH($C767,Mix_Code,0),5),""))</f>
        <v/>
      </c>
      <c r="K767" s="63"/>
      <c r="L767" s="16" t="str">
        <f aca="false">IF(AND($A767="",$B767="",$C767="",$D767=""),"",IF($A767="","⚠ Date missing",IF($B767="","⚠ Site missing",IF(ISNA(MATCH($C767,Mix_Code,0)),"⚠ Unknown mix code",IF($D767="","⚠ Enter m3 produced",IF(COUNTIF(CI_Site,$B767)=0,"⚠ Site not set up in Current Inventory",IF($A767&gt;AsOfDate,"Future date – not yet deducted","OK")))))))</f>
        <v/>
      </c>
    </row>
    <row r="768" customFormat="false" ht="15" hidden="false" customHeight="false" outlineLevel="0" collapsed="false">
      <c r="A768" s="65"/>
      <c r="B768" s="63"/>
      <c r="C768" s="70"/>
      <c r="D768" s="66"/>
      <c r="E768" s="16" t="str">
        <f aca="false">IF($C768="","",IFERROR(INDEX(Mix_Desc,MATCH($C768,Mix_Code,0)),"⚠ Unknown mix code"))</f>
        <v/>
      </c>
      <c r="F768" s="67" t="str">
        <f aca="false">IF(OR($C768="",$D768=""),"",IFERROR($D768*INDEX(Mix_Eff,MATCH($C768,Mix_Code,0),1),""))</f>
        <v/>
      </c>
      <c r="G768" s="67" t="str">
        <f aca="false">IF(OR($C768="",$D768=""),"",IFERROR($D768*INDEX(Mix_Eff,MATCH($C768,Mix_Code,0),2),""))</f>
        <v/>
      </c>
      <c r="H768" s="67" t="str">
        <f aca="false">IF(OR($C768="",$D768=""),"",IFERROR($D768*INDEX(Mix_Eff,MATCH($C768,Mix_Code,0),3),""))</f>
        <v/>
      </c>
      <c r="I768" s="67" t="str">
        <f aca="false">IF(OR($C768="",$D768=""),"",IFERROR($D768*INDEX(Mix_Eff,MATCH($C768,Mix_Code,0),4),""))</f>
        <v/>
      </c>
      <c r="J768" s="67" t="str">
        <f aca="false">IF(OR($C768="",$D768=""),"",IFERROR($D768*INDEX(Mix_Eff,MATCH($C768,Mix_Code,0),5),""))</f>
        <v/>
      </c>
      <c r="K768" s="63"/>
      <c r="L768" s="16" t="str">
        <f aca="false">IF(AND($A768="",$B768="",$C768="",$D768=""),"",IF($A768="","⚠ Date missing",IF($B768="","⚠ Site missing",IF(ISNA(MATCH($C768,Mix_Code,0)),"⚠ Unknown mix code",IF($D768="","⚠ Enter m3 produced",IF(COUNTIF(CI_Site,$B768)=0,"⚠ Site not set up in Current Inventory",IF($A768&gt;AsOfDate,"Future date – not yet deducted","OK")))))))</f>
        <v/>
      </c>
    </row>
    <row r="769" customFormat="false" ht="15" hidden="false" customHeight="false" outlineLevel="0" collapsed="false">
      <c r="A769" s="65"/>
      <c r="B769" s="63"/>
      <c r="C769" s="70"/>
      <c r="D769" s="66"/>
      <c r="E769" s="16" t="str">
        <f aca="false">IF($C769="","",IFERROR(INDEX(Mix_Desc,MATCH($C769,Mix_Code,0)),"⚠ Unknown mix code"))</f>
        <v/>
      </c>
      <c r="F769" s="67" t="str">
        <f aca="false">IF(OR($C769="",$D769=""),"",IFERROR($D769*INDEX(Mix_Eff,MATCH($C769,Mix_Code,0),1),""))</f>
        <v/>
      </c>
      <c r="G769" s="67" t="str">
        <f aca="false">IF(OR($C769="",$D769=""),"",IFERROR($D769*INDEX(Mix_Eff,MATCH($C769,Mix_Code,0),2),""))</f>
        <v/>
      </c>
      <c r="H769" s="67" t="str">
        <f aca="false">IF(OR($C769="",$D769=""),"",IFERROR($D769*INDEX(Mix_Eff,MATCH($C769,Mix_Code,0),3),""))</f>
        <v/>
      </c>
      <c r="I769" s="67" t="str">
        <f aca="false">IF(OR($C769="",$D769=""),"",IFERROR($D769*INDEX(Mix_Eff,MATCH($C769,Mix_Code,0),4),""))</f>
        <v/>
      </c>
      <c r="J769" s="67" t="str">
        <f aca="false">IF(OR($C769="",$D769=""),"",IFERROR($D769*INDEX(Mix_Eff,MATCH($C769,Mix_Code,0),5),""))</f>
        <v/>
      </c>
      <c r="K769" s="63"/>
      <c r="L769" s="16" t="str">
        <f aca="false">IF(AND($A769="",$B769="",$C769="",$D769=""),"",IF($A769="","⚠ Date missing",IF($B769="","⚠ Site missing",IF(ISNA(MATCH($C769,Mix_Code,0)),"⚠ Unknown mix code",IF($D769="","⚠ Enter m3 produced",IF(COUNTIF(CI_Site,$B769)=0,"⚠ Site not set up in Current Inventory",IF($A769&gt;AsOfDate,"Future date – not yet deducted","OK")))))))</f>
        <v/>
      </c>
    </row>
    <row r="770" customFormat="false" ht="15" hidden="false" customHeight="false" outlineLevel="0" collapsed="false">
      <c r="A770" s="65"/>
      <c r="B770" s="63"/>
      <c r="C770" s="70"/>
      <c r="D770" s="66"/>
      <c r="E770" s="16" t="str">
        <f aca="false">IF($C770="","",IFERROR(INDEX(Mix_Desc,MATCH($C770,Mix_Code,0)),"⚠ Unknown mix code"))</f>
        <v/>
      </c>
      <c r="F770" s="67" t="str">
        <f aca="false">IF(OR($C770="",$D770=""),"",IFERROR($D770*INDEX(Mix_Eff,MATCH($C770,Mix_Code,0),1),""))</f>
        <v/>
      </c>
      <c r="G770" s="67" t="str">
        <f aca="false">IF(OR($C770="",$D770=""),"",IFERROR($D770*INDEX(Mix_Eff,MATCH($C770,Mix_Code,0),2),""))</f>
        <v/>
      </c>
      <c r="H770" s="67" t="str">
        <f aca="false">IF(OR($C770="",$D770=""),"",IFERROR($D770*INDEX(Mix_Eff,MATCH($C770,Mix_Code,0),3),""))</f>
        <v/>
      </c>
      <c r="I770" s="67" t="str">
        <f aca="false">IF(OR($C770="",$D770=""),"",IFERROR($D770*INDEX(Mix_Eff,MATCH($C770,Mix_Code,0),4),""))</f>
        <v/>
      </c>
      <c r="J770" s="67" t="str">
        <f aca="false">IF(OR($C770="",$D770=""),"",IFERROR($D770*INDEX(Mix_Eff,MATCH($C770,Mix_Code,0),5),""))</f>
        <v/>
      </c>
      <c r="K770" s="63"/>
      <c r="L770" s="16" t="str">
        <f aca="false">IF(AND($A770="",$B770="",$C770="",$D770=""),"",IF($A770="","⚠ Date missing",IF($B770="","⚠ Site missing",IF(ISNA(MATCH($C770,Mix_Code,0)),"⚠ Unknown mix code",IF($D770="","⚠ Enter m3 produced",IF(COUNTIF(CI_Site,$B770)=0,"⚠ Site not set up in Current Inventory",IF($A770&gt;AsOfDate,"Future date – not yet deducted","OK")))))))</f>
        <v/>
      </c>
    </row>
    <row r="771" customFormat="false" ht="15" hidden="false" customHeight="false" outlineLevel="0" collapsed="false">
      <c r="A771" s="65"/>
      <c r="B771" s="63"/>
      <c r="C771" s="70"/>
      <c r="D771" s="66"/>
      <c r="E771" s="16" t="str">
        <f aca="false">IF($C771="","",IFERROR(INDEX(Mix_Desc,MATCH($C771,Mix_Code,0)),"⚠ Unknown mix code"))</f>
        <v/>
      </c>
      <c r="F771" s="67" t="str">
        <f aca="false">IF(OR($C771="",$D771=""),"",IFERROR($D771*INDEX(Mix_Eff,MATCH($C771,Mix_Code,0),1),""))</f>
        <v/>
      </c>
      <c r="G771" s="67" t="str">
        <f aca="false">IF(OR($C771="",$D771=""),"",IFERROR($D771*INDEX(Mix_Eff,MATCH($C771,Mix_Code,0),2),""))</f>
        <v/>
      </c>
      <c r="H771" s="67" t="str">
        <f aca="false">IF(OR($C771="",$D771=""),"",IFERROR($D771*INDEX(Mix_Eff,MATCH($C771,Mix_Code,0),3),""))</f>
        <v/>
      </c>
      <c r="I771" s="67" t="str">
        <f aca="false">IF(OR($C771="",$D771=""),"",IFERROR($D771*INDEX(Mix_Eff,MATCH($C771,Mix_Code,0),4),""))</f>
        <v/>
      </c>
      <c r="J771" s="67" t="str">
        <f aca="false">IF(OR($C771="",$D771=""),"",IFERROR($D771*INDEX(Mix_Eff,MATCH($C771,Mix_Code,0),5),""))</f>
        <v/>
      </c>
      <c r="K771" s="63"/>
      <c r="L771" s="16" t="str">
        <f aca="false">IF(AND($A771="",$B771="",$C771="",$D771=""),"",IF($A771="","⚠ Date missing",IF($B771="","⚠ Site missing",IF(ISNA(MATCH($C771,Mix_Code,0)),"⚠ Unknown mix code",IF($D771="","⚠ Enter m3 produced",IF(COUNTIF(CI_Site,$B771)=0,"⚠ Site not set up in Current Inventory",IF($A771&gt;AsOfDate,"Future date – not yet deducted","OK")))))))</f>
        <v/>
      </c>
    </row>
    <row r="772" customFormat="false" ht="15" hidden="false" customHeight="false" outlineLevel="0" collapsed="false">
      <c r="A772" s="65"/>
      <c r="B772" s="63"/>
      <c r="C772" s="70"/>
      <c r="D772" s="66"/>
      <c r="E772" s="16" t="str">
        <f aca="false">IF($C772="","",IFERROR(INDEX(Mix_Desc,MATCH($C772,Mix_Code,0)),"⚠ Unknown mix code"))</f>
        <v/>
      </c>
      <c r="F772" s="67" t="str">
        <f aca="false">IF(OR($C772="",$D772=""),"",IFERROR($D772*INDEX(Mix_Eff,MATCH($C772,Mix_Code,0),1),""))</f>
        <v/>
      </c>
      <c r="G772" s="67" t="str">
        <f aca="false">IF(OR($C772="",$D772=""),"",IFERROR($D772*INDEX(Mix_Eff,MATCH($C772,Mix_Code,0),2),""))</f>
        <v/>
      </c>
      <c r="H772" s="67" t="str">
        <f aca="false">IF(OR($C772="",$D772=""),"",IFERROR($D772*INDEX(Mix_Eff,MATCH($C772,Mix_Code,0),3),""))</f>
        <v/>
      </c>
      <c r="I772" s="67" t="str">
        <f aca="false">IF(OR($C772="",$D772=""),"",IFERROR($D772*INDEX(Mix_Eff,MATCH($C772,Mix_Code,0),4),""))</f>
        <v/>
      </c>
      <c r="J772" s="67" t="str">
        <f aca="false">IF(OR($C772="",$D772=""),"",IFERROR($D772*INDEX(Mix_Eff,MATCH($C772,Mix_Code,0),5),""))</f>
        <v/>
      </c>
      <c r="K772" s="63"/>
      <c r="L772" s="16" t="str">
        <f aca="false">IF(AND($A772="",$B772="",$C772="",$D772=""),"",IF($A772="","⚠ Date missing",IF($B772="","⚠ Site missing",IF(ISNA(MATCH($C772,Mix_Code,0)),"⚠ Unknown mix code",IF($D772="","⚠ Enter m3 produced",IF(COUNTIF(CI_Site,$B772)=0,"⚠ Site not set up in Current Inventory",IF($A772&gt;AsOfDate,"Future date – not yet deducted","OK")))))))</f>
        <v/>
      </c>
    </row>
    <row r="773" customFormat="false" ht="15" hidden="false" customHeight="false" outlineLevel="0" collapsed="false">
      <c r="A773" s="65"/>
      <c r="B773" s="63"/>
      <c r="C773" s="70"/>
      <c r="D773" s="66"/>
      <c r="E773" s="16" t="str">
        <f aca="false">IF($C773="","",IFERROR(INDEX(Mix_Desc,MATCH($C773,Mix_Code,0)),"⚠ Unknown mix code"))</f>
        <v/>
      </c>
      <c r="F773" s="67" t="str">
        <f aca="false">IF(OR($C773="",$D773=""),"",IFERROR($D773*INDEX(Mix_Eff,MATCH($C773,Mix_Code,0),1),""))</f>
        <v/>
      </c>
      <c r="G773" s="67" t="str">
        <f aca="false">IF(OR($C773="",$D773=""),"",IFERROR($D773*INDEX(Mix_Eff,MATCH($C773,Mix_Code,0),2),""))</f>
        <v/>
      </c>
      <c r="H773" s="67" t="str">
        <f aca="false">IF(OR($C773="",$D773=""),"",IFERROR($D773*INDEX(Mix_Eff,MATCH($C773,Mix_Code,0),3),""))</f>
        <v/>
      </c>
      <c r="I773" s="67" t="str">
        <f aca="false">IF(OR($C773="",$D773=""),"",IFERROR($D773*INDEX(Mix_Eff,MATCH($C773,Mix_Code,0),4),""))</f>
        <v/>
      </c>
      <c r="J773" s="67" t="str">
        <f aca="false">IF(OR($C773="",$D773=""),"",IFERROR($D773*INDEX(Mix_Eff,MATCH($C773,Mix_Code,0),5),""))</f>
        <v/>
      </c>
      <c r="K773" s="63"/>
      <c r="L773" s="16" t="str">
        <f aca="false">IF(AND($A773="",$B773="",$C773="",$D773=""),"",IF($A773="","⚠ Date missing",IF($B773="","⚠ Site missing",IF(ISNA(MATCH($C773,Mix_Code,0)),"⚠ Unknown mix code",IF($D773="","⚠ Enter m3 produced",IF(COUNTIF(CI_Site,$B773)=0,"⚠ Site not set up in Current Inventory",IF($A773&gt;AsOfDate,"Future date – not yet deducted","OK")))))))</f>
        <v/>
      </c>
    </row>
    <row r="774" customFormat="false" ht="15" hidden="false" customHeight="false" outlineLevel="0" collapsed="false">
      <c r="A774" s="65"/>
      <c r="B774" s="63"/>
      <c r="C774" s="70"/>
      <c r="D774" s="66"/>
      <c r="E774" s="16" t="str">
        <f aca="false">IF($C774="","",IFERROR(INDEX(Mix_Desc,MATCH($C774,Mix_Code,0)),"⚠ Unknown mix code"))</f>
        <v/>
      </c>
      <c r="F774" s="67" t="str">
        <f aca="false">IF(OR($C774="",$D774=""),"",IFERROR($D774*INDEX(Mix_Eff,MATCH($C774,Mix_Code,0),1),""))</f>
        <v/>
      </c>
      <c r="G774" s="67" t="str">
        <f aca="false">IF(OR($C774="",$D774=""),"",IFERROR($D774*INDEX(Mix_Eff,MATCH($C774,Mix_Code,0),2),""))</f>
        <v/>
      </c>
      <c r="H774" s="67" t="str">
        <f aca="false">IF(OR($C774="",$D774=""),"",IFERROR($D774*INDEX(Mix_Eff,MATCH($C774,Mix_Code,0),3),""))</f>
        <v/>
      </c>
      <c r="I774" s="67" t="str">
        <f aca="false">IF(OR($C774="",$D774=""),"",IFERROR($D774*INDEX(Mix_Eff,MATCH($C774,Mix_Code,0),4),""))</f>
        <v/>
      </c>
      <c r="J774" s="67" t="str">
        <f aca="false">IF(OR($C774="",$D774=""),"",IFERROR($D774*INDEX(Mix_Eff,MATCH($C774,Mix_Code,0),5),""))</f>
        <v/>
      </c>
      <c r="K774" s="63"/>
      <c r="L774" s="16" t="str">
        <f aca="false">IF(AND($A774="",$B774="",$C774="",$D774=""),"",IF($A774="","⚠ Date missing",IF($B774="","⚠ Site missing",IF(ISNA(MATCH($C774,Mix_Code,0)),"⚠ Unknown mix code",IF($D774="","⚠ Enter m3 produced",IF(COUNTIF(CI_Site,$B774)=0,"⚠ Site not set up in Current Inventory",IF($A774&gt;AsOfDate,"Future date – not yet deducted","OK")))))))</f>
        <v/>
      </c>
    </row>
    <row r="775" customFormat="false" ht="15" hidden="false" customHeight="false" outlineLevel="0" collapsed="false">
      <c r="A775" s="65"/>
      <c r="B775" s="63"/>
      <c r="C775" s="70"/>
      <c r="D775" s="66"/>
      <c r="E775" s="16" t="str">
        <f aca="false">IF($C775="","",IFERROR(INDEX(Mix_Desc,MATCH($C775,Mix_Code,0)),"⚠ Unknown mix code"))</f>
        <v/>
      </c>
      <c r="F775" s="67" t="str">
        <f aca="false">IF(OR($C775="",$D775=""),"",IFERROR($D775*INDEX(Mix_Eff,MATCH($C775,Mix_Code,0),1),""))</f>
        <v/>
      </c>
      <c r="G775" s="67" t="str">
        <f aca="false">IF(OR($C775="",$D775=""),"",IFERROR($D775*INDEX(Mix_Eff,MATCH($C775,Mix_Code,0),2),""))</f>
        <v/>
      </c>
      <c r="H775" s="67" t="str">
        <f aca="false">IF(OR($C775="",$D775=""),"",IFERROR($D775*INDEX(Mix_Eff,MATCH($C775,Mix_Code,0),3),""))</f>
        <v/>
      </c>
      <c r="I775" s="67" t="str">
        <f aca="false">IF(OR($C775="",$D775=""),"",IFERROR($D775*INDEX(Mix_Eff,MATCH($C775,Mix_Code,0),4),""))</f>
        <v/>
      </c>
      <c r="J775" s="67" t="str">
        <f aca="false">IF(OR($C775="",$D775=""),"",IFERROR($D775*INDEX(Mix_Eff,MATCH($C775,Mix_Code,0),5),""))</f>
        <v/>
      </c>
      <c r="K775" s="63"/>
      <c r="L775" s="16" t="str">
        <f aca="false">IF(AND($A775="",$B775="",$C775="",$D775=""),"",IF($A775="","⚠ Date missing",IF($B775="","⚠ Site missing",IF(ISNA(MATCH($C775,Mix_Code,0)),"⚠ Unknown mix code",IF($D775="","⚠ Enter m3 produced",IF(COUNTIF(CI_Site,$B775)=0,"⚠ Site not set up in Current Inventory",IF($A775&gt;AsOfDate,"Future date – not yet deducted","OK")))))))</f>
        <v/>
      </c>
    </row>
    <row r="776" customFormat="false" ht="15" hidden="false" customHeight="false" outlineLevel="0" collapsed="false">
      <c r="A776" s="65"/>
      <c r="B776" s="63"/>
      <c r="C776" s="70"/>
      <c r="D776" s="66"/>
      <c r="E776" s="16" t="str">
        <f aca="false">IF($C776="","",IFERROR(INDEX(Mix_Desc,MATCH($C776,Mix_Code,0)),"⚠ Unknown mix code"))</f>
        <v/>
      </c>
      <c r="F776" s="67" t="str">
        <f aca="false">IF(OR($C776="",$D776=""),"",IFERROR($D776*INDEX(Mix_Eff,MATCH($C776,Mix_Code,0),1),""))</f>
        <v/>
      </c>
      <c r="G776" s="67" t="str">
        <f aca="false">IF(OR($C776="",$D776=""),"",IFERROR($D776*INDEX(Mix_Eff,MATCH($C776,Mix_Code,0),2),""))</f>
        <v/>
      </c>
      <c r="H776" s="67" t="str">
        <f aca="false">IF(OR($C776="",$D776=""),"",IFERROR($D776*INDEX(Mix_Eff,MATCH($C776,Mix_Code,0),3),""))</f>
        <v/>
      </c>
      <c r="I776" s="67" t="str">
        <f aca="false">IF(OR($C776="",$D776=""),"",IFERROR($D776*INDEX(Mix_Eff,MATCH($C776,Mix_Code,0),4),""))</f>
        <v/>
      </c>
      <c r="J776" s="67" t="str">
        <f aca="false">IF(OR($C776="",$D776=""),"",IFERROR($D776*INDEX(Mix_Eff,MATCH($C776,Mix_Code,0),5),""))</f>
        <v/>
      </c>
      <c r="K776" s="63"/>
      <c r="L776" s="16" t="str">
        <f aca="false">IF(AND($A776="",$B776="",$C776="",$D776=""),"",IF($A776="","⚠ Date missing",IF($B776="","⚠ Site missing",IF(ISNA(MATCH($C776,Mix_Code,0)),"⚠ Unknown mix code",IF($D776="","⚠ Enter m3 produced",IF(COUNTIF(CI_Site,$B776)=0,"⚠ Site not set up in Current Inventory",IF($A776&gt;AsOfDate,"Future date – not yet deducted","OK")))))))</f>
        <v/>
      </c>
    </row>
    <row r="777" customFormat="false" ht="15" hidden="false" customHeight="false" outlineLevel="0" collapsed="false">
      <c r="A777" s="65"/>
      <c r="B777" s="63"/>
      <c r="C777" s="70"/>
      <c r="D777" s="66"/>
      <c r="E777" s="16" t="str">
        <f aca="false">IF($C777="","",IFERROR(INDEX(Mix_Desc,MATCH($C777,Mix_Code,0)),"⚠ Unknown mix code"))</f>
        <v/>
      </c>
      <c r="F777" s="67" t="str">
        <f aca="false">IF(OR($C777="",$D777=""),"",IFERROR($D777*INDEX(Mix_Eff,MATCH($C777,Mix_Code,0),1),""))</f>
        <v/>
      </c>
      <c r="G777" s="67" t="str">
        <f aca="false">IF(OR($C777="",$D777=""),"",IFERROR($D777*INDEX(Mix_Eff,MATCH($C777,Mix_Code,0),2),""))</f>
        <v/>
      </c>
      <c r="H777" s="67" t="str">
        <f aca="false">IF(OR($C777="",$D777=""),"",IFERROR($D777*INDEX(Mix_Eff,MATCH($C777,Mix_Code,0),3),""))</f>
        <v/>
      </c>
      <c r="I777" s="67" t="str">
        <f aca="false">IF(OR($C777="",$D777=""),"",IFERROR($D777*INDEX(Mix_Eff,MATCH($C777,Mix_Code,0),4),""))</f>
        <v/>
      </c>
      <c r="J777" s="67" t="str">
        <f aca="false">IF(OR($C777="",$D777=""),"",IFERROR($D777*INDEX(Mix_Eff,MATCH($C777,Mix_Code,0),5),""))</f>
        <v/>
      </c>
      <c r="K777" s="63"/>
      <c r="L777" s="16" t="str">
        <f aca="false">IF(AND($A777="",$B777="",$C777="",$D777=""),"",IF($A777="","⚠ Date missing",IF($B777="","⚠ Site missing",IF(ISNA(MATCH($C777,Mix_Code,0)),"⚠ Unknown mix code",IF($D777="","⚠ Enter m3 produced",IF(COUNTIF(CI_Site,$B777)=0,"⚠ Site not set up in Current Inventory",IF($A777&gt;AsOfDate,"Future date – not yet deducted","OK")))))))</f>
        <v/>
      </c>
    </row>
    <row r="778" customFormat="false" ht="15" hidden="false" customHeight="false" outlineLevel="0" collapsed="false">
      <c r="A778" s="65"/>
      <c r="B778" s="63"/>
      <c r="C778" s="70"/>
      <c r="D778" s="66"/>
      <c r="E778" s="16" t="str">
        <f aca="false">IF($C778="","",IFERROR(INDEX(Mix_Desc,MATCH($C778,Mix_Code,0)),"⚠ Unknown mix code"))</f>
        <v/>
      </c>
      <c r="F778" s="67" t="str">
        <f aca="false">IF(OR($C778="",$D778=""),"",IFERROR($D778*INDEX(Mix_Eff,MATCH($C778,Mix_Code,0),1),""))</f>
        <v/>
      </c>
      <c r="G778" s="67" t="str">
        <f aca="false">IF(OR($C778="",$D778=""),"",IFERROR($D778*INDEX(Mix_Eff,MATCH($C778,Mix_Code,0),2),""))</f>
        <v/>
      </c>
      <c r="H778" s="67" t="str">
        <f aca="false">IF(OR($C778="",$D778=""),"",IFERROR($D778*INDEX(Mix_Eff,MATCH($C778,Mix_Code,0),3),""))</f>
        <v/>
      </c>
      <c r="I778" s="67" t="str">
        <f aca="false">IF(OR($C778="",$D778=""),"",IFERROR($D778*INDEX(Mix_Eff,MATCH($C778,Mix_Code,0),4),""))</f>
        <v/>
      </c>
      <c r="J778" s="67" t="str">
        <f aca="false">IF(OR($C778="",$D778=""),"",IFERROR($D778*INDEX(Mix_Eff,MATCH($C778,Mix_Code,0),5),""))</f>
        <v/>
      </c>
      <c r="K778" s="63"/>
      <c r="L778" s="16" t="str">
        <f aca="false">IF(AND($A778="",$B778="",$C778="",$D778=""),"",IF($A778="","⚠ Date missing",IF($B778="","⚠ Site missing",IF(ISNA(MATCH($C778,Mix_Code,0)),"⚠ Unknown mix code",IF($D778="","⚠ Enter m3 produced",IF(COUNTIF(CI_Site,$B778)=0,"⚠ Site not set up in Current Inventory",IF($A778&gt;AsOfDate,"Future date – not yet deducted","OK")))))))</f>
        <v/>
      </c>
    </row>
    <row r="779" customFormat="false" ht="15" hidden="false" customHeight="false" outlineLevel="0" collapsed="false">
      <c r="A779" s="65"/>
      <c r="B779" s="63"/>
      <c r="C779" s="70"/>
      <c r="D779" s="66"/>
      <c r="E779" s="16" t="str">
        <f aca="false">IF($C779="","",IFERROR(INDEX(Mix_Desc,MATCH($C779,Mix_Code,0)),"⚠ Unknown mix code"))</f>
        <v/>
      </c>
      <c r="F779" s="67" t="str">
        <f aca="false">IF(OR($C779="",$D779=""),"",IFERROR($D779*INDEX(Mix_Eff,MATCH($C779,Mix_Code,0),1),""))</f>
        <v/>
      </c>
      <c r="G779" s="67" t="str">
        <f aca="false">IF(OR($C779="",$D779=""),"",IFERROR($D779*INDEX(Mix_Eff,MATCH($C779,Mix_Code,0),2),""))</f>
        <v/>
      </c>
      <c r="H779" s="67" t="str">
        <f aca="false">IF(OR($C779="",$D779=""),"",IFERROR($D779*INDEX(Mix_Eff,MATCH($C779,Mix_Code,0),3),""))</f>
        <v/>
      </c>
      <c r="I779" s="67" t="str">
        <f aca="false">IF(OR($C779="",$D779=""),"",IFERROR($D779*INDEX(Mix_Eff,MATCH($C779,Mix_Code,0),4),""))</f>
        <v/>
      </c>
      <c r="J779" s="67" t="str">
        <f aca="false">IF(OR($C779="",$D779=""),"",IFERROR($D779*INDEX(Mix_Eff,MATCH($C779,Mix_Code,0),5),""))</f>
        <v/>
      </c>
      <c r="K779" s="63"/>
      <c r="L779" s="16" t="str">
        <f aca="false">IF(AND($A779="",$B779="",$C779="",$D779=""),"",IF($A779="","⚠ Date missing",IF($B779="","⚠ Site missing",IF(ISNA(MATCH($C779,Mix_Code,0)),"⚠ Unknown mix code",IF($D779="","⚠ Enter m3 produced",IF(COUNTIF(CI_Site,$B779)=0,"⚠ Site not set up in Current Inventory",IF($A779&gt;AsOfDate,"Future date – not yet deducted","OK")))))))</f>
        <v/>
      </c>
    </row>
    <row r="780" customFormat="false" ht="15" hidden="false" customHeight="false" outlineLevel="0" collapsed="false">
      <c r="A780" s="65"/>
      <c r="B780" s="63"/>
      <c r="C780" s="70"/>
      <c r="D780" s="66"/>
      <c r="E780" s="16" t="str">
        <f aca="false">IF($C780="","",IFERROR(INDEX(Mix_Desc,MATCH($C780,Mix_Code,0)),"⚠ Unknown mix code"))</f>
        <v/>
      </c>
      <c r="F780" s="67" t="str">
        <f aca="false">IF(OR($C780="",$D780=""),"",IFERROR($D780*INDEX(Mix_Eff,MATCH($C780,Mix_Code,0),1),""))</f>
        <v/>
      </c>
      <c r="G780" s="67" t="str">
        <f aca="false">IF(OR($C780="",$D780=""),"",IFERROR($D780*INDEX(Mix_Eff,MATCH($C780,Mix_Code,0),2),""))</f>
        <v/>
      </c>
      <c r="H780" s="67" t="str">
        <f aca="false">IF(OR($C780="",$D780=""),"",IFERROR($D780*INDEX(Mix_Eff,MATCH($C780,Mix_Code,0),3),""))</f>
        <v/>
      </c>
      <c r="I780" s="67" t="str">
        <f aca="false">IF(OR($C780="",$D780=""),"",IFERROR($D780*INDEX(Mix_Eff,MATCH($C780,Mix_Code,0),4),""))</f>
        <v/>
      </c>
      <c r="J780" s="67" t="str">
        <f aca="false">IF(OR($C780="",$D780=""),"",IFERROR($D780*INDEX(Mix_Eff,MATCH($C780,Mix_Code,0),5),""))</f>
        <v/>
      </c>
      <c r="K780" s="63"/>
      <c r="L780" s="16" t="str">
        <f aca="false">IF(AND($A780="",$B780="",$C780="",$D780=""),"",IF($A780="","⚠ Date missing",IF($B780="","⚠ Site missing",IF(ISNA(MATCH($C780,Mix_Code,0)),"⚠ Unknown mix code",IF($D780="","⚠ Enter m3 produced",IF(COUNTIF(CI_Site,$B780)=0,"⚠ Site not set up in Current Inventory",IF($A780&gt;AsOfDate,"Future date – not yet deducted","OK")))))))</f>
        <v/>
      </c>
    </row>
    <row r="781" customFormat="false" ht="15" hidden="false" customHeight="false" outlineLevel="0" collapsed="false">
      <c r="A781" s="65"/>
      <c r="B781" s="63"/>
      <c r="C781" s="70"/>
      <c r="D781" s="66"/>
      <c r="E781" s="16" t="str">
        <f aca="false">IF($C781="","",IFERROR(INDEX(Mix_Desc,MATCH($C781,Mix_Code,0)),"⚠ Unknown mix code"))</f>
        <v/>
      </c>
      <c r="F781" s="67" t="str">
        <f aca="false">IF(OR($C781="",$D781=""),"",IFERROR($D781*INDEX(Mix_Eff,MATCH($C781,Mix_Code,0),1),""))</f>
        <v/>
      </c>
      <c r="G781" s="67" t="str">
        <f aca="false">IF(OR($C781="",$D781=""),"",IFERROR($D781*INDEX(Mix_Eff,MATCH($C781,Mix_Code,0),2),""))</f>
        <v/>
      </c>
      <c r="H781" s="67" t="str">
        <f aca="false">IF(OR($C781="",$D781=""),"",IFERROR($D781*INDEX(Mix_Eff,MATCH($C781,Mix_Code,0),3),""))</f>
        <v/>
      </c>
      <c r="I781" s="67" t="str">
        <f aca="false">IF(OR($C781="",$D781=""),"",IFERROR($D781*INDEX(Mix_Eff,MATCH($C781,Mix_Code,0),4),""))</f>
        <v/>
      </c>
      <c r="J781" s="67" t="str">
        <f aca="false">IF(OR($C781="",$D781=""),"",IFERROR($D781*INDEX(Mix_Eff,MATCH($C781,Mix_Code,0),5),""))</f>
        <v/>
      </c>
      <c r="K781" s="63"/>
      <c r="L781" s="16" t="str">
        <f aca="false">IF(AND($A781="",$B781="",$C781="",$D781=""),"",IF($A781="","⚠ Date missing",IF($B781="","⚠ Site missing",IF(ISNA(MATCH($C781,Mix_Code,0)),"⚠ Unknown mix code",IF($D781="","⚠ Enter m3 produced",IF(COUNTIF(CI_Site,$B781)=0,"⚠ Site not set up in Current Inventory",IF($A781&gt;AsOfDate,"Future date – not yet deducted","OK")))))))</f>
        <v/>
      </c>
    </row>
    <row r="782" customFormat="false" ht="15" hidden="false" customHeight="false" outlineLevel="0" collapsed="false">
      <c r="A782" s="65"/>
      <c r="B782" s="63"/>
      <c r="C782" s="70"/>
      <c r="D782" s="66"/>
      <c r="E782" s="16" t="str">
        <f aca="false">IF($C782="","",IFERROR(INDEX(Mix_Desc,MATCH($C782,Mix_Code,0)),"⚠ Unknown mix code"))</f>
        <v/>
      </c>
      <c r="F782" s="67" t="str">
        <f aca="false">IF(OR($C782="",$D782=""),"",IFERROR($D782*INDEX(Mix_Eff,MATCH($C782,Mix_Code,0),1),""))</f>
        <v/>
      </c>
      <c r="G782" s="67" t="str">
        <f aca="false">IF(OR($C782="",$D782=""),"",IFERROR($D782*INDEX(Mix_Eff,MATCH($C782,Mix_Code,0),2),""))</f>
        <v/>
      </c>
      <c r="H782" s="67" t="str">
        <f aca="false">IF(OR($C782="",$D782=""),"",IFERROR($D782*INDEX(Mix_Eff,MATCH($C782,Mix_Code,0),3),""))</f>
        <v/>
      </c>
      <c r="I782" s="67" t="str">
        <f aca="false">IF(OR($C782="",$D782=""),"",IFERROR($D782*INDEX(Mix_Eff,MATCH($C782,Mix_Code,0),4),""))</f>
        <v/>
      </c>
      <c r="J782" s="67" t="str">
        <f aca="false">IF(OR($C782="",$D782=""),"",IFERROR($D782*INDEX(Mix_Eff,MATCH($C782,Mix_Code,0),5),""))</f>
        <v/>
      </c>
      <c r="K782" s="63"/>
      <c r="L782" s="16" t="str">
        <f aca="false">IF(AND($A782="",$B782="",$C782="",$D782=""),"",IF($A782="","⚠ Date missing",IF($B782="","⚠ Site missing",IF(ISNA(MATCH($C782,Mix_Code,0)),"⚠ Unknown mix code",IF($D782="","⚠ Enter m3 produced",IF(COUNTIF(CI_Site,$B782)=0,"⚠ Site not set up in Current Inventory",IF($A782&gt;AsOfDate,"Future date – not yet deducted","OK")))))))</f>
        <v/>
      </c>
    </row>
    <row r="783" customFormat="false" ht="15" hidden="false" customHeight="false" outlineLevel="0" collapsed="false">
      <c r="A783" s="65"/>
      <c r="B783" s="63"/>
      <c r="C783" s="70"/>
      <c r="D783" s="66"/>
      <c r="E783" s="16" t="str">
        <f aca="false">IF($C783="","",IFERROR(INDEX(Mix_Desc,MATCH($C783,Mix_Code,0)),"⚠ Unknown mix code"))</f>
        <v/>
      </c>
      <c r="F783" s="67" t="str">
        <f aca="false">IF(OR($C783="",$D783=""),"",IFERROR($D783*INDEX(Mix_Eff,MATCH($C783,Mix_Code,0),1),""))</f>
        <v/>
      </c>
      <c r="G783" s="67" t="str">
        <f aca="false">IF(OR($C783="",$D783=""),"",IFERROR($D783*INDEX(Mix_Eff,MATCH($C783,Mix_Code,0),2),""))</f>
        <v/>
      </c>
      <c r="H783" s="67" t="str">
        <f aca="false">IF(OR($C783="",$D783=""),"",IFERROR($D783*INDEX(Mix_Eff,MATCH($C783,Mix_Code,0),3),""))</f>
        <v/>
      </c>
      <c r="I783" s="67" t="str">
        <f aca="false">IF(OR($C783="",$D783=""),"",IFERROR($D783*INDEX(Mix_Eff,MATCH($C783,Mix_Code,0),4),""))</f>
        <v/>
      </c>
      <c r="J783" s="67" t="str">
        <f aca="false">IF(OR($C783="",$D783=""),"",IFERROR($D783*INDEX(Mix_Eff,MATCH($C783,Mix_Code,0),5),""))</f>
        <v/>
      </c>
      <c r="K783" s="63"/>
      <c r="L783" s="16" t="str">
        <f aca="false">IF(AND($A783="",$B783="",$C783="",$D783=""),"",IF($A783="","⚠ Date missing",IF($B783="","⚠ Site missing",IF(ISNA(MATCH($C783,Mix_Code,0)),"⚠ Unknown mix code",IF($D783="","⚠ Enter m3 produced",IF(COUNTIF(CI_Site,$B783)=0,"⚠ Site not set up in Current Inventory",IF($A783&gt;AsOfDate,"Future date – not yet deducted","OK")))))))</f>
        <v/>
      </c>
    </row>
    <row r="784" customFormat="false" ht="15" hidden="false" customHeight="false" outlineLevel="0" collapsed="false">
      <c r="A784" s="65"/>
      <c r="B784" s="63"/>
      <c r="C784" s="70"/>
      <c r="D784" s="66"/>
      <c r="E784" s="16" t="str">
        <f aca="false">IF($C784="","",IFERROR(INDEX(Mix_Desc,MATCH($C784,Mix_Code,0)),"⚠ Unknown mix code"))</f>
        <v/>
      </c>
      <c r="F784" s="67" t="str">
        <f aca="false">IF(OR($C784="",$D784=""),"",IFERROR($D784*INDEX(Mix_Eff,MATCH($C784,Mix_Code,0),1),""))</f>
        <v/>
      </c>
      <c r="G784" s="67" t="str">
        <f aca="false">IF(OR($C784="",$D784=""),"",IFERROR($D784*INDEX(Mix_Eff,MATCH($C784,Mix_Code,0),2),""))</f>
        <v/>
      </c>
      <c r="H784" s="67" t="str">
        <f aca="false">IF(OR($C784="",$D784=""),"",IFERROR($D784*INDEX(Mix_Eff,MATCH($C784,Mix_Code,0),3),""))</f>
        <v/>
      </c>
      <c r="I784" s="67" t="str">
        <f aca="false">IF(OR($C784="",$D784=""),"",IFERROR($D784*INDEX(Mix_Eff,MATCH($C784,Mix_Code,0),4),""))</f>
        <v/>
      </c>
      <c r="J784" s="67" t="str">
        <f aca="false">IF(OR($C784="",$D784=""),"",IFERROR($D784*INDEX(Mix_Eff,MATCH($C784,Mix_Code,0),5),""))</f>
        <v/>
      </c>
      <c r="K784" s="63"/>
      <c r="L784" s="16" t="str">
        <f aca="false">IF(AND($A784="",$B784="",$C784="",$D784=""),"",IF($A784="","⚠ Date missing",IF($B784="","⚠ Site missing",IF(ISNA(MATCH($C784,Mix_Code,0)),"⚠ Unknown mix code",IF($D784="","⚠ Enter m3 produced",IF(COUNTIF(CI_Site,$B784)=0,"⚠ Site not set up in Current Inventory",IF($A784&gt;AsOfDate,"Future date – not yet deducted","OK")))))))</f>
        <v/>
      </c>
    </row>
    <row r="785" customFormat="false" ht="15" hidden="false" customHeight="false" outlineLevel="0" collapsed="false">
      <c r="A785" s="65"/>
      <c r="B785" s="63"/>
      <c r="C785" s="70"/>
      <c r="D785" s="66"/>
      <c r="E785" s="16" t="str">
        <f aca="false">IF($C785="","",IFERROR(INDEX(Mix_Desc,MATCH($C785,Mix_Code,0)),"⚠ Unknown mix code"))</f>
        <v/>
      </c>
      <c r="F785" s="67" t="str">
        <f aca="false">IF(OR($C785="",$D785=""),"",IFERROR($D785*INDEX(Mix_Eff,MATCH($C785,Mix_Code,0),1),""))</f>
        <v/>
      </c>
      <c r="G785" s="67" t="str">
        <f aca="false">IF(OR($C785="",$D785=""),"",IFERROR($D785*INDEX(Mix_Eff,MATCH($C785,Mix_Code,0),2),""))</f>
        <v/>
      </c>
      <c r="H785" s="67" t="str">
        <f aca="false">IF(OR($C785="",$D785=""),"",IFERROR($D785*INDEX(Mix_Eff,MATCH($C785,Mix_Code,0),3),""))</f>
        <v/>
      </c>
      <c r="I785" s="67" t="str">
        <f aca="false">IF(OR($C785="",$D785=""),"",IFERROR($D785*INDEX(Mix_Eff,MATCH($C785,Mix_Code,0),4),""))</f>
        <v/>
      </c>
      <c r="J785" s="67" t="str">
        <f aca="false">IF(OR($C785="",$D785=""),"",IFERROR($D785*INDEX(Mix_Eff,MATCH($C785,Mix_Code,0),5),""))</f>
        <v/>
      </c>
      <c r="K785" s="63"/>
      <c r="L785" s="16" t="str">
        <f aca="false">IF(AND($A785="",$B785="",$C785="",$D785=""),"",IF($A785="","⚠ Date missing",IF($B785="","⚠ Site missing",IF(ISNA(MATCH($C785,Mix_Code,0)),"⚠ Unknown mix code",IF($D785="","⚠ Enter m3 produced",IF(COUNTIF(CI_Site,$B785)=0,"⚠ Site not set up in Current Inventory",IF($A785&gt;AsOfDate,"Future date – not yet deducted","OK")))))))</f>
        <v/>
      </c>
    </row>
    <row r="786" customFormat="false" ht="15" hidden="false" customHeight="false" outlineLevel="0" collapsed="false">
      <c r="A786" s="65"/>
      <c r="B786" s="63"/>
      <c r="C786" s="70"/>
      <c r="D786" s="66"/>
      <c r="E786" s="16" t="str">
        <f aca="false">IF($C786="","",IFERROR(INDEX(Mix_Desc,MATCH($C786,Mix_Code,0)),"⚠ Unknown mix code"))</f>
        <v/>
      </c>
      <c r="F786" s="67" t="str">
        <f aca="false">IF(OR($C786="",$D786=""),"",IFERROR($D786*INDEX(Mix_Eff,MATCH($C786,Mix_Code,0),1),""))</f>
        <v/>
      </c>
      <c r="G786" s="67" t="str">
        <f aca="false">IF(OR($C786="",$D786=""),"",IFERROR($D786*INDEX(Mix_Eff,MATCH($C786,Mix_Code,0),2),""))</f>
        <v/>
      </c>
      <c r="H786" s="67" t="str">
        <f aca="false">IF(OR($C786="",$D786=""),"",IFERROR($D786*INDEX(Mix_Eff,MATCH($C786,Mix_Code,0),3),""))</f>
        <v/>
      </c>
      <c r="I786" s="67" t="str">
        <f aca="false">IF(OR($C786="",$D786=""),"",IFERROR($D786*INDEX(Mix_Eff,MATCH($C786,Mix_Code,0),4),""))</f>
        <v/>
      </c>
      <c r="J786" s="67" t="str">
        <f aca="false">IF(OR($C786="",$D786=""),"",IFERROR($D786*INDEX(Mix_Eff,MATCH($C786,Mix_Code,0),5),""))</f>
        <v/>
      </c>
      <c r="K786" s="63"/>
      <c r="L786" s="16" t="str">
        <f aca="false">IF(AND($A786="",$B786="",$C786="",$D786=""),"",IF($A786="","⚠ Date missing",IF($B786="","⚠ Site missing",IF(ISNA(MATCH($C786,Mix_Code,0)),"⚠ Unknown mix code",IF($D786="","⚠ Enter m3 produced",IF(COUNTIF(CI_Site,$B786)=0,"⚠ Site not set up in Current Inventory",IF($A786&gt;AsOfDate,"Future date – not yet deducted","OK")))))))</f>
        <v/>
      </c>
    </row>
    <row r="787" customFormat="false" ht="15" hidden="false" customHeight="false" outlineLevel="0" collapsed="false">
      <c r="A787" s="65"/>
      <c r="B787" s="63"/>
      <c r="C787" s="70"/>
      <c r="D787" s="66"/>
      <c r="E787" s="16" t="str">
        <f aca="false">IF($C787="","",IFERROR(INDEX(Mix_Desc,MATCH($C787,Mix_Code,0)),"⚠ Unknown mix code"))</f>
        <v/>
      </c>
      <c r="F787" s="67" t="str">
        <f aca="false">IF(OR($C787="",$D787=""),"",IFERROR($D787*INDEX(Mix_Eff,MATCH($C787,Mix_Code,0),1),""))</f>
        <v/>
      </c>
      <c r="G787" s="67" t="str">
        <f aca="false">IF(OR($C787="",$D787=""),"",IFERROR($D787*INDEX(Mix_Eff,MATCH($C787,Mix_Code,0),2),""))</f>
        <v/>
      </c>
      <c r="H787" s="67" t="str">
        <f aca="false">IF(OR($C787="",$D787=""),"",IFERROR($D787*INDEX(Mix_Eff,MATCH($C787,Mix_Code,0),3),""))</f>
        <v/>
      </c>
      <c r="I787" s="67" t="str">
        <f aca="false">IF(OR($C787="",$D787=""),"",IFERROR($D787*INDEX(Mix_Eff,MATCH($C787,Mix_Code,0),4),""))</f>
        <v/>
      </c>
      <c r="J787" s="67" t="str">
        <f aca="false">IF(OR($C787="",$D787=""),"",IFERROR($D787*INDEX(Mix_Eff,MATCH($C787,Mix_Code,0),5),""))</f>
        <v/>
      </c>
      <c r="K787" s="63"/>
      <c r="L787" s="16" t="str">
        <f aca="false">IF(AND($A787="",$B787="",$C787="",$D787=""),"",IF($A787="","⚠ Date missing",IF($B787="","⚠ Site missing",IF(ISNA(MATCH($C787,Mix_Code,0)),"⚠ Unknown mix code",IF($D787="","⚠ Enter m3 produced",IF(COUNTIF(CI_Site,$B787)=0,"⚠ Site not set up in Current Inventory",IF($A787&gt;AsOfDate,"Future date – not yet deducted","OK")))))))</f>
        <v/>
      </c>
    </row>
    <row r="788" customFormat="false" ht="15" hidden="false" customHeight="false" outlineLevel="0" collapsed="false">
      <c r="A788" s="65"/>
      <c r="B788" s="63"/>
      <c r="C788" s="70"/>
      <c r="D788" s="66"/>
      <c r="E788" s="16" t="str">
        <f aca="false">IF($C788="","",IFERROR(INDEX(Mix_Desc,MATCH($C788,Mix_Code,0)),"⚠ Unknown mix code"))</f>
        <v/>
      </c>
      <c r="F788" s="67" t="str">
        <f aca="false">IF(OR($C788="",$D788=""),"",IFERROR($D788*INDEX(Mix_Eff,MATCH($C788,Mix_Code,0),1),""))</f>
        <v/>
      </c>
      <c r="G788" s="67" t="str">
        <f aca="false">IF(OR($C788="",$D788=""),"",IFERROR($D788*INDEX(Mix_Eff,MATCH($C788,Mix_Code,0),2),""))</f>
        <v/>
      </c>
      <c r="H788" s="67" t="str">
        <f aca="false">IF(OR($C788="",$D788=""),"",IFERROR($D788*INDEX(Mix_Eff,MATCH($C788,Mix_Code,0),3),""))</f>
        <v/>
      </c>
      <c r="I788" s="67" t="str">
        <f aca="false">IF(OR($C788="",$D788=""),"",IFERROR($D788*INDEX(Mix_Eff,MATCH($C788,Mix_Code,0),4),""))</f>
        <v/>
      </c>
      <c r="J788" s="67" t="str">
        <f aca="false">IF(OR($C788="",$D788=""),"",IFERROR($D788*INDEX(Mix_Eff,MATCH($C788,Mix_Code,0),5),""))</f>
        <v/>
      </c>
      <c r="K788" s="63"/>
      <c r="L788" s="16" t="str">
        <f aca="false">IF(AND($A788="",$B788="",$C788="",$D788=""),"",IF($A788="","⚠ Date missing",IF($B788="","⚠ Site missing",IF(ISNA(MATCH($C788,Mix_Code,0)),"⚠ Unknown mix code",IF($D788="","⚠ Enter m3 produced",IF(COUNTIF(CI_Site,$B788)=0,"⚠ Site not set up in Current Inventory",IF($A788&gt;AsOfDate,"Future date – not yet deducted","OK")))))))</f>
        <v/>
      </c>
    </row>
    <row r="789" customFormat="false" ht="15" hidden="false" customHeight="false" outlineLevel="0" collapsed="false">
      <c r="A789" s="65"/>
      <c r="B789" s="63"/>
      <c r="C789" s="70"/>
      <c r="D789" s="66"/>
      <c r="E789" s="16" t="str">
        <f aca="false">IF($C789="","",IFERROR(INDEX(Mix_Desc,MATCH($C789,Mix_Code,0)),"⚠ Unknown mix code"))</f>
        <v/>
      </c>
      <c r="F789" s="67" t="str">
        <f aca="false">IF(OR($C789="",$D789=""),"",IFERROR($D789*INDEX(Mix_Eff,MATCH($C789,Mix_Code,0),1),""))</f>
        <v/>
      </c>
      <c r="G789" s="67" t="str">
        <f aca="false">IF(OR($C789="",$D789=""),"",IFERROR($D789*INDEX(Mix_Eff,MATCH($C789,Mix_Code,0),2),""))</f>
        <v/>
      </c>
      <c r="H789" s="67" t="str">
        <f aca="false">IF(OR($C789="",$D789=""),"",IFERROR($D789*INDEX(Mix_Eff,MATCH($C789,Mix_Code,0),3),""))</f>
        <v/>
      </c>
      <c r="I789" s="67" t="str">
        <f aca="false">IF(OR($C789="",$D789=""),"",IFERROR($D789*INDEX(Mix_Eff,MATCH($C789,Mix_Code,0),4),""))</f>
        <v/>
      </c>
      <c r="J789" s="67" t="str">
        <f aca="false">IF(OR($C789="",$D789=""),"",IFERROR($D789*INDEX(Mix_Eff,MATCH($C789,Mix_Code,0),5),""))</f>
        <v/>
      </c>
      <c r="K789" s="63"/>
      <c r="L789" s="16" t="str">
        <f aca="false">IF(AND($A789="",$B789="",$C789="",$D789=""),"",IF($A789="","⚠ Date missing",IF($B789="","⚠ Site missing",IF(ISNA(MATCH($C789,Mix_Code,0)),"⚠ Unknown mix code",IF($D789="","⚠ Enter m3 produced",IF(COUNTIF(CI_Site,$B789)=0,"⚠ Site not set up in Current Inventory",IF($A789&gt;AsOfDate,"Future date – not yet deducted","OK")))))))</f>
        <v/>
      </c>
    </row>
    <row r="790" customFormat="false" ht="15" hidden="false" customHeight="false" outlineLevel="0" collapsed="false">
      <c r="A790" s="65"/>
      <c r="B790" s="63"/>
      <c r="C790" s="70"/>
      <c r="D790" s="66"/>
      <c r="E790" s="16" t="str">
        <f aca="false">IF($C790="","",IFERROR(INDEX(Mix_Desc,MATCH($C790,Mix_Code,0)),"⚠ Unknown mix code"))</f>
        <v/>
      </c>
      <c r="F790" s="67" t="str">
        <f aca="false">IF(OR($C790="",$D790=""),"",IFERROR($D790*INDEX(Mix_Eff,MATCH($C790,Mix_Code,0),1),""))</f>
        <v/>
      </c>
      <c r="G790" s="67" t="str">
        <f aca="false">IF(OR($C790="",$D790=""),"",IFERROR($D790*INDEX(Mix_Eff,MATCH($C790,Mix_Code,0),2),""))</f>
        <v/>
      </c>
      <c r="H790" s="67" t="str">
        <f aca="false">IF(OR($C790="",$D790=""),"",IFERROR($D790*INDEX(Mix_Eff,MATCH($C790,Mix_Code,0),3),""))</f>
        <v/>
      </c>
      <c r="I790" s="67" t="str">
        <f aca="false">IF(OR($C790="",$D790=""),"",IFERROR($D790*INDEX(Mix_Eff,MATCH($C790,Mix_Code,0),4),""))</f>
        <v/>
      </c>
      <c r="J790" s="67" t="str">
        <f aca="false">IF(OR($C790="",$D790=""),"",IFERROR($D790*INDEX(Mix_Eff,MATCH($C790,Mix_Code,0),5),""))</f>
        <v/>
      </c>
      <c r="K790" s="63"/>
      <c r="L790" s="16" t="str">
        <f aca="false">IF(AND($A790="",$B790="",$C790="",$D790=""),"",IF($A790="","⚠ Date missing",IF($B790="","⚠ Site missing",IF(ISNA(MATCH($C790,Mix_Code,0)),"⚠ Unknown mix code",IF($D790="","⚠ Enter m3 produced",IF(COUNTIF(CI_Site,$B790)=0,"⚠ Site not set up in Current Inventory",IF($A790&gt;AsOfDate,"Future date – not yet deducted","OK")))))))</f>
        <v/>
      </c>
    </row>
    <row r="791" customFormat="false" ht="15" hidden="false" customHeight="false" outlineLevel="0" collapsed="false">
      <c r="A791" s="65"/>
      <c r="B791" s="63"/>
      <c r="C791" s="70"/>
      <c r="D791" s="66"/>
      <c r="E791" s="16" t="str">
        <f aca="false">IF($C791="","",IFERROR(INDEX(Mix_Desc,MATCH($C791,Mix_Code,0)),"⚠ Unknown mix code"))</f>
        <v/>
      </c>
      <c r="F791" s="67" t="str">
        <f aca="false">IF(OR($C791="",$D791=""),"",IFERROR($D791*INDEX(Mix_Eff,MATCH($C791,Mix_Code,0),1),""))</f>
        <v/>
      </c>
      <c r="G791" s="67" t="str">
        <f aca="false">IF(OR($C791="",$D791=""),"",IFERROR($D791*INDEX(Mix_Eff,MATCH($C791,Mix_Code,0),2),""))</f>
        <v/>
      </c>
      <c r="H791" s="67" t="str">
        <f aca="false">IF(OR($C791="",$D791=""),"",IFERROR($D791*INDEX(Mix_Eff,MATCH($C791,Mix_Code,0),3),""))</f>
        <v/>
      </c>
      <c r="I791" s="67" t="str">
        <f aca="false">IF(OR($C791="",$D791=""),"",IFERROR($D791*INDEX(Mix_Eff,MATCH($C791,Mix_Code,0),4),""))</f>
        <v/>
      </c>
      <c r="J791" s="67" t="str">
        <f aca="false">IF(OR($C791="",$D791=""),"",IFERROR($D791*INDEX(Mix_Eff,MATCH($C791,Mix_Code,0),5),""))</f>
        <v/>
      </c>
      <c r="K791" s="63"/>
      <c r="L791" s="16" t="str">
        <f aca="false">IF(AND($A791="",$B791="",$C791="",$D791=""),"",IF($A791="","⚠ Date missing",IF($B791="","⚠ Site missing",IF(ISNA(MATCH($C791,Mix_Code,0)),"⚠ Unknown mix code",IF($D791="","⚠ Enter m3 produced",IF(COUNTIF(CI_Site,$B791)=0,"⚠ Site not set up in Current Inventory",IF($A791&gt;AsOfDate,"Future date – not yet deducted","OK")))))))</f>
        <v/>
      </c>
    </row>
    <row r="792" customFormat="false" ht="15" hidden="false" customHeight="false" outlineLevel="0" collapsed="false">
      <c r="A792" s="65"/>
      <c r="B792" s="63"/>
      <c r="C792" s="70"/>
      <c r="D792" s="66"/>
      <c r="E792" s="16" t="str">
        <f aca="false">IF($C792="","",IFERROR(INDEX(Mix_Desc,MATCH($C792,Mix_Code,0)),"⚠ Unknown mix code"))</f>
        <v/>
      </c>
      <c r="F792" s="67" t="str">
        <f aca="false">IF(OR($C792="",$D792=""),"",IFERROR($D792*INDEX(Mix_Eff,MATCH($C792,Mix_Code,0),1),""))</f>
        <v/>
      </c>
      <c r="G792" s="67" t="str">
        <f aca="false">IF(OR($C792="",$D792=""),"",IFERROR($D792*INDEX(Mix_Eff,MATCH($C792,Mix_Code,0),2),""))</f>
        <v/>
      </c>
      <c r="H792" s="67" t="str">
        <f aca="false">IF(OR($C792="",$D792=""),"",IFERROR($D792*INDEX(Mix_Eff,MATCH($C792,Mix_Code,0),3),""))</f>
        <v/>
      </c>
      <c r="I792" s="67" t="str">
        <f aca="false">IF(OR($C792="",$D792=""),"",IFERROR($D792*INDEX(Mix_Eff,MATCH($C792,Mix_Code,0),4),""))</f>
        <v/>
      </c>
      <c r="J792" s="67" t="str">
        <f aca="false">IF(OR($C792="",$D792=""),"",IFERROR($D792*INDEX(Mix_Eff,MATCH($C792,Mix_Code,0),5),""))</f>
        <v/>
      </c>
      <c r="K792" s="63"/>
      <c r="L792" s="16" t="str">
        <f aca="false">IF(AND($A792="",$B792="",$C792="",$D792=""),"",IF($A792="","⚠ Date missing",IF($B792="","⚠ Site missing",IF(ISNA(MATCH($C792,Mix_Code,0)),"⚠ Unknown mix code",IF($D792="","⚠ Enter m3 produced",IF(COUNTIF(CI_Site,$B792)=0,"⚠ Site not set up in Current Inventory",IF($A792&gt;AsOfDate,"Future date – not yet deducted","OK")))))))</f>
        <v/>
      </c>
    </row>
    <row r="793" customFormat="false" ht="15" hidden="false" customHeight="false" outlineLevel="0" collapsed="false">
      <c r="A793" s="65"/>
      <c r="B793" s="63"/>
      <c r="C793" s="70"/>
      <c r="D793" s="66"/>
      <c r="E793" s="16" t="str">
        <f aca="false">IF($C793="","",IFERROR(INDEX(Mix_Desc,MATCH($C793,Mix_Code,0)),"⚠ Unknown mix code"))</f>
        <v/>
      </c>
      <c r="F793" s="67" t="str">
        <f aca="false">IF(OR($C793="",$D793=""),"",IFERROR($D793*INDEX(Mix_Eff,MATCH($C793,Mix_Code,0),1),""))</f>
        <v/>
      </c>
      <c r="G793" s="67" t="str">
        <f aca="false">IF(OR($C793="",$D793=""),"",IFERROR($D793*INDEX(Mix_Eff,MATCH($C793,Mix_Code,0),2),""))</f>
        <v/>
      </c>
      <c r="H793" s="67" t="str">
        <f aca="false">IF(OR($C793="",$D793=""),"",IFERROR($D793*INDEX(Mix_Eff,MATCH($C793,Mix_Code,0),3),""))</f>
        <v/>
      </c>
      <c r="I793" s="67" t="str">
        <f aca="false">IF(OR($C793="",$D793=""),"",IFERROR($D793*INDEX(Mix_Eff,MATCH($C793,Mix_Code,0),4),""))</f>
        <v/>
      </c>
      <c r="J793" s="67" t="str">
        <f aca="false">IF(OR($C793="",$D793=""),"",IFERROR($D793*INDEX(Mix_Eff,MATCH($C793,Mix_Code,0),5),""))</f>
        <v/>
      </c>
      <c r="K793" s="63"/>
      <c r="L793" s="16" t="str">
        <f aca="false">IF(AND($A793="",$B793="",$C793="",$D793=""),"",IF($A793="","⚠ Date missing",IF($B793="","⚠ Site missing",IF(ISNA(MATCH($C793,Mix_Code,0)),"⚠ Unknown mix code",IF($D793="","⚠ Enter m3 produced",IF(COUNTIF(CI_Site,$B793)=0,"⚠ Site not set up in Current Inventory",IF($A793&gt;AsOfDate,"Future date – not yet deducted","OK")))))))</f>
        <v/>
      </c>
    </row>
    <row r="794" customFormat="false" ht="15" hidden="false" customHeight="false" outlineLevel="0" collapsed="false">
      <c r="A794" s="65"/>
      <c r="B794" s="63"/>
      <c r="C794" s="70"/>
      <c r="D794" s="66"/>
      <c r="E794" s="16" t="str">
        <f aca="false">IF($C794="","",IFERROR(INDEX(Mix_Desc,MATCH($C794,Mix_Code,0)),"⚠ Unknown mix code"))</f>
        <v/>
      </c>
      <c r="F794" s="67" t="str">
        <f aca="false">IF(OR($C794="",$D794=""),"",IFERROR($D794*INDEX(Mix_Eff,MATCH($C794,Mix_Code,0),1),""))</f>
        <v/>
      </c>
      <c r="G794" s="67" t="str">
        <f aca="false">IF(OR($C794="",$D794=""),"",IFERROR($D794*INDEX(Mix_Eff,MATCH($C794,Mix_Code,0),2),""))</f>
        <v/>
      </c>
      <c r="H794" s="67" t="str">
        <f aca="false">IF(OR($C794="",$D794=""),"",IFERROR($D794*INDEX(Mix_Eff,MATCH($C794,Mix_Code,0),3),""))</f>
        <v/>
      </c>
      <c r="I794" s="67" t="str">
        <f aca="false">IF(OR($C794="",$D794=""),"",IFERROR($D794*INDEX(Mix_Eff,MATCH($C794,Mix_Code,0),4),""))</f>
        <v/>
      </c>
      <c r="J794" s="67" t="str">
        <f aca="false">IF(OR($C794="",$D794=""),"",IFERROR($D794*INDEX(Mix_Eff,MATCH($C794,Mix_Code,0),5),""))</f>
        <v/>
      </c>
      <c r="K794" s="63"/>
      <c r="L794" s="16" t="str">
        <f aca="false">IF(AND($A794="",$B794="",$C794="",$D794=""),"",IF($A794="","⚠ Date missing",IF($B794="","⚠ Site missing",IF(ISNA(MATCH($C794,Mix_Code,0)),"⚠ Unknown mix code",IF($D794="","⚠ Enter m3 produced",IF(COUNTIF(CI_Site,$B794)=0,"⚠ Site not set up in Current Inventory",IF($A794&gt;AsOfDate,"Future date – not yet deducted","OK")))))))</f>
        <v/>
      </c>
    </row>
    <row r="795" customFormat="false" ht="15" hidden="false" customHeight="false" outlineLevel="0" collapsed="false">
      <c r="A795" s="65"/>
      <c r="B795" s="63"/>
      <c r="C795" s="70"/>
      <c r="D795" s="66"/>
      <c r="E795" s="16" t="str">
        <f aca="false">IF($C795="","",IFERROR(INDEX(Mix_Desc,MATCH($C795,Mix_Code,0)),"⚠ Unknown mix code"))</f>
        <v/>
      </c>
      <c r="F795" s="67" t="str">
        <f aca="false">IF(OR($C795="",$D795=""),"",IFERROR($D795*INDEX(Mix_Eff,MATCH($C795,Mix_Code,0),1),""))</f>
        <v/>
      </c>
      <c r="G795" s="67" t="str">
        <f aca="false">IF(OR($C795="",$D795=""),"",IFERROR($D795*INDEX(Mix_Eff,MATCH($C795,Mix_Code,0),2),""))</f>
        <v/>
      </c>
      <c r="H795" s="67" t="str">
        <f aca="false">IF(OR($C795="",$D795=""),"",IFERROR($D795*INDEX(Mix_Eff,MATCH($C795,Mix_Code,0),3),""))</f>
        <v/>
      </c>
      <c r="I795" s="67" t="str">
        <f aca="false">IF(OR($C795="",$D795=""),"",IFERROR($D795*INDEX(Mix_Eff,MATCH($C795,Mix_Code,0),4),""))</f>
        <v/>
      </c>
      <c r="J795" s="67" t="str">
        <f aca="false">IF(OR($C795="",$D795=""),"",IFERROR($D795*INDEX(Mix_Eff,MATCH($C795,Mix_Code,0),5),""))</f>
        <v/>
      </c>
      <c r="K795" s="63"/>
      <c r="L795" s="16" t="str">
        <f aca="false">IF(AND($A795="",$B795="",$C795="",$D795=""),"",IF($A795="","⚠ Date missing",IF($B795="","⚠ Site missing",IF(ISNA(MATCH($C795,Mix_Code,0)),"⚠ Unknown mix code",IF($D795="","⚠ Enter m3 produced",IF(COUNTIF(CI_Site,$B795)=0,"⚠ Site not set up in Current Inventory",IF($A795&gt;AsOfDate,"Future date – not yet deducted","OK")))))))</f>
        <v/>
      </c>
    </row>
    <row r="796" customFormat="false" ht="15" hidden="false" customHeight="false" outlineLevel="0" collapsed="false">
      <c r="A796" s="65"/>
      <c r="B796" s="63"/>
      <c r="C796" s="70"/>
      <c r="D796" s="66"/>
      <c r="E796" s="16" t="str">
        <f aca="false">IF($C796="","",IFERROR(INDEX(Mix_Desc,MATCH($C796,Mix_Code,0)),"⚠ Unknown mix code"))</f>
        <v/>
      </c>
      <c r="F796" s="67" t="str">
        <f aca="false">IF(OR($C796="",$D796=""),"",IFERROR($D796*INDEX(Mix_Eff,MATCH($C796,Mix_Code,0),1),""))</f>
        <v/>
      </c>
      <c r="G796" s="67" t="str">
        <f aca="false">IF(OR($C796="",$D796=""),"",IFERROR($D796*INDEX(Mix_Eff,MATCH($C796,Mix_Code,0),2),""))</f>
        <v/>
      </c>
      <c r="H796" s="67" t="str">
        <f aca="false">IF(OR($C796="",$D796=""),"",IFERROR($D796*INDEX(Mix_Eff,MATCH($C796,Mix_Code,0),3),""))</f>
        <v/>
      </c>
      <c r="I796" s="67" t="str">
        <f aca="false">IF(OR($C796="",$D796=""),"",IFERROR($D796*INDEX(Mix_Eff,MATCH($C796,Mix_Code,0),4),""))</f>
        <v/>
      </c>
      <c r="J796" s="67" t="str">
        <f aca="false">IF(OR($C796="",$D796=""),"",IFERROR($D796*INDEX(Mix_Eff,MATCH($C796,Mix_Code,0),5),""))</f>
        <v/>
      </c>
      <c r="K796" s="63"/>
      <c r="L796" s="16" t="str">
        <f aca="false">IF(AND($A796="",$B796="",$C796="",$D796=""),"",IF($A796="","⚠ Date missing",IF($B796="","⚠ Site missing",IF(ISNA(MATCH($C796,Mix_Code,0)),"⚠ Unknown mix code",IF($D796="","⚠ Enter m3 produced",IF(COUNTIF(CI_Site,$B796)=0,"⚠ Site not set up in Current Inventory",IF($A796&gt;AsOfDate,"Future date – not yet deducted","OK")))))))</f>
        <v/>
      </c>
    </row>
    <row r="797" customFormat="false" ht="15" hidden="false" customHeight="false" outlineLevel="0" collapsed="false">
      <c r="A797" s="65"/>
      <c r="B797" s="63"/>
      <c r="C797" s="70"/>
      <c r="D797" s="66"/>
      <c r="E797" s="16" t="str">
        <f aca="false">IF($C797="","",IFERROR(INDEX(Mix_Desc,MATCH($C797,Mix_Code,0)),"⚠ Unknown mix code"))</f>
        <v/>
      </c>
      <c r="F797" s="67" t="str">
        <f aca="false">IF(OR($C797="",$D797=""),"",IFERROR($D797*INDEX(Mix_Eff,MATCH($C797,Mix_Code,0),1),""))</f>
        <v/>
      </c>
      <c r="G797" s="67" t="str">
        <f aca="false">IF(OR($C797="",$D797=""),"",IFERROR($D797*INDEX(Mix_Eff,MATCH($C797,Mix_Code,0),2),""))</f>
        <v/>
      </c>
      <c r="H797" s="67" t="str">
        <f aca="false">IF(OR($C797="",$D797=""),"",IFERROR($D797*INDEX(Mix_Eff,MATCH($C797,Mix_Code,0),3),""))</f>
        <v/>
      </c>
      <c r="I797" s="67" t="str">
        <f aca="false">IF(OR($C797="",$D797=""),"",IFERROR($D797*INDEX(Mix_Eff,MATCH($C797,Mix_Code,0),4),""))</f>
        <v/>
      </c>
      <c r="J797" s="67" t="str">
        <f aca="false">IF(OR($C797="",$D797=""),"",IFERROR($D797*INDEX(Mix_Eff,MATCH($C797,Mix_Code,0),5),""))</f>
        <v/>
      </c>
      <c r="K797" s="63"/>
      <c r="L797" s="16" t="str">
        <f aca="false">IF(AND($A797="",$B797="",$C797="",$D797=""),"",IF($A797="","⚠ Date missing",IF($B797="","⚠ Site missing",IF(ISNA(MATCH($C797,Mix_Code,0)),"⚠ Unknown mix code",IF($D797="","⚠ Enter m3 produced",IF(COUNTIF(CI_Site,$B797)=0,"⚠ Site not set up in Current Inventory",IF($A797&gt;AsOfDate,"Future date – not yet deducted","OK")))))))</f>
        <v/>
      </c>
    </row>
    <row r="798" customFormat="false" ht="15" hidden="false" customHeight="false" outlineLevel="0" collapsed="false">
      <c r="A798" s="65"/>
      <c r="B798" s="63"/>
      <c r="C798" s="70"/>
      <c r="D798" s="66"/>
      <c r="E798" s="16" t="str">
        <f aca="false">IF($C798="","",IFERROR(INDEX(Mix_Desc,MATCH($C798,Mix_Code,0)),"⚠ Unknown mix code"))</f>
        <v/>
      </c>
      <c r="F798" s="67" t="str">
        <f aca="false">IF(OR($C798="",$D798=""),"",IFERROR($D798*INDEX(Mix_Eff,MATCH($C798,Mix_Code,0),1),""))</f>
        <v/>
      </c>
      <c r="G798" s="67" t="str">
        <f aca="false">IF(OR($C798="",$D798=""),"",IFERROR($D798*INDEX(Mix_Eff,MATCH($C798,Mix_Code,0),2),""))</f>
        <v/>
      </c>
      <c r="H798" s="67" t="str">
        <f aca="false">IF(OR($C798="",$D798=""),"",IFERROR($D798*INDEX(Mix_Eff,MATCH($C798,Mix_Code,0),3),""))</f>
        <v/>
      </c>
      <c r="I798" s="67" t="str">
        <f aca="false">IF(OR($C798="",$D798=""),"",IFERROR($D798*INDEX(Mix_Eff,MATCH($C798,Mix_Code,0),4),""))</f>
        <v/>
      </c>
      <c r="J798" s="67" t="str">
        <f aca="false">IF(OR($C798="",$D798=""),"",IFERROR($D798*INDEX(Mix_Eff,MATCH($C798,Mix_Code,0),5),""))</f>
        <v/>
      </c>
      <c r="K798" s="63"/>
      <c r="L798" s="16" t="str">
        <f aca="false">IF(AND($A798="",$B798="",$C798="",$D798=""),"",IF($A798="","⚠ Date missing",IF($B798="","⚠ Site missing",IF(ISNA(MATCH($C798,Mix_Code,0)),"⚠ Unknown mix code",IF($D798="","⚠ Enter m3 produced",IF(COUNTIF(CI_Site,$B798)=0,"⚠ Site not set up in Current Inventory",IF($A798&gt;AsOfDate,"Future date – not yet deducted","OK")))))))</f>
        <v/>
      </c>
    </row>
    <row r="799" customFormat="false" ht="15" hidden="false" customHeight="false" outlineLevel="0" collapsed="false">
      <c r="A799" s="65"/>
      <c r="B799" s="63"/>
      <c r="C799" s="70"/>
      <c r="D799" s="66"/>
      <c r="E799" s="16" t="str">
        <f aca="false">IF($C799="","",IFERROR(INDEX(Mix_Desc,MATCH($C799,Mix_Code,0)),"⚠ Unknown mix code"))</f>
        <v/>
      </c>
      <c r="F799" s="67" t="str">
        <f aca="false">IF(OR($C799="",$D799=""),"",IFERROR($D799*INDEX(Mix_Eff,MATCH($C799,Mix_Code,0),1),""))</f>
        <v/>
      </c>
      <c r="G799" s="67" t="str">
        <f aca="false">IF(OR($C799="",$D799=""),"",IFERROR($D799*INDEX(Mix_Eff,MATCH($C799,Mix_Code,0),2),""))</f>
        <v/>
      </c>
      <c r="H799" s="67" t="str">
        <f aca="false">IF(OR($C799="",$D799=""),"",IFERROR($D799*INDEX(Mix_Eff,MATCH($C799,Mix_Code,0),3),""))</f>
        <v/>
      </c>
      <c r="I799" s="67" t="str">
        <f aca="false">IF(OR($C799="",$D799=""),"",IFERROR($D799*INDEX(Mix_Eff,MATCH($C799,Mix_Code,0),4),""))</f>
        <v/>
      </c>
      <c r="J799" s="67" t="str">
        <f aca="false">IF(OR($C799="",$D799=""),"",IFERROR($D799*INDEX(Mix_Eff,MATCH($C799,Mix_Code,0),5),""))</f>
        <v/>
      </c>
      <c r="K799" s="63"/>
      <c r="L799" s="16" t="str">
        <f aca="false">IF(AND($A799="",$B799="",$C799="",$D799=""),"",IF($A799="","⚠ Date missing",IF($B799="","⚠ Site missing",IF(ISNA(MATCH($C799,Mix_Code,0)),"⚠ Unknown mix code",IF($D799="","⚠ Enter m3 produced",IF(COUNTIF(CI_Site,$B799)=0,"⚠ Site not set up in Current Inventory",IF($A799&gt;AsOfDate,"Future date – not yet deducted","OK")))))))</f>
        <v/>
      </c>
    </row>
    <row r="800" customFormat="false" ht="15" hidden="false" customHeight="false" outlineLevel="0" collapsed="false">
      <c r="A800" s="65"/>
      <c r="B800" s="63"/>
      <c r="C800" s="70"/>
      <c r="D800" s="66"/>
      <c r="E800" s="16" t="str">
        <f aca="false">IF($C800="","",IFERROR(INDEX(Mix_Desc,MATCH($C800,Mix_Code,0)),"⚠ Unknown mix code"))</f>
        <v/>
      </c>
      <c r="F800" s="67" t="str">
        <f aca="false">IF(OR($C800="",$D800=""),"",IFERROR($D800*INDEX(Mix_Eff,MATCH($C800,Mix_Code,0),1),""))</f>
        <v/>
      </c>
      <c r="G800" s="67" t="str">
        <f aca="false">IF(OR($C800="",$D800=""),"",IFERROR($D800*INDEX(Mix_Eff,MATCH($C800,Mix_Code,0),2),""))</f>
        <v/>
      </c>
      <c r="H800" s="67" t="str">
        <f aca="false">IF(OR($C800="",$D800=""),"",IFERROR($D800*INDEX(Mix_Eff,MATCH($C800,Mix_Code,0),3),""))</f>
        <v/>
      </c>
      <c r="I800" s="67" t="str">
        <f aca="false">IF(OR($C800="",$D800=""),"",IFERROR($D800*INDEX(Mix_Eff,MATCH($C800,Mix_Code,0),4),""))</f>
        <v/>
      </c>
      <c r="J800" s="67" t="str">
        <f aca="false">IF(OR($C800="",$D800=""),"",IFERROR($D800*INDEX(Mix_Eff,MATCH($C800,Mix_Code,0),5),""))</f>
        <v/>
      </c>
      <c r="K800" s="63"/>
      <c r="L800" s="16" t="str">
        <f aca="false">IF(AND($A800="",$B800="",$C800="",$D800=""),"",IF($A800="","⚠ Date missing",IF($B800="","⚠ Site missing",IF(ISNA(MATCH($C800,Mix_Code,0)),"⚠ Unknown mix code",IF($D800="","⚠ Enter m3 produced",IF(COUNTIF(CI_Site,$B800)=0,"⚠ Site not set up in Current Inventory",IF($A800&gt;AsOfDate,"Future date – not yet deducted","OK")))))))</f>
        <v/>
      </c>
    </row>
    <row r="801" customFormat="false" ht="15" hidden="false" customHeight="false" outlineLevel="0" collapsed="false">
      <c r="A801" s="65"/>
      <c r="B801" s="63"/>
      <c r="C801" s="70"/>
      <c r="D801" s="66"/>
      <c r="E801" s="16" t="str">
        <f aca="false">IF($C801="","",IFERROR(INDEX(Mix_Desc,MATCH($C801,Mix_Code,0)),"⚠ Unknown mix code"))</f>
        <v/>
      </c>
      <c r="F801" s="67" t="str">
        <f aca="false">IF(OR($C801="",$D801=""),"",IFERROR($D801*INDEX(Mix_Eff,MATCH($C801,Mix_Code,0),1),""))</f>
        <v/>
      </c>
      <c r="G801" s="67" t="str">
        <f aca="false">IF(OR($C801="",$D801=""),"",IFERROR($D801*INDEX(Mix_Eff,MATCH($C801,Mix_Code,0),2),""))</f>
        <v/>
      </c>
      <c r="H801" s="67" t="str">
        <f aca="false">IF(OR($C801="",$D801=""),"",IFERROR($D801*INDEX(Mix_Eff,MATCH($C801,Mix_Code,0),3),""))</f>
        <v/>
      </c>
      <c r="I801" s="67" t="str">
        <f aca="false">IF(OR($C801="",$D801=""),"",IFERROR($D801*INDEX(Mix_Eff,MATCH($C801,Mix_Code,0),4),""))</f>
        <v/>
      </c>
      <c r="J801" s="67" t="str">
        <f aca="false">IF(OR($C801="",$D801=""),"",IFERROR($D801*INDEX(Mix_Eff,MATCH($C801,Mix_Code,0),5),""))</f>
        <v/>
      </c>
      <c r="K801" s="63"/>
      <c r="L801" s="16" t="str">
        <f aca="false">IF(AND($A801="",$B801="",$C801="",$D801=""),"",IF($A801="","⚠ Date missing",IF($B801="","⚠ Site missing",IF(ISNA(MATCH($C801,Mix_Code,0)),"⚠ Unknown mix code",IF($D801="","⚠ Enter m3 produced",IF(COUNTIF(CI_Site,$B801)=0,"⚠ Site not set up in Current Inventory",IF($A801&gt;AsOfDate,"Future date – not yet deducted","OK")))))))</f>
        <v/>
      </c>
    </row>
    <row r="802" customFormat="false" ht="15" hidden="false" customHeight="false" outlineLevel="0" collapsed="false">
      <c r="A802" s="65"/>
      <c r="B802" s="63"/>
      <c r="C802" s="70"/>
      <c r="D802" s="66"/>
      <c r="E802" s="16" t="str">
        <f aca="false">IF($C802="","",IFERROR(INDEX(Mix_Desc,MATCH($C802,Mix_Code,0)),"⚠ Unknown mix code"))</f>
        <v/>
      </c>
      <c r="F802" s="67" t="str">
        <f aca="false">IF(OR($C802="",$D802=""),"",IFERROR($D802*INDEX(Mix_Eff,MATCH($C802,Mix_Code,0),1),""))</f>
        <v/>
      </c>
      <c r="G802" s="67" t="str">
        <f aca="false">IF(OR($C802="",$D802=""),"",IFERROR($D802*INDEX(Mix_Eff,MATCH($C802,Mix_Code,0),2),""))</f>
        <v/>
      </c>
      <c r="H802" s="67" t="str">
        <f aca="false">IF(OR($C802="",$D802=""),"",IFERROR($D802*INDEX(Mix_Eff,MATCH($C802,Mix_Code,0),3),""))</f>
        <v/>
      </c>
      <c r="I802" s="67" t="str">
        <f aca="false">IF(OR($C802="",$D802=""),"",IFERROR($D802*INDEX(Mix_Eff,MATCH($C802,Mix_Code,0),4),""))</f>
        <v/>
      </c>
      <c r="J802" s="67" t="str">
        <f aca="false">IF(OR($C802="",$D802=""),"",IFERROR($D802*INDEX(Mix_Eff,MATCH($C802,Mix_Code,0),5),""))</f>
        <v/>
      </c>
      <c r="K802" s="63"/>
      <c r="L802" s="16" t="str">
        <f aca="false">IF(AND($A802="",$B802="",$C802="",$D802=""),"",IF($A802="","⚠ Date missing",IF($B802="","⚠ Site missing",IF(ISNA(MATCH($C802,Mix_Code,0)),"⚠ Unknown mix code",IF($D802="","⚠ Enter m3 produced",IF(COUNTIF(CI_Site,$B802)=0,"⚠ Site not set up in Current Inventory",IF($A802&gt;AsOfDate,"Future date – not yet deducted","OK")))))))</f>
        <v/>
      </c>
    </row>
    <row r="803" customFormat="false" ht="15" hidden="false" customHeight="false" outlineLevel="0" collapsed="false">
      <c r="A803" s="65"/>
      <c r="B803" s="63"/>
      <c r="C803" s="70"/>
      <c r="D803" s="66"/>
      <c r="E803" s="16" t="str">
        <f aca="false">IF($C803="","",IFERROR(INDEX(Mix_Desc,MATCH($C803,Mix_Code,0)),"⚠ Unknown mix code"))</f>
        <v/>
      </c>
      <c r="F803" s="67" t="str">
        <f aca="false">IF(OR($C803="",$D803=""),"",IFERROR($D803*INDEX(Mix_Eff,MATCH($C803,Mix_Code,0),1),""))</f>
        <v/>
      </c>
      <c r="G803" s="67" t="str">
        <f aca="false">IF(OR($C803="",$D803=""),"",IFERROR($D803*INDEX(Mix_Eff,MATCH($C803,Mix_Code,0),2),""))</f>
        <v/>
      </c>
      <c r="H803" s="67" t="str">
        <f aca="false">IF(OR($C803="",$D803=""),"",IFERROR($D803*INDEX(Mix_Eff,MATCH($C803,Mix_Code,0),3),""))</f>
        <v/>
      </c>
      <c r="I803" s="67" t="str">
        <f aca="false">IF(OR($C803="",$D803=""),"",IFERROR($D803*INDEX(Mix_Eff,MATCH($C803,Mix_Code,0),4),""))</f>
        <v/>
      </c>
      <c r="J803" s="67" t="str">
        <f aca="false">IF(OR($C803="",$D803=""),"",IFERROR($D803*INDEX(Mix_Eff,MATCH($C803,Mix_Code,0),5),""))</f>
        <v/>
      </c>
      <c r="K803" s="63"/>
      <c r="L803" s="16" t="str">
        <f aca="false">IF(AND($A803="",$B803="",$C803="",$D803=""),"",IF($A803="","⚠ Date missing",IF($B803="","⚠ Site missing",IF(ISNA(MATCH($C803,Mix_Code,0)),"⚠ Unknown mix code",IF($D803="","⚠ Enter m3 produced",IF(COUNTIF(CI_Site,$B803)=0,"⚠ Site not set up in Current Inventory",IF($A803&gt;AsOfDate,"Future date – not yet deducted","OK")))))))</f>
        <v/>
      </c>
    </row>
    <row r="804" customFormat="false" ht="15" hidden="false" customHeight="false" outlineLevel="0" collapsed="false">
      <c r="A804" s="65"/>
      <c r="B804" s="63"/>
      <c r="C804" s="70"/>
      <c r="D804" s="66"/>
      <c r="E804" s="16" t="str">
        <f aca="false">IF($C804="","",IFERROR(INDEX(Mix_Desc,MATCH($C804,Mix_Code,0)),"⚠ Unknown mix code"))</f>
        <v/>
      </c>
      <c r="F804" s="67" t="str">
        <f aca="false">IF(OR($C804="",$D804=""),"",IFERROR($D804*INDEX(Mix_Eff,MATCH($C804,Mix_Code,0),1),""))</f>
        <v/>
      </c>
      <c r="G804" s="67" t="str">
        <f aca="false">IF(OR($C804="",$D804=""),"",IFERROR($D804*INDEX(Mix_Eff,MATCH($C804,Mix_Code,0),2),""))</f>
        <v/>
      </c>
      <c r="H804" s="67" t="str">
        <f aca="false">IF(OR($C804="",$D804=""),"",IFERROR($D804*INDEX(Mix_Eff,MATCH($C804,Mix_Code,0),3),""))</f>
        <v/>
      </c>
      <c r="I804" s="67" t="str">
        <f aca="false">IF(OR($C804="",$D804=""),"",IFERROR($D804*INDEX(Mix_Eff,MATCH($C804,Mix_Code,0),4),""))</f>
        <v/>
      </c>
      <c r="J804" s="67" t="str">
        <f aca="false">IF(OR($C804="",$D804=""),"",IFERROR($D804*INDEX(Mix_Eff,MATCH($C804,Mix_Code,0),5),""))</f>
        <v/>
      </c>
      <c r="K804" s="63"/>
      <c r="L804" s="16" t="str">
        <f aca="false">IF(AND($A804="",$B804="",$C804="",$D804=""),"",IF($A804="","⚠ Date missing",IF($B804="","⚠ Site missing",IF(ISNA(MATCH($C804,Mix_Code,0)),"⚠ Unknown mix code",IF($D804="","⚠ Enter m3 produced",IF(COUNTIF(CI_Site,$B804)=0,"⚠ Site not set up in Current Inventory",IF($A804&gt;AsOfDate,"Future date – not yet deducted","OK")))))))</f>
        <v/>
      </c>
    </row>
    <row r="805" customFormat="false" ht="15" hidden="false" customHeight="false" outlineLevel="0" collapsed="false">
      <c r="A805" s="65"/>
      <c r="B805" s="63"/>
      <c r="C805" s="70"/>
      <c r="D805" s="66"/>
      <c r="E805" s="16" t="str">
        <f aca="false">IF($C805="","",IFERROR(INDEX(Mix_Desc,MATCH($C805,Mix_Code,0)),"⚠ Unknown mix code"))</f>
        <v/>
      </c>
      <c r="F805" s="67" t="str">
        <f aca="false">IF(OR($C805="",$D805=""),"",IFERROR($D805*INDEX(Mix_Eff,MATCH($C805,Mix_Code,0),1),""))</f>
        <v/>
      </c>
      <c r="G805" s="67" t="str">
        <f aca="false">IF(OR($C805="",$D805=""),"",IFERROR($D805*INDEX(Mix_Eff,MATCH($C805,Mix_Code,0),2),""))</f>
        <v/>
      </c>
      <c r="H805" s="67" t="str">
        <f aca="false">IF(OR($C805="",$D805=""),"",IFERROR($D805*INDEX(Mix_Eff,MATCH($C805,Mix_Code,0),3),""))</f>
        <v/>
      </c>
      <c r="I805" s="67" t="str">
        <f aca="false">IF(OR($C805="",$D805=""),"",IFERROR($D805*INDEX(Mix_Eff,MATCH($C805,Mix_Code,0),4),""))</f>
        <v/>
      </c>
      <c r="J805" s="67" t="str">
        <f aca="false">IF(OR($C805="",$D805=""),"",IFERROR($D805*INDEX(Mix_Eff,MATCH($C805,Mix_Code,0),5),""))</f>
        <v/>
      </c>
      <c r="K805" s="63"/>
      <c r="L805" s="16" t="str">
        <f aca="false">IF(AND($A805="",$B805="",$C805="",$D805=""),"",IF($A805="","⚠ Date missing",IF($B805="","⚠ Site missing",IF(ISNA(MATCH($C805,Mix_Code,0)),"⚠ Unknown mix code",IF($D805="","⚠ Enter m3 produced",IF(COUNTIF(CI_Site,$B805)=0,"⚠ Site not set up in Current Inventory",IF($A805&gt;AsOfDate,"Future date – not yet deducted","OK")))))))</f>
        <v/>
      </c>
    </row>
    <row r="806" customFormat="false" ht="15" hidden="false" customHeight="false" outlineLevel="0" collapsed="false">
      <c r="A806" s="65"/>
      <c r="B806" s="63"/>
      <c r="C806" s="70"/>
      <c r="D806" s="66"/>
      <c r="E806" s="16" t="str">
        <f aca="false">IF($C806="","",IFERROR(INDEX(Mix_Desc,MATCH($C806,Mix_Code,0)),"⚠ Unknown mix code"))</f>
        <v/>
      </c>
      <c r="F806" s="67" t="str">
        <f aca="false">IF(OR($C806="",$D806=""),"",IFERROR($D806*INDEX(Mix_Eff,MATCH($C806,Mix_Code,0),1),""))</f>
        <v/>
      </c>
      <c r="G806" s="67" t="str">
        <f aca="false">IF(OR($C806="",$D806=""),"",IFERROR($D806*INDEX(Mix_Eff,MATCH($C806,Mix_Code,0),2),""))</f>
        <v/>
      </c>
      <c r="H806" s="67" t="str">
        <f aca="false">IF(OR($C806="",$D806=""),"",IFERROR($D806*INDEX(Mix_Eff,MATCH($C806,Mix_Code,0),3),""))</f>
        <v/>
      </c>
      <c r="I806" s="67" t="str">
        <f aca="false">IF(OR($C806="",$D806=""),"",IFERROR($D806*INDEX(Mix_Eff,MATCH($C806,Mix_Code,0),4),""))</f>
        <v/>
      </c>
      <c r="J806" s="67" t="str">
        <f aca="false">IF(OR($C806="",$D806=""),"",IFERROR($D806*INDEX(Mix_Eff,MATCH($C806,Mix_Code,0),5),""))</f>
        <v/>
      </c>
      <c r="K806" s="63"/>
      <c r="L806" s="16" t="str">
        <f aca="false">IF(AND($A806="",$B806="",$C806="",$D806=""),"",IF($A806="","⚠ Date missing",IF($B806="","⚠ Site missing",IF(ISNA(MATCH($C806,Mix_Code,0)),"⚠ Unknown mix code",IF($D806="","⚠ Enter m3 produced",IF(COUNTIF(CI_Site,$B806)=0,"⚠ Site not set up in Current Inventory",IF($A806&gt;AsOfDate,"Future date – not yet deducted","OK")))))))</f>
        <v/>
      </c>
    </row>
    <row r="807" customFormat="false" ht="15" hidden="false" customHeight="false" outlineLevel="0" collapsed="false">
      <c r="A807" s="65"/>
      <c r="B807" s="63"/>
      <c r="C807" s="70"/>
      <c r="D807" s="66"/>
      <c r="E807" s="16" t="str">
        <f aca="false">IF($C807="","",IFERROR(INDEX(Mix_Desc,MATCH($C807,Mix_Code,0)),"⚠ Unknown mix code"))</f>
        <v/>
      </c>
      <c r="F807" s="67" t="str">
        <f aca="false">IF(OR($C807="",$D807=""),"",IFERROR($D807*INDEX(Mix_Eff,MATCH($C807,Mix_Code,0),1),""))</f>
        <v/>
      </c>
      <c r="G807" s="67" t="str">
        <f aca="false">IF(OR($C807="",$D807=""),"",IFERROR($D807*INDEX(Mix_Eff,MATCH($C807,Mix_Code,0),2),""))</f>
        <v/>
      </c>
      <c r="H807" s="67" t="str">
        <f aca="false">IF(OR($C807="",$D807=""),"",IFERROR($D807*INDEX(Mix_Eff,MATCH($C807,Mix_Code,0),3),""))</f>
        <v/>
      </c>
      <c r="I807" s="67" t="str">
        <f aca="false">IF(OR($C807="",$D807=""),"",IFERROR($D807*INDEX(Mix_Eff,MATCH($C807,Mix_Code,0),4),""))</f>
        <v/>
      </c>
      <c r="J807" s="67" t="str">
        <f aca="false">IF(OR($C807="",$D807=""),"",IFERROR($D807*INDEX(Mix_Eff,MATCH($C807,Mix_Code,0),5),""))</f>
        <v/>
      </c>
      <c r="K807" s="63"/>
      <c r="L807" s="16" t="str">
        <f aca="false">IF(AND($A807="",$B807="",$C807="",$D807=""),"",IF($A807="","⚠ Date missing",IF($B807="","⚠ Site missing",IF(ISNA(MATCH($C807,Mix_Code,0)),"⚠ Unknown mix code",IF($D807="","⚠ Enter m3 produced",IF(COUNTIF(CI_Site,$B807)=0,"⚠ Site not set up in Current Inventory",IF($A807&gt;AsOfDate,"Future date – not yet deducted","OK")))))))</f>
        <v/>
      </c>
    </row>
    <row r="808" customFormat="false" ht="15" hidden="false" customHeight="false" outlineLevel="0" collapsed="false">
      <c r="A808" s="65"/>
      <c r="B808" s="63"/>
      <c r="C808" s="70"/>
      <c r="D808" s="66"/>
      <c r="E808" s="16" t="str">
        <f aca="false">IF($C808="","",IFERROR(INDEX(Mix_Desc,MATCH($C808,Mix_Code,0)),"⚠ Unknown mix code"))</f>
        <v/>
      </c>
      <c r="F808" s="67" t="str">
        <f aca="false">IF(OR($C808="",$D808=""),"",IFERROR($D808*INDEX(Mix_Eff,MATCH($C808,Mix_Code,0),1),""))</f>
        <v/>
      </c>
      <c r="G808" s="67" t="str">
        <f aca="false">IF(OR($C808="",$D808=""),"",IFERROR($D808*INDEX(Mix_Eff,MATCH($C808,Mix_Code,0),2),""))</f>
        <v/>
      </c>
      <c r="H808" s="67" t="str">
        <f aca="false">IF(OR($C808="",$D808=""),"",IFERROR($D808*INDEX(Mix_Eff,MATCH($C808,Mix_Code,0),3),""))</f>
        <v/>
      </c>
      <c r="I808" s="67" t="str">
        <f aca="false">IF(OR($C808="",$D808=""),"",IFERROR($D808*INDEX(Mix_Eff,MATCH($C808,Mix_Code,0),4),""))</f>
        <v/>
      </c>
      <c r="J808" s="67" t="str">
        <f aca="false">IF(OR($C808="",$D808=""),"",IFERROR($D808*INDEX(Mix_Eff,MATCH($C808,Mix_Code,0),5),""))</f>
        <v/>
      </c>
      <c r="K808" s="63"/>
      <c r="L808" s="16" t="str">
        <f aca="false">IF(AND($A808="",$B808="",$C808="",$D808=""),"",IF($A808="","⚠ Date missing",IF($B808="","⚠ Site missing",IF(ISNA(MATCH($C808,Mix_Code,0)),"⚠ Unknown mix code",IF($D808="","⚠ Enter m3 produced",IF(COUNTIF(CI_Site,$B808)=0,"⚠ Site not set up in Current Inventory",IF($A808&gt;AsOfDate,"Future date – not yet deducted","OK")))))))</f>
        <v/>
      </c>
    </row>
    <row r="809" customFormat="false" ht="15" hidden="false" customHeight="false" outlineLevel="0" collapsed="false">
      <c r="A809" s="65"/>
      <c r="B809" s="63"/>
      <c r="C809" s="70"/>
      <c r="D809" s="66"/>
      <c r="E809" s="16" t="str">
        <f aca="false">IF($C809="","",IFERROR(INDEX(Mix_Desc,MATCH($C809,Mix_Code,0)),"⚠ Unknown mix code"))</f>
        <v/>
      </c>
      <c r="F809" s="67" t="str">
        <f aca="false">IF(OR($C809="",$D809=""),"",IFERROR($D809*INDEX(Mix_Eff,MATCH($C809,Mix_Code,0),1),""))</f>
        <v/>
      </c>
      <c r="G809" s="67" t="str">
        <f aca="false">IF(OR($C809="",$D809=""),"",IFERROR($D809*INDEX(Mix_Eff,MATCH($C809,Mix_Code,0),2),""))</f>
        <v/>
      </c>
      <c r="H809" s="67" t="str">
        <f aca="false">IF(OR($C809="",$D809=""),"",IFERROR($D809*INDEX(Mix_Eff,MATCH($C809,Mix_Code,0),3),""))</f>
        <v/>
      </c>
      <c r="I809" s="67" t="str">
        <f aca="false">IF(OR($C809="",$D809=""),"",IFERROR($D809*INDEX(Mix_Eff,MATCH($C809,Mix_Code,0),4),""))</f>
        <v/>
      </c>
      <c r="J809" s="67" t="str">
        <f aca="false">IF(OR($C809="",$D809=""),"",IFERROR($D809*INDEX(Mix_Eff,MATCH($C809,Mix_Code,0),5),""))</f>
        <v/>
      </c>
      <c r="K809" s="63"/>
      <c r="L809" s="16" t="str">
        <f aca="false">IF(AND($A809="",$B809="",$C809="",$D809=""),"",IF($A809="","⚠ Date missing",IF($B809="","⚠ Site missing",IF(ISNA(MATCH($C809,Mix_Code,0)),"⚠ Unknown mix code",IF($D809="","⚠ Enter m3 produced",IF(COUNTIF(CI_Site,$B809)=0,"⚠ Site not set up in Current Inventory",IF($A809&gt;AsOfDate,"Future date – not yet deducted","OK")))))))</f>
        <v/>
      </c>
    </row>
    <row r="810" customFormat="false" ht="15" hidden="false" customHeight="false" outlineLevel="0" collapsed="false">
      <c r="A810" s="65"/>
      <c r="B810" s="63"/>
      <c r="C810" s="70"/>
      <c r="D810" s="66"/>
      <c r="E810" s="16" t="str">
        <f aca="false">IF($C810="","",IFERROR(INDEX(Mix_Desc,MATCH($C810,Mix_Code,0)),"⚠ Unknown mix code"))</f>
        <v/>
      </c>
      <c r="F810" s="67" t="str">
        <f aca="false">IF(OR($C810="",$D810=""),"",IFERROR($D810*INDEX(Mix_Eff,MATCH($C810,Mix_Code,0),1),""))</f>
        <v/>
      </c>
      <c r="G810" s="67" t="str">
        <f aca="false">IF(OR($C810="",$D810=""),"",IFERROR($D810*INDEX(Mix_Eff,MATCH($C810,Mix_Code,0),2),""))</f>
        <v/>
      </c>
      <c r="H810" s="67" t="str">
        <f aca="false">IF(OR($C810="",$D810=""),"",IFERROR($D810*INDEX(Mix_Eff,MATCH($C810,Mix_Code,0),3),""))</f>
        <v/>
      </c>
      <c r="I810" s="67" t="str">
        <f aca="false">IF(OR($C810="",$D810=""),"",IFERROR($D810*INDEX(Mix_Eff,MATCH($C810,Mix_Code,0),4),""))</f>
        <v/>
      </c>
      <c r="J810" s="67" t="str">
        <f aca="false">IF(OR($C810="",$D810=""),"",IFERROR($D810*INDEX(Mix_Eff,MATCH($C810,Mix_Code,0),5),""))</f>
        <v/>
      </c>
      <c r="K810" s="63"/>
      <c r="L810" s="16" t="str">
        <f aca="false">IF(AND($A810="",$B810="",$C810="",$D810=""),"",IF($A810="","⚠ Date missing",IF($B810="","⚠ Site missing",IF(ISNA(MATCH($C810,Mix_Code,0)),"⚠ Unknown mix code",IF($D810="","⚠ Enter m3 produced",IF(COUNTIF(CI_Site,$B810)=0,"⚠ Site not set up in Current Inventory",IF($A810&gt;AsOfDate,"Future date – not yet deducted","OK")))))))</f>
        <v/>
      </c>
    </row>
    <row r="811" customFormat="false" ht="15" hidden="false" customHeight="false" outlineLevel="0" collapsed="false">
      <c r="A811" s="65"/>
      <c r="B811" s="63"/>
      <c r="C811" s="70"/>
      <c r="D811" s="66"/>
      <c r="E811" s="16" t="str">
        <f aca="false">IF($C811="","",IFERROR(INDEX(Mix_Desc,MATCH($C811,Mix_Code,0)),"⚠ Unknown mix code"))</f>
        <v/>
      </c>
      <c r="F811" s="67" t="str">
        <f aca="false">IF(OR($C811="",$D811=""),"",IFERROR($D811*INDEX(Mix_Eff,MATCH($C811,Mix_Code,0),1),""))</f>
        <v/>
      </c>
      <c r="G811" s="67" t="str">
        <f aca="false">IF(OR($C811="",$D811=""),"",IFERROR($D811*INDEX(Mix_Eff,MATCH($C811,Mix_Code,0),2),""))</f>
        <v/>
      </c>
      <c r="H811" s="67" t="str">
        <f aca="false">IF(OR($C811="",$D811=""),"",IFERROR($D811*INDEX(Mix_Eff,MATCH($C811,Mix_Code,0),3),""))</f>
        <v/>
      </c>
      <c r="I811" s="67" t="str">
        <f aca="false">IF(OR($C811="",$D811=""),"",IFERROR($D811*INDEX(Mix_Eff,MATCH($C811,Mix_Code,0),4),""))</f>
        <v/>
      </c>
      <c r="J811" s="67" t="str">
        <f aca="false">IF(OR($C811="",$D811=""),"",IFERROR($D811*INDEX(Mix_Eff,MATCH($C811,Mix_Code,0),5),""))</f>
        <v/>
      </c>
      <c r="K811" s="63"/>
      <c r="L811" s="16" t="str">
        <f aca="false">IF(AND($A811="",$B811="",$C811="",$D811=""),"",IF($A811="","⚠ Date missing",IF($B811="","⚠ Site missing",IF(ISNA(MATCH($C811,Mix_Code,0)),"⚠ Unknown mix code",IF($D811="","⚠ Enter m3 produced",IF(COUNTIF(CI_Site,$B811)=0,"⚠ Site not set up in Current Inventory",IF($A811&gt;AsOfDate,"Future date – not yet deducted","OK")))))))</f>
        <v/>
      </c>
    </row>
    <row r="812" customFormat="false" ht="15" hidden="false" customHeight="false" outlineLevel="0" collapsed="false">
      <c r="A812" s="65"/>
      <c r="B812" s="63"/>
      <c r="C812" s="70"/>
      <c r="D812" s="66"/>
      <c r="E812" s="16" t="str">
        <f aca="false">IF($C812="","",IFERROR(INDEX(Mix_Desc,MATCH($C812,Mix_Code,0)),"⚠ Unknown mix code"))</f>
        <v/>
      </c>
      <c r="F812" s="67" t="str">
        <f aca="false">IF(OR($C812="",$D812=""),"",IFERROR($D812*INDEX(Mix_Eff,MATCH($C812,Mix_Code,0),1),""))</f>
        <v/>
      </c>
      <c r="G812" s="67" t="str">
        <f aca="false">IF(OR($C812="",$D812=""),"",IFERROR($D812*INDEX(Mix_Eff,MATCH($C812,Mix_Code,0),2),""))</f>
        <v/>
      </c>
      <c r="H812" s="67" t="str">
        <f aca="false">IF(OR($C812="",$D812=""),"",IFERROR($D812*INDEX(Mix_Eff,MATCH($C812,Mix_Code,0),3),""))</f>
        <v/>
      </c>
      <c r="I812" s="67" t="str">
        <f aca="false">IF(OR($C812="",$D812=""),"",IFERROR($D812*INDEX(Mix_Eff,MATCH($C812,Mix_Code,0),4),""))</f>
        <v/>
      </c>
      <c r="J812" s="67" t="str">
        <f aca="false">IF(OR($C812="",$D812=""),"",IFERROR($D812*INDEX(Mix_Eff,MATCH($C812,Mix_Code,0),5),""))</f>
        <v/>
      </c>
      <c r="K812" s="63"/>
      <c r="L812" s="16" t="str">
        <f aca="false">IF(AND($A812="",$B812="",$C812="",$D812=""),"",IF($A812="","⚠ Date missing",IF($B812="","⚠ Site missing",IF(ISNA(MATCH($C812,Mix_Code,0)),"⚠ Unknown mix code",IF($D812="","⚠ Enter m3 produced",IF(COUNTIF(CI_Site,$B812)=0,"⚠ Site not set up in Current Inventory",IF($A812&gt;AsOfDate,"Future date – not yet deducted","OK")))))))</f>
        <v/>
      </c>
    </row>
    <row r="813" customFormat="false" ht="15" hidden="false" customHeight="false" outlineLevel="0" collapsed="false">
      <c r="A813" s="65"/>
      <c r="B813" s="63"/>
      <c r="C813" s="70"/>
      <c r="D813" s="66"/>
      <c r="E813" s="16" t="str">
        <f aca="false">IF($C813="","",IFERROR(INDEX(Mix_Desc,MATCH($C813,Mix_Code,0)),"⚠ Unknown mix code"))</f>
        <v/>
      </c>
      <c r="F813" s="67" t="str">
        <f aca="false">IF(OR($C813="",$D813=""),"",IFERROR($D813*INDEX(Mix_Eff,MATCH($C813,Mix_Code,0),1),""))</f>
        <v/>
      </c>
      <c r="G813" s="67" t="str">
        <f aca="false">IF(OR($C813="",$D813=""),"",IFERROR($D813*INDEX(Mix_Eff,MATCH($C813,Mix_Code,0),2),""))</f>
        <v/>
      </c>
      <c r="H813" s="67" t="str">
        <f aca="false">IF(OR($C813="",$D813=""),"",IFERROR($D813*INDEX(Mix_Eff,MATCH($C813,Mix_Code,0),3),""))</f>
        <v/>
      </c>
      <c r="I813" s="67" t="str">
        <f aca="false">IF(OR($C813="",$D813=""),"",IFERROR($D813*INDEX(Mix_Eff,MATCH($C813,Mix_Code,0),4),""))</f>
        <v/>
      </c>
      <c r="J813" s="67" t="str">
        <f aca="false">IF(OR($C813="",$D813=""),"",IFERROR($D813*INDEX(Mix_Eff,MATCH($C813,Mix_Code,0),5),""))</f>
        <v/>
      </c>
      <c r="K813" s="63"/>
      <c r="L813" s="16" t="str">
        <f aca="false">IF(AND($A813="",$B813="",$C813="",$D813=""),"",IF($A813="","⚠ Date missing",IF($B813="","⚠ Site missing",IF(ISNA(MATCH($C813,Mix_Code,0)),"⚠ Unknown mix code",IF($D813="","⚠ Enter m3 produced",IF(COUNTIF(CI_Site,$B813)=0,"⚠ Site not set up in Current Inventory",IF($A813&gt;AsOfDate,"Future date – not yet deducted","OK")))))))</f>
        <v/>
      </c>
    </row>
    <row r="814" customFormat="false" ht="15" hidden="false" customHeight="false" outlineLevel="0" collapsed="false">
      <c r="A814" s="65"/>
      <c r="B814" s="63"/>
      <c r="C814" s="70"/>
      <c r="D814" s="66"/>
      <c r="E814" s="16" t="str">
        <f aca="false">IF($C814="","",IFERROR(INDEX(Mix_Desc,MATCH($C814,Mix_Code,0)),"⚠ Unknown mix code"))</f>
        <v/>
      </c>
      <c r="F814" s="67" t="str">
        <f aca="false">IF(OR($C814="",$D814=""),"",IFERROR($D814*INDEX(Mix_Eff,MATCH($C814,Mix_Code,0),1),""))</f>
        <v/>
      </c>
      <c r="G814" s="67" t="str">
        <f aca="false">IF(OR($C814="",$D814=""),"",IFERROR($D814*INDEX(Mix_Eff,MATCH($C814,Mix_Code,0),2),""))</f>
        <v/>
      </c>
      <c r="H814" s="67" t="str">
        <f aca="false">IF(OR($C814="",$D814=""),"",IFERROR($D814*INDEX(Mix_Eff,MATCH($C814,Mix_Code,0),3),""))</f>
        <v/>
      </c>
      <c r="I814" s="67" t="str">
        <f aca="false">IF(OR($C814="",$D814=""),"",IFERROR($D814*INDEX(Mix_Eff,MATCH($C814,Mix_Code,0),4),""))</f>
        <v/>
      </c>
      <c r="J814" s="67" t="str">
        <f aca="false">IF(OR($C814="",$D814=""),"",IFERROR($D814*INDEX(Mix_Eff,MATCH($C814,Mix_Code,0),5),""))</f>
        <v/>
      </c>
      <c r="K814" s="63"/>
      <c r="L814" s="16" t="str">
        <f aca="false">IF(AND($A814="",$B814="",$C814="",$D814=""),"",IF($A814="","⚠ Date missing",IF($B814="","⚠ Site missing",IF(ISNA(MATCH($C814,Mix_Code,0)),"⚠ Unknown mix code",IF($D814="","⚠ Enter m3 produced",IF(COUNTIF(CI_Site,$B814)=0,"⚠ Site not set up in Current Inventory",IF($A814&gt;AsOfDate,"Future date – not yet deducted","OK")))))))</f>
        <v/>
      </c>
    </row>
    <row r="815" customFormat="false" ht="15" hidden="false" customHeight="false" outlineLevel="0" collapsed="false">
      <c r="A815" s="65"/>
      <c r="B815" s="63"/>
      <c r="C815" s="70"/>
      <c r="D815" s="66"/>
      <c r="E815" s="16" t="str">
        <f aca="false">IF($C815="","",IFERROR(INDEX(Mix_Desc,MATCH($C815,Mix_Code,0)),"⚠ Unknown mix code"))</f>
        <v/>
      </c>
      <c r="F815" s="67" t="str">
        <f aca="false">IF(OR($C815="",$D815=""),"",IFERROR($D815*INDEX(Mix_Eff,MATCH($C815,Mix_Code,0),1),""))</f>
        <v/>
      </c>
      <c r="G815" s="67" t="str">
        <f aca="false">IF(OR($C815="",$D815=""),"",IFERROR($D815*INDEX(Mix_Eff,MATCH($C815,Mix_Code,0),2),""))</f>
        <v/>
      </c>
      <c r="H815" s="67" t="str">
        <f aca="false">IF(OR($C815="",$D815=""),"",IFERROR($D815*INDEX(Mix_Eff,MATCH($C815,Mix_Code,0),3),""))</f>
        <v/>
      </c>
      <c r="I815" s="67" t="str">
        <f aca="false">IF(OR($C815="",$D815=""),"",IFERROR($D815*INDEX(Mix_Eff,MATCH($C815,Mix_Code,0),4),""))</f>
        <v/>
      </c>
      <c r="J815" s="67" t="str">
        <f aca="false">IF(OR($C815="",$D815=""),"",IFERROR($D815*INDEX(Mix_Eff,MATCH($C815,Mix_Code,0),5),""))</f>
        <v/>
      </c>
      <c r="K815" s="63"/>
      <c r="L815" s="16" t="str">
        <f aca="false">IF(AND($A815="",$B815="",$C815="",$D815=""),"",IF($A815="","⚠ Date missing",IF($B815="","⚠ Site missing",IF(ISNA(MATCH($C815,Mix_Code,0)),"⚠ Unknown mix code",IF($D815="","⚠ Enter m3 produced",IF(COUNTIF(CI_Site,$B815)=0,"⚠ Site not set up in Current Inventory",IF($A815&gt;AsOfDate,"Future date – not yet deducted","OK")))))))</f>
        <v/>
      </c>
    </row>
    <row r="816" customFormat="false" ht="15" hidden="false" customHeight="false" outlineLevel="0" collapsed="false">
      <c r="A816" s="65"/>
      <c r="B816" s="63"/>
      <c r="C816" s="70"/>
      <c r="D816" s="66"/>
      <c r="E816" s="16" t="str">
        <f aca="false">IF($C816="","",IFERROR(INDEX(Mix_Desc,MATCH($C816,Mix_Code,0)),"⚠ Unknown mix code"))</f>
        <v/>
      </c>
      <c r="F816" s="67" t="str">
        <f aca="false">IF(OR($C816="",$D816=""),"",IFERROR($D816*INDEX(Mix_Eff,MATCH($C816,Mix_Code,0),1),""))</f>
        <v/>
      </c>
      <c r="G816" s="67" t="str">
        <f aca="false">IF(OR($C816="",$D816=""),"",IFERROR($D816*INDEX(Mix_Eff,MATCH($C816,Mix_Code,0),2),""))</f>
        <v/>
      </c>
      <c r="H816" s="67" t="str">
        <f aca="false">IF(OR($C816="",$D816=""),"",IFERROR($D816*INDEX(Mix_Eff,MATCH($C816,Mix_Code,0),3),""))</f>
        <v/>
      </c>
      <c r="I816" s="67" t="str">
        <f aca="false">IF(OR($C816="",$D816=""),"",IFERROR($D816*INDEX(Mix_Eff,MATCH($C816,Mix_Code,0),4),""))</f>
        <v/>
      </c>
      <c r="J816" s="67" t="str">
        <f aca="false">IF(OR($C816="",$D816=""),"",IFERROR($D816*INDEX(Mix_Eff,MATCH($C816,Mix_Code,0),5),""))</f>
        <v/>
      </c>
      <c r="K816" s="63"/>
      <c r="L816" s="16" t="str">
        <f aca="false">IF(AND($A816="",$B816="",$C816="",$D816=""),"",IF($A816="","⚠ Date missing",IF($B816="","⚠ Site missing",IF(ISNA(MATCH($C816,Mix_Code,0)),"⚠ Unknown mix code",IF($D816="","⚠ Enter m3 produced",IF(COUNTIF(CI_Site,$B816)=0,"⚠ Site not set up in Current Inventory",IF($A816&gt;AsOfDate,"Future date – not yet deducted","OK")))))))</f>
        <v/>
      </c>
    </row>
    <row r="817" customFormat="false" ht="15" hidden="false" customHeight="false" outlineLevel="0" collapsed="false">
      <c r="A817" s="65"/>
      <c r="B817" s="63"/>
      <c r="C817" s="70"/>
      <c r="D817" s="66"/>
      <c r="E817" s="16" t="str">
        <f aca="false">IF($C817="","",IFERROR(INDEX(Mix_Desc,MATCH($C817,Mix_Code,0)),"⚠ Unknown mix code"))</f>
        <v/>
      </c>
      <c r="F817" s="67" t="str">
        <f aca="false">IF(OR($C817="",$D817=""),"",IFERROR($D817*INDEX(Mix_Eff,MATCH($C817,Mix_Code,0),1),""))</f>
        <v/>
      </c>
      <c r="G817" s="67" t="str">
        <f aca="false">IF(OR($C817="",$D817=""),"",IFERROR($D817*INDEX(Mix_Eff,MATCH($C817,Mix_Code,0),2),""))</f>
        <v/>
      </c>
      <c r="H817" s="67" t="str">
        <f aca="false">IF(OR($C817="",$D817=""),"",IFERROR($D817*INDEX(Mix_Eff,MATCH($C817,Mix_Code,0),3),""))</f>
        <v/>
      </c>
      <c r="I817" s="67" t="str">
        <f aca="false">IF(OR($C817="",$D817=""),"",IFERROR($D817*INDEX(Mix_Eff,MATCH($C817,Mix_Code,0),4),""))</f>
        <v/>
      </c>
      <c r="J817" s="67" t="str">
        <f aca="false">IF(OR($C817="",$D817=""),"",IFERROR($D817*INDEX(Mix_Eff,MATCH($C817,Mix_Code,0),5),""))</f>
        <v/>
      </c>
      <c r="K817" s="63"/>
      <c r="L817" s="16" t="str">
        <f aca="false">IF(AND($A817="",$B817="",$C817="",$D817=""),"",IF($A817="","⚠ Date missing",IF($B817="","⚠ Site missing",IF(ISNA(MATCH($C817,Mix_Code,0)),"⚠ Unknown mix code",IF($D817="","⚠ Enter m3 produced",IF(COUNTIF(CI_Site,$B817)=0,"⚠ Site not set up in Current Inventory",IF($A817&gt;AsOfDate,"Future date – not yet deducted","OK")))))))</f>
        <v/>
      </c>
    </row>
    <row r="818" customFormat="false" ht="15" hidden="false" customHeight="false" outlineLevel="0" collapsed="false">
      <c r="A818" s="65"/>
      <c r="B818" s="63"/>
      <c r="C818" s="70"/>
      <c r="D818" s="66"/>
      <c r="E818" s="16" t="str">
        <f aca="false">IF($C818="","",IFERROR(INDEX(Mix_Desc,MATCH($C818,Mix_Code,0)),"⚠ Unknown mix code"))</f>
        <v/>
      </c>
      <c r="F818" s="67" t="str">
        <f aca="false">IF(OR($C818="",$D818=""),"",IFERROR($D818*INDEX(Mix_Eff,MATCH($C818,Mix_Code,0),1),""))</f>
        <v/>
      </c>
      <c r="G818" s="67" t="str">
        <f aca="false">IF(OR($C818="",$D818=""),"",IFERROR($D818*INDEX(Mix_Eff,MATCH($C818,Mix_Code,0),2),""))</f>
        <v/>
      </c>
      <c r="H818" s="67" t="str">
        <f aca="false">IF(OR($C818="",$D818=""),"",IFERROR($D818*INDEX(Mix_Eff,MATCH($C818,Mix_Code,0),3),""))</f>
        <v/>
      </c>
      <c r="I818" s="67" t="str">
        <f aca="false">IF(OR($C818="",$D818=""),"",IFERROR($D818*INDEX(Mix_Eff,MATCH($C818,Mix_Code,0),4),""))</f>
        <v/>
      </c>
      <c r="J818" s="67" t="str">
        <f aca="false">IF(OR($C818="",$D818=""),"",IFERROR($D818*INDEX(Mix_Eff,MATCH($C818,Mix_Code,0),5),""))</f>
        <v/>
      </c>
      <c r="K818" s="63"/>
      <c r="L818" s="16" t="str">
        <f aca="false">IF(AND($A818="",$B818="",$C818="",$D818=""),"",IF($A818="","⚠ Date missing",IF($B818="","⚠ Site missing",IF(ISNA(MATCH($C818,Mix_Code,0)),"⚠ Unknown mix code",IF($D818="","⚠ Enter m3 produced",IF(COUNTIF(CI_Site,$B818)=0,"⚠ Site not set up in Current Inventory",IF($A818&gt;AsOfDate,"Future date – not yet deducted","OK")))))))</f>
        <v/>
      </c>
    </row>
    <row r="819" customFormat="false" ht="15" hidden="false" customHeight="false" outlineLevel="0" collapsed="false">
      <c r="A819" s="65"/>
      <c r="B819" s="63"/>
      <c r="C819" s="70"/>
      <c r="D819" s="66"/>
      <c r="E819" s="16" t="str">
        <f aca="false">IF($C819="","",IFERROR(INDEX(Mix_Desc,MATCH($C819,Mix_Code,0)),"⚠ Unknown mix code"))</f>
        <v/>
      </c>
      <c r="F819" s="67" t="str">
        <f aca="false">IF(OR($C819="",$D819=""),"",IFERROR($D819*INDEX(Mix_Eff,MATCH($C819,Mix_Code,0),1),""))</f>
        <v/>
      </c>
      <c r="G819" s="67" t="str">
        <f aca="false">IF(OR($C819="",$D819=""),"",IFERROR($D819*INDEX(Mix_Eff,MATCH($C819,Mix_Code,0),2),""))</f>
        <v/>
      </c>
      <c r="H819" s="67" t="str">
        <f aca="false">IF(OR($C819="",$D819=""),"",IFERROR($D819*INDEX(Mix_Eff,MATCH($C819,Mix_Code,0),3),""))</f>
        <v/>
      </c>
      <c r="I819" s="67" t="str">
        <f aca="false">IF(OR($C819="",$D819=""),"",IFERROR($D819*INDEX(Mix_Eff,MATCH($C819,Mix_Code,0),4),""))</f>
        <v/>
      </c>
      <c r="J819" s="67" t="str">
        <f aca="false">IF(OR($C819="",$D819=""),"",IFERROR($D819*INDEX(Mix_Eff,MATCH($C819,Mix_Code,0),5),""))</f>
        <v/>
      </c>
      <c r="K819" s="63"/>
      <c r="L819" s="16" t="str">
        <f aca="false">IF(AND($A819="",$B819="",$C819="",$D819=""),"",IF($A819="","⚠ Date missing",IF($B819="","⚠ Site missing",IF(ISNA(MATCH($C819,Mix_Code,0)),"⚠ Unknown mix code",IF($D819="","⚠ Enter m3 produced",IF(COUNTIF(CI_Site,$B819)=0,"⚠ Site not set up in Current Inventory",IF($A819&gt;AsOfDate,"Future date – not yet deducted","OK")))))))</f>
        <v/>
      </c>
    </row>
    <row r="820" customFormat="false" ht="15" hidden="false" customHeight="false" outlineLevel="0" collapsed="false">
      <c r="A820" s="65"/>
      <c r="B820" s="63"/>
      <c r="C820" s="70"/>
      <c r="D820" s="66"/>
      <c r="E820" s="16" t="str">
        <f aca="false">IF($C820="","",IFERROR(INDEX(Mix_Desc,MATCH($C820,Mix_Code,0)),"⚠ Unknown mix code"))</f>
        <v/>
      </c>
      <c r="F820" s="67" t="str">
        <f aca="false">IF(OR($C820="",$D820=""),"",IFERROR($D820*INDEX(Mix_Eff,MATCH($C820,Mix_Code,0),1),""))</f>
        <v/>
      </c>
      <c r="G820" s="67" t="str">
        <f aca="false">IF(OR($C820="",$D820=""),"",IFERROR($D820*INDEX(Mix_Eff,MATCH($C820,Mix_Code,0),2),""))</f>
        <v/>
      </c>
      <c r="H820" s="67" t="str">
        <f aca="false">IF(OR($C820="",$D820=""),"",IFERROR($D820*INDEX(Mix_Eff,MATCH($C820,Mix_Code,0),3),""))</f>
        <v/>
      </c>
      <c r="I820" s="67" t="str">
        <f aca="false">IF(OR($C820="",$D820=""),"",IFERROR($D820*INDEX(Mix_Eff,MATCH($C820,Mix_Code,0),4),""))</f>
        <v/>
      </c>
      <c r="J820" s="67" t="str">
        <f aca="false">IF(OR($C820="",$D820=""),"",IFERROR($D820*INDEX(Mix_Eff,MATCH($C820,Mix_Code,0),5),""))</f>
        <v/>
      </c>
      <c r="K820" s="63"/>
      <c r="L820" s="16" t="str">
        <f aca="false">IF(AND($A820="",$B820="",$C820="",$D820=""),"",IF($A820="","⚠ Date missing",IF($B820="","⚠ Site missing",IF(ISNA(MATCH($C820,Mix_Code,0)),"⚠ Unknown mix code",IF($D820="","⚠ Enter m3 produced",IF(COUNTIF(CI_Site,$B820)=0,"⚠ Site not set up in Current Inventory",IF($A820&gt;AsOfDate,"Future date – not yet deducted","OK")))))))</f>
        <v/>
      </c>
    </row>
    <row r="821" customFormat="false" ht="15" hidden="false" customHeight="false" outlineLevel="0" collapsed="false">
      <c r="A821" s="65"/>
      <c r="B821" s="63"/>
      <c r="C821" s="70"/>
      <c r="D821" s="66"/>
      <c r="E821" s="16" t="str">
        <f aca="false">IF($C821="","",IFERROR(INDEX(Mix_Desc,MATCH($C821,Mix_Code,0)),"⚠ Unknown mix code"))</f>
        <v/>
      </c>
      <c r="F821" s="67" t="str">
        <f aca="false">IF(OR($C821="",$D821=""),"",IFERROR($D821*INDEX(Mix_Eff,MATCH($C821,Mix_Code,0),1),""))</f>
        <v/>
      </c>
      <c r="G821" s="67" t="str">
        <f aca="false">IF(OR($C821="",$D821=""),"",IFERROR($D821*INDEX(Mix_Eff,MATCH($C821,Mix_Code,0),2),""))</f>
        <v/>
      </c>
      <c r="H821" s="67" t="str">
        <f aca="false">IF(OR($C821="",$D821=""),"",IFERROR($D821*INDEX(Mix_Eff,MATCH($C821,Mix_Code,0),3),""))</f>
        <v/>
      </c>
      <c r="I821" s="67" t="str">
        <f aca="false">IF(OR($C821="",$D821=""),"",IFERROR($D821*INDEX(Mix_Eff,MATCH($C821,Mix_Code,0),4),""))</f>
        <v/>
      </c>
      <c r="J821" s="67" t="str">
        <f aca="false">IF(OR($C821="",$D821=""),"",IFERROR($D821*INDEX(Mix_Eff,MATCH($C821,Mix_Code,0),5),""))</f>
        <v/>
      </c>
      <c r="K821" s="63"/>
      <c r="L821" s="16" t="str">
        <f aca="false">IF(AND($A821="",$B821="",$C821="",$D821=""),"",IF($A821="","⚠ Date missing",IF($B821="","⚠ Site missing",IF(ISNA(MATCH($C821,Mix_Code,0)),"⚠ Unknown mix code",IF($D821="","⚠ Enter m3 produced",IF(COUNTIF(CI_Site,$B821)=0,"⚠ Site not set up in Current Inventory",IF($A821&gt;AsOfDate,"Future date – not yet deducted","OK")))))))</f>
        <v/>
      </c>
    </row>
    <row r="822" customFormat="false" ht="15" hidden="false" customHeight="false" outlineLevel="0" collapsed="false">
      <c r="A822" s="65"/>
      <c r="B822" s="63"/>
      <c r="C822" s="70"/>
      <c r="D822" s="66"/>
      <c r="E822" s="16" t="str">
        <f aca="false">IF($C822="","",IFERROR(INDEX(Mix_Desc,MATCH($C822,Mix_Code,0)),"⚠ Unknown mix code"))</f>
        <v/>
      </c>
      <c r="F822" s="67" t="str">
        <f aca="false">IF(OR($C822="",$D822=""),"",IFERROR($D822*INDEX(Mix_Eff,MATCH($C822,Mix_Code,0),1),""))</f>
        <v/>
      </c>
      <c r="G822" s="67" t="str">
        <f aca="false">IF(OR($C822="",$D822=""),"",IFERROR($D822*INDEX(Mix_Eff,MATCH($C822,Mix_Code,0),2),""))</f>
        <v/>
      </c>
      <c r="H822" s="67" t="str">
        <f aca="false">IF(OR($C822="",$D822=""),"",IFERROR($D822*INDEX(Mix_Eff,MATCH($C822,Mix_Code,0),3),""))</f>
        <v/>
      </c>
      <c r="I822" s="67" t="str">
        <f aca="false">IF(OR($C822="",$D822=""),"",IFERROR($D822*INDEX(Mix_Eff,MATCH($C822,Mix_Code,0),4),""))</f>
        <v/>
      </c>
      <c r="J822" s="67" t="str">
        <f aca="false">IF(OR($C822="",$D822=""),"",IFERROR($D822*INDEX(Mix_Eff,MATCH($C822,Mix_Code,0),5),""))</f>
        <v/>
      </c>
      <c r="K822" s="63"/>
      <c r="L822" s="16" t="str">
        <f aca="false">IF(AND($A822="",$B822="",$C822="",$D822=""),"",IF($A822="","⚠ Date missing",IF($B822="","⚠ Site missing",IF(ISNA(MATCH($C822,Mix_Code,0)),"⚠ Unknown mix code",IF($D822="","⚠ Enter m3 produced",IF(COUNTIF(CI_Site,$B822)=0,"⚠ Site not set up in Current Inventory",IF($A822&gt;AsOfDate,"Future date – not yet deducted","OK")))))))</f>
        <v/>
      </c>
    </row>
    <row r="823" customFormat="false" ht="15" hidden="false" customHeight="false" outlineLevel="0" collapsed="false">
      <c r="A823" s="65"/>
      <c r="B823" s="63"/>
      <c r="C823" s="70"/>
      <c r="D823" s="66"/>
      <c r="E823" s="16" t="str">
        <f aca="false">IF($C823="","",IFERROR(INDEX(Mix_Desc,MATCH($C823,Mix_Code,0)),"⚠ Unknown mix code"))</f>
        <v/>
      </c>
      <c r="F823" s="67" t="str">
        <f aca="false">IF(OR($C823="",$D823=""),"",IFERROR($D823*INDEX(Mix_Eff,MATCH($C823,Mix_Code,0),1),""))</f>
        <v/>
      </c>
      <c r="G823" s="67" t="str">
        <f aca="false">IF(OR($C823="",$D823=""),"",IFERROR($D823*INDEX(Mix_Eff,MATCH($C823,Mix_Code,0),2),""))</f>
        <v/>
      </c>
      <c r="H823" s="67" t="str">
        <f aca="false">IF(OR($C823="",$D823=""),"",IFERROR($D823*INDEX(Mix_Eff,MATCH($C823,Mix_Code,0),3),""))</f>
        <v/>
      </c>
      <c r="I823" s="67" t="str">
        <f aca="false">IF(OR($C823="",$D823=""),"",IFERROR($D823*INDEX(Mix_Eff,MATCH($C823,Mix_Code,0),4),""))</f>
        <v/>
      </c>
      <c r="J823" s="67" t="str">
        <f aca="false">IF(OR($C823="",$D823=""),"",IFERROR($D823*INDEX(Mix_Eff,MATCH($C823,Mix_Code,0),5),""))</f>
        <v/>
      </c>
      <c r="K823" s="63"/>
      <c r="L823" s="16" t="str">
        <f aca="false">IF(AND($A823="",$B823="",$C823="",$D823=""),"",IF($A823="","⚠ Date missing",IF($B823="","⚠ Site missing",IF(ISNA(MATCH($C823,Mix_Code,0)),"⚠ Unknown mix code",IF($D823="","⚠ Enter m3 produced",IF(COUNTIF(CI_Site,$B823)=0,"⚠ Site not set up in Current Inventory",IF($A823&gt;AsOfDate,"Future date – not yet deducted","OK")))))))</f>
        <v/>
      </c>
    </row>
    <row r="824" customFormat="false" ht="15" hidden="false" customHeight="false" outlineLevel="0" collapsed="false">
      <c r="A824" s="65"/>
      <c r="B824" s="63"/>
      <c r="C824" s="70"/>
      <c r="D824" s="66"/>
      <c r="E824" s="16" t="str">
        <f aca="false">IF($C824="","",IFERROR(INDEX(Mix_Desc,MATCH($C824,Mix_Code,0)),"⚠ Unknown mix code"))</f>
        <v/>
      </c>
      <c r="F824" s="67" t="str">
        <f aca="false">IF(OR($C824="",$D824=""),"",IFERROR($D824*INDEX(Mix_Eff,MATCH($C824,Mix_Code,0),1),""))</f>
        <v/>
      </c>
      <c r="G824" s="67" t="str">
        <f aca="false">IF(OR($C824="",$D824=""),"",IFERROR($D824*INDEX(Mix_Eff,MATCH($C824,Mix_Code,0),2),""))</f>
        <v/>
      </c>
      <c r="H824" s="67" t="str">
        <f aca="false">IF(OR($C824="",$D824=""),"",IFERROR($D824*INDEX(Mix_Eff,MATCH($C824,Mix_Code,0),3),""))</f>
        <v/>
      </c>
      <c r="I824" s="67" t="str">
        <f aca="false">IF(OR($C824="",$D824=""),"",IFERROR($D824*INDEX(Mix_Eff,MATCH($C824,Mix_Code,0),4),""))</f>
        <v/>
      </c>
      <c r="J824" s="67" t="str">
        <f aca="false">IF(OR($C824="",$D824=""),"",IFERROR($D824*INDEX(Mix_Eff,MATCH($C824,Mix_Code,0),5),""))</f>
        <v/>
      </c>
      <c r="K824" s="63"/>
      <c r="L824" s="16" t="str">
        <f aca="false">IF(AND($A824="",$B824="",$C824="",$D824=""),"",IF($A824="","⚠ Date missing",IF($B824="","⚠ Site missing",IF(ISNA(MATCH($C824,Mix_Code,0)),"⚠ Unknown mix code",IF($D824="","⚠ Enter m3 produced",IF(COUNTIF(CI_Site,$B824)=0,"⚠ Site not set up in Current Inventory",IF($A824&gt;AsOfDate,"Future date – not yet deducted","OK")))))))</f>
        <v/>
      </c>
    </row>
    <row r="825" customFormat="false" ht="15" hidden="false" customHeight="false" outlineLevel="0" collapsed="false">
      <c r="A825" s="65"/>
      <c r="B825" s="63"/>
      <c r="C825" s="70"/>
      <c r="D825" s="66"/>
      <c r="E825" s="16" t="str">
        <f aca="false">IF($C825="","",IFERROR(INDEX(Mix_Desc,MATCH($C825,Mix_Code,0)),"⚠ Unknown mix code"))</f>
        <v/>
      </c>
      <c r="F825" s="67" t="str">
        <f aca="false">IF(OR($C825="",$D825=""),"",IFERROR($D825*INDEX(Mix_Eff,MATCH($C825,Mix_Code,0),1),""))</f>
        <v/>
      </c>
      <c r="G825" s="67" t="str">
        <f aca="false">IF(OR($C825="",$D825=""),"",IFERROR($D825*INDEX(Mix_Eff,MATCH($C825,Mix_Code,0),2),""))</f>
        <v/>
      </c>
      <c r="H825" s="67" t="str">
        <f aca="false">IF(OR($C825="",$D825=""),"",IFERROR($D825*INDEX(Mix_Eff,MATCH($C825,Mix_Code,0),3),""))</f>
        <v/>
      </c>
      <c r="I825" s="67" t="str">
        <f aca="false">IF(OR($C825="",$D825=""),"",IFERROR($D825*INDEX(Mix_Eff,MATCH($C825,Mix_Code,0),4),""))</f>
        <v/>
      </c>
      <c r="J825" s="67" t="str">
        <f aca="false">IF(OR($C825="",$D825=""),"",IFERROR($D825*INDEX(Mix_Eff,MATCH($C825,Mix_Code,0),5),""))</f>
        <v/>
      </c>
      <c r="K825" s="63"/>
      <c r="L825" s="16" t="str">
        <f aca="false">IF(AND($A825="",$B825="",$C825="",$D825=""),"",IF($A825="","⚠ Date missing",IF($B825="","⚠ Site missing",IF(ISNA(MATCH($C825,Mix_Code,0)),"⚠ Unknown mix code",IF($D825="","⚠ Enter m3 produced",IF(COUNTIF(CI_Site,$B825)=0,"⚠ Site not set up in Current Inventory",IF($A825&gt;AsOfDate,"Future date – not yet deducted","OK")))))))</f>
        <v/>
      </c>
    </row>
    <row r="826" customFormat="false" ht="15" hidden="false" customHeight="false" outlineLevel="0" collapsed="false">
      <c r="A826" s="65"/>
      <c r="B826" s="63"/>
      <c r="C826" s="70"/>
      <c r="D826" s="66"/>
      <c r="E826" s="16" t="str">
        <f aca="false">IF($C826="","",IFERROR(INDEX(Mix_Desc,MATCH($C826,Mix_Code,0)),"⚠ Unknown mix code"))</f>
        <v/>
      </c>
      <c r="F826" s="67" t="str">
        <f aca="false">IF(OR($C826="",$D826=""),"",IFERROR($D826*INDEX(Mix_Eff,MATCH($C826,Mix_Code,0),1),""))</f>
        <v/>
      </c>
      <c r="G826" s="67" t="str">
        <f aca="false">IF(OR($C826="",$D826=""),"",IFERROR($D826*INDEX(Mix_Eff,MATCH($C826,Mix_Code,0),2),""))</f>
        <v/>
      </c>
      <c r="H826" s="67" t="str">
        <f aca="false">IF(OR($C826="",$D826=""),"",IFERROR($D826*INDEX(Mix_Eff,MATCH($C826,Mix_Code,0),3),""))</f>
        <v/>
      </c>
      <c r="I826" s="67" t="str">
        <f aca="false">IF(OR($C826="",$D826=""),"",IFERROR($D826*INDEX(Mix_Eff,MATCH($C826,Mix_Code,0),4),""))</f>
        <v/>
      </c>
      <c r="J826" s="67" t="str">
        <f aca="false">IF(OR($C826="",$D826=""),"",IFERROR($D826*INDEX(Mix_Eff,MATCH($C826,Mix_Code,0),5),""))</f>
        <v/>
      </c>
      <c r="K826" s="63"/>
      <c r="L826" s="16" t="str">
        <f aca="false">IF(AND($A826="",$B826="",$C826="",$D826=""),"",IF($A826="","⚠ Date missing",IF($B826="","⚠ Site missing",IF(ISNA(MATCH($C826,Mix_Code,0)),"⚠ Unknown mix code",IF($D826="","⚠ Enter m3 produced",IF(COUNTIF(CI_Site,$B826)=0,"⚠ Site not set up in Current Inventory",IF($A826&gt;AsOfDate,"Future date – not yet deducted","OK")))))))</f>
        <v/>
      </c>
    </row>
    <row r="827" customFormat="false" ht="15" hidden="false" customHeight="false" outlineLevel="0" collapsed="false">
      <c r="A827" s="65"/>
      <c r="B827" s="63"/>
      <c r="C827" s="70"/>
      <c r="D827" s="66"/>
      <c r="E827" s="16" t="str">
        <f aca="false">IF($C827="","",IFERROR(INDEX(Mix_Desc,MATCH($C827,Mix_Code,0)),"⚠ Unknown mix code"))</f>
        <v/>
      </c>
      <c r="F827" s="67" t="str">
        <f aca="false">IF(OR($C827="",$D827=""),"",IFERROR($D827*INDEX(Mix_Eff,MATCH($C827,Mix_Code,0),1),""))</f>
        <v/>
      </c>
      <c r="G827" s="67" t="str">
        <f aca="false">IF(OR($C827="",$D827=""),"",IFERROR($D827*INDEX(Mix_Eff,MATCH($C827,Mix_Code,0),2),""))</f>
        <v/>
      </c>
      <c r="H827" s="67" t="str">
        <f aca="false">IF(OR($C827="",$D827=""),"",IFERROR($D827*INDEX(Mix_Eff,MATCH($C827,Mix_Code,0),3),""))</f>
        <v/>
      </c>
      <c r="I827" s="67" t="str">
        <f aca="false">IF(OR($C827="",$D827=""),"",IFERROR($D827*INDEX(Mix_Eff,MATCH($C827,Mix_Code,0),4),""))</f>
        <v/>
      </c>
      <c r="J827" s="67" t="str">
        <f aca="false">IF(OR($C827="",$D827=""),"",IFERROR($D827*INDEX(Mix_Eff,MATCH($C827,Mix_Code,0),5),""))</f>
        <v/>
      </c>
      <c r="K827" s="63"/>
      <c r="L827" s="16" t="str">
        <f aca="false">IF(AND($A827="",$B827="",$C827="",$D827=""),"",IF($A827="","⚠ Date missing",IF($B827="","⚠ Site missing",IF(ISNA(MATCH($C827,Mix_Code,0)),"⚠ Unknown mix code",IF($D827="","⚠ Enter m3 produced",IF(COUNTIF(CI_Site,$B827)=0,"⚠ Site not set up in Current Inventory",IF($A827&gt;AsOfDate,"Future date – not yet deducted","OK")))))))</f>
        <v/>
      </c>
    </row>
    <row r="828" customFormat="false" ht="15" hidden="false" customHeight="false" outlineLevel="0" collapsed="false">
      <c r="A828" s="65"/>
      <c r="B828" s="63"/>
      <c r="C828" s="70"/>
      <c r="D828" s="66"/>
      <c r="E828" s="16" t="str">
        <f aca="false">IF($C828="","",IFERROR(INDEX(Mix_Desc,MATCH($C828,Mix_Code,0)),"⚠ Unknown mix code"))</f>
        <v/>
      </c>
      <c r="F828" s="67" t="str">
        <f aca="false">IF(OR($C828="",$D828=""),"",IFERROR($D828*INDEX(Mix_Eff,MATCH($C828,Mix_Code,0),1),""))</f>
        <v/>
      </c>
      <c r="G828" s="67" t="str">
        <f aca="false">IF(OR($C828="",$D828=""),"",IFERROR($D828*INDEX(Mix_Eff,MATCH($C828,Mix_Code,0),2),""))</f>
        <v/>
      </c>
      <c r="H828" s="67" t="str">
        <f aca="false">IF(OR($C828="",$D828=""),"",IFERROR($D828*INDEX(Mix_Eff,MATCH($C828,Mix_Code,0),3),""))</f>
        <v/>
      </c>
      <c r="I828" s="67" t="str">
        <f aca="false">IF(OR($C828="",$D828=""),"",IFERROR($D828*INDEX(Mix_Eff,MATCH($C828,Mix_Code,0),4),""))</f>
        <v/>
      </c>
      <c r="J828" s="67" t="str">
        <f aca="false">IF(OR($C828="",$D828=""),"",IFERROR($D828*INDEX(Mix_Eff,MATCH($C828,Mix_Code,0),5),""))</f>
        <v/>
      </c>
      <c r="K828" s="63"/>
      <c r="L828" s="16" t="str">
        <f aca="false">IF(AND($A828="",$B828="",$C828="",$D828=""),"",IF($A828="","⚠ Date missing",IF($B828="","⚠ Site missing",IF(ISNA(MATCH($C828,Mix_Code,0)),"⚠ Unknown mix code",IF($D828="","⚠ Enter m3 produced",IF(COUNTIF(CI_Site,$B828)=0,"⚠ Site not set up in Current Inventory",IF($A828&gt;AsOfDate,"Future date – not yet deducted","OK")))))))</f>
        <v/>
      </c>
    </row>
    <row r="829" customFormat="false" ht="15" hidden="false" customHeight="false" outlineLevel="0" collapsed="false">
      <c r="A829" s="65"/>
      <c r="B829" s="63"/>
      <c r="C829" s="70"/>
      <c r="D829" s="66"/>
      <c r="E829" s="16" t="str">
        <f aca="false">IF($C829="","",IFERROR(INDEX(Mix_Desc,MATCH($C829,Mix_Code,0)),"⚠ Unknown mix code"))</f>
        <v/>
      </c>
      <c r="F829" s="67" t="str">
        <f aca="false">IF(OR($C829="",$D829=""),"",IFERROR($D829*INDEX(Mix_Eff,MATCH($C829,Mix_Code,0),1),""))</f>
        <v/>
      </c>
      <c r="G829" s="67" t="str">
        <f aca="false">IF(OR($C829="",$D829=""),"",IFERROR($D829*INDEX(Mix_Eff,MATCH($C829,Mix_Code,0),2),""))</f>
        <v/>
      </c>
      <c r="H829" s="67" t="str">
        <f aca="false">IF(OR($C829="",$D829=""),"",IFERROR($D829*INDEX(Mix_Eff,MATCH($C829,Mix_Code,0),3),""))</f>
        <v/>
      </c>
      <c r="I829" s="67" t="str">
        <f aca="false">IF(OR($C829="",$D829=""),"",IFERROR($D829*INDEX(Mix_Eff,MATCH($C829,Mix_Code,0),4),""))</f>
        <v/>
      </c>
      <c r="J829" s="67" t="str">
        <f aca="false">IF(OR($C829="",$D829=""),"",IFERROR($D829*INDEX(Mix_Eff,MATCH($C829,Mix_Code,0),5),""))</f>
        <v/>
      </c>
      <c r="K829" s="63"/>
      <c r="L829" s="16" t="str">
        <f aca="false">IF(AND($A829="",$B829="",$C829="",$D829=""),"",IF($A829="","⚠ Date missing",IF($B829="","⚠ Site missing",IF(ISNA(MATCH($C829,Mix_Code,0)),"⚠ Unknown mix code",IF($D829="","⚠ Enter m3 produced",IF(COUNTIF(CI_Site,$B829)=0,"⚠ Site not set up in Current Inventory",IF($A829&gt;AsOfDate,"Future date – not yet deducted","OK")))))))</f>
        <v/>
      </c>
    </row>
    <row r="830" customFormat="false" ht="15" hidden="false" customHeight="false" outlineLevel="0" collapsed="false">
      <c r="A830" s="65"/>
      <c r="B830" s="63"/>
      <c r="C830" s="70"/>
      <c r="D830" s="66"/>
      <c r="E830" s="16" t="str">
        <f aca="false">IF($C830="","",IFERROR(INDEX(Mix_Desc,MATCH($C830,Mix_Code,0)),"⚠ Unknown mix code"))</f>
        <v/>
      </c>
      <c r="F830" s="67" t="str">
        <f aca="false">IF(OR($C830="",$D830=""),"",IFERROR($D830*INDEX(Mix_Eff,MATCH($C830,Mix_Code,0),1),""))</f>
        <v/>
      </c>
      <c r="G830" s="67" t="str">
        <f aca="false">IF(OR($C830="",$D830=""),"",IFERROR($D830*INDEX(Mix_Eff,MATCH($C830,Mix_Code,0),2),""))</f>
        <v/>
      </c>
      <c r="H830" s="67" t="str">
        <f aca="false">IF(OR($C830="",$D830=""),"",IFERROR($D830*INDEX(Mix_Eff,MATCH($C830,Mix_Code,0),3),""))</f>
        <v/>
      </c>
      <c r="I830" s="67" t="str">
        <f aca="false">IF(OR($C830="",$D830=""),"",IFERROR($D830*INDEX(Mix_Eff,MATCH($C830,Mix_Code,0),4),""))</f>
        <v/>
      </c>
      <c r="J830" s="67" t="str">
        <f aca="false">IF(OR($C830="",$D830=""),"",IFERROR($D830*INDEX(Mix_Eff,MATCH($C830,Mix_Code,0),5),""))</f>
        <v/>
      </c>
      <c r="K830" s="63"/>
      <c r="L830" s="16" t="str">
        <f aca="false">IF(AND($A830="",$B830="",$C830="",$D830=""),"",IF($A830="","⚠ Date missing",IF($B830="","⚠ Site missing",IF(ISNA(MATCH($C830,Mix_Code,0)),"⚠ Unknown mix code",IF($D830="","⚠ Enter m3 produced",IF(COUNTIF(CI_Site,$B830)=0,"⚠ Site not set up in Current Inventory",IF($A830&gt;AsOfDate,"Future date – not yet deducted","OK")))))))</f>
        <v/>
      </c>
    </row>
    <row r="831" customFormat="false" ht="15" hidden="false" customHeight="false" outlineLevel="0" collapsed="false">
      <c r="A831" s="65"/>
      <c r="B831" s="63"/>
      <c r="C831" s="70"/>
      <c r="D831" s="66"/>
      <c r="E831" s="16" t="str">
        <f aca="false">IF($C831="","",IFERROR(INDEX(Mix_Desc,MATCH($C831,Mix_Code,0)),"⚠ Unknown mix code"))</f>
        <v/>
      </c>
      <c r="F831" s="67" t="str">
        <f aca="false">IF(OR($C831="",$D831=""),"",IFERROR($D831*INDEX(Mix_Eff,MATCH($C831,Mix_Code,0),1),""))</f>
        <v/>
      </c>
      <c r="G831" s="67" t="str">
        <f aca="false">IF(OR($C831="",$D831=""),"",IFERROR($D831*INDEX(Mix_Eff,MATCH($C831,Mix_Code,0),2),""))</f>
        <v/>
      </c>
      <c r="H831" s="67" t="str">
        <f aca="false">IF(OR($C831="",$D831=""),"",IFERROR($D831*INDEX(Mix_Eff,MATCH($C831,Mix_Code,0),3),""))</f>
        <v/>
      </c>
      <c r="I831" s="67" t="str">
        <f aca="false">IF(OR($C831="",$D831=""),"",IFERROR($D831*INDEX(Mix_Eff,MATCH($C831,Mix_Code,0),4),""))</f>
        <v/>
      </c>
      <c r="J831" s="67" t="str">
        <f aca="false">IF(OR($C831="",$D831=""),"",IFERROR($D831*INDEX(Mix_Eff,MATCH($C831,Mix_Code,0),5),""))</f>
        <v/>
      </c>
      <c r="K831" s="63"/>
      <c r="L831" s="16" t="str">
        <f aca="false">IF(AND($A831="",$B831="",$C831="",$D831=""),"",IF($A831="","⚠ Date missing",IF($B831="","⚠ Site missing",IF(ISNA(MATCH($C831,Mix_Code,0)),"⚠ Unknown mix code",IF($D831="","⚠ Enter m3 produced",IF(COUNTIF(CI_Site,$B831)=0,"⚠ Site not set up in Current Inventory",IF($A831&gt;AsOfDate,"Future date – not yet deducted","OK")))))))</f>
        <v/>
      </c>
    </row>
    <row r="832" customFormat="false" ht="15" hidden="false" customHeight="false" outlineLevel="0" collapsed="false">
      <c r="A832" s="65"/>
      <c r="B832" s="63"/>
      <c r="C832" s="70"/>
      <c r="D832" s="66"/>
      <c r="E832" s="16" t="str">
        <f aca="false">IF($C832="","",IFERROR(INDEX(Mix_Desc,MATCH($C832,Mix_Code,0)),"⚠ Unknown mix code"))</f>
        <v/>
      </c>
      <c r="F832" s="67" t="str">
        <f aca="false">IF(OR($C832="",$D832=""),"",IFERROR($D832*INDEX(Mix_Eff,MATCH($C832,Mix_Code,0),1),""))</f>
        <v/>
      </c>
      <c r="G832" s="67" t="str">
        <f aca="false">IF(OR($C832="",$D832=""),"",IFERROR($D832*INDEX(Mix_Eff,MATCH($C832,Mix_Code,0),2),""))</f>
        <v/>
      </c>
      <c r="H832" s="67" t="str">
        <f aca="false">IF(OR($C832="",$D832=""),"",IFERROR($D832*INDEX(Mix_Eff,MATCH($C832,Mix_Code,0),3),""))</f>
        <v/>
      </c>
      <c r="I832" s="67" t="str">
        <f aca="false">IF(OR($C832="",$D832=""),"",IFERROR($D832*INDEX(Mix_Eff,MATCH($C832,Mix_Code,0),4),""))</f>
        <v/>
      </c>
      <c r="J832" s="67" t="str">
        <f aca="false">IF(OR($C832="",$D832=""),"",IFERROR($D832*INDEX(Mix_Eff,MATCH($C832,Mix_Code,0),5),""))</f>
        <v/>
      </c>
      <c r="K832" s="63"/>
      <c r="L832" s="16" t="str">
        <f aca="false">IF(AND($A832="",$B832="",$C832="",$D832=""),"",IF($A832="","⚠ Date missing",IF($B832="","⚠ Site missing",IF(ISNA(MATCH($C832,Mix_Code,0)),"⚠ Unknown mix code",IF($D832="","⚠ Enter m3 produced",IF(COUNTIF(CI_Site,$B832)=0,"⚠ Site not set up in Current Inventory",IF($A832&gt;AsOfDate,"Future date – not yet deducted","OK")))))))</f>
        <v/>
      </c>
    </row>
    <row r="833" customFormat="false" ht="15" hidden="false" customHeight="false" outlineLevel="0" collapsed="false">
      <c r="A833" s="65"/>
      <c r="B833" s="63"/>
      <c r="C833" s="70"/>
      <c r="D833" s="66"/>
      <c r="E833" s="16" t="str">
        <f aca="false">IF($C833="","",IFERROR(INDEX(Mix_Desc,MATCH($C833,Mix_Code,0)),"⚠ Unknown mix code"))</f>
        <v/>
      </c>
      <c r="F833" s="67" t="str">
        <f aca="false">IF(OR($C833="",$D833=""),"",IFERROR($D833*INDEX(Mix_Eff,MATCH($C833,Mix_Code,0),1),""))</f>
        <v/>
      </c>
      <c r="G833" s="67" t="str">
        <f aca="false">IF(OR($C833="",$D833=""),"",IFERROR($D833*INDEX(Mix_Eff,MATCH($C833,Mix_Code,0),2),""))</f>
        <v/>
      </c>
      <c r="H833" s="67" t="str">
        <f aca="false">IF(OR($C833="",$D833=""),"",IFERROR($D833*INDEX(Mix_Eff,MATCH($C833,Mix_Code,0),3),""))</f>
        <v/>
      </c>
      <c r="I833" s="67" t="str">
        <f aca="false">IF(OR($C833="",$D833=""),"",IFERROR($D833*INDEX(Mix_Eff,MATCH($C833,Mix_Code,0),4),""))</f>
        <v/>
      </c>
      <c r="J833" s="67" t="str">
        <f aca="false">IF(OR($C833="",$D833=""),"",IFERROR($D833*INDEX(Mix_Eff,MATCH($C833,Mix_Code,0),5),""))</f>
        <v/>
      </c>
      <c r="K833" s="63"/>
      <c r="L833" s="16" t="str">
        <f aca="false">IF(AND($A833="",$B833="",$C833="",$D833=""),"",IF($A833="","⚠ Date missing",IF($B833="","⚠ Site missing",IF(ISNA(MATCH($C833,Mix_Code,0)),"⚠ Unknown mix code",IF($D833="","⚠ Enter m3 produced",IF(COUNTIF(CI_Site,$B833)=0,"⚠ Site not set up in Current Inventory",IF($A833&gt;AsOfDate,"Future date – not yet deducted","OK")))))))</f>
        <v/>
      </c>
    </row>
    <row r="834" customFormat="false" ht="15" hidden="false" customHeight="false" outlineLevel="0" collapsed="false">
      <c r="A834" s="65"/>
      <c r="B834" s="63"/>
      <c r="C834" s="70"/>
      <c r="D834" s="66"/>
      <c r="E834" s="16" t="str">
        <f aca="false">IF($C834="","",IFERROR(INDEX(Mix_Desc,MATCH($C834,Mix_Code,0)),"⚠ Unknown mix code"))</f>
        <v/>
      </c>
      <c r="F834" s="67" t="str">
        <f aca="false">IF(OR($C834="",$D834=""),"",IFERROR($D834*INDEX(Mix_Eff,MATCH($C834,Mix_Code,0),1),""))</f>
        <v/>
      </c>
      <c r="G834" s="67" t="str">
        <f aca="false">IF(OR($C834="",$D834=""),"",IFERROR($D834*INDEX(Mix_Eff,MATCH($C834,Mix_Code,0),2),""))</f>
        <v/>
      </c>
      <c r="H834" s="67" t="str">
        <f aca="false">IF(OR($C834="",$D834=""),"",IFERROR($D834*INDEX(Mix_Eff,MATCH($C834,Mix_Code,0),3),""))</f>
        <v/>
      </c>
      <c r="I834" s="67" t="str">
        <f aca="false">IF(OR($C834="",$D834=""),"",IFERROR($D834*INDEX(Mix_Eff,MATCH($C834,Mix_Code,0),4),""))</f>
        <v/>
      </c>
      <c r="J834" s="67" t="str">
        <f aca="false">IF(OR($C834="",$D834=""),"",IFERROR($D834*INDEX(Mix_Eff,MATCH($C834,Mix_Code,0),5),""))</f>
        <v/>
      </c>
      <c r="K834" s="63"/>
      <c r="L834" s="16" t="str">
        <f aca="false">IF(AND($A834="",$B834="",$C834="",$D834=""),"",IF($A834="","⚠ Date missing",IF($B834="","⚠ Site missing",IF(ISNA(MATCH($C834,Mix_Code,0)),"⚠ Unknown mix code",IF($D834="","⚠ Enter m3 produced",IF(COUNTIF(CI_Site,$B834)=0,"⚠ Site not set up in Current Inventory",IF($A834&gt;AsOfDate,"Future date – not yet deducted","OK")))))))</f>
        <v/>
      </c>
    </row>
    <row r="835" customFormat="false" ht="15" hidden="false" customHeight="false" outlineLevel="0" collapsed="false">
      <c r="A835" s="65"/>
      <c r="B835" s="63"/>
      <c r="C835" s="70"/>
      <c r="D835" s="66"/>
      <c r="E835" s="16" t="str">
        <f aca="false">IF($C835="","",IFERROR(INDEX(Mix_Desc,MATCH($C835,Mix_Code,0)),"⚠ Unknown mix code"))</f>
        <v/>
      </c>
      <c r="F835" s="67" t="str">
        <f aca="false">IF(OR($C835="",$D835=""),"",IFERROR($D835*INDEX(Mix_Eff,MATCH($C835,Mix_Code,0),1),""))</f>
        <v/>
      </c>
      <c r="G835" s="67" t="str">
        <f aca="false">IF(OR($C835="",$D835=""),"",IFERROR($D835*INDEX(Mix_Eff,MATCH($C835,Mix_Code,0),2),""))</f>
        <v/>
      </c>
      <c r="H835" s="67" t="str">
        <f aca="false">IF(OR($C835="",$D835=""),"",IFERROR($D835*INDEX(Mix_Eff,MATCH($C835,Mix_Code,0),3),""))</f>
        <v/>
      </c>
      <c r="I835" s="67" t="str">
        <f aca="false">IF(OR($C835="",$D835=""),"",IFERROR($D835*INDEX(Mix_Eff,MATCH($C835,Mix_Code,0),4),""))</f>
        <v/>
      </c>
      <c r="J835" s="67" t="str">
        <f aca="false">IF(OR($C835="",$D835=""),"",IFERROR($D835*INDEX(Mix_Eff,MATCH($C835,Mix_Code,0),5),""))</f>
        <v/>
      </c>
      <c r="K835" s="63"/>
      <c r="L835" s="16" t="str">
        <f aca="false">IF(AND($A835="",$B835="",$C835="",$D835=""),"",IF($A835="","⚠ Date missing",IF($B835="","⚠ Site missing",IF(ISNA(MATCH($C835,Mix_Code,0)),"⚠ Unknown mix code",IF($D835="","⚠ Enter m3 produced",IF(COUNTIF(CI_Site,$B835)=0,"⚠ Site not set up in Current Inventory",IF($A835&gt;AsOfDate,"Future date – not yet deducted","OK")))))))</f>
        <v/>
      </c>
    </row>
    <row r="836" customFormat="false" ht="15" hidden="false" customHeight="false" outlineLevel="0" collapsed="false">
      <c r="A836" s="65"/>
      <c r="B836" s="63"/>
      <c r="C836" s="70"/>
      <c r="D836" s="66"/>
      <c r="E836" s="16" t="str">
        <f aca="false">IF($C836="","",IFERROR(INDEX(Mix_Desc,MATCH($C836,Mix_Code,0)),"⚠ Unknown mix code"))</f>
        <v/>
      </c>
      <c r="F836" s="67" t="str">
        <f aca="false">IF(OR($C836="",$D836=""),"",IFERROR($D836*INDEX(Mix_Eff,MATCH($C836,Mix_Code,0),1),""))</f>
        <v/>
      </c>
      <c r="G836" s="67" t="str">
        <f aca="false">IF(OR($C836="",$D836=""),"",IFERROR($D836*INDEX(Mix_Eff,MATCH($C836,Mix_Code,0),2),""))</f>
        <v/>
      </c>
      <c r="H836" s="67" t="str">
        <f aca="false">IF(OR($C836="",$D836=""),"",IFERROR($D836*INDEX(Mix_Eff,MATCH($C836,Mix_Code,0),3),""))</f>
        <v/>
      </c>
      <c r="I836" s="67" t="str">
        <f aca="false">IF(OR($C836="",$D836=""),"",IFERROR($D836*INDEX(Mix_Eff,MATCH($C836,Mix_Code,0),4),""))</f>
        <v/>
      </c>
      <c r="J836" s="67" t="str">
        <f aca="false">IF(OR($C836="",$D836=""),"",IFERROR($D836*INDEX(Mix_Eff,MATCH($C836,Mix_Code,0),5),""))</f>
        <v/>
      </c>
      <c r="K836" s="63"/>
      <c r="L836" s="16" t="str">
        <f aca="false">IF(AND($A836="",$B836="",$C836="",$D836=""),"",IF($A836="","⚠ Date missing",IF($B836="","⚠ Site missing",IF(ISNA(MATCH($C836,Mix_Code,0)),"⚠ Unknown mix code",IF($D836="","⚠ Enter m3 produced",IF(COUNTIF(CI_Site,$B836)=0,"⚠ Site not set up in Current Inventory",IF($A836&gt;AsOfDate,"Future date – not yet deducted","OK")))))))</f>
        <v/>
      </c>
    </row>
    <row r="837" customFormat="false" ht="15" hidden="false" customHeight="false" outlineLevel="0" collapsed="false">
      <c r="A837" s="65"/>
      <c r="B837" s="63"/>
      <c r="C837" s="70"/>
      <c r="D837" s="66"/>
      <c r="E837" s="16" t="str">
        <f aca="false">IF($C837="","",IFERROR(INDEX(Mix_Desc,MATCH($C837,Mix_Code,0)),"⚠ Unknown mix code"))</f>
        <v/>
      </c>
      <c r="F837" s="67" t="str">
        <f aca="false">IF(OR($C837="",$D837=""),"",IFERROR($D837*INDEX(Mix_Eff,MATCH($C837,Mix_Code,0),1),""))</f>
        <v/>
      </c>
      <c r="G837" s="67" t="str">
        <f aca="false">IF(OR($C837="",$D837=""),"",IFERROR($D837*INDEX(Mix_Eff,MATCH($C837,Mix_Code,0),2),""))</f>
        <v/>
      </c>
      <c r="H837" s="67" t="str">
        <f aca="false">IF(OR($C837="",$D837=""),"",IFERROR($D837*INDEX(Mix_Eff,MATCH($C837,Mix_Code,0),3),""))</f>
        <v/>
      </c>
      <c r="I837" s="67" t="str">
        <f aca="false">IF(OR($C837="",$D837=""),"",IFERROR($D837*INDEX(Mix_Eff,MATCH($C837,Mix_Code,0),4),""))</f>
        <v/>
      </c>
      <c r="J837" s="67" t="str">
        <f aca="false">IF(OR($C837="",$D837=""),"",IFERROR($D837*INDEX(Mix_Eff,MATCH($C837,Mix_Code,0),5),""))</f>
        <v/>
      </c>
      <c r="K837" s="63"/>
      <c r="L837" s="16" t="str">
        <f aca="false">IF(AND($A837="",$B837="",$C837="",$D837=""),"",IF($A837="","⚠ Date missing",IF($B837="","⚠ Site missing",IF(ISNA(MATCH($C837,Mix_Code,0)),"⚠ Unknown mix code",IF($D837="","⚠ Enter m3 produced",IF(COUNTIF(CI_Site,$B837)=0,"⚠ Site not set up in Current Inventory",IF($A837&gt;AsOfDate,"Future date – not yet deducted","OK")))))))</f>
        <v/>
      </c>
    </row>
    <row r="838" customFormat="false" ht="15" hidden="false" customHeight="false" outlineLevel="0" collapsed="false">
      <c r="A838" s="65"/>
      <c r="B838" s="63"/>
      <c r="C838" s="70"/>
      <c r="D838" s="66"/>
      <c r="E838" s="16" t="str">
        <f aca="false">IF($C838="","",IFERROR(INDEX(Mix_Desc,MATCH($C838,Mix_Code,0)),"⚠ Unknown mix code"))</f>
        <v/>
      </c>
      <c r="F838" s="67" t="str">
        <f aca="false">IF(OR($C838="",$D838=""),"",IFERROR($D838*INDEX(Mix_Eff,MATCH($C838,Mix_Code,0),1),""))</f>
        <v/>
      </c>
      <c r="G838" s="67" t="str">
        <f aca="false">IF(OR($C838="",$D838=""),"",IFERROR($D838*INDEX(Mix_Eff,MATCH($C838,Mix_Code,0),2),""))</f>
        <v/>
      </c>
      <c r="H838" s="67" t="str">
        <f aca="false">IF(OR($C838="",$D838=""),"",IFERROR($D838*INDEX(Mix_Eff,MATCH($C838,Mix_Code,0),3),""))</f>
        <v/>
      </c>
      <c r="I838" s="67" t="str">
        <f aca="false">IF(OR($C838="",$D838=""),"",IFERROR($D838*INDEX(Mix_Eff,MATCH($C838,Mix_Code,0),4),""))</f>
        <v/>
      </c>
      <c r="J838" s="67" t="str">
        <f aca="false">IF(OR($C838="",$D838=""),"",IFERROR($D838*INDEX(Mix_Eff,MATCH($C838,Mix_Code,0),5),""))</f>
        <v/>
      </c>
      <c r="K838" s="63"/>
      <c r="L838" s="16" t="str">
        <f aca="false">IF(AND($A838="",$B838="",$C838="",$D838=""),"",IF($A838="","⚠ Date missing",IF($B838="","⚠ Site missing",IF(ISNA(MATCH($C838,Mix_Code,0)),"⚠ Unknown mix code",IF($D838="","⚠ Enter m3 produced",IF(COUNTIF(CI_Site,$B838)=0,"⚠ Site not set up in Current Inventory",IF($A838&gt;AsOfDate,"Future date – not yet deducted","OK")))))))</f>
        <v/>
      </c>
    </row>
    <row r="839" customFormat="false" ht="15" hidden="false" customHeight="false" outlineLevel="0" collapsed="false">
      <c r="A839" s="65"/>
      <c r="B839" s="63"/>
      <c r="C839" s="70"/>
      <c r="D839" s="66"/>
      <c r="E839" s="16" t="str">
        <f aca="false">IF($C839="","",IFERROR(INDEX(Mix_Desc,MATCH($C839,Mix_Code,0)),"⚠ Unknown mix code"))</f>
        <v/>
      </c>
      <c r="F839" s="67" t="str">
        <f aca="false">IF(OR($C839="",$D839=""),"",IFERROR($D839*INDEX(Mix_Eff,MATCH($C839,Mix_Code,0),1),""))</f>
        <v/>
      </c>
      <c r="G839" s="67" t="str">
        <f aca="false">IF(OR($C839="",$D839=""),"",IFERROR($D839*INDEX(Mix_Eff,MATCH($C839,Mix_Code,0),2),""))</f>
        <v/>
      </c>
      <c r="H839" s="67" t="str">
        <f aca="false">IF(OR($C839="",$D839=""),"",IFERROR($D839*INDEX(Mix_Eff,MATCH($C839,Mix_Code,0),3),""))</f>
        <v/>
      </c>
      <c r="I839" s="67" t="str">
        <f aca="false">IF(OR($C839="",$D839=""),"",IFERROR($D839*INDEX(Mix_Eff,MATCH($C839,Mix_Code,0),4),""))</f>
        <v/>
      </c>
      <c r="J839" s="67" t="str">
        <f aca="false">IF(OR($C839="",$D839=""),"",IFERROR($D839*INDEX(Mix_Eff,MATCH($C839,Mix_Code,0),5),""))</f>
        <v/>
      </c>
      <c r="K839" s="63"/>
      <c r="L839" s="16" t="str">
        <f aca="false">IF(AND($A839="",$B839="",$C839="",$D839=""),"",IF($A839="","⚠ Date missing",IF($B839="","⚠ Site missing",IF(ISNA(MATCH($C839,Mix_Code,0)),"⚠ Unknown mix code",IF($D839="","⚠ Enter m3 produced",IF(COUNTIF(CI_Site,$B839)=0,"⚠ Site not set up in Current Inventory",IF($A839&gt;AsOfDate,"Future date – not yet deducted","OK")))))))</f>
        <v/>
      </c>
    </row>
    <row r="840" customFormat="false" ht="15" hidden="false" customHeight="false" outlineLevel="0" collapsed="false">
      <c r="A840" s="65"/>
      <c r="B840" s="63"/>
      <c r="C840" s="70"/>
      <c r="D840" s="66"/>
      <c r="E840" s="16" t="str">
        <f aca="false">IF($C840="","",IFERROR(INDEX(Mix_Desc,MATCH($C840,Mix_Code,0)),"⚠ Unknown mix code"))</f>
        <v/>
      </c>
      <c r="F840" s="67" t="str">
        <f aca="false">IF(OR($C840="",$D840=""),"",IFERROR($D840*INDEX(Mix_Eff,MATCH($C840,Mix_Code,0),1),""))</f>
        <v/>
      </c>
      <c r="G840" s="67" t="str">
        <f aca="false">IF(OR($C840="",$D840=""),"",IFERROR($D840*INDEX(Mix_Eff,MATCH($C840,Mix_Code,0),2),""))</f>
        <v/>
      </c>
      <c r="H840" s="67" t="str">
        <f aca="false">IF(OR($C840="",$D840=""),"",IFERROR($D840*INDEX(Mix_Eff,MATCH($C840,Mix_Code,0),3),""))</f>
        <v/>
      </c>
      <c r="I840" s="67" t="str">
        <f aca="false">IF(OR($C840="",$D840=""),"",IFERROR($D840*INDEX(Mix_Eff,MATCH($C840,Mix_Code,0),4),""))</f>
        <v/>
      </c>
      <c r="J840" s="67" t="str">
        <f aca="false">IF(OR($C840="",$D840=""),"",IFERROR($D840*INDEX(Mix_Eff,MATCH($C840,Mix_Code,0),5),""))</f>
        <v/>
      </c>
      <c r="K840" s="63"/>
      <c r="L840" s="16" t="str">
        <f aca="false">IF(AND($A840="",$B840="",$C840="",$D840=""),"",IF($A840="","⚠ Date missing",IF($B840="","⚠ Site missing",IF(ISNA(MATCH($C840,Mix_Code,0)),"⚠ Unknown mix code",IF($D840="","⚠ Enter m3 produced",IF(COUNTIF(CI_Site,$B840)=0,"⚠ Site not set up in Current Inventory",IF($A840&gt;AsOfDate,"Future date – not yet deducted","OK")))))))</f>
        <v/>
      </c>
    </row>
    <row r="841" customFormat="false" ht="15" hidden="false" customHeight="false" outlineLevel="0" collapsed="false">
      <c r="A841" s="65"/>
      <c r="B841" s="63"/>
      <c r="C841" s="70"/>
      <c r="D841" s="66"/>
      <c r="E841" s="16" t="str">
        <f aca="false">IF($C841="","",IFERROR(INDEX(Mix_Desc,MATCH($C841,Mix_Code,0)),"⚠ Unknown mix code"))</f>
        <v/>
      </c>
      <c r="F841" s="67" t="str">
        <f aca="false">IF(OR($C841="",$D841=""),"",IFERROR($D841*INDEX(Mix_Eff,MATCH($C841,Mix_Code,0),1),""))</f>
        <v/>
      </c>
      <c r="G841" s="67" t="str">
        <f aca="false">IF(OR($C841="",$D841=""),"",IFERROR($D841*INDEX(Mix_Eff,MATCH($C841,Mix_Code,0),2),""))</f>
        <v/>
      </c>
      <c r="H841" s="67" t="str">
        <f aca="false">IF(OR($C841="",$D841=""),"",IFERROR($D841*INDEX(Mix_Eff,MATCH($C841,Mix_Code,0),3),""))</f>
        <v/>
      </c>
      <c r="I841" s="67" t="str">
        <f aca="false">IF(OR($C841="",$D841=""),"",IFERROR($D841*INDEX(Mix_Eff,MATCH($C841,Mix_Code,0),4),""))</f>
        <v/>
      </c>
      <c r="J841" s="67" t="str">
        <f aca="false">IF(OR($C841="",$D841=""),"",IFERROR($D841*INDEX(Mix_Eff,MATCH($C841,Mix_Code,0),5),""))</f>
        <v/>
      </c>
      <c r="K841" s="63"/>
      <c r="L841" s="16" t="str">
        <f aca="false">IF(AND($A841="",$B841="",$C841="",$D841=""),"",IF($A841="","⚠ Date missing",IF($B841="","⚠ Site missing",IF(ISNA(MATCH($C841,Mix_Code,0)),"⚠ Unknown mix code",IF($D841="","⚠ Enter m3 produced",IF(COUNTIF(CI_Site,$B841)=0,"⚠ Site not set up in Current Inventory",IF($A841&gt;AsOfDate,"Future date – not yet deducted","OK")))))))</f>
        <v/>
      </c>
    </row>
    <row r="842" customFormat="false" ht="15" hidden="false" customHeight="false" outlineLevel="0" collapsed="false">
      <c r="A842" s="65"/>
      <c r="B842" s="63"/>
      <c r="C842" s="70"/>
      <c r="D842" s="66"/>
      <c r="E842" s="16" t="str">
        <f aca="false">IF($C842="","",IFERROR(INDEX(Mix_Desc,MATCH($C842,Mix_Code,0)),"⚠ Unknown mix code"))</f>
        <v/>
      </c>
      <c r="F842" s="67" t="str">
        <f aca="false">IF(OR($C842="",$D842=""),"",IFERROR($D842*INDEX(Mix_Eff,MATCH($C842,Mix_Code,0),1),""))</f>
        <v/>
      </c>
      <c r="G842" s="67" t="str">
        <f aca="false">IF(OR($C842="",$D842=""),"",IFERROR($D842*INDEX(Mix_Eff,MATCH($C842,Mix_Code,0),2),""))</f>
        <v/>
      </c>
      <c r="H842" s="67" t="str">
        <f aca="false">IF(OR($C842="",$D842=""),"",IFERROR($D842*INDEX(Mix_Eff,MATCH($C842,Mix_Code,0),3),""))</f>
        <v/>
      </c>
      <c r="I842" s="67" t="str">
        <f aca="false">IF(OR($C842="",$D842=""),"",IFERROR($D842*INDEX(Mix_Eff,MATCH($C842,Mix_Code,0),4),""))</f>
        <v/>
      </c>
      <c r="J842" s="67" t="str">
        <f aca="false">IF(OR($C842="",$D842=""),"",IFERROR($D842*INDEX(Mix_Eff,MATCH($C842,Mix_Code,0),5),""))</f>
        <v/>
      </c>
      <c r="K842" s="63"/>
      <c r="L842" s="16" t="str">
        <f aca="false">IF(AND($A842="",$B842="",$C842="",$D842=""),"",IF($A842="","⚠ Date missing",IF($B842="","⚠ Site missing",IF(ISNA(MATCH($C842,Mix_Code,0)),"⚠ Unknown mix code",IF($D842="","⚠ Enter m3 produced",IF(COUNTIF(CI_Site,$B842)=0,"⚠ Site not set up in Current Inventory",IF($A842&gt;AsOfDate,"Future date – not yet deducted","OK")))))))</f>
        <v/>
      </c>
    </row>
    <row r="843" customFormat="false" ht="15" hidden="false" customHeight="false" outlineLevel="0" collapsed="false">
      <c r="A843" s="65"/>
      <c r="B843" s="63"/>
      <c r="C843" s="70"/>
      <c r="D843" s="66"/>
      <c r="E843" s="16" t="str">
        <f aca="false">IF($C843="","",IFERROR(INDEX(Mix_Desc,MATCH($C843,Mix_Code,0)),"⚠ Unknown mix code"))</f>
        <v/>
      </c>
      <c r="F843" s="67" t="str">
        <f aca="false">IF(OR($C843="",$D843=""),"",IFERROR($D843*INDEX(Mix_Eff,MATCH($C843,Mix_Code,0),1),""))</f>
        <v/>
      </c>
      <c r="G843" s="67" t="str">
        <f aca="false">IF(OR($C843="",$D843=""),"",IFERROR($D843*INDEX(Mix_Eff,MATCH($C843,Mix_Code,0),2),""))</f>
        <v/>
      </c>
      <c r="H843" s="67" t="str">
        <f aca="false">IF(OR($C843="",$D843=""),"",IFERROR($D843*INDEX(Mix_Eff,MATCH($C843,Mix_Code,0),3),""))</f>
        <v/>
      </c>
      <c r="I843" s="67" t="str">
        <f aca="false">IF(OR($C843="",$D843=""),"",IFERROR($D843*INDEX(Mix_Eff,MATCH($C843,Mix_Code,0),4),""))</f>
        <v/>
      </c>
      <c r="J843" s="67" t="str">
        <f aca="false">IF(OR($C843="",$D843=""),"",IFERROR($D843*INDEX(Mix_Eff,MATCH($C843,Mix_Code,0),5),""))</f>
        <v/>
      </c>
      <c r="K843" s="63"/>
      <c r="L843" s="16" t="str">
        <f aca="false">IF(AND($A843="",$B843="",$C843="",$D843=""),"",IF($A843="","⚠ Date missing",IF($B843="","⚠ Site missing",IF(ISNA(MATCH($C843,Mix_Code,0)),"⚠ Unknown mix code",IF($D843="","⚠ Enter m3 produced",IF(COUNTIF(CI_Site,$B843)=0,"⚠ Site not set up in Current Inventory",IF($A843&gt;AsOfDate,"Future date – not yet deducted","OK")))))))</f>
        <v/>
      </c>
    </row>
    <row r="844" customFormat="false" ht="15" hidden="false" customHeight="false" outlineLevel="0" collapsed="false">
      <c r="A844" s="65"/>
      <c r="B844" s="63"/>
      <c r="C844" s="70"/>
      <c r="D844" s="66"/>
      <c r="E844" s="16" t="str">
        <f aca="false">IF($C844="","",IFERROR(INDEX(Mix_Desc,MATCH($C844,Mix_Code,0)),"⚠ Unknown mix code"))</f>
        <v/>
      </c>
      <c r="F844" s="67" t="str">
        <f aca="false">IF(OR($C844="",$D844=""),"",IFERROR($D844*INDEX(Mix_Eff,MATCH($C844,Mix_Code,0),1),""))</f>
        <v/>
      </c>
      <c r="G844" s="67" t="str">
        <f aca="false">IF(OR($C844="",$D844=""),"",IFERROR($D844*INDEX(Mix_Eff,MATCH($C844,Mix_Code,0),2),""))</f>
        <v/>
      </c>
      <c r="H844" s="67" t="str">
        <f aca="false">IF(OR($C844="",$D844=""),"",IFERROR($D844*INDEX(Mix_Eff,MATCH($C844,Mix_Code,0),3),""))</f>
        <v/>
      </c>
      <c r="I844" s="67" t="str">
        <f aca="false">IF(OR($C844="",$D844=""),"",IFERROR($D844*INDEX(Mix_Eff,MATCH($C844,Mix_Code,0),4),""))</f>
        <v/>
      </c>
      <c r="J844" s="67" t="str">
        <f aca="false">IF(OR($C844="",$D844=""),"",IFERROR($D844*INDEX(Mix_Eff,MATCH($C844,Mix_Code,0),5),""))</f>
        <v/>
      </c>
      <c r="K844" s="63"/>
      <c r="L844" s="16" t="str">
        <f aca="false">IF(AND($A844="",$B844="",$C844="",$D844=""),"",IF($A844="","⚠ Date missing",IF($B844="","⚠ Site missing",IF(ISNA(MATCH($C844,Mix_Code,0)),"⚠ Unknown mix code",IF($D844="","⚠ Enter m3 produced",IF(COUNTIF(CI_Site,$B844)=0,"⚠ Site not set up in Current Inventory",IF($A844&gt;AsOfDate,"Future date – not yet deducted","OK")))))))</f>
        <v/>
      </c>
    </row>
    <row r="845" customFormat="false" ht="15" hidden="false" customHeight="false" outlineLevel="0" collapsed="false">
      <c r="A845" s="65"/>
      <c r="B845" s="63"/>
      <c r="C845" s="70"/>
      <c r="D845" s="66"/>
      <c r="E845" s="16" t="str">
        <f aca="false">IF($C845="","",IFERROR(INDEX(Mix_Desc,MATCH($C845,Mix_Code,0)),"⚠ Unknown mix code"))</f>
        <v/>
      </c>
      <c r="F845" s="67" t="str">
        <f aca="false">IF(OR($C845="",$D845=""),"",IFERROR($D845*INDEX(Mix_Eff,MATCH($C845,Mix_Code,0),1),""))</f>
        <v/>
      </c>
      <c r="G845" s="67" t="str">
        <f aca="false">IF(OR($C845="",$D845=""),"",IFERROR($D845*INDEX(Mix_Eff,MATCH($C845,Mix_Code,0),2),""))</f>
        <v/>
      </c>
      <c r="H845" s="67" t="str">
        <f aca="false">IF(OR($C845="",$D845=""),"",IFERROR($D845*INDEX(Mix_Eff,MATCH($C845,Mix_Code,0),3),""))</f>
        <v/>
      </c>
      <c r="I845" s="67" t="str">
        <f aca="false">IF(OR($C845="",$D845=""),"",IFERROR($D845*INDEX(Mix_Eff,MATCH($C845,Mix_Code,0),4),""))</f>
        <v/>
      </c>
      <c r="J845" s="67" t="str">
        <f aca="false">IF(OR($C845="",$D845=""),"",IFERROR($D845*INDEX(Mix_Eff,MATCH($C845,Mix_Code,0),5),""))</f>
        <v/>
      </c>
      <c r="K845" s="63"/>
      <c r="L845" s="16" t="str">
        <f aca="false">IF(AND($A845="",$B845="",$C845="",$D845=""),"",IF($A845="","⚠ Date missing",IF($B845="","⚠ Site missing",IF(ISNA(MATCH($C845,Mix_Code,0)),"⚠ Unknown mix code",IF($D845="","⚠ Enter m3 produced",IF(COUNTIF(CI_Site,$B845)=0,"⚠ Site not set up in Current Inventory",IF($A845&gt;AsOfDate,"Future date – not yet deducted","OK")))))))</f>
        <v/>
      </c>
    </row>
    <row r="846" customFormat="false" ht="15" hidden="false" customHeight="false" outlineLevel="0" collapsed="false">
      <c r="A846" s="65"/>
      <c r="B846" s="63"/>
      <c r="C846" s="70"/>
      <c r="D846" s="66"/>
      <c r="E846" s="16" t="str">
        <f aca="false">IF($C846="","",IFERROR(INDEX(Mix_Desc,MATCH($C846,Mix_Code,0)),"⚠ Unknown mix code"))</f>
        <v/>
      </c>
      <c r="F846" s="67" t="str">
        <f aca="false">IF(OR($C846="",$D846=""),"",IFERROR($D846*INDEX(Mix_Eff,MATCH($C846,Mix_Code,0),1),""))</f>
        <v/>
      </c>
      <c r="G846" s="67" t="str">
        <f aca="false">IF(OR($C846="",$D846=""),"",IFERROR($D846*INDEX(Mix_Eff,MATCH($C846,Mix_Code,0),2),""))</f>
        <v/>
      </c>
      <c r="H846" s="67" t="str">
        <f aca="false">IF(OR($C846="",$D846=""),"",IFERROR($D846*INDEX(Mix_Eff,MATCH($C846,Mix_Code,0),3),""))</f>
        <v/>
      </c>
      <c r="I846" s="67" t="str">
        <f aca="false">IF(OR($C846="",$D846=""),"",IFERROR($D846*INDEX(Mix_Eff,MATCH($C846,Mix_Code,0),4),""))</f>
        <v/>
      </c>
      <c r="J846" s="67" t="str">
        <f aca="false">IF(OR($C846="",$D846=""),"",IFERROR($D846*INDEX(Mix_Eff,MATCH($C846,Mix_Code,0),5),""))</f>
        <v/>
      </c>
      <c r="K846" s="63"/>
      <c r="L846" s="16" t="str">
        <f aca="false">IF(AND($A846="",$B846="",$C846="",$D846=""),"",IF($A846="","⚠ Date missing",IF($B846="","⚠ Site missing",IF(ISNA(MATCH($C846,Mix_Code,0)),"⚠ Unknown mix code",IF($D846="","⚠ Enter m3 produced",IF(COUNTIF(CI_Site,$B846)=0,"⚠ Site not set up in Current Inventory",IF($A846&gt;AsOfDate,"Future date – not yet deducted","OK")))))))</f>
        <v/>
      </c>
    </row>
    <row r="847" customFormat="false" ht="15" hidden="false" customHeight="false" outlineLevel="0" collapsed="false">
      <c r="A847" s="65"/>
      <c r="B847" s="63"/>
      <c r="C847" s="70"/>
      <c r="D847" s="66"/>
      <c r="E847" s="16" t="str">
        <f aca="false">IF($C847="","",IFERROR(INDEX(Mix_Desc,MATCH($C847,Mix_Code,0)),"⚠ Unknown mix code"))</f>
        <v/>
      </c>
      <c r="F847" s="67" t="str">
        <f aca="false">IF(OR($C847="",$D847=""),"",IFERROR($D847*INDEX(Mix_Eff,MATCH($C847,Mix_Code,0),1),""))</f>
        <v/>
      </c>
      <c r="G847" s="67" t="str">
        <f aca="false">IF(OR($C847="",$D847=""),"",IFERROR($D847*INDEX(Mix_Eff,MATCH($C847,Mix_Code,0),2),""))</f>
        <v/>
      </c>
      <c r="H847" s="67" t="str">
        <f aca="false">IF(OR($C847="",$D847=""),"",IFERROR($D847*INDEX(Mix_Eff,MATCH($C847,Mix_Code,0),3),""))</f>
        <v/>
      </c>
      <c r="I847" s="67" t="str">
        <f aca="false">IF(OR($C847="",$D847=""),"",IFERROR($D847*INDEX(Mix_Eff,MATCH($C847,Mix_Code,0),4),""))</f>
        <v/>
      </c>
      <c r="J847" s="67" t="str">
        <f aca="false">IF(OR($C847="",$D847=""),"",IFERROR($D847*INDEX(Mix_Eff,MATCH($C847,Mix_Code,0),5),""))</f>
        <v/>
      </c>
      <c r="K847" s="63"/>
      <c r="L847" s="16" t="str">
        <f aca="false">IF(AND($A847="",$B847="",$C847="",$D847=""),"",IF($A847="","⚠ Date missing",IF($B847="","⚠ Site missing",IF(ISNA(MATCH($C847,Mix_Code,0)),"⚠ Unknown mix code",IF($D847="","⚠ Enter m3 produced",IF(COUNTIF(CI_Site,$B847)=0,"⚠ Site not set up in Current Inventory",IF($A847&gt;AsOfDate,"Future date – not yet deducted","OK")))))))</f>
        <v/>
      </c>
    </row>
    <row r="848" customFormat="false" ht="15" hidden="false" customHeight="false" outlineLevel="0" collapsed="false">
      <c r="A848" s="65"/>
      <c r="B848" s="63"/>
      <c r="C848" s="70"/>
      <c r="D848" s="66"/>
      <c r="E848" s="16" t="str">
        <f aca="false">IF($C848="","",IFERROR(INDEX(Mix_Desc,MATCH($C848,Mix_Code,0)),"⚠ Unknown mix code"))</f>
        <v/>
      </c>
      <c r="F848" s="67" t="str">
        <f aca="false">IF(OR($C848="",$D848=""),"",IFERROR($D848*INDEX(Mix_Eff,MATCH($C848,Mix_Code,0),1),""))</f>
        <v/>
      </c>
      <c r="G848" s="67" t="str">
        <f aca="false">IF(OR($C848="",$D848=""),"",IFERROR($D848*INDEX(Mix_Eff,MATCH($C848,Mix_Code,0),2),""))</f>
        <v/>
      </c>
      <c r="H848" s="67" t="str">
        <f aca="false">IF(OR($C848="",$D848=""),"",IFERROR($D848*INDEX(Mix_Eff,MATCH($C848,Mix_Code,0),3),""))</f>
        <v/>
      </c>
      <c r="I848" s="67" t="str">
        <f aca="false">IF(OR($C848="",$D848=""),"",IFERROR($D848*INDEX(Mix_Eff,MATCH($C848,Mix_Code,0),4),""))</f>
        <v/>
      </c>
      <c r="J848" s="67" t="str">
        <f aca="false">IF(OR($C848="",$D848=""),"",IFERROR($D848*INDEX(Mix_Eff,MATCH($C848,Mix_Code,0),5),""))</f>
        <v/>
      </c>
      <c r="K848" s="63"/>
      <c r="L848" s="16" t="str">
        <f aca="false">IF(AND($A848="",$B848="",$C848="",$D848=""),"",IF($A848="","⚠ Date missing",IF($B848="","⚠ Site missing",IF(ISNA(MATCH($C848,Mix_Code,0)),"⚠ Unknown mix code",IF($D848="","⚠ Enter m3 produced",IF(COUNTIF(CI_Site,$B848)=0,"⚠ Site not set up in Current Inventory",IF($A848&gt;AsOfDate,"Future date – not yet deducted","OK")))))))</f>
        <v/>
      </c>
    </row>
    <row r="849" customFormat="false" ht="15" hidden="false" customHeight="false" outlineLevel="0" collapsed="false">
      <c r="A849" s="65"/>
      <c r="B849" s="63"/>
      <c r="C849" s="70"/>
      <c r="D849" s="66"/>
      <c r="E849" s="16" t="str">
        <f aca="false">IF($C849="","",IFERROR(INDEX(Mix_Desc,MATCH($C849,Mix_Code,0)),"⚠ Unknown mix code"))</f>
        <v/>
      </c>
      <c r="F849" s="67" t="str">
        <f aca="false">IF(OR($C849="",$D849=""),"",IFERROR($D849*INDEX(Mix_Eff,MATCH($C849,Mix_Code,0),1),""))</f>
        <v/>
      </c>
      <c r="G849" s="67" t="str">
        <f aca="false">IF(OR($C849="",$D849=""),"",IFERROR($D849*INDEX(Mix_Eff,MATCH($C849,Mix_Code,0),2),""))</f>
        <v/>
      </c>
      <c r="H849" s="67" t="str">
        <f aca="false">IF(OR($C849="",$D849=""),"",IFERROR($D849*INDEX(Mix_Eff,MATCH($C849,Mix_Code,0),3),""))</f>
        <v/>
      </c>
      <c r="I849" s="67" t="str">
        <f aca="false">IF(OR($C849="",$D849=""),"",IFERROR($D849*INDEX(Mix_Eff,MATCH($C849,Mix_Code,0),4),""))</f>
        <v/>
      </c>
      <c r="J849" s="67" t="str">
        <f aca="false">IF(OR($C849="",$D849=""),"",IFERROR($D849*INDEX(Mix_Eff,MATCH($C849,Mix_Code,0),5),""))</f>
        <v/>
      </c>
      <c r="K849" s="63"/>
      <c r="L849" s="16" t="str">
        <f aca="false">IF(AND($A849="",$B849="",$C849="",$D849=""),"",IF($A849="","⚠ Date missing",IF($B849="","⚠ Site missing",IF(ISNA(MATCH($C849,Mix_Code,0)),"⚠ Unknown mix code",IF($D849="","⚠ Enter m3 produced",IF(COUNTIF(CI_Site,$B849)=0,"⚠ Site not set up in Current Inventory",IF($A849&gt;AsOfDate,"Future date – not yet deducted","OK")))))))</f>
        <v/>
      </c>
    </row>
    <row r="850" customFormat="false" ht="15" hidden="false" customHeight="false" outlineLevel="0" collapsed="false">
      <c r="A850" s="65"/>
      <c r="B850" s="63"/>
      <c r="C850" s="70"/>
      <c r="D850" s="66"/>
      <c r="E850" s="16" t="str">
        <f aca="false">IF($C850="","",IFERROR(INDEX(Mix_Desc,MATCH($C850,Mix_Code,0)),"⚠ Unknown mix code"))</f>
        <v/>
      </c>
      <c r="F850" s="67" t="str">
        <f aca="false">IF(OR($C850="",$D850=""),"",IFERROR($D850*INDEX(Mix_Eff,MATCH($C850,Mix_Code,0),1),""))</f>
        <v/>
      </c>
      <c r="G850" s="67" t="str">
        <f aca="false">IF(OR($C850="",$D850=""),"",IFERROR($D850*INDEX(Mix_Eff,MATCH($C850,Mix_Code,0),2),""))</f>
        <v/>
      </c>
      <c r="H850" s="67" t="str">
        <f aca="false">IF(OR($C850="",$D850=""),"",IFERROR($D850*INDEX(Mix_Eff,MATCH($C850,Mix_Code,0),3),""))</f>
        <v/>
      </c>
      <c r="I850" s="67" t="str">
        <f aca="false">IF(OR($C850="",$D850=""),"",IFERROR($D850*INDEX(Mix_Eff,MATCH($C850,Mix_Code,0),4),""))</f>
        <v/>
      </c>
      <c r="J850" s="67" t="str">
        <f aca="false">IF(OR($C850="",$D850=""),"",IFERROR($D850*INDEX(Mix_Eff,MATCH($C850,Mix_Code,0),5),""))</f>
        <v/>
      </c>
      <c r="K850" s="63"/>
      <c r="L850" s="16" t="str">
        <f aca="false">IF(AND($A850="",$B850="",$C850="",$D850=""),"",IF($A850="","⚠ Date missing",IF($B850="","⚠ Site missing",IF(ISNA(MATCH($C850,Mix_Code,0)),"⚠ Unknown mix code",IF($D850="","⚠ Enter m3 produced",IF(COUNTIF(CI_Site,$B850)=0,"⚠ Site not set up in Current Inventory",IF($A850&gt;AsOfDate,"Future date – not yet deducted","OK")))))))</f>
        <v/>
      </c>
    </row>
    <row r="851" customFormat="false" ht="15" hidden="false" customHeight="false" outlineLevel="0" collapsed="false">
      <c r="A851" s="65"/>
      <c r="B851" s="63"/>
      <c r="C851" s="70"/>
      <c r="D851" s="66"/>
      <c r="E851" s="16" t="str">
        <f aca="false">IF($C851="","",IFERROR(INDEX(Mix_Desc,MATCH($C851,Mix_Code,0)),"⚠ Unknown mix code"))</f>
        <v/>
      </c>
      <c r="F851" s="67" t="str">
        <f aca="false">IF(OR($C851="",$D851=""),"",IFERROR($D851*INDEX(Mix_Eff,MATCH($C851,Mix_Code,0),1),""))</f>
        <v/>
      </c>
      <c r="G851" s="67" t="str">
        <f aca="false">IF(OR($C851="",$D851=""),"",IFERROR($D851*INDEX(Mix_Eff,MATCH($C851,Mix_Code,0),2),""))</f>
        <v/>
      </c>
      <c r="H851" s="67" t="str">
        <f aca="false">IF(OR($C851="",$D851=""),"",IFERROR($D851*INDEX(Mix_Eff,MATCH($C851,Mix_Code,0),3),""))</f>
        <v/>
      </c>
      <c r="I851" s="67" t="str">
        <f aca="false">IF(OR($C851="",$D851=""),"",IFERROR($D851*INDEX(Mix_Eff,MATCH($C851,Mix_Code,0),4),""))</f>
        <v/>
      </c>
      <c r="J851" s="67" t="str">
        <f aca="false">IF(OR($C851="",$D851=""),"",IFERROR($D851*INDEX(Mix_Eff,MATCH($C851,Mix_Code,0),5),""))</f>
        <v/>
      </c>
      <c r="K851" s="63"/>
      <c r="L851" s="16" t="str">
        <f aca="false">IF(AND($A851="",$B851="",$C851="",$D851=""),"",IF($A851="","⚠ Date missing",IF($B851="","⚠ Site missing",IF(ISNA(MATCH($C851,Mix_Code,0)),"⚠ Unknown mix code",IF($D851="","⚠ Enter m3 produced",IF(COUNTIF(CI_Site,$B851)=0,"⚠ Site not set up in Current Inventory",IF($A851&gt;AsOfDate,"Future date – not yet deducted","OK")))))))</f>
        <v/>
      </c>
    </row>
    <row r="852" customFormat="false" ht="15" hidden="false" customHeight="false" outlineLevel="0" collapsed="false">
      <c r="A852" s="65"/>
      <c r="B852" s="63"/>
      <c r="C852" s="70"/>
      <c r="D852" s="66"/>
      <c r="E852" s="16" t="str">
        <f aca="false">IF($C852="","",IFERROR(INDEX(Mix_Desc,MATCH($C852,Mix_Code,0)),"⚠ Unknown mix code"))</f>
        <v/>
      </c>
      <c r="F852" s="67" t="str">
        <f aca="false">IF(OR($C852="",$D852=""),"",IFERROR($D852*INDEX(Mix_Eff,MATCH($C852,Mix_Code,0),1),""))</f>
        <v/>
      </c>
      <c r="G852" s="67" t="str">
        <f aca="false">IF(OR($C852="",$D852=""),"",IFERROR($D852*INDEX(Mix_Eff,MATCH($C852,Mix_Code,0),2),""))</f>
        <v/>
      </c>
      <c r="H852" s="67" t="str">
        <f aca="false">IF(OR($C852="",$D852=""),"",IFERROR($D852*INDEX(Mix_Eff,MATCH($C852,Mix_Code,0),3),""))</f>
        <v/>
      </c>
      <c r="I852" s="67" t="str">
        <f aca="false">IF(OR($C852="",$D852=""),"",IFERROR($D852*INDEX(Mix_Eff,MATCH($C852,Mix_Code,0),4),""))</f>
        <v/>
      </c>
      <c r="J852" s="67" t="str">
        <f aca="false">IF(OR($C852="",$D852=""),"",IFERROR($D852*INDEX(Mix_Eff,MATCH($C852,Mix_Code,0),5),""))</f>
        <v/>
      </c>
      <c r="K852" s="63"/>
      <c r="L852" s="16" t="str">
        <f aca="false">IF(AND($A852="",$B852="",$C852="",$D852=""),"",IF($A852="","⚠ Date missing",IF($B852="","⚠ Site missing",IF(ISNA(MATCH($C852,Mix_Code,0)),"⚠ Unknown mix code",IF($D852="","⚠ Enter m3 produced",IF(COUNTIF(CI_Site,$B852)=0,"⚠ Site not set up in Current Inventory",IF($A852&gt;AsOfDate,"Future date – not yet deducted","OK")))))))</f>
        <v/>
      </c>
    </row>
    <row r="853" customFormat="false" ht="15" hidden="false" customHeight="false" outlineLevel="0" collapsed="false">
      <c r="A853" s="65"/>
      <c r="B853" s="63"/>
      <c r="C853" s="70"/>
      <c r="D853" s="66"/>
      <c r="E853" s="16" t="str">
        <f aca="false">IF($C853="","",IFERROR(INDEX(Mix_Desc,MATCH($C853,Mix_Code,0)),"⚠ Unknown mix code"))</f>
        <v/>
      </c>
      <c r="F853" s="67" t="str">
        <f aca="false">IF(OR($C853="",$D853=""),"",IFERROR($D853*INDEX(Mix_Eff,MATCH($C853,Mix_Code,0),1),""))</f>
        <v/>
      </c>
      <c r="G853" s="67" t="str">
        <f aca="false">IF(OR($C853="",$D853=""),"",IFERROR($D853*INDEX(Mix_Eff,MATCH($C853,Mix_Code,0),2),""))</f>
        <v/>
      </c>
      <c r="H853" s="67" t="str">
        <f aca="false">IF(OR($C853="",$D853=""),"",IFERROR($D853*INDEX(Mix_Eff,MATCH($C853,Mix_Code,0),3),""))</f>
        <v/>
      </c>
      <c r="I853" s="67" t="str">
        <f aca="false">IF(OR($C853="",$D853=""),"",IFERROR($D853*INDEX(Mix_Eff,MATCH($C853,Mix_Code,0),4),""))</f>
        <v/>
      </c>
      <c r="J853" s="67" t="str">
        <f aca="false">IF(OR($C853="",$D853=""),"",IFERROR($D853*INDEX(Mix_Eff,MATCH($C853,Mix_Code,0),5),""))</f>
        <v/>
      </c>
      <c r="K853" s="63"/>
      <c r="L853" s="16" t="str">
        <f aca="false">IF(AND($A853="",$B853="",$C853="",$D853=""),"",IF($A853="","⚠ Date missing",IF($B853="","⚠ Site missing",IF(ISNA(MATCH($C853,Mix_Code,0)),"⚠ Unknown mix code",IF($D853="","⚠ Enter m3 produced",IF(COUNTIF(CI_Site,$B853)=0,"⚠ Site not set up in Current Inventory",IF($A853&gt;AsOfDate,"Future date – not yet deducted","OK")))))))</f>
        <v/>
      </c>
    </row>
    <row r="854" customFormat="false" ht="15" hidden="false" customHeight="false" outlineLevel="0" collapsed="false">
      <c r="A854" s="65"/>
      <c r="B854" s="63"/>
      <c r="C854" s="70"/>
      <c r="D854" s="66"/>
      <c r="E854" s="16" t="str">
        <f aca="false">IF($C854="","",IFERROR(INDEX(Mix_Desc,MATCH($C854,Mix_Code,0)),"⚠ Unknown mix code"))</f>
        <v/>
      </c>
      <c r="F854" s="67" t="str">
        <f aca="false">IF(OR($C854="",$D854=""),"",IFERROR($D854*INDEX(Mix_Eff,MATCH($C854,Mix_Code,0),1),""))</f>
        <v/>
      </c>
      <c r="G854" s="67" t="str">
        <f aca="false">IF(OR($C854="",$D854=""),"",IFERROR($D854*INDEX(Mix_Eff,MATCH($C854,Mix_Code,0),2),""))</f>
        <v/>
      </c>
      <c r="H854" s="67" t="str">
        <f aca="false">IF(OR($C854="",$D854=""),"",IFERROR($D854*INDEX(Mix_Eff,MATCH($C854,Mix_Code,0),3),""))</f>
        <v/>
      </c>
      <c r="I854" s="67" t="str">
        <f aca="false">IF(OR($C854="",$D854=""),"",IFERROR($D854*INDEX(Mix_Eff,MATCH($C854,Mix_Code,0),4),""))</f>
        <v/>
      </c>
      <c r="J854" s="67" t="str">
        <f aca="false">IF(OR($C854="",$D854=""),"",IFERROR($D854*INDEX(Mix_Eff,MATCH($C854,Mix_Code,0),5),""))</f>
        <v/>
      </c>
      <c r="K854" s="63"/>
      <c r="L854" s="16" t="str">
        <f aca="false">IF(AND($A854="",$B854="",$C854="",$D854=""),"",IF($A854="","⚠ Date missing",IF($B854="","⚠ Site missing",IF(ISNA(MATCH($C854,Mix_Code,0)),"⚠ Unknown mix code",IF($D854="","⚠ Enter m3 produced",IF(COUNTIF(CI_Site,$B854)=0,"⚠ Site not set up in Current Inventory",IF($A854&gt;AsOfDate,"Future date – not yet deducted","OK")))))))</f>
        <v/>
      </c>
    </row>
    <row r="855" customFormat="false" ht="15" hidden="false" customHeight="false" outlineLevel="0" collapsed="false">
      <c r="A855" s="65"/>
      <c r="B855" s="63"/>
      <c r="C855" s="70"/>
      <c r="D855" s="66"/>
      <c r="E855" s="16" t="str">
        <f aca="false">IF($C855="","",IFERROR(INDEX(Mix_Desc,MATCH($C855,Mix_Code,0)),"⚠ Unknown mix code"))</f>
        <v/>
      </c>
      <c r="F855" s="67" t="str">
        <f aca="false">IF(OR($C855="",$D855=""),"",IFERROR($D855*INDEX(Mix_Eff,MATCH($C855,Mix_Code,0),1),""))</f>
        <v/>
      </c>
      <c r="G855" s="67" t="str">
        <f aca="false">IF(OR($C855="",$D855=""),"",IFERROR($D855*INDEX(Mix_Eff,MATCH($C855,Mix_Code,0),2),""))</f>
        <v/>
      </c>
      <c r="H855" s="67" t="str">
        <f aca="false">IF(OR($C855="",$D855=""),"",IFERROR($D855*INDEX(Mix_Eff,MATCH($C855,Mix_Code,0),3),""))</f>
        <v/>
      </c>
      <c r="I855" s="67" t="str">
        <f aca="false">IF(OR($C855="",$D855=""),"",IFERROR($D855*INDEX(Mix_Eff,MATCH($C855,Mix_Code,0),4),""))</f>
        <v/>
      </c>
      <c r="J855" s="67" t="str">
        <f aca="false">IF(OR($C855="",$D855=""),"",IFERROR($D855*INDEX(Mix_Eff,MATCH($C855,Mix_Code,0),5),""))</f>
        <v/>
      </c>
      <c r="K855" s="63"/>
      <c r="L855" s="16" t="str">
        <f aca="false">IF(AND($A855="",$B855="",$C855="",$D855=""),"",IF($A855="","⚠ Date missing",IF($B855="","⚠ Site missing",IF(ISNA(MATCH($C855,Mix_Code,0)),"⚠ Unknown mix code",IF($D855="","⚠ Enter m3 produced",IF(COUNTIF(CI_Site,$B855)=0,"⚠ Site not set up in Current Inventory",IF($A855&gt;AsOfDate,"Future date – not yet deducted","OK")))))))</f>
        <v/>
      </c>
    </row>
    <row r="856" customFormat="false" ht="15" hidden="false" customHeight="false" outlineLevel="0" collapsed="false">
      <c r="A856" s="65"/>
      <c r="B856" s="63"/>
      <c r="C856" s="70"/>
      <c r="D856" s="66"/>
      <c r="E856" s="16" t="str">
        <f aca="false">IF($C856="","",IFERROR(INDEX(Mix_Desc,MATCH($C856,Mix_Code,0)),"⚠ Unknown mix code"))</f>
        <v/>
      </c>
      <c r="F856" s="67" t="str">
        <f aca="false">IF(OR($C856="",$D856=""),"",IFERROR($D856*INDEX(Mix_Eff,MATCH($C856,Mix_Code,0),1),""))</f>
        <v/>
      </c>
      <c r="G856" s="67" t="str">
        <f aca="false">IF(OR($C856="",$D856=""),"",IFERROR($D856*INDEX(Mix_Eff,MATCH($C856,Mix_Code,0),2),""))</f>
        <v/>
      </c>
      <c r="H856" s="67" t="str">
        <f aca="false">IF(OR($C856="",$D856=""),"",IFERROR($D856*INDEX(Mix_Eff,MATCH($C856,Mix_Code,0),3),""))</f>
        <v/>
      </c>
      <c r="I856" s="67" t="str">
        <f aca="false">IF(OR($C856="",$D856=""),"",IFERROR($D856*INDEX(Mix_Eff,MATCH($C856,Mix_Code,0),4),""))</f>
        <v/>
      </c>
      <c r="J856" s="67" t="str">
        <f aca="false">IF(OR($C856="",$D856=""),"",IFERROR($D856*INDEX(Mix_Eff,MATCH($C856,Mix_Code,0),5),""))</f>
        <v/>
      </c>
      <c r="K856" s="63"/>
      <c r="L856" s="16" t="str">
        <f aca="false">IF(AND($A856="",$B856="",$C856="",$D856=""),"",IF($A856="","⚠ Date missing",IF($B856="","⚠ Site missing",IF(ISNA(MATCH($C856,Mix_Code,0)),"⚠ Unknown mix code",IF($D856="","⚠ Enter m3 produced",IF(COUNTIF(CI_Site,$B856)=0,"⚠ Site not set up in Current Inventory",IF($A856&gt;AsOfDate,"Future date – not yet deducted","OK")))))))</f>
        <v/>
      </c>
    </row>
    <row r="857" customFormat="false" ht="15" hidden="false" customHeight="false" outlineLevel="0" collapsed="false">
      <c r="A857" s="65"/>
      <c r="B857" s="63"/>
      <c r="C857" s="70"/>
      <c r="D857" s="66"/>
      <c r="E857" s="16" t="str">
        <f aca="false">IF($C857="","",IFERROR(INDEX(Mix_Desc,MATCH($C857,Mix_Code,0)),"⚠ Unknown mix code"))</f>
        <v/>
      </c>
      <c r="F857" s="67" t="str">
        <f aca="false">IF(OR($C857="",$D857=""),"",IFERROR($D857*INDEX(Mix_Eff,MATCH($C857,Mix_Code,0),1),""))</f>
        <v/>
      </c>
      <c r="G857" s="67" t="str">
        <f aca="false">IF(OR($C857="",$D857=""),"",IFERROR($D857*INDEX(Mix_Eff,MATCH($C857,Mix_Code,0),2),""))</f>
        <v/>
      </c>
      <c r="H857" s="67" t="str">
        <f aca="false">IF(OR($C857="",$D857=""),"",IFERROR($D857*INDEX(Mix_Eff,MATCH($C857,Mix_Code,0),3),""))</f>
        <v/>
      </c>
      <c r="I857" s="67" t="str">
        <f aca="false">IF(OR($C857="",$D857=""),"",IFERROR($D857*INDEX(Mix_Eff,MATCH($C857,Mix_Code,0),4),""))</f>
        <v/>
      </c>
      <c r="J857" s="67" t="str">
        <f aca="false">IF(OR($C857="",$D857=""),"",IFERROR($D857*INDEX(Mix_Eff,MATCH($C857,Mix_Code,0),5),""))</f>
        <v/>
      </c>
      <c r="K857" s="63"/>
      <c r="L857" s="16" t="str">
        <f aca="false">IF(AND($A857="",$B857="",$C857="",$D857=""),"",IF($A857="","⚠ Date missing",IF($B857="","⚠ Site missing",IF(ISNA(MATCH($C857,Mix_Code,0)),"⚠ Unknown mix code",IF($D857="","⚠ Enter m3 produced",IF(COUNTIF(CI_Site,$B857)=0,"⚠ Site not set up in Current Inventory",IF($A857&gt;AsOfDate,"Future date – not yet deducted","OK")))))))</f>
        <v/>
      </c>
    </row>
    <row r="858" customFormat="false" ht="15" hidden="false" customHeight="false" outlineLevel="0" collapsed="false">
      <c r="A858" s="65"/>
      <c r="B858" s="63"/>
      <c r="C858" s="70"/>
      <c r="D858" s="66"/>
      <c r="E858" s="16" t="str">
        <f aca="false">IF($C858="","",IFERROR(INDEX(Mix_Desc,MATCH($C858,Mix_Code,0)),"⚠ Unknown mix code"))</f>
        <v/>
      </c>
      <c r="F858" s="67" t="str">
        <f aca="false">IF(OR($C858="",$D858=""),"",IFERROR($D858*INDEX(Mix_Eff,MATCH($C858,Mix_Code,0),1),""))</f>
        <v/>
      </c>
      <c r="G858" s="67" t="str">
        <f aca="false">IF(OR($C858="",$D858=""),"",IFERROR($D858*INDEX(Mix_Eff,MATCH($C858,Mix_Code,0),2),""))</f>
        <v/>
      </c>
      <c r="H858" s="67" t="str">
        <f aca="false">IF(OR($C858="",$D858=""),"",IFERROR($D858*INDEX(Mix_Eff,MATCH($C858,Mix_Code,0),3),""))</f>
        <v/>
      </c>
      <c r="I858" s="67" t="str">
        <f aca="false">IF(OR($C858="",$D858=""),"",IFERROR($D858*INDEX(Mix_Eff,MATCH($C858,Mix_Code,0),4),""))</f>
        <v/>
      </c>
      <c r="J858" s="67" t="str">
        <f aca="false">IF(OR($C858="",$D858=""),"",IFERROR($D858*INDEX(Mix_Eff,MATCH($C858,Mix_Code,0),5),""))</f>
        <v/>
      </c>
      <c r="K858" s="63"/>
      <c r="L858" s="16" t="str">
        <f aca="false">IF(AND($A858="",$B858="",$C858="",$D858=""),"",IF($A858="","⚠ Date missing",IF($B858="","⚠ Site missing",IF(ISNA(MATCH($C858,Mix_Code,0)),"⚠ Unknown mix code",IF($D858="","⚠ Enter m3 produced",IF(COUNTIF(CI_Site,$B858)=0,"⚠ Site not set up in Current Inventory",IF($A858&gt;AsOfDate,"Future date – not yet deducted","OK")))))))</f>
        <v/>
      </c>
    </row>
    <row r="859" customFormat="false" ht="15" hidden="false" customHeight="false" outlineLevel="0" collapsed="false">
      <c r="A859" s="65"/>
      <c r="B859" s="63"/>
      <c r="C859" s="70"/>
      <c r="D859" s="66"/>
      <c r="E859" s="16" t="str">
        <f aca="false">IF($C859="","",IFERROR(INDEX(Mix_Desc,MATCH($C859,Mix_Code,0)),"⚠ Unknown mix code"))</f>
        <v/>
      </c>
      <c r="F859" s="67" t="str">
        <f aca="false">IF(OR($C859="",$D859=""),"",IFERROR($D859*INDEX(Mix_Eff,MATCH($C859,Mix_Code,0),1),""))</f>
        <v/>
      </c>
      <c r="G859" s="67" t="str">
        <f aca="false">IF(OR($C859="",$D859=""),"",IFERROR($D859*INDEX(Mix_Eff,MATCH($C859,Mix_Code,0),2),""))</f>
        <v/>
      </c>
      <c r="H859" s="67" t="str">
        <f aca="false">IF(OR($C859="",$D859=""),"",IFERROR($D859*INDEX(Mix_Eff,MATCH($C859,Mix_Code,0),3),""))</f>
        <v/>
      </c>
      <c r="I859" s="67" t="str">
        <f aca="false">IF(OR($C859="",$D859=""),"",IFERROR($D859*INDEX(Mix_Eff,MATCH($C859,Mix_Code,0),4),""))</f>
        <v/>
      </c>
      <c r="J859" s="67" t="str">
        <f aca="false">IF(OR($C859="",$D859=""),"",IFERROR($D859*INDEX(Mix_Eff,MATCH($C859,Mix_Code,0),5),""))</f>
        <v/>
      </c>
      <c r="K859" s="63"/>
      <c r="L859" s="16" t="str">
        <f aca="false">IF(AND($A859="",$B859="",$C859="",$D859=""),"",IF($A859="","⚠ Date missing",IF($B859="","⚠ Site missing",IF(ISNA(MATCH($C859,Mix_Code,0)),"⚠ Unknown mix code",IF($D859="","⚠ Enter m3 produced",IF(COUNTIF(CI_Site,$B859)=0,"⚠ Site not set up in Current Inventory",IF($A859&gt;AsOfDate,"Future date – not yet deducted","OK")))))))</f>
        <v/>
      </c>
    </row>
    <row r="860" customFormat="false" ht="15" hidden="false" customHeight="false" outlineLevel="0" collapsed="false">
      <c r="A860" s="65"/>
      <c r="B860" s="63"/>
      <c r="C860" s="70"/>
      <c r="D860" s="66"/>
      <c r="E860" s="16" t="str">
        <f aca="false">IF($C860="","",IFERROR(INDEX(Mix_Desc,MATCH($C860,Mix_Code,0)),"⚠ Unknown mix code"))</f>
        <v/>
      </c>
      <c r="F860" s="67" t="str">
        <f aca="false">IF(OR($C860="",$D860=""),"",IFERROR($D860*INDEX(Mix_Eff,MATCH($C860,Mix_Code,0),1),""))</f>
        <v/>
      </c>
      <c r="G860" s="67" t="str">
        <f aca="false">IF(OR($C860="",$D860=""),"",IFERROR($D860*INDEX(Mix_Eff,MATCH($C860,Mix_Code,0),2),""))</f>
        <v/>
      </c>
      <c r="H860" s="67" t="str">
        <f aca="false">IF(OR($C860="",$D860=""),"",IFERROR($D860*INDEX(Mix_Eff,MATCH($C860,Mix_Code,0),3),""))</f>
        <v/>
      </c>
      <c r="I860" s="67" t="str">
        <f aca="false">IF(OR($C860="",$D860=""),"",IFERROR($D860*INDEX(Mix_Eff,MATCH($C860,Mix_Code,0),4),""))</f>
        <v/>
      </c>
      <c r="J860" s="67" t="str">
        <f aca="false">IF(OR($C860="",$D860=""),"",IFERROR($D860*INDEX(Mix_Eff,MATCH($C860,Mix_Code,0),5),""))</f>
        <v/>
      </c>
      <c r="K860" s="63"/>
      <c r="L860" s="16" t="str">
        <f aca="false">IF(AND($A860="",$B860="",$C860="",$D860=""),"",IF($A860="","⚠ Date missing",IF($B860="","⚠ Site missing",IF(ISNA(MATCH($C860,Mix_Code,0)),"⚠ Unknown mix code",IF($D860="","⚠ Enter m3 produced",IF(COUNTIF(CI_Site,$B860)=0,"⚠ Site not set up in Current Inventory",IF($A860&gt;AsOfDate,"Future date – not yet deducted","OK")))))))</f>
        <v/>
      </c>
    </row>
    <row r="861" customFormat="false" ht="15" hidden="false" customHeight="false" outlineLevel="0" collapsed="false">
      <c r="A861" s="65"/>
      <c r="B861" s="63"/>
      <c r="C861" s="70"/>
      <c r="D861" s="66"/>
      <c r="E861" s="16" t="str">
        <f aca="false">IF($C861="","",IFERROR(INDEX(Mix_Desc,MATCH($C861,Mix_Code,0)),"⚠ Unknown mix code"))</f>
        <v/>
      </c>
      <c r="F861" s="67" t="str">
        <f aca="false">IF(OR($C861="",$D861=""),"",IFERROR($D861*INDEX(Mix_Eff,MATCH($C861,Mix_Code,0),1),""))</f>
        <v/>
      </c>
      <c r="G861" s="67" t="str">
        <f aca="false">IF(OR($C861="",$D861=""),"",IFERROR($D861*INDEX(Mix_Eff,MATCH($C861,Mix_Code,0),2),""))</f>
        <v/>
      </c>
      <c r="H861" s="67" t="str">
        <f aca="false">IF(OR($C861="",$D861=""),"",IFERROR($D861*INDEX(Mix_Eff,MATCH($C861,Mix_Code,0),3),""))</f>
        <v/>
      </c>
      <c r="I861" s="67" t="str">
        <f aca="false">IF(OR($C861="",$D861=""),"",IFERROR($D861*INDEX(Mix_Eff,MATCH($C861,Mix_Code,0),4),""))</f>
        <v/>
      </c>
      <c r="J861" s="67" t="str">
        <f aca="false">IF(OR($C861="",$D861=""),"",IFERROR($D861*INDEX(Mix_Eff,MATCH($C861,Mix_Code,0),5),""))</f>
        <v/>
      </c>
      <c r="K861" s="63"/>
      <c r="L861" s="16" t="str">
        <f aca="false">IF(AND($A861="",$B861="",$C861="",$D861=""),"",IF($A861="","⚠ Date missing",IF($B861="","⚠ Site missing",IF(ISNA(MATCH($C861,Mix_Code,0)),"⚠ Unknown mix code",IF($D861="","⚠ Enter m3 produced",IF(COUNTIF(CI_Site,$B861)=0,"⚠ Site not set up in Current Inventory",IF($A861&gt;AsOfDate,"Future date – not yet deducted","OK")))))))</f>
        <v/>
      </c>
    </row>
    <row r="862" customFormat="false" ht="15" hidden="false" customHeight="false" outlineLevel="0" collapsed="false">
      <c r="A862" s="65"/>
      <c r="B862" s="63"/>
      <c r="C862" s="70"/>
      <c r="D862" s="66"/>
      <c r="E862" s="16" t="str">
        <f aca="false">IF($C862="","",IFERROR(INDEX(Mix_Desc,MATCH($C862,Mix_Code,0)),"⚠ Unknown mix code"))</f>
        <v/>
      </c>
      <c r="F862" s="67" t="str">
        <f aca="false">IF(OR($C862="",$D862=""),"",IFERROR($D862*INDEX(Mix_Eff,MATCH($C862,Mix_Code,0),1),""))</f>
        <v/>
      </c>
      <c r="G862" s="67" t="str">
        <f aca="false">IF(OR($C862="",$D862=""),"",IFERROR($D862*INDEX(Mix_Eff,MATCH($C862,Mix_Code,0),2),""))</f>
        <v/>
      </c>
      <c r="H862" s="67" t="str">
        <f aca="false">IF(OR($C862="",$D862=""),"",IFERROR($D862*INDEX(Mix_Eff,MATCH($C862,Mix_Code,0),3),""))</f>
        <v/>
      </c>
      <c r="I862" s="67" t="str">
        <f aca="false">IF(OR($C862="",$D862=""),"",IFERROR($D862*INDEX(Mix_Eff,MATCH($C862,Mix_Code,0),4),""))</f>
        <v/>
      </c>
      <c r="J862" s="67" t="str">
        <f aca="false">IF(OR($C862="",$D862=""),"",IFERROR($D862*INDEX(Mix_Eff,MATCH($C862,Mix_Code,0),5),""))</f>
        <v/>
      </c>
      <c r="K862" s="63"/>
      <c r="L862" s="16" t="str">
        <f aca="false">IF(AND($A862="",$B862="",$C862="",$D862=""),"",IF($A862="","⚠ Date missing",IF($B862="","⚠ Site missing",IF(ISNA(MATCH($C862,Mix_Code,0)),"⚠ Unknown mix code",IF($D862="","⚠ Enter m3 produced",IF(COUNTIF(CI_Site,$B862)=0,"⚠ Site not set up in Current Inventory",IF($A862&gt;AsOfDate,"Future date – not yet deducted","OK")))))))</f>
        <v/>
      </c>
    </row>
    <row r="863" customFormat="false" ht="15" hidden="false" customHeight="false" outlineLevel="0" collapsed="false">
      <c r="A863" s="65"/>
      <c r="B863" s="63"/>
      <c r="C863" s="70"/>
      <c r="D863" s="66"/>
      <c r="E863" s="16" t="str">
        <f aca="false">IF($C863="","",IFERROR(INDEX(Mix_Desc,MATCH($C863,Mix_Code,0)),"⚠ Unknown mix code"))</f>
        <v/>
      </c>
      <c r="F863" s="67" t="str">
        <f aca="false">IF(OR($C863="",$D863=""),"",IFERROR($D863*INDEX(Mix_Eff,MATCH($C863,Mix_Code,0),1),""))</f>
        <v/>
      </c>
      <c r="G863" s="67" t="str">
        <f aca="false">IF(OR($C863="",$D863=""),"",IFERROR($D863*INDEX(Mix_Eff,MATCH($C863,Mix_Code,0),2),""))</f>
        <v/>
      </c>
      <c r="H863" s="67" t="str">
        <f aca="false">IF(OR($C863="",$D863=""),"",IFERROR($D863*INDEX(Mix_Eff,MATCH($C863,Mix_Code,0),3),""))</f>
        <v/>
      </c>
      <c r="I863" s="67" t="str">
        <f aca="false">IF(OR($C863="",$D863=""),"",IFERROR($D863*INDEX(Mix_Eff,MATCH($C863,Mix_Code,0),4),""))</f>
        <v/>
      </c>
      <c r="J863" s="67" t="str">
        <f aca="false">IF(OR($C863="",$D863=""),"",IFERROR($D863*INDEX(Mix_Eff,MATCH($C863,Mix_Code,0),5),""))</f>
        <v/>
      </c>
      <c r="K863" s="63"/>
      <c r="L863" s="16" t="str">
        <f aca="false">IF(AND($A863="",$B863="",$C863="",$D863=""),"",IF($A863="","⚠ Date missing",IF($B863="","⚠ Site missing",IF(ISNA(MATCH($C863,Mix_Code,0)),"⚠ Unknown mix code",IF($D863="","⚠ Enter m3 produced",IF(COUNTIF(CI_Site,$B863)=0,"⚠ Site not set up in Current Inventory",IF($A863&gt;AsOfDate,"Future date – not yet deducted","OK")))))))</f>
        <v/>
      </c>
    </row>
    <row r="864" customFormat="false" ht="15" hidden="false" customHeight="false" outlineLevel="0" collapsed="false">
      <c r="A864" s="65"/>
      <c r="B864" s="63"/>
      <c r="C864" s="70"/>
      <c r="D864" s="66"/>
      <c r="E864" s="16" t="str">
        <f aca="false">IF($C864="","",IFERROR(INDEX(Mix_Desc,MATCH($C864,Mix_Code,0)),"⚠ Unknown mix code"))</f>
        <v/>
      </c>
      <c r="F864" s="67" t="str">
        <f aca="false">IF(OR($C864="",$D864=""),"",IFERROR($D864*INDEX(Mix_Eff,MATCH($C864,Mix_Code,0),1),""))</f>
        <v/>
      </c>
      <c r="G864" s="67" t="str">
        <f aca="false">IF(OR($C864="",$D864=""),"",IFERROR($D864*INDEX(Mix_Eff,MATCH($C864,Mix_Code,0),2),""))</f>
        <v/>
      </c>
      <c r="H864" s="67" t="str">
        <f aca="false">IF(OR($C864="",$D864=""),"",IFERROR($D864*INDEX(Mix_Eff,MATCH($C864,Mix_Code,0),3),""))</f>
        <v/>
      </c>
      <c r="I864" s="67" t="str">
        <f aca="false">IF(OR($C864="",$D864=""),"",IFERROR($D864*INDEX(Mix_Eff,MATCH($C864,Mix_Code,0),4),""))</f>
        <v/>
      </c>
      <c r="J864" s="67" t="str">
        <f aca="false">IF(OR($C864="",$D864=""),"",IFERROR($D864*INDEX(Mix_Eff,MATCH($C864,Mix_Code,0),5),""))</f>
        <v/>
      </c>
      <c r="K864" s="63"/>
      <c r="L864" s="16" t="str">
        <f aca="false">IF(AND($A864="",$B864="",$C864="",$D864=""),"",IF($A864="","⚠ Date missing",IF($B864="","⚠ Site missing",IF(ISNA(MATCH($C864,Mix_Code,0)),"⚠ Unknown mix code",IF($D864="","⚠ Enter m3 produced",IF(COUNTIF(CI_Site,$B864)=0,"⚠ Site not set up in Current Inventory",IF($A864&gt;AsOfDate,"Future date – not yet deducted","OK")))))))</f>
        <v/>
      </c>
    </row>
    <row r="865" customFormat="false" ht="15" hidden="false" customHeight="false" outlineLevel="0" collapsed="false">
      <c r="A865" s="65"/>
      <c r="B865" s="63"/>
      <c r="C865" s="70"/>
      <c r="D865" s="66"/>
      <c r="E865" s="16" t="str">
        <f aca="false">IF($C865="","",IFERROR(INDEX(Mix_Desc,MATCH($C865,Mix_Code,0)),"⚠ Unknown mix code"))</f>
        <v/>
      </c>
      <c r="F865" s="67" t="str">
        <f aca="false">IF(OR($C865="",$D865=""),"",IFERROR($D865*INDEX(Mix_Eff,MATCH($C865,Mix_Code,0),1),""))</f>
        <v/>
      </c>
      <c r="G865" s="67" t="str">
        <f aca="false">IF(OR($C865="",$D865=""),"",IFERROR($D865*INDEX(Mix_Eff,MATCH($C865,Mix_Code,0),2),""))</f>
        <v/>
      </c>
      <c r="H865" s="67" t="str">
        <f aca="false">IF(OR($C865="",$D865=""),"",IFERROR($D865*INDEX(Mix_Eff,MATCH($C865,Mix_Code,0),3),""))</f>
        <v/>
      </c>
      <c r="I865" s="67" t="str">
        <f aca="false">IF(OR($C865="",$D865=""),"",IFERROR($D865*INDEX(Mix_Eff,MATCH($C865,Mix_Code,0),4),""))</f>
        <v/>
      </c>
      <c r="J865" s="67" t="str">
        <f aca="false">IF(OR($C865="",$D865=""),"",IFERROR($D865*INDEX(Mix_Eff,MATCH($C865,Mix_Code,0),5),""))</f>
        <v/>
      </c>
      <c r="K865" s="63"/>
      <c r="L865" s="16" t="str">
        <f aca="false">IF(AND($A865="",$B865="",$C865="",$D865=""),"",IF($A865="","⚠ Date missing",IF($B865="","⚠ Site missing",IF(ISNA(MATCH($C865,Mix_Code,0)),"⚠ Unknown mix code",IF($D865="","⚠ Enter m3 produced",IF(COUNTIF(CI_Site,$B865)=0,"⚠ Site not set up in Current Inventory",IF($A865&gt;AsOfDate,"Future date – not yet deducted","OK")))))))</f>
        <v/>
      </c>
    </row>
    <row r="866" customFormat="false" ht="15" hidden="false" customHeight="false" outlineLevel="0" collapsed="false">
      <c r="A866" s="65"/>
      <c r="B866" s="63"/>
      <c r="C866" s="70"/>
      <c r="D866" s="66"/>
      <c r="E866" s="16" t="str">
        <f aca="false">IF($C866="","",IFERROR(INDEX(Mix_Desc,MATCH($C866,Mix_Code,0)),"⚠ Unknown mix code"))</f>
        <v/>
      </c>
      <c r="F866" s="67" t="str">
        <f aca="false">IF(OR($C866="",$D866=""),"",IFERROR($D866*INDEX(Mix_Eff,MATCH($C866,Mix_Code,0),1),""))</f>
        <v/>
      </c>
      <c r="G866" s="67" t="str">
        <f aca="false">IF(OR($C866="",$D866=""),"",IFERROR($D866*INDEX(Mix_Eff,MATCH($C866,Mix_Code,0),2),""))</f>
        <v/>
      </c>
      <c r="H866" s="67" t="str">
        <f aca="false">IF(OR($C866="",$D866=""),"",IFERROR($D866*INDEX(Mix_Eff,MATCH($C866,Mix_Code,0),3),""))</f>
        <v/>
      </c>
      <c r="I866" s="67" t="str">
        <f aca="false">IF(OR($C866="",$D866=""),"",IFERROR($D866*INDEX(Mix_Eff,MATCH($C866,Mix_Code,0),4),""))</f>
        <v/>
      </c>
      <c r="J866" s="67" t="str">
        <f aca="false">IF(OR($C866="",$D866=""),"",IFERROR($D866*INDEX(Mix_Eff,MATCH($C866,Mix_Code,0),5),""))</f>
        <v/>
      </c>
      <c r="K866" s="63"/>
      <c r="L866" s="16" t="str">
        <f aca="false">IF(AND($A866="",$B866="",$C866="",$D866=""),"",IF($A866="","⚠ Date missing",IF($B866="","⚠ Site missing",IF(ISNA(MATCH($C866,Mix_Code,0)),"⚠ Unknown mix code",IF($D866="","⚠ Enter m3 produced",IF(COUNTIF(CI_Site,$B866)=0,"⚠ Site not set up in Current Inventory",IF($A866&gt;AsOfDate,"Future date – not yet deducted","OK")))))))</f>
        <v/>
      </c>
    </row>
    <row r="867" customFormat="false" ht="15" hidden="false" customHeight="false" outlineLevel="0" collapsed="false">
      <c r="A867" s="65"/>
      <c r="B867" s="63"/>
      <c r="C867" s="70"/>
      <c r="D867" s="66"/>
      <c r="E867" s="16" t="str">
        <f aca="false">IF($C867="","",IFERROR(INDEX(Mix_Desc,MATCH($C867,Mix_Code,0)),"⚠ Unknown mix code"))</f>
        <v/>
      </c>
      <c r="F867" s="67" t="str">
        <f aca="false">IF(OR($C867="",$D867=""),"",IFERROR($D867*INDEX(Mix_Eff,MATCH($C867,Mix_Code,0),1),""))</f>
        <v/>
      </c>
      <c r="G867" s="67" t="str">
        <f aca="false">IF(OR($C867="",$D867=""),"",IFERROR($D867*INDEX(Mix_Eff,MATCH($C867,Mix_Code,0),2),""))</f>
        <v/>
      </c>
      <c r="H867" s="67" t="str">
        <f aca="false">IF(OR($C867="",$D867=""),"",IFERROR($D867*INDEX(Mix_Eff,MATCH($C867,Mix_Code,0),3),""))</f>
        <v/>
      </c>
      <c r="I867" s="67" t="str">
        <f aca="false">IF(OR($C867="",$D867=""),"",IFERROR($D867*INDEX(Mix_Eff,MATCH($C867,Mix_Code,0),4),""))</f>
        <v/>
      </c>
      <c r="J867" s="67" t="str">
        <f aca="false">IF(OR($C867="",$D867=""),"",IFERROR($D867*INDEX(Mix_Eff,MATCH($C867,Mix_Code,0),5),""))</f>
        <v/>
      </c>
      <c r="K867" s="63"/>
      <c r="L867" s="16" t="str">
        <f aca="false">IF(AND($A867="",$B867="",$C867="",$D867=""),"",IF($A867="","⚠ Date missing",IF($B867="","⚠ Site missing",IF(ISNA(MATCH($C867,Mix_Code,0)),"⚠ Unknown mix code",IF($D867="","⚠ Enter m3 produced",IF(COUNTIF(CI_Site,$B867)=0,"⚠ Site not set up in Current Inventory",IF($A867&gt;AsOfDate,"Future date – not yet deducted","OK")))))))</f>
        <v/>
      </c>
    </row>
    <row r="868" customFormat="false" ht="15" hidden="false" customHeight="false" outlineLevel="0" collapsed="false">
      <c r="A868" s="65"/>
      <c r="B868" s="63"/>
      <c r="C868" s="70"/>
      <c r="D868" s="66"/>
      <c r="E868" s="16" t="str">
        <f aca="false">IF($C868="","",IFERROR(INDEX(Mix_Desc,MATCH($C868,Mix_Code,0)),"⚠ Unknown mix code"))</f>
        <v/>
      </c>
      <c r="F868" s="67" t="str">
        <f aca="false">IF(OR($C868="",$D868=""),"",IFERROR($D868*INDEX(Mix_Eff,MATCH($C868,Mix_Code,0),1),""))</f>
        <v/>
      </c>
      <c r="G868" s="67" t="str">
        <f aca="false">IF(OR($C868="",$D868=""),"",IFERROR($D868*INDEX(Mix_Eff,MATCH($C868,Mix_Code,0),2),""))</f>
        <v/>
      </c>
      <c r="H868" s="67" t="str">
        <f aca="false">IF(OR($C868="",$D868=""),"",IFERROR($D868*INDEX(Mix_Eff,MATCH($C868,Mix_Code,0),3),""))</f>
        <v/>
      </c>
      <c r="I868" s="67" t="str">
        <f aca="false">IF(OR($C868="",$D868=""),"",IFERROR($D868*INDEX(Mix_Eff,MATCH($C868,Mix_Code,0),4),""))</f>
        <v/>
      </c>
      <c r="J868" s="67" t="str">
        <f aca="false">IF(OR($C868="",$D868=""),"",IFERROR($D868*INDEX(Mix_Eff,MATCH($C868,Mix_Code,0),5),""))</f>
        <v/>
      </c>
      <c r="K868" s="63"/>
      <c r="L868" s="16" t="str">
        <f aca="false">IF(AND($A868="",$B868="",$C868="",$D868=""),"",IF($A868="","⚠ Date missing",IF($B868="","⚠ Site missing",IF(ISNA(MATCH($C868,Mix_Code,0)),"⚠ Unknown mix code",IF($D868="","⚠ Enter m3 produced",IF(COUNTIF(CI_Site,$B868)=0,"⚠ Site not set up in Current Inventory",IF($A868&gt;AsOfDate,"Future date – not yet deducted","OK")))))))</f>
        <v/>
      </c>
    </row>
    <row r="869" customFormat="false" ht="15" hidden="false" customHeight="false" outlineLevel="0" collapsed="false">
      <c r="A869" s="65"/>
      <c r="B869" s="63"/>
      <c r="C869" s="70"/>
      <c r="D869" s="66"/>
      <c r="E869" s="16" t="str">
        <f aca="false">IF($C869="","",IFERROR(INDEX(Mix_Desc,MATCH($C869,Mix_Code,0)),"⚠ Unknown mix code"))</f>
        <v/>
      </c>
      <c r="F869" s="67" t="str">
        <f aca="false">IF(OR($C869="",$D869=""),"",IFERROR($D869*INDEX(Mix_Eff,MATCH($C869,Mix_Code,0),1),""))</f>
        <v/>
      </c>
      <c r="G869" s="67" t="str">
        <f aca="false">IF(OR($C869="",$D869=""),"",IFERROR($D869*INDEX(Mix_Eff,MATCH($C869,Mix_Code,0),2),""))</f>
        <v/>
      </c>
      <c r="H869" s="67" t="str">
        <f aca="false">IF(OR($C869="",$D869=""),"",IFERROR($D869*INDEX(Mix_Eff,MATCH($C869,Mix_Code,0),3),""))</f>
        <v/>
      </c>
      <c r="I869" s="67" t="str">
        <f aca="false">IF(OR($C869="",$D869=""),"",IFERROR($D869*INDEX(Mix_Eff,MATCH($C869,Mix_Code,0),4),""))</f>
        <v/>
      </c>
      <c r="J869" s="67" t="str">
        <f aca="false">IF(OR($C869="",$D869=""),"",IFERROR($D869*INDEX(Mix_Eff,MATCH($C869,Mix_Code,0),5),""))</f>
        <v/>
      </c>
      <c r="K869" s="63"/>
      <c r="L869" s="16" t="str">
        <f aca="false">IF(AND($A869="",$B869="",$C869="",$D869=""),"",IF($A869="","⚠ Date missing",IF($B869="","⚠ Site missing",IF(ISNA(MATCH($C869,Mix_Code,0)),"⚠ Unknown mix code",IF($D869="","⚠ Enter m3 produced",IF(COUNTIF(CI_Site,$B869)=0,"⚠ Site not set up in Current Inventory",IF($A869&gt;AsOfDate,"Future date – not yet deducted","OK")))))))</f>
        <v/>
      </c>
    </row>
    <row r="870" customFormat="false" ht="15" hidden="false" customHeight="false" outlineLevel="0" collapsed="false">
      <c r="A870" s="65"/>
      <c r="B870" s="63"/>
      <c r="C870" s="70"/>
      <c r="D870" s="66"/>
      <c r="E870" s="16" t="str">
        <f aca="false">IF($C870="","",IFERROR(INDEX(Mix_Desc,MATCH($C870,Mix_Code,0)),"⚠ Unknown mix code"))</f>
        <v/>
      </c>
      <c r="F870" s="67" t="str">
        <f aca="false">IF(OR($C870="",$D870=""),"",IFERROR($D870*INDEX(Mix_Eff,MATCH($C870,Mix_Code,0),1),""))</f>
        <v/>
      </c>
      <c r="G870" s="67" t="str">
        <f aca="false">IF(OR($C870="",$D870=""),"",IFERROR($D870*INDEX(Mix_Eff,MATCH($C870,Mix_Code,0),2),""))</f>
        <v/>
      </c>
      <c r="H870" s="67" t="str">
        <f aca="false">IF(OR($C870="",$D870=""),"",IFERROR($D870*INDEX(Mix_Eff,MATCH($C870,Mix_Code,0),3),""))</f>
        <v/>
      </c>
      <c r="I870" s="67" t="str">
        <f aca="false">IF(OR($C870="",$D870=""),"",IFERROR($D870*INDEX(Mix_Eff,MATCH($C870,Mix_Code,0),4),""))</f>
        <v/>
      </c>
      <c r="J870" s="67" t="str">
        <f aca="false">IF(OR($C870="",$D870=""),"",IFERROR($D870*INDEX(Mix_Eff,MATCH($C870,Mix_Code,0),5),""))</f>
        <v/>
      </c>
      <c r="K870" s="63"/>
      <c r="L870" s="16" t="str">
        <f aca="false">IF(AND($A870="",$B870="",$C870="",$D870=""),"",IF($A870="","⚠ Date missing",IF($B870="","⚠ Site missing",IF(ISNA(MATCH($C870,Mix_Code,0)),"⚠ Unknown mix code",IF($D870="","⚠ Enter m3 produced",IF(COUNTIF(CI_Site,$B870)=0,"⚠ Site not set up in Current Inventory",IF($A870&gt;AsOfDate,"Future date – not yet deducted","OK")))))))</f>
        <v/>
      </c>
    </row>
    <row r="871" customFormat="false" ht="15" hidden="false" customHeight="false" outlineLevel="0" collapsed="false">
      <c r="A871" s="65"/>
      <c r="B871" s="63"/>
      <c r="C871" s="70"/>
      <c r="D871" s="66"/>
      <c r="E871" s="16" t="str">
        <f aca="false">IF($C871="","",IFERROR(INDEX(Mix_Desc,MATCH($C871,Mix_Code,0)),"⚠ Unknown mix code"))</f>
        <v/>
      </c>
      <c r="F871" s="67" t="str">
        <f aca="false">IF(OR($C871="",$D871=""),"",IFERROR($D871*INDEX(Mix_Eff,MATCH($C871,Mix_Code,0),1),""))</f>
        <v/>
      </c>
      <c r="G871" s="67" t="str">
        <f aca="false">IF(OR($C871="",$D871=""),"",IFERROR($D871*INDEX(Mix_Eff,MATCH($C871,Mix_Code,0),2),""))</f>
        <v/>
      </c>
      <c r="H871" s="67" t="str">
        <f aca="false">IF(OR($C871="",$D871=""),"",IFERROR($D871*INDEX(Mix_Eff,MATCH($C871,Mix_Code,0),3),""))</f>
        <v/>
      </c>
      <c r="I871" s="67" t="str">
        <f aca="false">IF(OR($C871="",$D871=""),"",IFERROR($D871*INDEX(Mix_Eff,MATCH($C871,Mix_Code,0),4),""))</f>
        <v/>
      </c>
      <c r="J871" s="67" t="str">
        <f aca="false">IF(OR($C871="",$D871=""),"",IFERROR($D871*INDEX(Mix_Eff,MATCH($C871,Mix_Code,0),5),""))</f>
        <v/>
      </c>
      <c r="K871" s="63"/>
      <c r="L871" s="16" t="str">
        <f aca="false">IF(AND($A871="",$B871="",$C871="",$D871=""),"",IF($A871="","⚠ Date missing",IF($B871="","⚠ Site missing",IF(ISNA(MATCH($C871,Mix_Code,0)),"⚠ Unknown mix code",IF($D871="","⚠ Enter m3 produced",IF(COUNTIF(CI_Site,$B871)=0,"⚠ Site not set up in Current Inventory",IF($A871&gt;AsOfDate,"Future date – not yet deducted","OK")))))))</f>
        <v/>
      </c>
    </row>
    <row r="872" customFormat="false" ht="15" hidden="false" customHeight="false" outlineLevel="0" collapsed="false">
      <c r="A872" s="65"/>
      <c r="B872" s="63"/>
      <c r="C872" s="70"/>
      <c r="D872" s="66"/>
      <c r="E872" s="16" t="str">
        <f aca="false">IF($C872="","",IFERROR(INDEX(Mix_Desc,MATCH($C872,Mix_Code,0)),"⚠ Unknown mix code"))</f>
        <v/>
      </c>
      <c r="F872" s="67" t="str">
        <f aca="false">IF(OR($C872="",$D872=""),"",IFERROR($D872*INDEX(Mix_Eff,MATCH($C872,Mix_Code,0),1),""))</f>
        <v/>
      </c>
      <c r="G872" s="67" t="str">
        <f aca="false">IF(OR($C872="",$D872=""),"",IFERROR($D872*INDEX(Mix_Eff,MATCH($C872,Mix_Code,0),2),""))</f>
        <v/>
      </c>
      <c r="H872" s="67" t="str">
        <f aca="false">IF(OR($C872="",$D872=""),"",IFERROR($D872*INDEX(Mix_Eff,MATCH($C872,Mix_Code,0),3),""))</f>
        <v/>
      </c>
      <c r="I872" s="67" t="str">
        <f aca="false">IF(OR($C872="",$D872=""),"",IFERROR($D872*INDEX(Mix_Eff,MATCH($C872,Mix_Code,0),4),""))</f>
        <v/>
      </c>
      <c r="J872" s="67" t="str">
        <f aca="false">IF(OR($C872="",$D872=""),"",IFERROR($D872*INDEX(Mix_Eff,MATCH($C872,Mix_Code,0),5),""))</f>
        <v/>
      </c>
      <c r="K872" s="63"/>
      <c r="L872" s="16" t="str">
        <f aca="false">IF(AND($A872="",$B872="",$C872="",$D872=""),"",IF($A872="","⚠ Date missing",IF($B872="","⚠ Site missing",IF(ISNA(MATCH($C872,Mix_Code,0)),"⚠ Unknown mix code",IF($D872="","⚠ Enter m3 produced",IF(COUNTIF(CI_Site,$B872)=0,"⚠ Site not set up in Current Inventory",IF($A872&gt;AsOfDate,"Future date – not yet deducted","OK")))))))</f>
        <v/>
      </c>
    </row>
    <row r="873" customFormat="false" ht="15" hidden="false" customHeight="false" outlineLevel="0" collapsed="false">
      <c r="A873" s="65"/>
      <c r="B873" s="63"/>
      <c r="C873" s="70"/>
      <c r="D873" s="66"/>
      <c r="E873" s="16" t="str">
        <f aca="false">IF($C873="","",IFERROR(INDEX(Mix_Desc,MATCH($C873,Mix_Code,0)),"⚠ Unknown mix code"))</f>
        <v/>
      </c>
      <c r="F873" s="67" t="str">
        <f aca="false">IF(OR($C873="",$D873=""),"",IFERROR($D873*INDEX(Mix_Eff,MATCH($C873,Mix_Code,0),1),""))</f>
        <v/>
      </c>
      <c r="G873" s="67" t="str">
        <f aca="false">IF(OR($C873="",$D873=""),"",IFERROR($D873*INDEX(Mix_Eff,MATCH($C873,Mix_Code,0),2),""))</f>
        <v/>
      </c>
      <c r="H873" s="67" t="str">
        <f aca="false">IF(OR($C873="",$D873=""),"",IFERROR($D873*INDEX(Mix_Eff,MATCH($C873,Mix_Code,0),3),""))</f>
        <v/>
      </c>
      <c r="I873" s="67" t="str">
        <f aca="false">IF(OR($C873="",$D873=""),"",IFERROR($D873*INDEX(Mix_Eff,MATCH($C873,Mix_Code,0),4),""))</f>
        <v/>
      </c>
      <c r="J873" s="67" t="str">
        <f aca="false">IF(OR($C873="",$D873=""),"",IFERROR($D873*INDEX(Mix_Eff,MATCH($C873,Mix_Code,0),5),""))</f>
        <v/>
      </c>
      <c r="K873" s="63"/>
      <c r="L873" s="16" t="str">
        <f aca="false">IF(AND($A873="",$B873="",$C873="",$D873=""),"",IF($A873="","⚠ Date missing",IF($B873="","⚠ Site missing",IF(ISNA(MATCH($C873,Mix_Code,0)),"⚠ Unknown mix code",IF($D873="","⚠ Enter m3 produced",IF(COUNTIF(CI_Site,$B873)=0,"⚠ Site not set up in Current Inventory",IF($A873&gt;AsOfDate,"Future date – not yet deducted","OK")))))))</f>
        <v/>
      </c>
    </row>
    <row r="874" customFormat="false" ht="15" hidden="false" customHeight="false" outlineLevel="0" collapsed="false">
      <c r="A874" s="65"/>
      <c r="B874" s="63"/>
      <c r="C874" s="70"/>
      <c r="D874" s="66"/>
      <c r="E874" s="16" t="str">
        <f aca="false">IF($C874="","",IFERROR(INDEX(Mix_Desc,MATCH($C874,Mix_Code,0)),"⚠ Unknown mix code"))</f>
        <v/>
      </c>
      <c r="F874" s="67" t="str">
        <f aca="false">IF(OR($C874="",$D874=""),"",IFERROR($D874*INDEX(Mix_Eff,MATCH($C874,Mix_Code,0),1),""))</f>
        <v/>
      </c>
      <c r="G874" s="67" t="str">
        <f aca="false">IF(OR($C874="",$D874=""),"",IFERROR($D874*INDEX(Mix_Eff,MATCH($C874,Mix_Code,0),2),""))</f>
        <v/>
      </c>
      <c r="H874" s="67" t="str">
        <f aca="false">IF(OR($C874="",$D874=""),"",IFERROR($D874*INDEX(Mix_Eff,MATCH($C874,Mix_Code,0),3),""))</f>
        <v/>
      </c>
      <c r="I874" s="67" t="str">
        <f aca="false">IF(OR($C874="",$D874=""),"",IFERROR($D874*INDEX(Mix_Eff,MATCH($C874,Mix_Code,0),4),""))</f>
        <v/>
      </c>
      <c r="J874" s="67" t="str">
        <f aca="false">IF(OR($C874="",$D874=""),"",IFERROR($D874*INDEX(Mix_Eff,MATCH($C874,Mix_Code,0),5),""))</f>
        <v/>
      </c>
      <c r="K874" s="63"/>
      <c r="L874" s="16" t="str">
        <f aca="false">IF(AND($A874="",$B874="",$C874="",$D874=""),"",IF($A874="","⚠ Date missing",IF($B874="","⚠ Site missing",IF(ISNA(MATCH($C874,Mix_Code,0)),"⚠ Unknown mix code",IF($D874="","⚠ Enter m3 produced",IF(COUNTIF(CI_Site,$B874)=0,"⚠ Site not set up in Current Inventory",IF($A874&gt;AsOfDate,"Future date – not yet deducted","OK")))))))</f>
        <v/>
      </c>
    </row>
    <row r="875" customFormat="false" ht="15" hidden="false" customHeight="false" outlineLevel="0" collapsed="false">
      <c r="A875" s="65"/>
      <c r="B875" s="63"/>
      <c r="C875" s="70"/>
      <c r="D875" s="66"/>
      <c r="E875" s="16" t="str">
        <f aca="false">IF($C875="","",IFERROR(INDEX(Mix_Desc,MATCH($C875,Mix_Code,0)),"⚠ Unknown mix code"))</f>
        <v/>
      </c>
      <c r="F875" s="67" t="str">
        <f aca="false">IF(OR($C875="",$D875=""),"",IFERROR($D875*INDEX(Mix_Eff,MATCH($C875,Mix_Code,0),1),""))</f>
        <v/>
      </c>
      <c r="G875" s="67" t="str">
        <f aca="false">IF(OR($C875="",$D875=""),"",IFERROR($D875*INDEX(Mix_Eff,MATCH($C875,Mix_Code,0),2),""))</f>
        <v/>
      </c>
      <c r="H875" s="67" t="str">
        <f aca="false">IF(OR($C875="",$D875=""),"",IFERROR($D875*INDEX(Mix_Eff,MATCH($C875,Mix_Code,0),3),""))</f>
        <v/>
      </c>
      <c r="I875" s="67" t="str">
        <f aca="false">IF(OR($C875="",$D875=""),"",IFERROR($D875*INDEX(Mix_Eff,MATCH($C875,Mix_Code,0),4),""))</f>
        <v/>
      </c>
      <c r="J875" s="67" t="str">
        <f aca="false">IF(OR($C875="",$D875=""),"",IFERROR($D875*INDEX(Mix_Eff,MATCH($C875,Mix_Code,0),5),""))</f>
        <v/>
      </c>
      <c r="K875" s="63"/>
      <c r="L875" s="16" t="str">
        <f aca="false">IF(AND($A875="",$B875="",$C875="",$D875=""),"",IF($A875="","⚠ Date missing",IF($B875="","⚠ Site missing",IF(ISNA(MATCH($C875,Mix_Code,0)),"⚠ Unknown mix code",IF($D875="","⚠ Enter m3 produced",IF(COUNTIF(CI_Site,$B875)=0,"⚠ Site not set up in Current Inventory",IF($A875&gt;AsOfDate,"Future date – not yet deducted","OK")))))))</f>
        <v/>
      </c>
    </row>
    <row r="876" customFormat="false" ht="15" hidden="false" customHeight="false" outlineLevel="0" collapsed="false">
      <c r="A876" s="65"/>
      <c r="B876" s="63"/>
      <c r="C876" s="70"/>
      <c r="D876" s="66"/>
      <c r="E876" s="16" t="str">
        <f aca="false">IF($C876="","",IFERROR(INDEX(Mix_Desc,MATCH($C876,Mix_Code,0)),"⚠ Unknown mix code"))</f>
        <v/>
      </c>
      <c r="F876" s="67" t="str">
        <f aca="false">IF(OR($C876="",$D876=""),"",IFERROR($D876*INDEX(Mix_Eff,MATCH($C876,Mix_Code,0),1),""))</f>
        <v/>
      </c>
      <c r="G876" s="67" t="str">
        <f aca="false">IF(OR($C876="",$D876=""),"",IFERROR($D876*INDEX(Mix_Eff,MATCH($C876,Mix_Code,0),2),""))</f>
        <v/>
      </c>
      <c r="H876" s="67" t="str">
        <f aca="false">IF(OR($C876="",$D876=""),"",IFERROR($D876*INDEX(Mix_Eff,MATCH($C876,Mix_Code,0),3),""))</f>
        <v/>
      </c>
      <c r="I876" s="67" t="str">
        <f aca="false">IF(OR($C876="",$D876=""),"",IFERROR($D876*INDEX(Mix_Eff,MATCH($C876,Mix_Code,0),4),""))</f>
        <v/>
      </c>
      <c r="J876" s="67" t="str">
        <f aca="false">IF(OR($C876="",$D876=""),"",IFERROR($D876*INDEX(Mix_Eff,MATCH($C876,Mix_Code,0),5),""))</f>
        <v/>
      </c>
      <c r="K876" s="63"/>
      <c r="L876" s="16" t="str">
        <f aca="false">IF(AND($A876="",$B876="",$C876="",$D876=""),"",IF($A876="","⚠ Date missing",IF($B876="","⚠ Site missing",IF(ISNA(MATCH($C876,Mix_Code,0)),"⚠ Unknown mix code",IF($D876="","⚠ Enter m3 produced",IF(COUNTIF(CI_Site,$B876)=0,"⚠ Site not set up in Current Inventory",IF($A876&gt;AsOfDate,"Future date – not yet deducted","OK")))))))</f>
        <v/>
      </c>
    </row>
    <row r="877" customFormat="false" ht="15" hidden="false" customHeight="false" outlineLevel="0" collapsed="false">
      <c r="A877" s="65"/>
      <c r="B877" s="63"/>
      <c r="C877" s="70"/>
      <c r="D877" s="66"/>
      <c r="E877" s="16" t="str">
        <f aca="false">IF($C877="","",IFERROR(INDEX(Mix_Desc,MATCH($C877,Mix_Code,0)),"⚠ Unknown mix code"))</f>
        <v/>
      </c>
      <c r="F877" s="67" t="str">
        <f aca="false">IF(OR($C877="",$D877=""),"",IFERROR($D877*INDEX(Mix_Eff,MATCH($C877,Mix_Code,0),1),""))</f>
        <v/>
      </c>
      <c r="G877" s="67" t="str">
        <f aca="false">IF(OR($C877="",$D877=""),"",IFERROR($D877*INDEX(Mix_Eff,MATCH($C877,Mix_Code,0),2),""))</f>
        <v/>
      </c>
      <c r="H877" s="67" t="str">
        <f aca="false">IF(OR($C877="",$D877=""),"",IFERROR($D877*INDEX(Mix_Eff,MATCH($C877,Mix_Code,0),3),""))</f>
        <v/>
      </c>
      <c r="I877" s="67" t="str">
        <f aca="false">IF(OR($C877="",$D877=""),"",IFERROR($D877*INDEX(Mix_Eff,MATCH($C877,Mix_Code,0),4),""))</f>
        <v/>
      </c>
      <c r="J877" s="67" t="str">
        <f aca="false">IF(OR($C877="",$D877=""),"",IFERROR($D877*INDEX(Mix_Eff,MATCH($C877,Mix_Code,0),5),""))</f>
        <v/>
      </c>
      <c r="K877" s="63"/>
      <c r="L877" s="16" t="str">
        <f aca="false">IF(AND($A877="",$B877="",$C877="",$D877=""),"",IF($A877="","⚠ Date missing",IF($B877="","⚠ Site missing",IF(ISNA(MATCH($C877,Mix_Code,0)),"⚠ Unknown mix code",IF($D877="","⚠ Enter m3 produced",IF(COUNTIF(CI_Site,$B877)=0,"⚠ Site not set up in Current Inventory",IF($A877&gt;AsOfDate,"Future date – not yet deducted","OK")))))))</f>
        <v/>
      </c>
    </row>
    <row r="878" customFormat="false" ht="15" hidden="false" customHeight="false" outlineLevel="0" collapsed="false">
      <c r="A878" s="65"/>
      <c r="B878" s="63"/>
      <c r="C878" s="70"/>
      <c r="D878" s="66"/>
      <c r="E878" s="16" t="str">
        <f aca="false">IF($C878="","",IFERROR(INDEX(Mix_Desc,MATCH($C878,Mix_Code,0)),"⚠ Unknown mix code"))</f>
        <v/>
      </c>
      <c r="F878" s="67" t="str">
        <f aca="false">IF(OR($C878="",$D878=""),"",IFERROR($D878*INDEX(Mix_Eff,MATCH($C878,Mix_Code,0),1),""))</f>
        <v/>
      </c>
      <c r="G878" s="67" t="str">
        <f aca="false">IF(OR($C878="",$D878=""),"",IFERROR($D878*INDEX(Mix_Eff,MATCH($C878,Mix_Code,0),2),""))</f>
        <v/>
      </c>
      <c r="H878" s="67" t="str">
        <f aca="false">IF(OR($C878="",$D878=""),"",IFERROR($D878*INDEX(Mix_Eff,MATCH($C878,Mix_Code,0),3),""))</f>
        <v/>
      </c>
      <c r="I878" s="67" t="str">
        <f aca="false">IF(OR($C878="",$D878=""),"",IFERROR($D878*INDEX(Mix_Eff,MATCH($C878,Mix_Code,0),4),""))</f>
        <v/>
      </c>
      <c r="J878" s="67" t="str">
        <f aca="false">IF(OR($C878="",$D878=""),"",IFERROR($D878*INDEX(Mix_Eff,MATCH($C878,Mix_Code,0),5),""))</f>
        <v/>
      </c>
      <c r="K878" s="63"/>
      <c r="L878" s="16" t="str">
        <f aca="false">IF(AND($A878="",$B878="",$C878="",$D878=""),"",IF($A878="","⚠ Date missing",IF($B878="","⚠ Site missing",IF(ISNA(MATCH($C878,Mix_Code,0)),"⚠ Unknown mix code",IF($D878="","⚠ Enter m3 produced",IF(COUNTIF(CI_Site,$B878)=0,"⚠ Site not set up in Current Inventory",IF($A878&gt;AsOfDate,"Future date – not yet deducted","OK")))))))</f>
        <v/>
      </c>
    </row>
    <row r="879" customFormat="false" ht="15" hidden="false" customHeight="false" outlineLevel="0" collapsed="false">
      <c r="A879" s="65"/>
      <c r="B879" s="63"/>
      <c r="C879" s="70"/>
      <c r="D879" s="66"/>
      <c r="E879" s="16" t="str">
        <f aca="false">IF($C879="","",IFERROR(INDEX(Mix_Desc,MATCH($C879,Mix_Code,0)),"⚠ Unknown mix code"))</f>
        <v/>
      </c>
      <c r="F879" s="67" t="str">
        <f aca="false">IF(OR($C879="",$D879=""),"",IFERROR($D879*INDEX(Mix_Eff,MATCH($C879,Mix_Code,0),1),""))</f>
        <v/>
      </c>
      <c r="G879" s="67" t="str">
        <f aca="false">IF(OR($C879="",$D879=""),"",IFERROR($D879*INDEX(Mix_Eff,MATCH($C879,Mix_Code,0),2),""))</f>
        <v/>
      </c>
      <c r="H879" s="67" t="str">
        <f aca="false">IF(OR($C879="",$D879=""),"",IFERROR($D879*INDEX(Mix_Eff,MATCH($C879,Mix_Code,0),3),""))</f>
        <v/>
      </c>
      <c r="I879" s="67" t="str">
        <f aca="false">IF(OR($C879="",$D879=""),"",IFERROR($D879*INDEX(Mix_Eff,MATCH($C879,Mix_Code,0),4),""))</f>
        <v/>
      </c>
      <c r="J879" s="67" t="str">
        <f aca="false">IF(OR($C879="",$D879=""),"",IFERROR($D879*INDEX(Mix_Eff,MATCH($C879,Mix_Code,0),5),""))</f>
        <v/>
      </c>
      <c r="K879" s="63"/>
      <c r="L879" s="16" t="str">
        <f aca="false">IF(AND($A879="",$B879="",$C879="",$D879=""),"",IF($A879="","⚠ Date missing",IF($B879="","⚠ Site missing",IF(ISNA(MATCH($C879,Mix_Code,0)),"⚠ Unknown mix code",IF($D879="","⚠ Enter m3 produced",IF(COUNTIF(CI_Site,$B879)=0,"⚠ Site not set up in Current Inventory",IF($A879&gt;AsOfDate,"Future date – not yet deducted","OK")))))))</f>
        <v/>
      </c>
    </row>
    <row r="880" customFormat="false" ht="15" hidden="false" customHeight="false" outlineLevel="0" collapsed="false">
      <c r="A880" s="65"/>
      <c r="B880" s="63"/>
      <c r="C880" s="70"/>
      <c r="D880" s="66"/>
      <c r="E880" s="16" t="str">
        <f aca="false">IF($C880="","",IFERROR(INDEX(Mix_Desc,MATCH($C880,Mix_Code,0)),"⚠ Unknown mix code"))</f>
        <v/>
      </c>
      <c r="F880" s="67" t="str">
        <f aca="false">IF(OR($C880="",$D880=""),"",IFERROR($D880*INDEX(Mix_Eff,MATCH($C880,Mix_Code,0),1),""))</f>
        <v/>
      </c>
      <c r="G880" s="67" t="str">
        <f aca="false">IF(OR($C880="",$D880=""),"",IFERROR($D880*INDEX(Mix_Eff,MATCH($C880,Mix_Code,0),2),""))</f>
        <v/>
      </c>
      <c r="H880" s="67" t="str">
        <f aca="false">IF(OR($C880="",$D880=""),"",IFERROR($D880*INDEX(Mix_Eff,MATCH($C880,Mix_Code,0),3),""))</f>
        <v/>
      </c>
      <c r="I880" s="67" t="str">
        <f aca="false">IF(OR($C880="",$D880=""),"",IFERROR($D880*INDEX(Mix_Eff,MATCH($C880,Mix_Code,0),4),""))</f>
        <v/>
      </c>
      <c r="J880" s="67" t="str">
        <f aca="false">IF(OR($C880="",$D880=""),"",IFERROR($D880*INDEX(Mix_Eff,MATCH($C880,Mix_Code,0),5),""))</f>
        <v/>
      </c>
      <c r="K880" s="63"/>
      <c r="L880" s="16" t="str">
        <f aca="false">IF(AND($A880="",$B880="",$C880="",$D880=""),"",IF($A880="","⚠ Date missing",IF($B880="","⚠ Site missing",IF(ISNA(MATCH($C880,Mix_Code,0)),"⚠ Unknown mix code",IF($D880="","⚠ Enter m3 produced",IF(COUNTIF(CI_Site,$B880)=0,"⚠ Site not set up in Current Inventory",IF($A880&gt;AsOfDate,"Future date – not yet deducted","OK")))))))</f>
        <v/>
      </c>
    </row>
    <row r="881" customFormat="false" ht="15" hidden="false" customHeight="false" outlineLevel="0" collapsed="false">
      <c r="A881" s="65"/>
      <c r="B881" s="63"/>
      <c r="C881" s="70"/>
      <c r="D881" s="66"/>
      <c r="E881" s="16" t="str">
        <f aca="false">IF($C881="","",IFERROR(INDEX(Mix_Desc,MATCH($C881,Mix_Code,0)),"⚠ Unknown mix code"))</f>
        <v/>
      </c>
      <c r="F881" s="67" t="str">
        <f aca="false">IF(OR($C881="",$D881=""),"",IFERROR($D881*INDEX(Mix_Eff,MATCH($C881,Mix_Code,0),1),""))</f>
        <v/>
      </c>
      <c r="G881" s="67" t="str">
        <f aca="false">IF(OR($C881="",$D881=""),"",IFERROR($D881*INDEX(Mix_Eff,MATCH($C881,Mix_Code,0),2),""))</f>
        <v/>
      </c>
      <c r="H881" s="67" t="str">
        <f aca="false">IF(OR($C881="",$D881=""),"",IFERROR($D881*INDEX(Mix_Eff,MATCH($C881,Mix_Code,0),3),""))</f>
        <v/>
      </c>
      <c r="I881" s="67" t="str">
        <f aca="false">IF(OR($C881="",$D881=""),"",IFERROR($D881*INDEX(Mix_Eff,MATCH($C881,Mix_Code,0),4),""))</f>
        <v/>
      </c>
      <c r="J881" s="67" t="str">
        <f aca="false">IF(OR($C881="",$D881=""),"",IFERROR($D881*INDEX(Mix_Eff,MATCH($C881,Mix_Code,0),5),""))</f>
        <v/>
      </c>
      <c r="K881" s="63"/>
      <c r="L881" s="16" t="str">
        <f aca="false">IF(AND($A881="",$B881="",$C881="",$D881=""),"",IF($A881="","⚠ Date missing",IF($B881="","⚠ Site missing",IF(ISNA(MATCH($C881,Mix_Code,0)),"⚠ Unknown mix code",IF($D881="","⚠ Enter m3 produced",IF(COUNTIF(CI_Site,$B881)=0,"⚠ Site not set up in Current Inventory",IF($A881&gt;AsOfDate,"Future date – not yet deducted","OK")))))))</f>
        <v/>
      </c>
    </row>
    <row r="882" customFormat="false" ht="15" hidden="false" customHeight="false" outlineLevel="0" collapsed="false">
      <c r="A882" s="65"/>
      <c r="B882" s="63"/>
      <c r="C882" s="70"/>
      <c r="D882" s="66"/>
      <c r="E882" s="16" t="str">
        <f aca="false">IF($C882="","",IFERROR(INDEX(Mix_Desc,MATCH($C882,Mix_Code,0)),"⚠ Unknown mix code"))</f>
        <v/>
      </c>
      <c r="F882" s="67" t="str">
        <f aca="false">IF(OR($C882="",$D882=""),"",IFERROR($D882*INDEX(Mix_Eff,MATCH($C882,Mix_Code,0),1),""))</f>
        <v/>
      </c>
      <c r="G882" s="67" t="str">
        <f aca="false">IF(OR($C882="",$D882=""),"",IFERROR($D882*INDEX(Mix_Eff,MATCH($C882,Mix_Code,0),2),""))</f>
        <v/>
      </c>
      <c r="H882" s="67" t="str">
        <f aca="false">IF(OR($C882="",$D882=""),"",IFERROR($D882*INDEX(Mix_Eff,MATCH($C882,Mix_Code,0),3),""))</f>
        <v/>
      </c>
      <c r="I882" s="67" t="str">
        <f aca="false">IF(OR($C882="",$D882=""),"",IFERROR($D882*INDEX(Mix_Eff,MATCH($C882,Mix_Code,0),4),""))</f>
        <v/>
      </c>
      <c r="J882" s="67" t="str">
        <f aca="false">IF(OR($C882="",$D882=""),"",IFERROR($D882*INDEX(Mix_Eff,MATCH($C882,Mix_Code,0),5),""))</f>
        <v/>
      </c>
      <c r="K882" s="63"/>
      <c r="L882" s="16" t="str">
        <f aca="false">IF(AND($A882="",$B882="",$C882="",$D882=""),"",IF($A882="","⚠ Date missing",IF($B882="","⚠ Site missing",IF(ISNA(MATCH($C882,Mix_Code,0)),"⚠ Unknown mix code",IF($D882="","⚠ Enter m3 produced",IF(COUNTIF(CI_Site,$B882)=0,"⚠ Site not set up in Current Inventory",IF($A882&gt;AsOfDate,"Future date – not yet deducted","OK")))))))</f>
        <v/>
      </c>
    </row>
    <row r="883" customFormat="false" ht="15" hidden="false" customHeight="false" outlineLevel="0" collapsed="false">
      <c r="A883" s="65"/>
      <c r="B883" s="63"/>
      <c r="C883" s="70"/>
      <c r="D883" s="66"/>
      <c r="E883" s="16" t="str">
        <f aca="false">IF($C883="","",IFERROR(INDEX(Mix_Desc,MATCH($C883,Mix_Code,0)),"⚠ Unknown mix code"))</f>
        <v/>
      </c>
      <c r="F883" s="67" t="str">
        <f aca="false">IF(OR($C883="",$D883=""),"",IFERROR($D883*INDEX(Mix_Eff,MATCH($C883,Mix_Code,0),1),""))</f>
        <v/>
      </c>
      <c r="G883" s="67" t="str">
        <f aca="false">IF(OR($C883="",$D883=""),"",IFERROR($D883*INDEX(Mix_Eff,MATCH($C883,Mix_Code,0),2),""))</f>
        <v/>
      </c>
      <c r="H883" s="67" t="str">
        <f aca="false">IF(OR($C883="",$D883=""),"",IFERROR($D883*INDEX(Mix_Eff,MATCH($C883,Mix_Code,0),3),""))</f>
        <v/>
      </c>
      <c r="I883" s="67" t="str">
        <f aca="false">IF(OR($C883="",$D883=""),"",IFERROR($D883*INDEX(Mix_Eff,MATCH($C883,Mix_Code,0),4),""))</f>
        <v/>
      </c>
      <c r="J883" s="67" t="str">
        <f aca="false">IF(OR($C883="",$D883=""),"",IFERROR($D883*INDEX(Mix_Eff,MATCH($C883,Mix_Code,0),5),""))</f>
        <v/>
      </c>
      <c r="K883" s="63"/>
      <c r="L883" s="16" t="str">
        <f aca="false">IF(AND($A883="",$B883="",$C883="",$D883=""),"",IF($A883="","⚠ Date missing",IF($B883="","⚠ Site missing",IF(ISNA(MATCH($C883,Mix_Code,0)),"⚠ Unknown mix code",IF($D883="","⚠ Enter m3 produced",IF(COUNTIF(CI_Site,$B883)=0,"⚠ Site not set up in Current Inventory",IF($A883&gt;AsOfDate,"Future date – not yet deducted","OK")))))))</f>
        <v/>
      </c>
    </row>
    <row r="884" customFormat="false" ht="15" hidden="false" customHeight="false" outlineLevel="0" collapsed="false">
      <c r="A884" s="65"/>
      <c r="B884" s="63"/>
      <c r="C884" s="70"/>
      <c r="D884" s="66"/>
      <c r="E884" s="16" t="str">
        <f aca="false">IF($C884="","",IFERROR(INDEX(Mix_Desc,MATCH($C884,Mix_Code,0)),"⚠ Unknown mix code"))</f>
        <v/>
      </c>
      <c r="F884" s="67" t="str">
        <f aca="false">IF(OR($C884="",$D884=""),"",IFERROR($D884*INDEX(Mix_Eff,MATCH($C884,Mix_Code,0),1),""))</f>
        <v/>
      </c>
      <c r="G884" s="67" t="str">
        <f aca="false">IF(OR($C884="",$D884=""),"",IFERROR($D884*INDEX(Mix_Eff,MATCH($C884,Mix_Code,0),2),""))</f>
        <v/>
      </c>
      <c r="H884" s="67" t="str">
        <f aca="false">IF(OR($C884="",$D884=""),"",IFERROR($D884*INDEX(Mix_Eff,MATCH($C884,Mix_Code,0),3),""))</f>
        <v/>
      </c>
      <c r="I884" s="67" t="str">
        <f aca="false">IF(OR($C884="",$D884=""),"",IFERROR($D884*INDEX(Mix_Eff,MATCH($C884,Mix_Code,0),4),""))</f>
        <v/>
      </c>
      <c r="J884" s="67" t="str">
        <f aca="false">IF(OR($C884="",$D884=""),"",IFERROR($D884*INDEX(Mix_Eff,MATCH($C884,Mix_Code,0),5),""))</f>
        <v/>
      </c>
      <c r="K884" s="63"/>
      <c r="L884" s="16" t="str">
        <f aca="false">IF(AND($A884="",$B884="",$C884="",$D884=""),"",IF($A884="","⚠ Date missing",IF($B884="","⚠ Site missing",IF(ISNA(MATCH($C884,Mix_Code,0)),"⚠ Unknown mix code",IF($D884="","⚠ Enter m3 produced",IF(COUNTIF(CI_Site,$B884)=0,"⚠ Site not set up in Current Inventory",IF($A884&gt;AsOfDate,"Future date – not yet deducted","OK")))))))</f>
        <v/>
      </c>
    </row>
    <row r="885" customFormat="false" ht="15" hidden="false" customHeight="false" outlineLevel="0" collapsed="false">
      <c r="A885" s="65"/>
      <c r="B885" s="63"/>
      <c r="C885" s="70"/>
      <c r="D885" s="66"/>
      <c r="E885" s="16" t="str">
        <f aca="false">IF($C885="","",IFERROR(INDEX(Mix_Desc,MATCH($C885,Mix_Code,0)),"⚠ Unknown mix code"))</f>
        <v/>
      </c>
      <c r="F885" s="67" t="str">
        <f aca="false">IF(OR($C885="",$D885=""),"",IFERROR($D885*INDEX(Mix_Eff,MATCH($C885,Mix_Code,0),1),""))</f>
        <v/>
      </c>
      <c r="G885" s="67" t="str">
        <f aca="false">IF(OR($C885="",$D885=""),"",IFERROR($D885*INDEX(Mix_Eff,MATCH($C885,Mix_Code,0),2),""))</f>
        <v/>
      </c>
      <c r="H885" s="67" t="str">
        <f aca="false">IF(OR($C885="",$D885=""),"",IFERROR($D885*INDEX(Mix_Eff,MATCH($C885,Mix_Code,0),3),""))</f>
        <v/>
      </c>
      <c r="I885" s="67" t="str">
        <f aca="false">IF(OR($C885="",$D885=""),"",IFERROR($D885*INDEX(Mix_Eff,MATCH($C885,Mix_Code,0),4),""))</f>
        <v/>
      </c>
      <c r="J885" s="67" t="str">
        <f aca="false">IF(OR($C885="",$D885=""),"",IFERROR($D885*INDEX(Mix_Eff,MATCH($C885,Mix_Code,0),5),""))</f>
        <v/>
      </c>
      <c r="K885" s="63"/>
      <c r="L885" s="16" t="str">
        <f aca="false">IF(AND($A885="",$B885="",$C885="",$D885=""),"",IF($A885="","⚠ Date missing",IF($B885="","⚠ Site missing",IF(ISNA(MATCH($C885,Mix_Code,0)),"⚠ Unknown mix code",IF($D885="","⚠ Enter m3 produced",IF(COUNTIF(CI_Site,$B885)=0,"⚠ Site not set up in Current Inventory",IF($A885&gt;AsOfDate,"Future date – not yet deducted","OK")))))))</f>
        <v/>
      </c>
    </row>
    <row r="886" customFormat="false" ht="15" hidden="false" customHeight="false" outlineLevel="0" collapsed="false">
      <c r="A886" s="65"/>
      <c r="B886" s="63"/>
      <c r="C886" s="70"/>
      <c r="D886" s="66"/>
      <c r="E886" s="16" t="str">
        <f aca="false">IF($C886="","",IFERROR(INDEX(Mix_Desc,MATCH($C886,Mix_Code,0)),"⚠ Unknown mix code"))</f>
        <v/>
      </c>
      <c r="F886" s="67" t="str">
        <f aca="false">IF(OR($C886="",$D886=""),"",IFERROR($D886*INDEX(Mix_Eff,MATCH($C886,Mix_Code,0),1),""))</f>
        <v/>
      </c>
      <c r="G886" s="67" t="str">
        <f aca="false">IF(OR($C886="",$D886=""),"",IFERROR($D886*INDEX(Mix_Eff,MATCH($C886,Mix_Code,0),2),""))</f>
        <v/>
      </c>
      <c r="H886" s="67" t="str">
        <f aca="false">IF(OR($C886="",$D886=""),"",IFERROR($D886*INDEX(Mix_Eff,MATCH($C886,Mix_Code,0),3),""))</f>
        <v/>
      </c>
      <c r="I886" s="67" t="str">
        <f aca="false">IF(OR($C886="",$D886=""),"",IFERROR($D886*INDEX(Mix_Eff,MATCH($C886,Mix_Code,0),4),""))</f>
        <v/>
      </c>
      <c r="J886" s="67" t="str">
        <f aca="false">IF(OR($C886="",$D886=""),"",IFERROR($D886*INDEX(Mix_Eff,MATCH($C886,Mix_Code,0),5),""))</f>
        <v/>
      </c>
      <c r="K886" s="63"/>
      <c r="L886" s="16" t="str">
        <f aca="false">IF(AND($A886="",$B886="",$C886="",$D886=""),"",IF($A886="","⚠ Date missing",IF($B886="","⚠ Site missing",IF(ISNA(MATCH($C886,Mix_Code,0)),"⚠ Unknown mix code",IF($D886="","⚠ Enter m3 produced",IF(COUNTIF(CI_Site,$B886)=0,"⚠ Site not set up in Current Inventory",IF($A886&gt;AsOfDate,"Future date – not yet deducted","OK")))))))</f>
        <v/>
      </c>
    </row>
    <row r="887" customFormat="false" ht="15" hidden="false" customHeight="false" outlineLevel="0" collapsed="false">
      <c r="A887" s="65"/>
      <c r="B887" s="63"/>
      <c r="C887" s="70"/>
      <c r="D887" s="66"/>
      <c r="E887" s="16" t="str">
        <f aca="false">IF($C887="","",IFERROR(INDEX(Mix_Desc,MATCH($C887,Mix_Code,0)),"⚠ Unknown mix code"))</f>
        <v/>
      </c>
      <c r="F887" s="67" t="str">
        <f aca="false">IF(OR($C887="",$D887=""),"",IFERROR($D887*INDEX(Mix_Eff,MATCH($C887,Mix_Code,0),1),""))</f>
        <v/>
      </c>
      <c r="G887" s="67" t="str">
        <f aca="false">IF(OR($C887="",$D887=""),"",IFERROR($D887*INDEX(Mix_Eff,MATCH($C887,Mix_Code,0),2),""))</f>
        <v/>
      </c>
      <c r="H887" s="67" t="str">
        <f aca="false">IF(OR($C887="",$D887=""),"",IFERROR($D887*INDEX(Mix_Eff,MATCH($C887,Mix_Code,0),3),""))</f>
        <v/>
      </c>
      <c r="I887" s="67" t="str">
        <f aca="false">IF(OR($C887="",$D887=""),"",IFERROR($D887*INDEX(Mix_Eff,MATCH($C887,Mix_Code,0),4),""))</f>
        <v/>
      </c>
      <c r="J887" s="67" t="str">
        <f aca="false">IF(OR($C887="",$D887=""),"",IFERROR($D887*INDEX(Mix_Eff,MATCH($C887,Mix_Code,0),5),""))</f>
        <v/>
      </c>
      <c r="K887" s="63"/>
      <c r="L887" s="16" t="str">
        <f aca="false">IF(AND($A887="",$B887="",$C887="",$D887=""),"",IF($A887="","⚠ Date missing",IF($B887="","⚠ Site missing",IF(ISNA(MATCH($C887,Mix_Code,0)),"⚠ Unknown mix code",IF($D887="","⚠ Enter m3 produced",IF(COUNTIF(CI_Site,$B887)=0,"⚠ Site not set up in Current Inventory",IF($A887&gt;AsOfDate,"Future date – not yet deducted","OK")))))))</f>
        <v/>
      </c>
    </row>
    <row r="888" customFormat="false" ht="15" hidden="false" customHeight="false" outlineLevel="0" collapsed="false">
      <c r="A888" s="65"/>
      <c r="B888" s="63"/>
      <c r="C888" s="70"/>
      <c r="D888" s="66"/>
      <c r="E888" s="16" t="str">
        <f aca="false">IF($C888="","",IFERROR(INDEX(Mix_Desc,MATCH($C888,Mix_Code,0)),"⚠ Unknown mix code"))</f>
        <v/>
      </c>
      <c r="F888" s="67" t="str">
        <f aca="false">IF(OR($C888="",$D888=""),"",IFERROR($D888*INDEX(Mix_Eff,MATCH($C888,Mix_Code,0),1),""))</f>
        <v/>
      </c>
      <c r="G888" s="67" t="str">
        <f aca="false">IF(OR($C888="",$D888=""),"",IFERROR($D888*INDEX(Mix_Eff,MATCH($C888,Mix_Code,0),2),""))</f>
        <v/>
      </c>
      <c r="H888" s="67" t="str">
        <f aca="false">IF(OR($C888="",$D888=""),"",IFERROR($D888*INDEX(Mix_Eff,MATCH($C888,Mix_Code,0),3),""))</f>
        <v/>
      </c>
      <c r="I888" s="67" t="str">
        <f aca="false">IF(OR($C888="",$D888=""),"",IFERROR($D888*INDEX(Mix_Eff,MATCH($C888,Mix_Code,0),4),""))</f>
        <v/>
      </c>
      <c r="J888" s="67" t="str">
        <f aca="false">IF(OR($C888="",$D888=""),"",IFERROR($D888*INDEX(Mix_Eff,MATCH($C888,Mix_Code,0),5),""))</f>
        <v/>
      </c>
      <c r="K888" s="63"/>
      <c r="L888" s="16" t="str">
        <f aca="false">IF(AND($A888="",$B888="",$C888="",$D888=""),"",IF($A888="","⚠ Date missing",IF($B888="","⚠ Site missing",IF(ISNA(MATCH($C888,Mix_Code,0)),"⚠ Unknown mix code",IF($D888="","⚠ Enter m3 produced",IF(COUNTIF(CI_Site,$B888)=0,"⚠ Site not set up in Current Inventory",IF($A888&gt;AsOfDate,"Future date – not yet deducted","OK")))))))</f>
        <v/>
      </c>
    </row>
    <row r="889" customFormat="false" ht="15" hidden="false" customHeight="false" outlineLevel="0" collapsed="false">
      <c r="A889" s="65"/>
      <c r="B889" s="63"/>
      <c r="C889" s="70"/>
      <c r="D889" s="66"/>
      <c r="E889" s="16" t="str">
        <f aca="false">IF($C889="","",IFERROR(INDEX(Mix_Desc,MATCH($C889,Mix_Code,0)),"⚠ Unknown mix code"))</f>
        <v/>
      </c>
      <c r="F889" s="67" t="str">
        <f aca="false">IF(OR($C889="",$D889=""),"",IFERROR($D889*INDEX(Mix_Eff,MATCH($C889,Mix_Code,0),1),""))</f>
        <v/>
      </c>
      <c r="G889" s="67" t="str">
        <f aca="false">IF(OR($C889="",$D889=""),"",IFERROR($D889*INDEX(Mix_Eff,MATCH($C889,Mix_Code,0),2),""))</f>
        <v/>
      </c>
      <c r="H889" s="67" t="str">
        <f aca="false">IF(OR($C889="",$D889=""),"",IFERROR($D889*INDEX(Mix_Eff,MATCH($C889,Mix_Code,0),3),""))</f>
        <v/>
      </c>
      <c r="I889" s="67" t="str">
        <f aca="false">IF(OR($C889="",$D889=""),"",IFERROR($D889*INDEX(Mix_Eff,MATCH($C889,Mix_Code,0),4),""))</f>
        <v/>
      </c>
      <c r="J889" s="67" t="str">
        <f aca="false">IF(OR($C889="",$D889=""),"",IFERROR($D889*INDEX(Mix_Eff,MATCH($C889,Mix_Code,0),5),""))</f>
        <v/>
      </c>
      <c r="K889" s="63"/>
      <c r="L889" s="16" t="str">
        <f aca="false">IF(AND($A889="",$B889="",$C889="",$D889=""),"",IF($A889="","⚠ Date missing",IF($B889="","⚠ Site missing",IF(ISNA(MATCH($C889,Mix_Code,0)),"⚠ Unknown mix code",IF($D889="","⚠ Enter m3 produced",IF(COUNTIF(CI_Site,$B889)=0,"⚠ Site not set up in Current Inventory",IF($A889&gt;AsOfDate,"Future date – not yet deducted","OK")))))))</f>
        <v/>
      </c>
    </row>
    <row r="890" customFormat="false" ht="15" hidden="false" customHeight="false" outlineLevel="0" collapsed="false">
      <c r="A890" s="65"/>
      <c r="B890" s="63"/>
      <c r="C890" s="70"/>
      <c r="D890" s="66"/>
      <c r="E890" s="16" t="str">
        <f aca="false">IF($C890="","",IFERROR(INDEX(Mix_Desc,MATCH($C890,Mix_Code,0)),"⚠ Unknown mix code"))</f>
        <v/>
      </c>
      <c r="F890" s="67" t="str">
        <f aca="false">IF(OR($C890="",$D890=""),"",IFERROR($D890*INDEX(Mix_Eff,MATCH($C890,Mix_Code,0),1),""))</f>
        <v/>
      </c>
      <c r="G890" s="67" t="str">
        <f aca="false">IF(OR($C890="",$D890=""),"",IFERROR($D890*INDEX(Mix_Eff,MATCH($C890,Mix_Code,0),2),""))</f>
        <v/>
      </c>
      <c r="H890" s="67" t="str">
        <f aca="false">IF(OR($C890="",$D890=""),"",IFERROR($D890*INDEX(Mix_Eff,MATCH($C890,Mix_Code,0),3),""))</f>
        <v/>
      </c>
      <c r="I890" s="67" t="str">
        <f aca="false">IF(OR($C890="",$D890=""),"",IFERROR($D890*INDEX(Mix_Eff,MATCH($C890,Mix_Code,0),4),""))</f>
        <v/>
      </c>
      <c r="J890" s="67" t="str">
        <f aca="false">IF(OR($C890="",$D890=""),"",IFERROR($D890*INDEX(Mix_Eff,MATCH($C890,Mix_Code,0),5),""))</f>
        <v/>
      </c>
      <c r="K890" s="63"/>
      <c r="L890" s="16" t="str">
        <f aca="false">IF(AND($A890="",$B890="",$C890="",$D890=""),"",IF($A890="","⚠ Date missing",IF($B890="","⚠ Site missing",IF(ISNA(MATCH($C890,Mix_Code,0)),"⚠ Unknown mix code",IF($D890="","⚠ Enter m3 produced",IF(COUNTIF(CI_Site,$B890)=0,"⚠ Site not set up in Current Inventory",IF($A890&gt;AsOfDate,"Future date – not yet deducted","OK")))))))</f>
        <v/>
      </c>
    </row>
    <row r="891" customFormat="false" ht="15" hidden="false" customHeight="false" outlineLevel="0" collapsed="false">
      <c r="A891" s="65"/>
      <c r="B891" s="63"/>
      <c r="C891" s="70"/>
      <c r="D891" s="66"/>
      <c r="E891" s="16" t="str">
        <f aca="false">IF($C891="","",IFERROR(INDEX(Mix_Desc,MATCH($C891,Mix_Code,0)),"⚠ Unknown mix code"))</f>
        <v/>
      </c>
      <c r="F891" s="67" t="str">
        <f aca="false">IF(OR($C891="",$D891=""),"",IFERROR($D891*INDEX(Mix_Eff,MATCH($C891,Mix_Code,0),1),""))</f>
        <v/>
      </c>
      <c r="G891" s="67" t="str">
        <f aca="false">IF(OR($C891="",$D891=""),"",IFERROR($D891*INDEX(Mix_Eff,MATCH($C891,Mix_Code,0),2),""))</f>
        <v/>
      </c>
      <c r="H891" s="67" t="str">
        <f aca="false">IF(OR($C891="",$D891=""),"",IFERROR($D891*INDEX(Mix_Eff,MATCH($C891,Mix_Code,0),3),""))</f>
        <v/>
      </c>
      <c r="I891" s="67" t="str">
        <f aca="false">IF(OR($C891="",$D891=""),"",IFERROR($D891*INDEX(Mix_Eff,MATCH($C891,Mix_Code,0),4),""))</f>
        <v/>
      </c>
      <c r="J891" s="67" t="str">
        <f aca="false">IF(OR($C891="",$D891=""),"",IFERROR($D891*INDEX(Mix_Eff,MATCH($C891,Mix_Code,0),5),""))</f>
        <v/>
      </c>
      <c r="K891" s="63"/>
      <c r="L891" s="16" t="str">
        <f aca="false">IF(AND($A891="",$B891="",$C891="",$D891=""),"",IF($A891="","⚠ Date missing",IF($B891="","⚠ Site missing",IF(ISNA(MATCH($C891,Mix_Code,0)),"⚠ Unknown mix code",IF($D891="","⚠ Enter m3 produced",IF(COUNTIF(CI_Site,$B891)=0,"⚠ Site not set up in Current Inventory",IF($A891&gt;AsOfDate,"Future date – not yet deducted","OK")))))))</f>
        <v/>
      </c>
    </row>
    <row r="892" customFormat="false" ht="15" hidden="false" customHeight="false" outlineLevel="0" collapsed="false">
      <c r="A892" s="65"/>
      <c r="B892" s="63"/>
      <c r="C892" s="70"/>
      <c r="D892" s="66"/>
      <c r="E892" s="16" t="str">
        <f aca="false">IF($C892="","",IFERROR(INDEX(Mix_Desc,MATCH($C892,Mix_Code,0)),"⚠ Unknown mix code"))</f>
        <v/>
      </c>
      <c r="F892" s="67" t="str">
        <f aca="false">IF(OR($C892="",$D892=""),"",IFERROR($D892*INDEX(Mix_Eff,MATCH($C892,Mix_Code,0),1),""))</f>
        <v/>
      </c>
      <c r="G892" s="67" t="str">
        <f aca="false">IF(OR($C892="",$D892=""),"",IFERROR($D892*INDEX(Mix_Eff,MATCH($C892,Mix_Code,0),2),""))</f>
        <v/>
      </c>
      <c r="H892" s="67" t="str">
        <f aca="false">IF(OR($C892="",$D892=""),"",IFERROR($D892*INDEX(Mix_Eff,MATCH($C892,Mix_Code,0),3),""))</f>
        <v/>
      </c>
      <c r="I892" s="67" t="str">
        <f aca="false">IF(OR($C892="",$D892=""),"",IFERROR($D892*INDEX(Mix_Eff,MATCH($C892,Mix_Code,0),4),""))</f>
        <v/>
      </c>
      <c r="J892" s="67" t="str">
        <f aca="false">IF(OR($C892="",$D892=""),"",IFERROR($D892*INDEX(Mix_Eff,MATCH($C892,Mix_Code,0),5),""))</f>
        <v/>
      </c>
      <c r="K892" s="63"/>
      <c r="L892" s="16" t="str">
        <f aca="false">IF(AND($A892="",$B892="",$C892="",$D892=""),"",IF($A892="","⚠ Date missing",IF($B892="","⚠ Site missing",IF(ISNA(MATCH($C892,Mix_Code,0)),"⚠ Unknown mix code",IF($D892="","⚠ Enter m3 produced",IF(COUNTIF(CI_Site,$B892)=0,"⚠ Site not set up in Current Inventory",IF($A892&gt;AsOfDate,"Future date – not yet deducted","OK")))))))</f>
        <v/>
      </c>
    </row>
    <row r="893" customFormat="false" ht="15" hidden="false" customHeight="false" outlineLevel="0" collapsed="false">
      <c r="A893" s="65"/>
      <c r="B893" s="63"/>
      <c r="C893" s="70"/>
      <c r="D893" s="66"/>
      <c r="E893" s="16" t="str">
        <f aca="false">IF($C893="","",IFERROR(INDEX(Mix_Desc,MATCH($C893,Mix_Code,0)),"⚠ Unknown mix code"))</f>
        <v/>
      </c>
      <c r="F893" s="67" t="str">
        <f aca="false">IF(OR($C893="",$D893=""),"",IFERROR($D893*INDEX(Mix_Eff,MATCH($C893,Mix_Code,0),1),""))</f>
        <v/>
      </c>
      <c r="G893" s="67" t="str">
        <f aca="false">IF(OR($C893="",$D893=""),"",IFERROR($D893*INDEX(Mix_Eff,MATCH($C893,Mix_Code,0),2),""))</f>
        <v/>
      </c>
      <c r="H893" s="67" t="str">
        <f aca="false">IF(OR($C893="",$D893=""),"",IFERROR($D893*INDEX(Mix_Eff,MATCH($C893,Mix_Code,0),3),""))</f>
        <v/>
      </c>
      <c r="I893" s="67" t="str">
        <f aca="false">IF(OR($C893="",$D893=""),"",IFERROR($D893*INDEX(Mix_Eff,MATCH($C893,Mix_Code,0),4),""))</f>
        <v/>
      </c>
      <c r="J893" s="67" t="str">
        <f aca="false">IF(OR($C893="",$D893=""),"",IFERROR($D893*INDEX(Mix_Eff,MATCH($C893,Mix_Code,0),5),""))</f>
        <v/>
      </c>
      <c r="K893" s="63"/>
      <c r="L893" s="16" t="str">
        <f aca="false">IF(AND($A893="",$B893="",$C893="",$D893=""),"",IF($A893="","⚠ Date missing",IF($B893="","⚠ Site missing",IF(ISNA(MATCH($C893,Mix_Code,0)),"⚠ Unknown mix code",IF($D893="","⚠ Enter m3 produced",IF(COUNTIF(CI_Site,$B893)=0,"⚠ Site not set up in Current Inventory",IF($A893&gt;AsOfDate,"Future date – not yet deducted","OK")))))))</f>
        <v/>
      </c>
    </row>
    <row r="894" customFormat="false" ht="15" hidden="false" customHeight="false" outlineLevel="0" collapsed="false">
      <c r="A894" s="65"/>
      <c r="B894" s="63"/>
      <c r="C894" s="70"/>
      <c r="D894" s="66"/>
      <c r="E894" s="16" t="str">
        <f aca="false">IF($C894="","",IFERROR(INDEX(Mix_Desc,MATCH($C894,Mix_Code,0)),"⚠ Unknown mix code"))</f>
        <v/>
      </c>
      <c r="F894" s="67" t="str">
        <f aca="false">IF(OR($C894="",$D894=""),"",IFERROR($D894*INDEX(Mix_Eff,MATCH($C894,Mix_Code,0),1),""))</f>
        <v/>
      </c>
      <c r="G894" s="67" t="str">
        <f aca="false">IF(OR($C894="",$D894=""),"",IFERROR($D894*INDEX(Mix_Eff,MATCH($C894,Mix_Code,0),2),""))</f>
        <v/>
      </c>
      <c r="H894" s="67" t="str">
        <f aca="false">IF(OR($C894="",$D894=""),"",IFERROR($D894*INDEX(Mix_Eff,MATCH($C894,Mix_Code,0),3),""))</f>
        <v/>
      </c>
      <c r="I894" s="67" t="str">
        <f aca="false">IF(OR($C894="",$D894=""),"",IFERROR($D894*INDEX(Mix_Eff,MATCH($C894,Mix_Code,0),4),""))</f>
        <v/>
      </c>
      <c r="J894" s="67" t="str">
        <f aca="false">IF(OR($C894="",$D894=""),"",IFERROR($D894*INDEX(Mix_Eff,MATCH($C894,Mix_Code,0),5),""))</f>
        <v/>
      </c>
      <c r="K894" s="63"/>
      <c r="L894" s="16" t="str">
        <f aca="false">IF(AND($A894="",$B894="",$C894="",$D894=""),"",IF($A894="","⚠ Date missing",IF($B894="","⚠ Site missing",IF(ISNA(MATCH($C894,Mix_Code,0)),"⚠ Unknown mix code",IF($D894="","⚠ Enter m3 produced",IF(COUNTIF(CI_Site,$B894)=0,"⚠ Site not set up in Current Inventory",IF($A894&gt;AsOfDate,"Future date – not yet deducted","OK")))))))</f>
        <v/>
      </c>
    </row>
    <row r="895" customFormat="false" ht="15" hidden="false" customHeight="false" outlineLevel="0" collapsed="false">
      <c r="A895" s="65"/>
      <c r="B895" s="63"/>
      <c r="C895" s="70"/>
      <c r="D895" s="66"/>
      <c r="E895" s="16" t="str">
        <f aca="false">IF($C895="","",IFERROR(INDEX(Mix_Desc,MATCH($C895,Mix_Code,0)),"⚠ Unknown mix code"))</f>
        <v/>
      </c>
      <c r="F895" s="67" t="str">
        <f aca="false">IF(OR($C895="",$D895=""),"",IFERROR($D895*INDEX(Mix_Eff,MATCH($C895,Mix_Code,0),1),""))</f>
        <v/>
      </c>
      <c r="G895" s="67" t="str">
        <f aca="false">IF(OR($C895="",$D895=""),"",IFERROR($D895*INDEX(Mix_Eff,MATCH($C895,Mix_Code,0),2),""))</f>
        <v/>
      </c>
      <c r="H895" s="67" t="str">
        <f aca="false">IF(OR($C895="",$D895=""),"",IFERROR($D895*INDEX(Mix_Eff,MATCH($C895,Mix_Code,0),3),""))</f>
        <v/>
      </c>
      <c r="I895" s="67" t="str">
        <f aca="false">IF(OR($C895="",$D895=""),"",IFERROR($D895*INDEX(Mix_Eff,MATCH($C895,Mix_Code,0),4),""))</f>
        <v/>
      </c>
      <c r="J895" s="67" t="str">
        <f aca="false">IF(OR($C895="",$D895=""),"",IFERROR($D895*INDEX(Mix_Eff,MATCH($C895,Mix_Code,0),5),""))</f>
        <v/>
      </c>
      <c r="K895" s="63"/>
      <c r="L895" s="16" t="str">
        <f aca="false">IF(AND($A895="",$B895="",$C895="",$D895=""),"",IF($A895="","⚠ Date missing",IF($B895="","⚠ Site missing",IF(ISNA(MATCH($C895,Mix_Code,0)),"⚠ Unknown mix code",IF($D895="","⚠ Enter m3 produced",IF(COUNTIF(CI_Site,$B895)=0,"⚠ Site not set up in Current Inventory",IF($A895&gt;AsOfDate,"Future date – not yet deducted","OK")))))))</f>
        <v/>
      </c>
    </row>
    <row r="896" customFormat="false" ht="15" hidden="false" customHeight="false" outlineLevel="0" collapsed="false">
      <c r="A896" s="65"/>
      <c r="B896" s="63"/>
      <c r="C896" s="70"/>
      <c r="D896" s="66"/>
      <c r="E896" s="16" t="str">
        <f aca="false">IF($C896="","",IFERROR(INDEX(Mix_Desc,MATCH($C896,Mix_Code,0)),"⚠ Unknown mix code"))</f>
        <v/>
      </c>
      <c r="F896" s="67" t="str">
        <f aca="false">IF(OR($C896="",$D896=""),"",IFERROR($D896*INDEX(Mix_Eff,MATCH($C896,Mix_Code,0),1),""))</f>
        <v/>
      </c>
      <c r="G896" s="67" t="str">
        <f aca="false">IF(OR($C896="",$D896=""),"",IFERROR($D896*INDEX(Mix_Eff,MATCH($C896,Mix_Code,0),2),""))</f>
        <v/>
      </c>
      <c r="H896" s="67" t="str">
        <f aca="false">IF(OR($C896="",$D896=""),"",IFERROR($D896*INDEX(Mix_Eff,MATCH($C896,Mix_Code,0),3),""))</f>
        <v/>
      </c>
      <c r="I896" s="67" t="str">
        <f aca="false">IF(OR($C896="",$D896=""),"",IFERROR($D896*INDEX(Mix_Eff,MATCH($C896,Mix_Code,0),4),""))</f>
        <v/>
      </c>
      <c r="J896" s="67" t="str">
        <f aca="false">IF(OR($C896="",$D896=""),"",IFERROR($D896*INDEX(Mix_Eff,MATCH($C896,Mix_Code,0),5),""))</f>
        <v/>
      </c>
      <c r="K896" s="63"/>
      <c r="L896" s="16" t="str">
        <f aca="false">IF(AND($A896="",$B896="",$C896="",$D896=""),"",IF($A896="","⚠ Date missing",IF($B896="","⚠ Site missing",IF(ISNA(MATCH($C896,Mix_Code,0)),"⚠ Unknown mix code",IF($D896="","⚠ Enter m3 produced",IF(COUNTIF(CI_Site,$B896)=0,"⚠ Site not set up in Current Inventory",IF($A896&gt;AsOfDate,"Future date – not yet deducted","OK")))))))</f>
        <v/>
      </c>
    </row>
    <row r="897" customFormat="false" ht="15" hidden="false" customHeight="false" outlineLevel="0" collapsed="false">
      <c r="A897" s="65"/>
      <c r="B897" s="63"/>
      <c r="C897" s="70"/>
      <c r="D897" s="66"/>
      <c r="E897" s="16" t="str">
        <f aca="false">IF($C897="","",IFERROR(INDEX(Mix_Desc,MATCH($C897,Mix_Code,0)),"⚠ Unknown mix code"))</f>
        <v/>
      </c>
      <c r="F897" s="67" t="str">
        <f aca="false">IF(OR($C897="",$D897=""),"",IFERROR($D897*INDEX(Mix_Eff,MATCH($C897,Mix_Code,0),1),""))</f>
        <v/>
      </c>
      <c r="G897" s="67" t="str">
        <f aca="false">IF(OR($C897="",$D897=""),"",IFERROR($D897*INDEX(Mix_Eff,MATCH($C897,Mix_Code,0),2),""))</f>
        <v/>
      </c>
      <c r="H897" s="67" t="str">
        <f aca="false">IF(OR($C897="",$D897=""),"",IFERROR($D897*INDEX(Mix_Eff,MATCH($C897,Mix_Code,0),3),""))</f>
        <v/>
      </c>
      <c r="I897" s="67" t="str">
        <f aca="false">IF(OR($C897="",$D897=""),"",IFERROR($D897*INDEX(Mix_Eff,MATCH($C897,Mix_Code,0),4),""))</f>
        <v/>
      </c>
      <c r="J897" s="67" t="str">
        <f aca="false">IF(OR($C897="",$D897=""),"",IFERROR($D897*INDEX(Mix_Eff,MATCH($C897,Mix_Code,0),5),""))</f>
        <v/>
      </c>
      <c r="K897" s="63"/>
      <c r="L897" s="16" t="str">
        <f aca="false">IF(AND($A897="",$B897="",$C897="",$D897=""),"",IF($A897="","⚠ Date missing",IF($B897="","⚠ Site missing",IF(ISNA(MATCH($C897,Mix_Code,0)),"⚠ Unknown mix code",IF($D897="","⚠ Enter m3 produced",IF(COUNTIF(CI_Site,$B897)=0,"⚠ Site not set up in Current Inventory",IF($A897&gt;AsOfDate,"Future date – not yet deducted","OK")))))))</f>
        <v/>
      </c>
    </row>
    <row r="898" customFormat="false" ht="15" hidden="false" customHeight="false" outlineLevel="0" collapsed="false">
      <c r="A898" s="65"/>
      <c r="B898" s="63"/>
      <c r="C898" s="70"/>
      <c r="D898" s="66"/>
      <c r="E898" s="16" t="str">
        <f aca="false">IF($C898="","",IFERROR(INDEX(Mix_Desc,MATCH($C898,Mix_Code,0)),"⚠ Unknown mix code"))</f>
        <v/>
      </c>
      <c r="F898" s="67" t="str">
        <f aca="false">IF(OR($C898="",$D898=""),"",IFERROR($D898*INDEX(Mix_Eff,MATCH($C898,Mix_Code,0),1),""))</f>
        <v/>
      </c>
      <c r="G898" s="67" t="str">
        <f aca="false">IF(OR($C898="",$D898=""),"",IFERROR($D898*INDEX(Mix_Eff,MATCH($C898,Mix_Code,0),2),""))</f>
        <v/>
      </c>
      <c r="H898" s="67" t="str">
        <f aca="false">IF(OR($C898="",$D898=""),"",IFERROR($D898*INDEX(Mix_Eff,MATCH($C898,Mix_Code,0),3),""))</f>
        <v/>
      </c>
      <c r="I898" s="67" t="str">
        <f aca="false">IF(OR($C898="",$D898=""),"",IFERROR($D898*INDEX(Mix_Eff,MATCH($C898,Mix_Code,0),4),""))</f>
        <v/>
      </c>
      <c r="J898" s="67" t="str">
        <f aca="false">IF(OR($C898="",$D898=""),"",IFERROR($D898*INDEX(Mix_Eff,MATCH($C898,Mix_Code,0),5),""))</f>
        <v/>
      </c>
      <c r="K898" s="63"/>
      <c r="L898" s="16" t="str">
        <f aca="false">IF(AND($A898="",$B898="",$C898="",$D898=""),"",IF($A898="","⚠ Date missing",IF($B898="","⚠ Site missing",IF(ISNA(MATCH($C898,Mix_Code,0)),"⚠ Unknown mix code",IF($D898="","⚠ Enter m3 produced",IF(COUNTIF(CI_Site,$B898)=0,"⚠ Site not set up in Current Inventory",IF($A898&gt;AsOfDate,"Future date – not yet deducted","OK")))))))</f>
        <v/>
      </c>
    </row>
    <row r="899" customFormat="false" ht="15" hidden="false" customHeight="false" outlineLevel="0" collapsed="false">
      <c r="A899" s="65"/>
      <c r="B899" s="63"/>
      <c r="C899" s="70"/>
      <c r="D899" s="66"/>
      <c r="E899" s="16" t="str">
        <f aca="false">IF($C899="","",IFERROR(INDEX(Mix_Desc,MATCH($C899,Mix_Code,0)),"⚠ Unknown mix code"))</f>
        <v/>
      </c>
      <c r="F899" s="67" t="str">
        <f aca="false">IF(OR($C899="",$D899=""),"",IFERROR($D899*INDEX(Mix_Eff,MATCH($C899,Mix_Code,0),1),""))</f>
        <v/>
      </c>
      <c r="G899" s="67" t="str">
        <f aca="false">IF(OR($C899="",$D899=""),"",IFERROR($D899*INDEX(Mix_Eff,MATCH($C899,Mix_Code,0),2),""))</f>
        <v/>
      </c>
      <c r="H899" s="67" t="str">
        <f aca="false">IF(OR($C899="",$D899=""),"",IFERROR($D899*INDEX(Mix_Eff,MATCH($C899,Mix_Code,0),3),""))</f>
        <v/>
      </c>
      <c r="I899" s="67" t="str">
        <f aca="false">IF(OR($C899="",$D899=""),"",IFERROR($D899*INDEX(Mix_Eff,MATCH($C899,Mix_Code,0),4),""))</f>
        <v/>
      </c>
      <c r="J899" s="67" t="str">
        <f aca="false">IF(OR($C899="",$D899=""),"",IFERROR($D899*INDEX(Mix_Eff,MATCH($C899,Mix_Code,0),5),""))</f>
        <v/>
      </c>
      <c r="K899" s="63"/>
      <c r="L899" s="16" t="str">
        <f aca="false">IF(AND($A899="",$B899="",$C899="",$D899=""),"",IF($A899="","⚠ Date missing",IF($B899="","⚠ Site missing",IF(ISNA(MATCH($C899,Mix_Code,0)),"⚠ Unknown mix code",IF($D899="","⚠ Enter m3 produced",IF(COUNTIF(CI_Site,$B899)=0,"⚠ Site not set up in Current Inventory",IF($A899&gt;AsOfDate,"Future date – not yet deducted","OK")))))))</f>
        <v/>
      </c>
    </row>
    <row r="900" customFormat="false" ht="15" hidden="false" customHeight="false" outlineLevel="0" collapsed="false">
      <c r="A900" s="65"/>
      <c r="B900" s="63"/>
      <c r="C900" s="70"/>
      <c r="D900" s="66"/>
      <c r="E900" s="16" t="str">
        <f aca="false">IF($C900="","",IFERROR(INDEX(Mix_Desc,MATCH($C900,Mix_Code,0)),"⚠ Unknown mix code"))</f>
        <v/>
      </c>
      <c r="F900" s="67" t="str">
        <f aca="false">IF(OR($C900="",$D900=""),"",IFERROR($D900*INDEX(Mix_Eff,MATCH($C900,Mix_Code,0),1),""))</f>
        <v/>
      </c>
      <c r="G900" s="67" t="str">
        <f aca="false">IF(OR($C900="",$D900=""),"",IFERROR($D900*INDEX(Mix_Eff,MATCH($C900,Mix_Code,0),2),""))</f>
        <v/>
      </c>
      <c r="H900" s="67" t="str">
        <f aca="false">IF(OR($C900="",$D900=""),"",IFERROR($D900*INDEX(Mix_Eff,MATCH($C900,Mix_Code,0),3),""))</f>
        <v/>
      </c>
      <c r="I900" s="67" t="str">
        <f aca="false">IF(OR($C900="",$D900=""),"",IFERROR($D900*INDEX(Mix_Eff,MATCH($C900,Mix_Code,0),4),""))</f>
        <v/>
      </c>
      <c r="J900" s="67" t="str">
        <f aca="false">IF(OR($C900="",$D900=""),"",IFERROR($D900*INDEX(Mix_Eff,MATCH($C900,Mix_Code,0),5),""))</f>
        <v/>
      </c>
      <c r="K900" s="63"/>
      <c r="L900" s="16" t="str">
        <f aca="false">IF(AND($A900="",$B900="",$C900="",$D900=""),"",IF($A900="","⚠ Date missing",IF($B900="","⚠ Site missing",IF(ISNA(MATCH($C900,Mix_Code,0)),"⚠ Unknown mix code",IF($D900="","⚠ Enter m3 produced",IF(COUNTIF(CI_Site,$B900)=0,"⚠ Site not set up in Current Inventory",IF($A900&gt;AsOfDate,"Future date – not yet deducted","OK")))))))</f>
        <v/>
      </c>
    </row>
    <row r="901" customFormat="false" ht="15" hidden="false" customHeight="false" outlineLevel="0" collapsed="false">
      <c r="A901" s="65"/>
      <c r="B901" s="63"/>
      <c r="C901" s="70"/>
      <c r="D901" s="66"/>
      <c r="E901" s="16" t="str">
        <f aca="false">IF($C901="","",IFERROR(INDEX(Mix_Desc,MATCH($C901,Mix_Code,0)),"⚠ Unknown mix code"))</f>
        <v/>
      </c>
      <c r="F901" s="67" t="str">
        <f aca="false">IF(OR($C901="",$D901=""),"",IFERROR($D901*INDEX(Mix_Eff,MATCH($C901,Mix_Code,0),1),""))</f>
        <v/>
      </c>
      <c r="G901" s="67" t="str">
        <f aca="false">IF(OR($C901="",$D901=""),"",IFERROR($D901*INDEX(Mix_Eff,MATCH($C901,Mix_Code,0),2),""))</f>
        <v/>
      </c>
      <c r="H901" s="67" t="str">
        <f aca="false">IF(OR($C901="",$D901=""),"",IFERROR($D901*INDEX(Mix_Eff,MATCH($C901,Mix_Code,0),3),""))</f>
        <v/>
      </c>
      <c r="I901" s="67" t="str">
        <f aca="false">IF(OR($C901="",$D901=""),"",IFERROR($D901*INDEX(Mix_Eff,MATCH($C901,Mix_Code,0),4),""))</f>
        <v/>
      </c>
      <c r="J901" s="67" t="str">
        <f aca="false">IF(OR($C901="",$D901=""),"",IFERROR($D901*INDEX(Mix_Eff,MATCH($C901,Mix_Code,0),5),""))</f>
        <v/>
      </c>
      <c r="K901" s="63"/>
      <c r="L901" s="16" t="str">
        <f aca="false">IF(AND($A901="",$B901="",$C901="",$D901=""),"",IF($A901="","⚠ Date missing",IF($B901="","⚠ Site missing",IF(ISNA(MATCH($C901,Mix_Code,0)),"⚠ Unknown mix code",IF($D901="","⚠ Enter m3 produced",IF(COUNTIF(CI_Site,$B901)=0,"⚠ Site not set up in Current Inventory",IF($A901&gt;AsOfDate,"Future date – not yet deducted","OK")))))))</f>
        <v/>
      </c>
    </row>
    <row r="902" customFormat="false" ht="15" hidden="false" customHeight="false" outlineLevel="0" collapsed="false">
      <c r="A902" s="65"/>
      <c r="B902" s="63"/>
      <c r="C902" s="70"/>
      <c r="D902" s="66"/>
      <c r="E902" s="16" t="str">
        <f aca="false">IF($C902="","",IFERROR(INDEX(Mix_Desc,MATCH($C902,Mix_Code,0)),"⚠ Unknown mix code"))</f>
        <v/>
      </c>
      <c r="F902" s="67" t="str">
        <f aca="false">IF(OR($C902="",$D902=""),"",IFERROR($D902*INDEX(Mix_Eff,MATCH($C902,Mix_Code,0),1),""))</f>
        <v/>
      </c>
      <c r="G902" s="67" t="str">
        <f aca="false">IF(OR($C902="",$D902=""),"",IFERROR($D902*INDEX(Mix_Eff,MATCH($C902,Mix_Code,0),2),""))</f>
        <v/>
      </c>
      <c r="H902" s="67" t="str">
        <f aca="false">IF(OR($C902="",$D902=""),"",IFERROR($D902*INDEX(Mix_Eff,MATCH($C902,Mix_Code,0),3),""))</f>
        <v/>
      </c>
      <c r="I902" s="67" t="str">
        <f aca="false">IF(OR($C902="",$D902=""),"",IFERROR($D902*INDEX(Mix_Eff,MATCH($C902,Mix_Code,0),4),""))</f>
        <v/>
      </c>
      <c r="J902" s="67" t="str">
        <f aca="false">IF(OR($C902="",$D902=""),"",IFERROR($D902*INDEX(Mix_Eff,MATCH($C902,Mix_Code,0),5),""))</f>
        <v/>
      </c>
      <c r="K902" s="63"/>
      <c r="L902" s="16" t="str">
        <f aca="false">IF(AND($A902="",$B902="",$C902="",$D902=""),"",IF($A902="","⚠ Date missing",IF($B902="","⚠ Site missing",IF(ISNA(MATCH($C902,Mix_Code,0)),"⚠ Unknown mix code",IF($D902="","⚠ Enter m3 produced",IF(COUNTIF(CI_Site,$B902)=0,"⚠ Site not set up in Current Inventory",IF($A902&gt;AsOfDate,"Future date – not yet deducted","OK")))))))</f>
        <v/>
      </c>
    </row>
    <row r="903" customFormat="false" ht="15" hidden="false" customHeight="false" outlineLevel="0" collapsed="false">
      <c r="A903" s="65"/>
      <c r="B903" s="63"/>
      <c r="C903" s="70"/>
      <c r="D903" s="66"/>
      <c r="E903" s="16" t="str">
        <f aca="false">IF($C903="","",IFERROR(INDEX(Mix_Desc,MATCH($C903,Mix_Code,0)),"⚠ Unknown mix code"))</f>
        <v/>
      </c>
      <c r="F903" s="67" t="str">
        <f aca="false">IF(OR($C903="",$D903=""),"",IFERROR($D903*INDEX(Mix_Eff,MATCH($C903,Mix_Code,0),1),""))</f>
        <v/>
      </c>
      <c r="G903" s="67" t="str">
        <f aca="false">IF(OR($C903="",$D903=""),"",IFERROR($D903*INDEX(Mix_Eff,MATCH($C903,Mix_Code,0),2),""))</f>
        <v/>
      </c>
      <c r="H903" s="67" t="str">
        <f aca="false">IF(OR($C903="",$D903=""),"",IFERROR($D903*INDEX(Mix_Eff,MATCH($C903,Mix_Code,0),3),""))</f>
        <v/>
      </c>
      <c r="I903" s="67" t="str">
        <f aca="false">IF(OR($C903="",$D903=""),"",IFERROR($D903*INDEX(Mix_Eff,MATCH($C903,Mix_Code,0),4),""))</f>
        <v/>
      </c>
      <c r="J903" s="67" t="str">
        <f aca="false">IF(OR($C903="",$D903=""),"",IFERROR($D903*INDEX(Mix_Eff,MATCH($C903,Mix_Code,0),5),""))</f>
        <v/>
      </c>
      <c r="K903" s="63"/>
      <c r="L903" s="16" t="str">
        <f aca="false">IF(AND($A903="",$B903="",$C903="",$D903=""),"",IF($A903="","⚠ Date missing",IF($B903="","⚠ Site missing",IF(ISNA(MATCH($C903,Mix_Code,0)),"⚠ Unknown mix code",IF($D903="","⚠ Enter m3 produced",IF(COUNTIF(CI_Site,$B903)=0,"⚠ Site not set up in Current Inventory",IF($A903&gt;AsOfDate,"Future date – not yet deducted","OK")))))))</f>
        <v/>
      </c>
    </row>
    <row r="904" customFormat="false" ht="15" hidden="false" customHeight="false" outlineLevel="0" collapsed="false">
      <c r="A904" s="65"/>
      <c r="B904" s="63"/>
      <c r="C904" s="70"/>
      <c r="D904" s="66"/>
      <c r="E904" s="16" t="str">
        <f aca="false">IF($C904="","",IFERROR(INDEX(Mix_Desc,MATCH($C904,Mix_Code,0)),"⚠ Unknown mix code"))</f>
        <v/>
      </c>
      <c r="F904" s="67" t="str">
        <f aca="false">IF(OR($C904="",$D904=""),"",IFERROR($D904*INDEX(Mix_Eff,MATCH($C904,Mix_Code,0),1),""))</f>
        <v/>
      </c>
      <c r="G904" s="67" t="str">
        <f aca="false">IF(OR($C904="",$D904=""),"",IFERROR($D904*INDEX(Mix_Eff,MATCH($C904,Mix_Code,0),2),""))</f>
        <v/>
      </c>
      <c r="H904" s="67" t="str">
        <f aca="false">IF(OR($C904="",$D904=""),"",IFERROR($D904*INDEX(Mix_Eff,MATCH($C904,Mix_Code,0),3),""))</f>
        <v/>
      </c>
      <c r="I904" s="67" t="str">
        <f aca="false">IF(OR($C904="",$D904=""),"",IFERROR($D904*INDEX(Mix_Eff,MATCH($C904,Mix_Code,0),4),""))</f>
        <v/>
      </c>
      <c r="J904" s="67" t="str">
        <f aca="false">IF(OR($C904="",$D904=""),"",IFERROR($D904*INDEX(Mix_Eff,MATCH($C904,Mix_Code,0),5),""))</f>
        <v/>
      </c>
      <c r="K904" s="63"/>
      <c r="L904" s="16" t="str">
        <f aca="false">IF(AND($A904="",$B904="",$C904="",$D904=""),"",IF($A904="","⚠ Date missing",IF($B904="","⚠ Site missing",IF(ISNA(MATCH($C904,Mix_Code,0)),"⚠ Unknown mix code",IF($D904="","⚠ Enter m3 produced",IF(COUNTIF(CI_Site,$B904)=0,"⚠ Site not set up in Current Inventory",IF($A904&gt;AsOfDate,"Future date – not yet deducted","OK")))))))</f>
        <v/>
      </c>
    </row>
    <row r="905" customFormat="false" ht="15" hidden="false" customHeight="false" outlineLevel="0" collapsed="false">
      <c r="A905" s="65"/>
      <c r="B905" s="63"/>
      <c r="C905" s="70"/>
      <c r="D905" s="66"/>
      <c r="E905" s="16" t="str">
        <f aca="false">IF($C905="","",IFERROR(INDEX(Mix_Desc,MATCH($C905,Mix_Code,0)),"⚠ Unknown mix code"))</f>
        <v/>
      </c>
      <c r="F905" s="67" t="str">
        <f aca="false">IF(OR($C905="",$D905=""),"",IFERROR($D905*INDEX(Mix_Eff,MATCH($C905,Mix_Code,0),1),""))</f>
        <v/>
      </c>
      <c r="G905" s="67" t="str">
        <f aca="false">IF(OR($C905="",$D905=""),"",IFERROR($D905*INDEX(Mix_Eff,MATCH($C905,Mix_Code,0),2),""))</f>
        <v/>
      </c>
      <c r="H905" s="67" t="str">
        <f aca="false">IF(OR($C905="",$D905=""),"",IFERROR($D905*INDEX(Mix_Eff,MATCH($C905,Mix_Code,0),3),""))</f>
        <v/>
      </c>
      <c r="I905" s="67" t="str">
        <f aca="false">IF(OR($C905="",$D905=""),"",IFERROR($D905*INDEX(Mix_Eff,MATCH($C905,Mix_Code,0),4),""))</f>
        <v/>
      </c>
      <c r="J905" s="67" t="str">
        <f aca="false">IF(OR($C905="",$D905=""),"",IFERROR($D905*INDEX(Mix_Eff,MATCH($C905,Mix_Code,0),5),""))</f>
        <v/>
      </c>
      <c r="K905" s="63"/>
      <c r="L905" s="16" t="str">
        <f aca="false">IF(AND($A905="",$B905="",$C905="",$D905=""),"",IF($A905="","⚠ Date missing",IF($B905="","⚠ Site missing",IF(ISNA(MATCH($C905,Mix_Code,0)),"⚠ Unknown mix code",IF($D905="","⚠ Enter m3 produced",IF(COUNTIF(CI_Site,$B905)=0,"⚠ Site not set up in Current Inventory",IF($A905&gt;AsOfDate,"Future date – not yet deducted","OK")))))))</f>
        <v/>
      </c>
    </row>
    <row r="906" customFormat="false" ht="15" hidden="false" customHeight="false" outlineLevel="0" collapsed="false">
      <c r="A906" s="65"/>
      <c r="B906" s="63"/>
      <c r="C906" s="70"/>
      <c r="D906" s="66"/>
      <c r="E906" s="16" t="str">
        <f aca="false">IF($C906="","",IFERROR(INDEX(Mix_Desc,MATCH($C906,Mix_Code,0)),"⚠ Unknown mix code"))</f>
        <v/>
      </c>
      <c r="F906" s="67" t="str">
        <f aca="false">IF(OR($C906="",$D906=""),"",IFERROR($D906*INDEX(Mix_Eff,MATCH($C906,Mix_Code,0),1),""))</f>
        <v/>
      </c>
      <c r="G906" s="67" t="str">
        <f aca="false">IF(OR($C906="",$D906=""),"",IFERROR($D906*INDEX(Mix_Eff,MATCH($C906,Mix_Code,0),2),""))</f>
        <v/>
      </c>
      <c r="H906" s="67" t="str">
        <f aca="false">IF(OR($C906="",$D906=""),"",IFERROR($D906*INDEX(Mix_Eff,MATCH($C906,Mix_Code,0),3),""))</f>
        <v/>
      </c>
      <c r="I906" s="67" t="str">
        <f aca="false">IF(OR($C906="",$D906=""),"",IFERROR($D906*INDEX(Mix_Eff,MATCH($C906,Mix_Code,0),4),""))</f>
        <v/>
      </c>
      <c r="J906" s="67" t="str">
        <f aca="false">IF(OR($C906="",$D906=""),"",IFERROR($D906*INDEX(Mix_Eff,MATCH($C906,Mix_Code,0),5),""))</f>
        <v/>
      </c>
      <c r="K906" s="63"/>
      <c r="L906" s="16" t="str">
        <f aca="false">IF(AND($A906="",$B906="",$C906="",$D906=""),"",IF($A906="","⚠ Date missing",IF($B906="","⚠ Site missing",IF(ISNA(MATCH($C906,Mix_Code,0)),"⚠ Unknown mix code",IF($D906="","⚠ Enter m3 produced",IF(COUNTIF(CI_Site,$B906)=0,"⚠ Site not set up in Current Inventory",IF($A906&gt;AsOfDate,"Future date – not yet deducted","OK")))))))</f>
        <v/>
      </c>
    </row>
    <row r="907" customFormat="false" ht="15" hidden="false" customHeight="false" outlineLevel="0" collapsed="false">
      <c r="A907" s="65"/>
      <c r="B907" s="63"/>
      <c r="C907" s="70"/>
      <c r="D907" s="66"/>
      <c r="E907" s="16" t="str">
        <f aca="false">IF($C907="","",IFERROR(INDEX(Mix_Desc,MATCH($C907,Mix_Code,0)),"⚠ Unknown mix code"))</f>
        <v/>
      </c>
      <c r="F907" s="67" t="str">
        <f aca="false">IF(OR($C907="",$D907=""),"",IFERROR($D907*INDEX(Mix_Eff,MATCH($C907,Mix_Code,0),1),""))</f>
        <v/>
      </c>
      <c r="G907" s="67" t="str">
        <f aca="false">IF(OR($C907="",$D907=""),"",IFERROR($D907*INDEX(Mix_Eff,MATCH($C907,Mix_Code,0),2),""))</f>
        <v/>
      </c>
      <c r="H907" s="67" t="str">
        <f aca="false">IF(OR($C907="",$D907=""),"",IFERROR($D907*INDEX(Mix_Eff,MATCH($C907,Mix_Code,0),3),""))</f>
        <v/>
      </c>
      <c r="I907" s="67" t="str">
        <f aca="false">IF(OR($C907="",$D907=""),"",IFERROR($D907*INDEX(Mix_Eff,MATCH($C907,Mix_Code,0),4),""))</f>
        <v/>
      </c>
      <c r="J907" s="67" t="str">
        <f aca="false">IF(OR($C907="",$D907=""),"",IFERROR($D907*INDEX(Mix_Eff,MATCH($C907,Mix_Code,0),5),""))</f>
        <v/>
      </c>
      <c r="K907" s="63"/>
      <c r="L907" s="16" t="str">
        <f aca="false">IF(AND($A907="",$B907="",$C907="",$D907=""),"",IF($A907="","⚠ Date missing",IF($B907="","⚠ Site missing",IF(ISNA(MATCH($C907,Mix_Code,0)),"⚠ Unknown mix code",IF($D907="","⚠ Enter m3 produced",IF(COUNTIF(CI_Site,$B907)=0,"⚠ Site not set up in Current Inventory",IF($A907&gt;AsOfDate,"Future date – not yet deducted","OK")))))))</f>
        <v/>
      </c>
    </row>
    <row r="908" customFormat="false" ht="15" hidden="false" customHeight="false" outlineLevel="0" collapsed="false">
      <c r="A908" s="65"/>
      <c r="B908" s="63"/>
      <c r="C908" s="70"/>
      <c r="D908" s="66"/>
      <c r="E908" s="16" t="str">
        <f aca="false">IF($C908="","",IFERROR(INDEX(Mix_Desc,MATCH($C908,Mix_Code,0)),"⚠ Unknown mix code"))</f>
        <v/>
      </c>
      <c r="F908" s="67" t="str">
        <f aca="false">IF(OR($C908="",$D908=""),"",IFERROR($D908*INDEX(Mix_Eff,MATCH($C908,Mix_Code,0),1),""))</f>
        <v/>
      </c>
      <c r="G908" s="67" t="str">
        <f aca="false">IF(OR($C908="",$D908=""),"",IFERROR($D908*INDEX(Mix_Eff,MATCH($C908,Mix_Code,0),2),""))</f>
        <v/>
      </c>
      <c r="H908" s="67" t="str">
        <f aca="false">IF(OR($C908="",$D908=""),"",IFERROR($D908*INDEX(Mix_Eff,MATCH($C908,Mix_Code,0),3),""))</f>
        <v/>
      </c>
      <c r="I908" s="67" t="str">
        <f aca="false">IF(OR($C908="",$D908=""),"",IFERROR($D908*INDEX(Mix_Eff,MATCH($C908,Mix_Code,0),4),""))</f>
        <v/>
      </c>
      <c r="J908" s="67" t="str">
        <f aca="false">IF(OR($C908="",$D908=""),"",IFERROR($D908*INDEX(Mix_Eff,MATCH($C908,Mix_Code,0),5),""))</f>
        <v/>
      </c>
      <c r="K908" s="63"/>
      <c r="L908" s="16" t="str">
        <f aca="false">IF(AND($A908="",$B908="",$C908="",$D908=""),"",IF($A908="","⚠ Date missing",IF($B908="","⚠ Site missing",IF(ISNA(MATCH($C908,Mix_Code,0)),"⚠ Unknown mix code",IF($D908="","⚠ Enter m3 produced",IF(COUNTIF(CI_Site,$B908)=0,"⚠ Site not set up in Current Inventory",IF($A908&gt;AsOfDate,"Future date – not yet deducted","OK")))))))</f>
        <v/>
      </c>
    </row>
    <row r="909" customFormat="false" ht="15" hidden="false" customHeight="false" outlineLevel="0" collapsed="false">
      <c r="A909" s="65"/>
      <c r="B909" s="63"/>
      <c r="C909" s="70"/>
      <c r="D909" s="66"/>
      <c r="E909" s="16" t="str">
        <f aca="false">IF($C909="","",IFERROR(INDEX(Mix_Desc,MATCH($C909,Mix_Code,0)),"⚠ Unknown mix code"))</f>
        <v/>
      </c>
      <c r="F909" s="67" t="str">
        <f aca="false">IF(OR($C909="",$D909=""),"",IFERROR($D909*INDEX(Mix_Eff,MATCH($C909,Mix_Code,0),1),""))</f>
        <v/>
      </c>
      <c r="G909" s="67" t="str">
        <f aca="false">IF(OR($C909="",$D909=""),"",IFERROR($D909*INDEX(Mix_Eff,MATCH($C909,Mix_Code,0),2),""))</f>
        <v/>
      </c>
      <c r="H909" s="67" t="str">
        <f aca="false">IF(OR($C909="",$D909=""),"",IFERROR($D909*INDEX(Mix_Eff,MATCH($C909,Mix_Code,0),3),""))</f>
        <v/>
      </c>
      <c r="I909" s="67" t="str">
        <f aca="false">IF(OR($C909="",$D909=""),"",IFERROR($D909*INDEX(Mix_Eff,MATCH($C909,Mix_Code,0),4),""))</f>
        <v/>
      </c>
      <c r="J909" s="67" t="str">
        <f aca="false">IF(OR($C909="",$D909=""),"",IFERROR($D909*INDEX(Mix_Eff,MATCH($C909,Mix_Code,0),5),""))</f>
        <v/>
      </c>
      <c r="K909" s="63"/>
      <c r="L909" s="16" t="str">
        <f aca="false">IF(AND($A909="",$B909="",$C909="",$D909=""),"",IF($A909="","⚠ Date missing",IF($B909="","⚠ Site missing",IF(ISNA(MATCH($C909,Mix_Code,0)),"⚠ Unknown mix code",IF($D909="","⚠ Enter m3 produced",IF(COUNTIF(CI_Site,$B909)=0,"⚠ Site not set up in Current Inventory",IF($A909&gt;AsOfDate,"Future date – not yet deducted","OK")))))))</f>
        <v/>
      </c>
    </row>
    <row r="910" customFormat="false" ht="15" hidden="false" customHeight="false" outlineLevel="0" collapsed="false">
      <c r="A910" s="65"/>
      <c r="B910" s="63"/>
      <c r="C910" s="70"/>
      <c r="D910" s="66"/>
      <c r="E910" s="16" t="str">
        <f aca="false">IF($C910="","",IFERROR(INDEX(Mix_Desc,MATCH($C910,Mix_Code,0)),"⚠ Unknown mix code"))</f>
        <v/>
      </c>
      <c r="F910" s="67" t="str">
        <f aca="false">IF(OR($C910="",$D910=""),"",IFERROR($D910*INDEX(Mix_Eff,MATCH($C910,Mix_Code,0),1),""))</f>
        <v/>
      </c>
      <c r="G910" s="67" t="str">
        <f aca="false">IF(OR($C910="",$D910=""),"",IFERROR($D910*INDEX(Mix_Eff,MATCH($C910,Mix_Code,0),2),""))</f>
        <v/>
      </c>
      <c r="H910" s="67" t="str">
        <f aca="false">IF(OR($C910="",$D910=""),"",IFERROR($D910*INDEX(Mix_Eff,MATCH($C910,Mix_Code,0),3),""))</f>
        <v/>
      </c>
      <c r="I910" s="67" t="str">
        <f aca="false">IF(OR($C910="",$D910=""),"",IFERROR($D910*INDEX(Mix_Eff,MATCH($C910,Mix_Code,0),4),""))</f>
        <v/>
      </c>
      <c r="J910" s="67" t="str">
        <f aca="false">IF(OR($C910="",$D910=""),"",IFERROR($D910*INDEX(Mix_Eff,MATCH($C910,Mix_Code,0),5),""))</f>
        <v/>
      </c>
      <c r="K910" s="63"/>
      <c r="L910" s="16" t="str">
        <f aca="false">IF(AND($A910="",$B910="",$C910="",$D910=""),"",IF($A910="","⚠ Date missing",IF($B910="","⚠ Site missing",IF(ISNA(MATCH($C910,Mix_Code,0)),"⚠ Unknown mix code",IF($D910="","⚠ Enter m3 produced",IF(COUNTIF(CI_Site,$B910)=0,"⚠ Site not set up in Current Inventory",IF($A910&gt;AsOfDate,"Future date – not yet deducted","OK")))))))</f>
        <v/>
      </c>
    </row>
    <row r="911" customFormat="false" ht="15" hidden="false" customHeight="false" outlineLevel="0" collapsed="false">
      <c r="A911" s="65"/>
      <c r="B911" s="63"/>
      <c r="C911" s="70"/>
      <c r="D911" s="66"/>
      <c r="E911" s="16" t="str">
        <f aca="false">IF($C911="","",IFERROR(INDEX(Mix_Desc,MATCH($C911,Mix_Code,0)),"⚠ Unknown mix code"))</f>
        <v/>
      </c>
      <c r="F911" s="67" t="str">
        <f aca="false">IF(OR($C911="",$D911=""),"",IFERROR($D911*INDEX(Mix_Eff,MATCH($C911,Mix_Code,0),1),""))</f>
        <v/>
      </c>
      <c r="G911" s="67" t="str">
        <f aca="false">IF(OR($C911="",$D911=""),"",IFERROR($D911*INDEX(Mix_Eff,MATCH($C911,Mix_Code,0),2),""))</f>
        <v/>
      </c>
      <c r="H911" s="67" t="str">
        <f aca="false">IF(OR($C911="",$D911=""),"",IFERROR($D911*INDEX(Mix_Eff,MATCH($C911,Mix_Code,0),3),""))</f>
        <v/>
      </c>
      <c r="I911" s="67" t="str">
        <f aca="false">IF(OR($C911="",$D911=""),"",IFERROR($D911*INDEX(Mix_Eff,MATCH($C911,Mix_Code,0),4),""))</f>
        <v/>
      </c>
      <c r="J911" s="67" t="str">
        <f aca="false">IF(OR($C911="",$D911=""),"",IFERROR($D911*INDEX(Mix_Eff,MATCH($C911,Mix_Code,0),5),""))</f>
        <v/>
      </c>
      <c r="K911" s="63"/>
      <c r="L911" s="16" t="str">
        <f aca="false">IF(AND($A911="",$B911="",$C911="",$D911=""),"",IF($A911="","⚠ Date missing",IF($B911="","⚠ Site missing",IF(ISNA(MATCH($C911,Mix_Code,0)),"⚠ Unknown mix code",IF($D911="","⚠ Enter m3 produced",IF(COUNTIF(CI_Site,$B911)=0,"⚠ Site not set up in Current Inventory",IF($A911&gt;AsOfDate,"Future date – not yet deducted","OK")))))))</f>
        <v/>
      </c>
    </row>
    <row r="912" customFormat="false" ht="15" hidden="false" customHeight="false" outlineLevel="0" collapsed="false">
      <c r="A912" s="65"/>
      <c r="B912" s="63"/>
      <c r="C912" s="70"/>
      <c r="D912" s="66"/>
      <c r="E912" s="16" t="str">
        <f aca="false">IF($C912="","",IFERROR(INDEX(Mix_Desc,MATCH($C912,Mix_Code,0)),"⚠ Unknown mix code"))</f>
        <v/>
      </c>
      <c r="F912" s="67" t="str">
        <f aca="false">IF(OR($C912="",$D912=""),"",IFERROR($D912*INDEX(Mix_Eff,MATCH($C912,Mix_Code,0),1),""))</f>
        <v/>
      </c>
      <c r="G912" s="67" t="str">
        <f aca="false">IF(OR($C912="",$D912=""),"",IFERROR($D912*INDEX(Mix_Eff,MATCH($C912,Mix_Code,0),2),""))</f>
        <v/>
      </c>
      <c r="H912" s="67" t="str">
        <f aca="false">IF(OR($C912="",$D912=""),"",IFERROR($D912*INDEX(Mix_Eff,MATCH($C912,Mix_Code,0),3),""))</f>
        <v/>
      </c>
      <c r="I912" s="67" t="str">
        <f aca="false">IF(OR($C912="",$D912=""),"",IFERROR($D912*INDEX(Mix_Eff,MATCH($C912,Mix_Code,0),4),""))</f>
        <v/>
      </c>
      <c r="J912" s="67" t="str">
        <f aca="false">IF(OR($C912="",$D912=""),"",IFERROR($D912*INDEX(Mix_Eff,MATCH($C912,Mix_Code,0),5),""))</f>
        <v/>
      </c>
      <c r="K912" s="63"/>
      <c r="L912" s="16" t="str">
        <f aca="false">IF(AND($A912="",$B912="",$C912="",$D912=""),"",IF($A912="","⚠ Date missing",IF($B912="","⚠ Site missing",IF(ISNA(MATCH($C912,Mix_Code,0)),"⚠ Unknown mix code",IF($D912="","⚠ Enter m3 produced",IF(COUNTIF(CI_Site,$B912)=0,"⚠ Site not set up in Current Inventory",IF($A912&gt;AsOfDate,"Future date – not yet deducted","OK")))))))</f>
        <v/>
      </c>
    </row>
    <row r="913" customFormat="false" ht="15" hidden="false" customHeight="false" outlineLevel="0" collapsed="false">
      <c r="A913" s="65"/>
      <c r="B913" s="63"/>
      <c r="C913" s="70"/>
      <c r="D913" s="66"/>
      <c r="E913" s="16" t="str">
        <f aca="false">IF($C913="","",IFERROR(INDEX(Mix_Desc,MATCH($C913,Mix_Code,0)),"⚠ Unknown mix code"))</f>
        <v/>
      </c>
      <c r="F913" s="67" t="str">
        <f aca="false">IF(OR($C913="",$D913=""),"",IFERROR($D913*INDEX(Mix_Eff,MATCH($C913,Mix_Code,0),1),""))</f>
        <v/>
      </c>
      <c r="G913" s="67" t="str">
        <f aca="false">IF(OR($C913="",$D913=""),"",IFERROR($D913*INDEX(Mix_Eff,MATCH($C913,Mix_Code,0),2),""))</f>
        <v/>
      </c>
      <c r="H913" s="67" t="str">
        <f aca="false">IF(OR($C913="",$D913=""),"",IFERROR($D913*INDEX(Mix_Eff,MATCH($C913,Mix_Code,0),3),""))</f>
        <v/>
      </c>
      <c r="I913" s="67" t="str">
        <f aca="false">IF(OR($C913="",$D913=""),"",IFERROR($D913*INDEX(Mix_Eff,MATCH($C913,Mix_Code,0),4),""))</f>
        <v/>
      </c>
      <c r="J913" s="67" t="str">
        <f aca="false">IF(OR($C913="",$D913=""),"",IFERROR($D913*INDEX(Mix_Eff,MATCH($C913,Mix_Code,0),5),""))</f>
        <v/>
      </c>
      <c r="K913" s="63"/>
      <c r="L913" s="16" t="str">
        <f aca="false">IF(AND($A913="",$B913="",$C913="",$D913=""),"",IF($A913="","⚠ Date missing",IF($B913="","⚠ Site missing",IF(ISNA(MATCH($C913,Mix_Code,0)),"⚠ Unknown mix code",IF($D913="","⚠ Enter m3 produced",IF(COUNTIF(CI_Site,$B913)=0,"⚠ Site not set up in Current Inventory",IF($A913&gt;AsOfDate,"Future date – not yet deducted","OK")))))))</f>
        <v/>
      </c>
    </row>
    <row r="914" customFormat="false" ht="15" hidden="false" customHeight="false" outlineLevel="0" collapsed="false">
      <c r="A914" s="65"/>
      <c r="B914" s="63"/>
      <c r="C914" s="70"/>
      <c r="D914" s="66"/>
      <c r="E914" s="16" t="str">
        <f aca="false">IF($C914="","",IFERROR(INDEX(Mix_Desc,MATCH($C914,Mix_Code,0)),"⚠ Unknown mix code"))</f>
        <v/>
      </c>
      <c r="F914" s="67" t="str">
        <f aca="false">IF(OR($C914="",$D914=""),"",IFERROR($D914*INDEX(Mix_Eff,MATCH($C914,Mix_Code,0),1),""))</f>
        <v/>
      </c>
      <c r="G914" s="67" t="str">
        <f aca="false">IF(OR($C914="",$D914=""),"",IFERROR($D914*INDEX(Mix_Eff,MATCH($C914,Mix_Code,0),2),""))</f>
        <v/>
      </c>
      <c r="H914" s="67" t="str">
        <f aca="false">IF(OR($C914="",$D914=""),"",IFERROR($D914*INDEX(Mix_Eff,MATCH($C914,Mix_Code,0),3),""))</f>
        <v/>
      </c>
      <c r="I914" s="67" t="str">
        <f aca="false">IF(OR($C914="",$D914=""),"",IFERROR($D914*INDEX(Mix_Eff,MATCH($C914,Mix_Code,0),4),""))</f>
        <v/>
      </c>
      <c r="J914" s="67" t="str">
        <f aca="false">IF(OR($C914="",$D914=""),"",IFERROR($D914*INDEX(Mix_Eff,MATCH($C914,Mix_Code,0),5),""))</f>
        <v/>
      </c>
      <c r="K914" s="63"/>
      <c r="L914" s="16" t="str">
        <f aca="false">IF(AND($A914="",$B914="",$C914="",$D914=""),"",IF($A914="","⚠ Date missing",IF($B914="","⚠ Site missing",IF(ISNA(MATCH($C914,Mix_Code,0)),"⚠ Unknown mix code",IF($D914="","⚠ Enter m3 produced",IF(COUNTIF(CI_Site,$B914)=0,"⚠ Site not set up in Current Inventory",IF($A914&gt;AsOfDate,"Future date – not yet deducted","OK")))))))</f>
        <v/>
      </c>
    </row>
    <row r="915" customFormat="false" ht="15" hidden="false" customHeight="false" outlineLevel="0" collapsed="false">
      <c r="A915" s="65"/>
      <c r="B915" s="63"/>
      <c r="C915" s="70"/>
      <c r="D915" s="66"/>
      <c r="E915" s="16" t="str">
        <f aca="false">IF($C915="","",IFERROR(INDEX(Mix_Desc,MATCH($C915,Mix_Code,0)),"⚠ Unknown mix code"))</f>
        <v/>
      </c>
      <c r="F915" s="67" t="str">
        <f aca="false">IF(OR($C915="",$D915=""),"",IFERROR($D915*INDEX(Mix_Eff,MATCH($C915,Mix_Code,0),1),""))</f>
        <v/>
      </c>
      <c r="G915" s="67" t="str">
        <f aca="false">IF(OR($C915="",$D915=""),"",IFERROR($D915*INDEX(Mix_Eff,MATCH($C915,Mix_Code,0),2),""))</f>
        <v/>
      </c>
      <c r="H915" s="67" t="str">
        <f aca="false">IF(OR($C915="",$D915=""),"",IFERROR($D915*INDEX(Mix_Eff,MATCH($C915,Mix_Code,0),3),""))</f>
        <v/>
      </c>
      <c r="I915" s="67" t="str">
        <f aca="false">IF(OR($C915="",$D915=""),"",IFERROR($D915*INDEX(Mix_Eff,MATCH($C915,Mix_Code,0),4),""))</f>
        <v/>
      </c>
      <c r="J915" s="67" t="str">
        <f aca="false">IF(OR($C915="",$D915=""),"",IFERROR($D915*INDEX(Mix_Eff,MATCH($C915,Mix_Code,0),5),""))</f>
        <v/>
      </c>
      <c r="K915" s="63"/>
      <c r="L915" s="16" t="str">
        <f aca="false">IF(AND($A915="",$B915="",$C915="",$D915=""),"",IF($A915="","⚠ Date missing",IF($B915="","⚠ Site missing",IF(ISNA(MATCH($C915,Mix_Code,0)),"⚠ Unknown mix code",IF($D915="","⚠ Enter m3 produced",IF(COUNTIF(CI_Site,$B915)=0,"⚠ Site not set up in Current Inventory",IF($A915&gt;AsOfDate,"Future date – not yet deducted","OK")))))))</f>
        <v/>
      </c>
    </row>
    <row r="916" customFormat="false" ht="15" hidden="false" customHeight="false" outlineLevel="0" collapsed="false">
      <c r="A916" s="65"/>
      <c r="B916" s="63"/>
      <c r="C916" s="70"/>
      <c r="D916" s="66"/>
      <c r="E916" s="16" t="str">
        <f aca="false">IF($C916="","",IFERROR(INDEX(Mix_Desc,MATCH($C916,Mix_Code,0)),"⚠ Unknown mix code"))</f>
        <v/>
      </c>
      <c r="F916" s="67" t="str">
        <f aca="false">IF(OR($C916="",$D916=""),"",IFERROR($D916*INDEX(Mix_Eff,MATCH($C916,Mix_Code,0),1),""))</f>
        <v/>
      </c>
      <c r="G916" s="67" t="str">
        <f aca="false">IF(OR($C916="",$D916=""),"",IFERROR($D916*INDEX(Mix_Eff,MATCH($C916,Mix_Code,0),2),""))</f>
        <v/>
      </c>
      <c r="H916" s="67" t="str">
        <f aca="false">IF(OR($C916="",$D916=""),"",IFERROR($D916*INDEX(Mix_Eff,MATCH($C916,Mix_Code,0),3),""))</f>
        <v/>
      </c>
      <c r="I916" s="67" t="str">
        <f aca="false">IF(OR($C916="",$D916=""),"",IFERROR($D916*INDEX(Mix_Eff,MATCH($C916,Mix_Code,0),4),""))</f>
        <v/>
      </c>
      <c r="J916" s="67" t="str">
        <f aca="false">IF(OR($C916="",$D916=""),"",IFERROR($D916*INDEX(Mix_Eff,MATCH($C916,Mix_Code,0),5),""))</f>
        <v/>
      </c>
      <c r="K916" s="63"/>
      <c r="L916" s="16" t="str">
        <f aca="false">IF(AND($A916="",$B916="",$C916="",$D916=""),"",IF($A916="","⚠ Date missing",IF($B916="","⚠ Site missing",IF(ISNA(MATCH($C916,Mix_Code,0)),"⚠ Unknown mix code",IF($D916="","⚠ Enter m3 produced",IF(COUNTIF(CI_Site,$B916)=0,"⚠ Site not set up in Current Inventory",IF($A916&gt;AsOfDate,"Future date – not yet deducted","OK")))))))</f>
        <v/>
      </c>
    </row>
    <row r="917" customFormat="false" ht="15" hidden="false" customHeight="false" outlineLevel="0" collapsed="false">
      <c r="A917" s="65"/>
      <c r="B917" s="63"/>
      <c r="C917" s="70"/>
      <c r="D917" s="66"/>
      <c r="E917" s="16" t="str">
        <f aca="false">IF($C917="","",IFERROR(INDEX(Mix_Desc,MATCH($C917,Mix_Code,0)),"⚠ Unknown mix code"))</f>
        <v/>
      </c>
      <c r="F917" s="67" t="str">
        <f aca="false">IF(OR($C917="",$D917=""),"",IFERROR($D917*INDEX(Mix_Eff,MATCH($C917,Mix_Code,0),1),""))</f>
        <v/>
      </c>
      <c r="G917" s="67" t="str">
        <f aca="false">IF(OR($C917="",$D917=""),"",IFERROR($D917*INDEX(Mix_Eff,MATCH($C917,Mix_Code,0),2),""))</f>
        <v/>
      </c>
      <c r="H917" s="67" t="str">
        <f aca="false">IF(OR($C917="",$D917=""),"",IFERROR($D917*INDEX(Mix_Eff,MATCH($C917,Mix_Code,0),3),""))</f>
        <v/>
      </c>
      <c r="I917" s="67" t="str">
        <f aca="false">IF(OR($C917="",$D917=""),"",IFERROR($D917*INDEX(Mix_Eff,MATCH($C917,Mix_Code,0),4),""))</f>
        <v/>
      </c>
      <c r="J917" s="67" t="str">
        <f aca="false">IF(OR($C917="",$D917=""),"",IFERROR($D917*INDEX(Mix_Eff,MATCH($C917,Mix_Code,0),5),""))</f>
        <v/>
      </c>
      <c r="K917" s="63"/>
      <c r="L917" s="16" t="str">
        <f aca="false">IF(AND($A917="",$B917="",$C917="",$D917=""),"",IF($A917="","⚠ Date missing",IF($B917="","⚠ Site missing",IF(ISNA(MATCH($C917,Mix_Code,0)),"⚠ Unknown mix code",IF($D917="","⚠ Enter m3 produced",IF(COUNTIF(CI_Site,$B917)=0,"⚠ Site not set up in Current Inventory",IF($A917&gt;AsOfDate,"Future date – not yet deducted","OK")))))))</f>
        <v/>
      </c>
    </row>
    <row r="918" customFormat="false" ht="15" hidden="false" customHeight="false" outlineLevel="0" collapsed="false">
      <c r="A918" s="65"/>
      <c r="B918" s="63"/>
      <c r="C918" s="70"/>
      <c r="D918" s="66"/>
      <c r="E918" s="16" t="str">
        <f aca="false">IF($C918="","",IFERROR(INDEX(Mix_Desc,MATCH($C918,Mix_Code,0)),"⚠ Unknown mix code"))</f>
        <v/>
      </c>
      <c r="F918" s="67" t="str">
        <f aca="false">IF(OR($C918="",$D918=""),"",IFERROR($D918*INDEX(Mix_Eff,MATCH($C918,Mix_Code,0),1),""))</f>
        <v/>
      </c>
      <c r="G918" s="67" t="str">
        <f aca="false">IF(OR($C918="",$D918=""),"",IFERROR($D918*INDEX(Mix_Eff,MATCH($C918,Mix_Code,0),2),""))</f>
        <v/>
      </c>
      <c r="H918" s="67" t="str">
        <f aca="false">IF(OR($C918="",$D918=""),"",IFERROR($D918*INDEX(Mix_Eff,MATCH($C918,Mix_Code,0),3),""))</f>
        <v/>
      </c>
      <c r="I918" s="67" t="str">
        <f aca="false">IF(OR($C918="",$D918=""),"",IFERROR($D918*INDEX(Mix_Eff,MATCH($C918,Mix_Code,0),4),""))</f>
        <v/>
      </c>
      <c r="J918" s="67" t="str">
        <f aca="false">IF(OR($C918="",$D918=""),"",IFERROR($D918*INDEX(Mix_Eff,MATCH($C918,Mix_Code,0),5),""))</f>
        <v/>
      </c>
      <c r="K918" s="63"/>
      <c r="L918" s="16" t="str">
        <f aca="false">IF(AND($A918="",$B918="",$C918="",$D918=""),"",IF($A918="","⚠ Date missing",IF($B918="","⚠ Site missing",IF(ISNA(MATCH($C918,Mix_Code,0)),"⚠ Unknown mix code",IF($D918="","⚠ Enter m3 produced",IF(COUNTIF(CI_Site,$B918)=0,"⚠ Site not set up in Current Inventory",IF($A918&gt;AsOfDate,"Future date – not yet deducted","OK")))))))</f>
        <v/>
      </c>
    </row>
    <row r="919" customFormat="false" ht="15" hidden="false" customHeight="false" outlineLevel="0" collapsed="false">
      <c r="A919" s="65"/>
      <c r="B919" s="63"/>
      <c r="C919" s="70"/>
      <c r="D919" s="66"/>
      <c r="E919" s="16" t="str">
        <f aca="false">IF($C919="","",IFERROR(INDEX(Mix_Desc,MATCH($C919,Mix_Code,0)),"⚠ Unknown mix code"))</f>
        <v/>
      </c>
      <c r="F919" s="67" t="str">
        <f aca="false">IF(OR($C919="",$D919=""),"",IFERROR($D919*INDEX(Mix_Eff,MATCH($C919,Mix_Code,0),1),""))</f>
        <v/>
      </c>
      <c r="G919" s="67" t="str">
        <f aca="false">IF(OR($C919="",$D919=""),"",IFERROR($D919*INDEX(Mix_Eff,MATCH($C919,Mix_Code,0),2),""))</f>
        <v/>
      </c>
      <c r="H919" s="67" t="str">
        <f aca="false">IF(OR($C919="",$D919=""),"",IFERROR($D919*INDEX(Mix_Eff,MATCH($C919,Mix_Code,0),3),""))</f>
        <v/>
      </c>
      <c r="I919" s="67" t="str">
        <f aca="false">IF(OR($C919="",$D919=""),"",IFERROR($D919*INDEX(Mix_Eff,MATCH($C919,Mix_Code,0),4),""))</f>
        <v/>
      </c>
      <c r="J919" s="67" t="str">
        <f aca="false">IF(OR($C919="",$D919=""),"",IFERROR($D919*INDEX(Mix_Eff,MATCH($C919,Mix_Code,0),5),""))</f>
        <v/>
      </c>
      <c r="K919" s="63"/>
      <c r="L919" s="16" t="str">
        <f aca="false">IF(AND($A919="",$B919="",$C919="",$D919=""),"",IF($A919="","⚠ Date missing",IF($B919="","⚠ Site missing",IF(ISNA(MATCH($C919,Mix_Code,0)),"⚠ Unknown mix code",IF($D919="","⚠ Enter m3 produced",IF(COUNTIF(CI_Site,$B919)=0,"⚠ Site not set up in Current Inventory",IF($A919&gt;AsOfDate,"Future date – not yet deducted","OK")))))))</f>
        <v/>
      </c>
    </row>
    <row r="920" customFormat="false" ht="15" hidden="false" customHeight="false" outlineLevel="0" collapsed="false">
      <c r="A920" s="65"/>
      <c r="B920" s="63"/>
      <c r="C920" s="70"/>
      <c r="D920" s="66"/>
      <c r="E920" s="16" t="str">
        <f aca="false">IF($C920="","",IFERROR(INDEX(Mix_Desc,MATCH($C920,Mix_Code,0)),"⚠ Unknown mix code"))</f>
        <v/>
      </c>
      <c r="F920" s="67" t="str">
        <f aca="false">IF(OR($C920="",$D920=""),"",IFERROR($D920*INDEX(Mix_Eff,MATCH($C920,Mix_Code,0),1),""))</f>
        <v/>
      </c>
      <c r="G920" s="67" t="str">
        <f aca="false">IF(OR($C920="",$D920=""),"",IFERROR($D920*INDEX(Mix_Eff,MATCH($C920,Mix_Code,0),2),""))</f>
        <v/>
      </c>
      <c r="H920" s="67" t="str">
        <f aca="false">IF(OR($C920="",$D920=""),"",IFERROR($D920*INDEX(Mix_Eff,MATCH($C920,Mix_Code,0),3),""))</f>
        <v/>
      </c>
      <c r="I920" s="67" t="str">
        <f aca="false">IF(OR($C920="",$D920=""),"",IFERROR($D920*INDEX(Mix_Eff,MATCH($C920,Mix_Code,0),4),""))</f>
        <v/>
      </c>
      <c r="J920" s="67" t="str">
        <f aca="false">IF(OR($C920="",$D920=""),"",IFERROR($D920*INDEX(Mix_Eff,MATCH($C920,Mix_Code,0),5),""))</f>
        <v/>
      </c>
      <c r="K920" s="63"/>
      <c r="L920" s="16" t="str">
        <f aca="false">IF(AND($A920="",$B920="",$C920="",$D920=""),"",IF($A920="","⚠ Date missing",IF($B920="","⚠ Site missing",IF(ISNA(MATCH($C920,Mix_Code,0)),"⚠ Unknown mix code",IF($D920="","⚠ Enter m3 produced",IF(COUNTIF(CI_Site,$B920)=0,"⚠ Site not set up in Current Inventory",IF($A920&gt;AsOfDate,"Future date – not yet deducted","OK")))))))</f>
        <v/>
      </c>
    </row>
    <row r="921" customFormat="false" ht="15" hidden="false" customHeight="false" outlineLevel="0" collapsed="false">
      <c r="A921" s="65"/>
      <c r="B921" s="63"/>
      <c r="C921" s="70"/>
      <c r="D921" s="66"/>
      <c r="E921" s="16" t="str">
        <f aca="false">IF($C921="","",IFERROR(INDEX(Mix_Desc,MATCH($C921,Mix_Code,0)),"⚠ Unknown mix code"))</f>
        <v/>
      </c>
      <c r="F921" s="67" t="str">
        <f aca="false">IF(OR($C921="",$D921=""),"",IFERROR($D921*INDEX(Mix_Eff,MATCH($C921,Mix_Code,0),1),""))</f>
        <v/>
      </c>
      <c r="G921" s="67" t="str">
        <f aca="false">IF(OR($C921="",$D921=""),"",IFERROR($D921*INDEX(Mix_Eff,MATCH($C921,Mix_Code,0),2),""))</f>
        <v/>
      </c>
      <c r="H921" s="67" t="str">
        <f aca="false">IF(OR($C921="",$D921=""),"",IFERROR($D921*INDEX(Mix_Eff,MATCH($C921,Mix_Code,0),3),""))</f>
        <v/>
      </c>
      <c r="I921" s="67" t="str">
        <f aca="false">IF(OR($C921="",$D921=""),"",IFERROR($D921*INDEX(Mix_Eff,MATCH($C921,Mix_Code,0),4),""))</f>
        <v/>
      </c>
      <c r="J921" s="67" t="str">
        <f aca="false">IF(OR($C921="",$D921=""),"",IFERROR($D921*INDEX(Mix_Eff,MATCH($C921,Mix_Code,0),5),""))</f>
        <v/>
      </c>
      <c r="K921" s="63"/>
      <c r="L921" s="16" t="str">
        <f aca="false">IF(AND($A921="",$B921="",$C921="",$D921=""),"",IF($A921="","⚠ Date missing",IF($B921="","⚠ Site missing",IF(ISNA(MATCH($C921,Mix_Code,0)),"⚠ Unknown mix code",IF($D921="","⚠ Enter m3 produced",IF(COUNTIF(CI_Site,$B921)=0,"⚠ Site not set up in Current Inventory",IF($A921&gt;AsOfDate,"Future date – not yet deducted","OK")))))))</f>
        <v/>
      </c>
    </row>
    <row r="922" customFormat="false" ht="15" hidden="false" customHeight="false" outlineLevel="0" collapsed="false">
      <c r="A922" s="65"/>
      <c r="B922" s="63"/>
      <c r="C922" s="70"/>
      <c r="D922" s="66"/>
      <c r="E922" s="16" t="str">
        <f aca="false">IF($C922="","",IFERROR(INDEX(Mix_Desc,MATCH($C922,Mix_Code,0)),"⚠ Unknown mix code"))</f>
        <v/>
      </c>
      <c r="F922" s="67" t="str">
        <f aca="false">IF(OR($C922="",$D922=""),"",IFERROR($D922*INDEX(Mix_Eff,MATCH($C922,Mix_Code,0),1),""))</f>
        <v/>
      </c>
      <c r="G922" s="67" t="str">
        <f aca="false">IF(OR($C922="",$D922=""),"",IFERROR($D922*INDEX(Mix_Eff,MATCH($C922,Mix_Code,0),2),""))</f>
        <v/>
      </c>
      <c r="H922" s="67" t="str">
        <f aca="false">IF(OR($C922="",$D922=""),"",IFERROR($D922*INDEX(Mix_Eff,MATCH($C922,Mix_Code,0),3),""))</f>
        <v/>
      </c>
      <c r="I922" s="67" t="str">
        <f aca="false">IF(OR($C922="",$D922=""),"",IFERROR($D922*INDEX(Mix_Eff,MATCH($C922,Mix_Code,0),4),""))</f>
        <v/>
      </c>
      <c r="J922" s="67" t="str">
        <f aca="false">IF(OR($C922="",$D922=""),"",IFERROR($D922*INDEX(Mix_Eff,MATCH($C922,Mix_Code,0),5),""))</f>
        <v/>
      </c>
      <c r="K922" s="63"/>
      <c r="L922" s="16" t="str">
        <f aca="false">IF(AND($A922="",$B922="",$C922="",$D922=""),"",IF($A922="","⚠ Date missing",IF($B922="","⚠ Site missing",IF(ISNA(MATCH($C922,Mix_Code,0)),"⚠ Unknown mix code",IF($D922="","⚠ Enter m3 produced",IF(COUNTIF(CI_Site,$B922)=0,"⚠ Site not set up in Current Inventory",IF($A922&gt;AsOfDate,"Future date – not yet deducted","OK")))))))</f>
        <v/>
      </c>
    </row>
    <row r="923" customFormat="false" ht="15" hidden="false" customHeight="false" outlineLevel="0" collapsed="false">
      <c r="A923" s="65"/>
      <c r="B923" s="63"/>
      <c r="C923" s="70"/>
      <c r="D923" s="66"/>
      <c r="E923" s="16" t="str">
        <f aca="false">IF($C923="","",IFERROR(INDEX(Mix_Desc,MATCH($C923,Mix_Code,0)),"⚠ Unknown mix code"))</f>
        <v/>
      </c>
      <c r="F923" s="67" t="str">
        <f aca="false">IF(OR($C923="",$D923=""),"",IFERROR($D923*INDEX(Mix_Eff,MATCH($C923,Mix_Code,0),1),""))</f>
        <v/>
      </c>
      <c r="G923" s="67" t="str">
        <f aca="false">IF(OR($C923="",$D923=""),"",IFERROR($D923*INDEX(Mix_Eff,MATCH($C923,Mix_Code,0),2),""))</f>
        <v/>
      </c>
      <c r="H923" s="67" t="str">
        <f aca="false">IF(OR($C923="",$D923=""),"",IFERROR($D923*INDEX(Mix_Eff,MATCH($C923,Mix_Code,0),3),""))</f>
        <v/>
      </c>
      <c r="I923" s="67" t="str">
        <f aca="false">IF(OR($C923="",$D923=""),"",IFERROR($D923*INDEX(Mix_Eff,MATCH($C923,Mix_Code,0),4),""))</f>
        <v/>
      </c>
      <c r="J923" s="67" t="str">
        <f aca="false">IF(OR($C923="",$D923=""),"",IFERROR($D923*INDEX(Mix_Eff,MATCH($C923,Mix_Code,0),5),""))</f>
        <v/>
      </c>
      <c r="K923" s="63"/>
      <c r="L923" s="16" t="str">
        <f aca="false">IF(AND($A923="",$B923="",$C923="",$D923=""),"",IF($A923="","⚠ Date missing",IF($B923="","⚠ Site missing",IF(ISNA(MATCH($C923,Mix_Code,0)),"⚠ Unknown mix code",IF($D923="","⚠ Enter m3 produced",IF(COUNTIF(CI_Site,$B923)=0,"⚠ Site not set up in Current Inventory",IF($A923&gt;AsOfDate,"Future date – not yet deducted","OK")))))))</f>
        <v/>
      </c>
    </row>
    <row r="924" customFormat="false" ht="15" hidden="false" customHeight="false" outlineLevel="0" collapsed="false">
      <c r="A924" s="65"/>
      <c r="B924" s="63"/>
      <c r="C924" s="70"/>
      <c r="D924" s="66"/>
      <c r="E924" s="16" t="str">
        <f aca="false">IF($C924="","",IFERROR(INDEX(Mix_Desc,MATCH($C924,Mix_Code,0)),"⚠ Unknown mix code"))</f>
        <v/>
      </c>
      <c r="F924" s="67" t="str">
        <f aca="false">IF(OR($C924="",$D924=""),"",IFERROR($D924*INDEX(Mix_Eff,MATCH($C924,Mix_Code,0),1),""))</f>
        <v/>
      </c>
      <c r="G924" s="67" t="str">
        <f aca="false">IF(OR($C924="",$D924=""),"",IFERROR($D924*INDEX(Mix_Eff,MATCH($C924,Mix_Code,0),2),""))</f>
        <v/>
      </c>
      <c r="H924" s="67" t="str">
        <f aca="false">IF(OR($C924="",$D924=""),"",IFERROR($D924*INDEX(Mix_Eff,MATCH($C924,Mix_Code,0),3),""))</f>
        <v/>
      </c>
      <c r="I924" s="67" t="str">
        <f aca="false">IF(OR($C924="",$D924=""),"",IFERROR($D924*INDEX(Mix_Eff,MATCH($C924,Mix_Code,0),4),""))</f>
        <v/>
      </c>
      <c r="J924" s="67" t="str">
        <f aca="false">IF(OR($C924="",$D924=""),"",IFERROR($D924*INDEX(Mix_Eff,MATCH($C924,Mix_Code,0),5),""))</f>
        <v/>
      </c>
      <c r="K924" s="63"/>
      <c r="L924" s="16" t="str">
        <f aca="false">IF(AND($A924="",$B924="",$C924="",$D924=""),"",IF($A924="","⚠ Date missing",IF($B924="","⚠ Site missing",IF(ISNA(MATCH($C924,Mix_Code,0)),"⚠ Unknown mix code",IF($D924="","⚠ Enter m3 produced",IF(COUNTIF(CI_Site,$B924)=0,"⚠ Site not set up in Current Inventory",IF($A924&gt;AsOfDate,"Future date – not yet deducted","OK")))))))</f>
        <v/>
      </c>
    </row>
    <row r="925" customFormat="false" ht="15" hidden="false" customHeight="false" outlineLevel="0" collapsed="false">
      <c r="A925" s="65"/>
      <c r="B925" s="63"/>
      <c r="C925" s="70"/>
      <c r="D925" s="66"/>
      <c r="E925" s="16" t="str">
        <f aca="false">IF($C925="","",IFERROR(INDEX(Mix_Desc,MATCH($C925,Mix_Code,0)),"⚠ Unknown mix code"))</f>
        <v/>
      </c>
      <c r="F925" s="67" t="str">
        <f aca="false">IF(OR($C925="",$D925=""),"",IFERROR($D925*INDEX(Mix_Eff,MATCH($C925,Mix_Code,0),1),""))</f>
        <v/>
      </c>
      <c r="G925" s="67" t="str">
        <f aca="false">IF(OR($C925="",$D925=""),"",IFERROR($D925*INDEX(Mix_Eff,MATCH($C925,Mix_Code,0),2),""))</f>
        <v/>
      </c>
      <c r="H925" s="67" t="str">
        <f aca="false">IF(OR($C925="",$D925=""),"",IFERROR($D925*INDEX(Mix_Eff,MATCH($C925,Mix_Code,0),3),""))</f>
        <v/>
      </c>
      <c r="I925" s="67" t="str">
        <f aca="false">IF(OR($C925="",$D925=""),"",IFERROR($D925*INDEX(Mix_Eff,MATCH($C925,Mix_Code,0),4),""))</f>
        <v/>
      </c>
      <c r="J925" s="67" t="str">
        <f aca="false">IF(OR($C925="",$D925=""),"",IFERROR($D925*INDEX(Mix_Eff,MATCH($C925,Mix_Code,0),5),""))</f>
        <v/>
      </c>
      <c r="K925" s="63"/>
      <c r="L925" s="16" t="str">
        <f aca="false">IF(AND($A925="",$B925="",$C925="",$D925=""),"",IF($A925="","⚠ Date missing",IF($B925="","⚠ Site missing",IF(ISNA(MATCH($C925,Mix_Code,0)),"⚠ Unknown mix code",IF($D925="","⚠ Enter m3 produced",IF(COUNTIF(CI_Site,$B925)=0,"⚠ Site not set up in Current Inventory",IF($A925&gt;AsOfDate,"Future date – not yet deducted","OK")))))))</f>
        <v/>
      </c>
    </row>
    <row r="926" customFormat="false" ht="15" hidden="false" customHeight="false" outlineLevel="0" collapsed="false">
      <c r="A926" s="65"/>
      <c r="B926" s="63"/>
      <c r="C926" s="70"/>
      <c r="D926" s="66"/>
      <c r="E926" s="16" t="str">
        <f aca="false">IF($C926="","",IFERROR(INDEX(Mix_Desc,MATCH($C926,Mix_Code,0)),"⚠ Unknown mix code"))</f>
        <v/>
      </c>
      <c r="F926" s="67" t="str">
        <f aca="false">IF(OR($C926="",$D926=""),"",IFERROR($D926*INDEX(Mix_Eff,MATCH($C926,Mix_Code,0),1),""))</f>
        <v/>
      </c>
      <c r="G926" s="67" t="str">
        <f aca="false">IF(OR($C926="",$D926=""),"",IFERROR($D926*INDEX(Mix_Eff,MATCH($C926,Mix_Code,0),2),""))</f>
        <v/>
      </c>
      <c r="H926" s="67" t="str">
        <f aca="false">IF(OR($C926="",$D926=""),"",IFERROR($D926*INDEX(Mix_Eff,MATCH($C926,Mix_Code,0),3),""))</f>
        <v/>
      </c>
      <c r="I926" s="67" t="str">
        <f aca="false">IF(OR($C926="",$D926=""),"",IFERROR($D926*INDEX(Mix_Eff,MATCH($C926,Mix_Code,0),4),""))</f>
        <v/>
      </c>
      <c r="J926" s="67" t="str">
        <f aca="false">IF(OR($C926="",$D926=""),"",IFERROR($D926*INDEX(Mix_Eff,MATCH($C926,Mix_Code,0),5),""))</f>
        <v/>
      </c>
      <c r="K926" s="63"/>
      <c r="L926" s="16" t="str">
        <f aca="false">IF(AND($A926="",$B926="",$C926="",$D926=""),"",IF($A926="","⚠ Date missing",IF($B926="","⚠ Site missing",IF(ISNA(MATCH($C926,Mix_Code,0)),"⚠ Unknown mix code",IF($D926="","⚠ Enter m3 produced",IF(COUNTIF(CI_Site,$B926)=0,"⚠ Site not set up in Current Inventory",IF($A926&gt;AsOfDate,"Future date – not yet deducted","OK")))))))</f>
        <v/>
      </c>
    </row>
    <row r="927" customFormat="false" ht="15" hidden="false" customHeight="false" outlineLevel="0" collapsed="false">
      <c r="A927" s="65"/>
      <c r="B927" s="63"/>
      <c r="C927" s="70"/>
      <c r="D927" s="66"/>
      <c r="E927" s="16" t="str">
        <f aca="false">IF($C927="","",IFERROR(INDEX(Mix_Desc,MATCH($C927,Mix_Code,0)),"⚠ Unknown mix code"))</f>
        <v/>
      </c>
      <c r="F927" s="67" t="str">
        <f aca="false">IF(OR($C927="",$D927=""),"",IFERROR($D927*INDEX(Mix_Eff,MATCH($C927,Mix_Code,0),1),""))</f>
        <v/>
      </c>
      <c r="G927" s="67" t="str">
        <f aca="false">IF(OR($C927="",$D927=""),"",IFERROR($D927*INDEX(Mix_Eff,MATCH($C927,Mix_Code,0),2),""))</f>
        <v/>
      </c>
      <c r="H927" s="67" t="str">
        <f aca="false">IF(OR($C927="",$D927=""),"",IFERROR($D927*INDEX(Mix_Eff,MATCH($C927,Mix_Code,0),3),""))</f>
        <v/>
      </c>
      <c r="I927" s="67" t="str">
        <f aca="false">IF(OR($C927="",$D927=""),"",IFERROR($D927*INDEX(Mix_Eff,MATCH($C927,Mix_Code,0),4),""))</f>
        <v/>
      </c>
      <c r="J927" s="67" t="str">
        <f aca="false">IF(OR($C927="",$D927=""),"",IFERROR($D927*INDEX(Mix_Eff,MATCH($C927,Mix_Code,0),5),""))</f>
        <v/>
      </c>
      <c r="K927" s="63"/>
      <c r="L927" s="16" t="str">
        <f aca="false">IF(AND($A927="",$B927="",$C927="",$D927=""),"",IF($A927="","⚠ Date missing",IF($B927="","⚠ Site missing",IF(ISNA(MATCH($C927,Mix_Code,0)),"⚠ Unknown mix code",IF($D927="","⚠ Enter m3 produced",IF(COUNTIF(CI_Site,$B927)=0,"⚠ Site not set up in Current Inventory",IF($A927&gt;AsOfDate,"Future date – not yet deducted","OK")))))))</f>
        <v/>
      </c>
    </row>
    <row r="928" customFormat="false" ht="15" hidden="false" customHeight="false" outlineLevel="0" collapsed="false">
      <c r="A928" s="65"/>
      <c r="B928" s="63"/>
      <c r="C928" s="70"/>
      <c r="D928" s="66"/>
      <c r="E928" s="16" t="str">
        <f aca="false">IF($C928="","",IFERROR(INDEX(Mix_Desc,MATCH($C928,Mix_Code,0)),"⚠ Unknown mix code"))</f>
        <v/>
      </c>
      <c r="F928" s="67" t="str">
        <f aca="false">IF(OR($C928="",$D928=""),"",IFERROR($D928*INDEX(Mix_Eff,MATCH($C928,Mix_Code,0),1),""))</f>
        <v/>
      </c>
      <c r="G928" s="67" t="str">
        <f aca="false">IF(OR($C928="",$D928=""),"",IFERROR($D928*INDEX(Mix_Eff,MATCH($C928,Mix_Code,0),2),""))</f>
        <v/>
      </c>
      <c r="H928" s="67" t="str">
        <f aca="false">IF(OR($C928="",$D928=""),"",IFERROR($D928*INDEX(Mix_Eff,MATCH($C928,Mix_Code,0),3),""))</f>
        <v/>
      </c>
      <c r="I928" s="67" t="str">
        <f aca="false">IF(OR($C928="",$D928=""),"",IFERROR($D928*INDEX(Mix_Eff,MATCH($C928,Mix_Code,0),4),""))</f>
        <v/>
      </c>
      <c r="J928" s="67" t="str">
        <f aca="false">IF(OR($C928="",$D928=""),"",IFERROR($D928*INDEX(Mix_Eff,MATCH($C928,Mix_Code,0),5),""))</f>
        <v/>
      </c>
      <c r="K928" s="63"/>
      <c r="L928" s="16" t="str">
        <f aca="false">IF(AND($A928="",$B928="",$C928="",$D928=""),"",IF($A928="","⚠ Date missing",IF($B928="","⚠ Site missing",IF(ISNA(MATCH($C928,Mix_Code,0)),"⚠ Unknown mix code",IF($D928="","⚠ Enter m3 produced",IF(COUNTIF(CI_Site,$B928)=0,"⚠ Site not set up in Current Inventory",IF($A928&gt;AsOfDate,"Future date – not yet deducted","OK")))))))</f>
        <v/>
      </c>
    </row>
    <row r="929" customFormat="false" ht="15" hidden="false" customHeight="false" outlineLevel="0" collapsed="false">
      <c r="A929" s="65"/>
      <c r="B929" s="63"/>
      <c r="C929" s="70"/>
      <c r="D929" s="66"/>
      <c r="E929" s="16" t="str">
        <f aca="false">IF($C929="","",IFERROR(INDEX(Mix_Desc,MATCH($C929,Mix_Code,0)),"⚠ Unknown mix code"))</f>
        <v/>
      </c>
      <c r="F929" s="67" t="str">
        <f aca="false">IF(OR($C929="",$D929=""),"",IFERROR($D929*INDEX(Mix_Eff,MATCH($C929,Mix_Code,0),1),""))</f>
        <v/>
      </c>
      <c r="G929" s="67" t="str">
        <f aca="false">IF(OR($C929="",$D929=""),"",IFERROR($D929*INDEX(Mix_Eff,MATCH($C929,Mix_Code,0),2),""))</f>
        <v/>
      </c>
      <c r="H929" s="67" t="str">
        <f aca="false">IF(OR($C929="",$D929=""),"",IFERROR($D929*INDEX(Mix_Eff,MATCH($C929,Mix_Code,0),3),""))</f>
        <v/>
      </c>
      <c r="I929" s="67" t="str">
        <f aca="false">IF(OR($C929="",$D929=""),"",IFERROR($D929*INDEX(Mix_Eff,MATCH($C929,Mix_Code,0),4),""))</f>
        <v/>
      </c>
      <c r="J929" s="67" t="str">
        <f aca="false">IF(OR($C929="",$D929=""),"",IFERROR($D929*INDEX(Mix_Eff,MATCH($C929,Mix_Code,0),5),""))</f>
        <v/>
      </c>
      <c r="K929" s="63"/>
      <c r="L929" s="16" t="str">
        <f aca="false">IF(AND($A929="",$B929="",$C929="",$D929=""),"",IF($A929="","⚠ Date missing",IF($B929="","⚠ Site missing",IF(ISNA(MATCH($C929,Mix_Code,0)),"⚠ Unknown mix code",IF($D929="","⚠ Enter m3 produced",IF(COUNTIF(CI_Site,$B929)=0,"⚠ Site not set up in Current Inventory",IF($A929&gt;AsOfDate,"Future date – not yet deducted","OK")))))))</f>
        <v/>
      </c>
    </row>
    <row r="930" customFormat="false" ht="15" hidden="false" customHeight="false" outlineLevel="0" collapsed="false">
      <c r="A930" s="65"/>
      <c r="B930" s="63"/>
      <c r="C930" s="70"/>
      <c r="D930" s="66"/>
      <c r="E930" s="16" t="str">
        <f aca="false">IF($C930="","",IFERROR(INDEX(Mix_Desc,MATCH($C930,Mix_Code,0)),"⚠ Unknown mix code"))</f>
        <v/>
      </c>
      <c r="F930" s="67" t="str">
        <f aca="false">IF(OR($C930="",$D930=""),"",IFERROR($D930*INDEX(Mix_Eff,MATCH($C930,Mix_Code,0),1),""))</f>
        <v/>
      </c>
      <c r="G930" s="67" t="str">
        <f aca="false">IF(OR($C930="",$D930=""),"",IFERROR($D930*INDEX(Mix_Eff,MATCH($C930,Mix_Code,0),2),""))</f>
        <v/>
      </c>
      <c r="H930" s="67" t="str">
        <f aca="false">IF(OR($C930="",$D930=""),"",IFERROR($D930*INDEX(Mix_Eff,MATCH($C930,Mix_Code,0),3),""))</f>
        <v/>
      </c>
      <c r="I930" s="67" t="str">
        <f aca="false">IF(OR($C930="",$D930=""),"",IFERROR($D930*INDEX(Mix_Eff,MATCH($C930,Mix_Code,0),4),""))</f>
        <v/>
      </c>
      <c r="J930" s="67" t="str">
        <f aca="false">IF(OR($C930="",$D930=""),"",IFERROR($D930*INDEX(Mix_Eff,MATCH($C930,Mix_Code,0),5),""))</f>
        <v/>
      </c>
      <c r="K930" s="63"/>
      <c r="L930" s="16" t="str">
        <f aca="false">IF(AND($A930="",$B930="",$C930="",$D930=""),"",IF($A930="","⚠ Date missing",IF($B930="","⚠ Site missing",IF(ISNA(MATCH($C930,Mix_Code,0)),"⚠ Unknown mix code",IF($D930="","⚠ Enter m3 produced",IF(COUNTIF(CI_Site,$B930)=0,"⚠ Site not set up in Current Inventory",IF($A930&gt;AsOfDate,"Future date – not yet deducted","OK")))))))</f>
        <v/>
      </c>
    </row>
    <row r="931" customFormat="false" ht="15" hidden="false" customHeight="false" outlineLevel="0" collapsed="false">
      <c r="A931" s="65"/>
      <c r="B931" s="63"/>
      <c r="C931" s="70"/>
      <c r="D931" s="66"/>
      <c r="E931" s="16" t="str">
        <f aca="false">IF($C931="","",IFERROR(INDEX(Mix_Desc,MATCH($C931,Mix_Code,0)),"⚠ Unknown mix code"))</f>
        <v/>
      </c>
      <c r="F931" s="67" t="str">
        <f aca="false">IF(OR($C931="",$D931=""),"",IFERROR($D931*INDEX(Mix_Eff,MATCH($C931,Mix_Code,0),1),""))</f>
        <v/>
      </c>
      <c r="G931" s="67" t="str">
        <f aca="false">IF(OR($C931="",$D931=""),"",IFERROR($D931*INDEX(Mix_Eff,MATCH($C931,Mix_Code,0),2),""))</f>
        <v/>
      </c>
      <c r="H931" s="67" t="str">
        <f aca="false">IF(OR($C931="",$D931=""),"",IFERROR($D931*INDEX(Mix_Eff,MATCH($C931,Mix_Code,0),3),""))</f>
        <v/>
      </c>
      <c r="I931" s="67" t="str">
        <f aca="false">IF(OR($C931="",$D931=""),"",IFERROR($D931*INDEX(Mix_Eff,MATCH($C931,Mix_Code,0),4),""))</f>
        <v/>
      </c>
      <c r="J931" s="67" t="str">
        <f aca="false">IF(OR($C931="",$D931=""),"",IFERROR($D931*INDEX(Mix_Eff,MATCH($C931,Mix_Code,0),5),""))</f>
        <v/>
      </c>
      <c r="K931" s="63"/>
      <c r="L931" s="16" t="str">
        <f aca="false">IF(AND($A931="",$B931="",$C931="",$D931=""),"",IF($A931="","⚠ Date missing",IF($B931="","⚠ Site missing",IF(ISNA(MATCH($C931,Mix_Code,0)),"⚠ Unknown mix code",IF($D931="","⚠ Enter m3 produced",IF(COUNTIF(CI_Site,$B931)=0,"⚠ Site not set up in Current Inventory",IF($A931&gt;AsOfDate,"Future date – not yet deducted","OK")))))))</f>
        <v/>
      </c>
    </row>
    <row r="932" customFormat="false" ht="15" hidden="false" customHeight="false" outlineLevel="0" collapsed="false">
      <c r="A932" s="65"/>
      <c r="B932" s="63"/>
      <c r="C932" s="70"/>
      <c r="D932" s="66"/>
      <c r="E932" s="16" t="str">
        <f aca="false">IF($C932="","",IFERROR(INDEX(Mix_Desc,MATCH($C932,Mix_Code,0)),"⚠ Unknown mix code"))</f>
        <v/>
      </c>
      <c r="F932" s="67" t="str">
        <f aca="false">IF(OR($C932="",$D932=""),"",IFERROR($D932*INDEX(Mix_Eff,MATCH($C932,Mix_Code,0),1),""))</f>
        <v/>
      </c>
      <c r="G932" s="67" t="str">
        <f aca="false">IF(OR($C932="",$D932=""),"",IFERROR($D932*INDEX(Mix_Eff,MATCH($C932,Mix_Code,0),2),""))</f>
        <v/>
      </c>
      <c r="H932" s="67" t="str">
        <f aca="false">IF(OR($C932="",$D932=""),"",IFERROR($D932*INDEX(Mix_Eff,MATCH($C932,Mix_Code,0),3),""))</f>
        <v/>
      </c>
      <c r="I932" s="67" t="str">
        <f aca="false">IF(OR($C932="",$D932=""),"",IFERROR($D932*INDEX(Mix_Eff,MATCH($C932,Mix_Code,0),4),""))</f>
        <v/>
      </c>
      <c r="J932" s="67" t="str">
        <f aca="false">IF(OR($C932="",$D932=""),"",IFERROR($D932*INDEX(Mix_Eff,MATCH($C932,Mix_Code,0),5),""))</f>
        <v/>
      </c>
      <c r="K932" s="63"/>
      <c r="L932" s="16" t="str">
        <f aca="false">IF(AND($A932="",$B932="",$C932="",$D932=""),"",IF($A932="","⚠ Date missing",IF($B932="","⚠ Site missing",IF(ISNA(MATCH($C932,Mix_Code,0)),"⚠ Unknown mix code",IF($D932="","⚠ Enter m3 produced",IF(COUNTIF(CI_Site,$B932)=0,"⚠ Site not set up in Current Inventory",IF($A932&gt;AsOfDate,"Future date – not yet deducted","OK")))))))</f>
        <v/>
      </c>
    </row>
    <row r="933" customFormat="false" ht="15" hidden="false" customHeight="false" outlineLevel="0" collapsed="false">
      <c r="A933" s="65"/>
      <c r="B933" s="63"/>
      <c r="C933" s="70"/>
      <c r="D933" s="66"/>
      <c r="E933" s="16" t="str">
        <f aca="false">IF($C933="","",IFERROR(INDEX(Mix_Desc,MATCH($C933,Mix_Code,0)),"⚠ Unknown mix code"))</f>
        <v/>
      </c>
      <c r="F933" s="67" t="str">
        <f aca="false">IF(OR($C933="",$D933=""),"",IFERROR($D933*INDEX(Mix_Eff,MATCH($C933,Mix_Code,0),1),""))</f>
        <v/>
      </c>
      <c r="G933" s="67" t="str">
        <f aca="false">IF(OR($C933="",$D933=""),"",IFERROR($D933*INDEX(Mix_Eff,MATCH($C933,Mix_Code,0),2),""))</f>
        <v/>
      </c>
      <c r="H933" s="67" t="str">
        <f aca="false">IF(OR($C933="",$D933=""),"",IFERROR($D933*INDEX(Mix_Eff,MATCH($C933,Mix_Code,0),3),""))</f>
        <v/>
      </c>
      <c r="I933" s="67" t="str">
        <f aca="false">IF(OR($C933="",$D933=""),"",IFERROR($D933*INDEX(Mix_Eff,MATCH($C933,Mix_Code,0),4),""))</f>
        <v/>
      </c>
      <c r="J933" s="67" t="str">
        <f aca="false">IF(OR($C933="",$D933=""),"",IFERROR($D933*INDEX(Mix_Eff,MATCH($C933,Mix_Code,0),5),""))</f>
        <v/>
      </c>
      <c r="K933" s="63"/>
      <c r="L933" s="16" t="str">
        <f aca="false">IF(AND($A933="",$B933="",$C933="",$D933=""),"",IF($A933="","⚠ Date missing",IF($B933="","⚠ Site missing",IF(ISNA(MATCH($C933,Mix_Code,0)),"⚠ Unknown mix code",IF($D933="","⚠ Enter m3 produced",IF(COUNTIF(CI_Site,$B933)=0,"⚠ Site not set up in Current Inventory",IF($A933&gt;AsOfDate,"Future date – not yet deducted","OK")))))))</f>
        <v/>
      </c>
    </row>
    <row r="934" customFormat="false" ht="15" hidden="false" customHeight="false" outlineLevel="0" collapsed="false">
      <c r="A934" s="65"/>
      <c r="B934" s="63"/>
      <c r="C934" s="70"/>
      <c r="D934" s="66"/>
      <c r="E934" s="16" t="str">
        <f aca="false">IF($C934="","",IFERROR(INDEX(Mix_Desc,MATCH($C934,Mix_Code,0)),"⚠ Unknown mix code"))</f>
        <v/>
      </c>
      <c r="F934" s="67" t="str">
        <f aca="false">IF(OR($C934="",$D934=""),"",IFERROR($D934*INDEX(Mix_Eff,MATCH($C934,Mix_Code,0),1),""))</f>
        <v/>
      </c>
      <c r="G934" s="67" t="str">
        <f aca="false">IF(OR($C934="",$D934=""),"",IFERROR($D934*INDEX(Mix_Eff,MATCH($C934,Mix_Code,0),2),""))</f>
        <v/>
      </c>
      <c r="H934" s="67" t="str">
        <f aca="false">IF(OR($C934="",$D934=""),"",IFERROR($D934*INDEX(Mix_Eff,MATCH($C934,Mix_Code,0),3),""))</f>
        <v/>
      </c>
      <c r="I934" s="67" t="str">
        <f aca="false">IF(OR($C934="",$D934=""),"",IFERROR($D934*INDEX(Mix_Eff,MATCH($C934,Mix_Code,0),4),""))</f>
        <v/>
      </c>
      <c r="J934" s="67" t="str">
        <f aca="false">IF(OR($C934="",$D934=""),"",IFERROR($D934*INDEX(Mix_Eff,MATCH($C934,Mix_Code,0),5),""))</f>
        <v/>
      </c>
      <c r="K934" s="63"/>
      <c r="L934" s="16" t="str">
        <f aca="false">IF(AND($A934="",$B934="",$C934="",$D934=""),"",IF($A934="","⚠ Date missing",IF($B934="","⚠ Site missing",IF(ISNA(MATCH($C934,Mix_Code,0)),"⚠ Unknown mix code",IF($D934="","⚠ Enter m3 produced",IF(COUNTIF(CI_Site,$B934)=0,"⚠ Site not set up in Current Inventory",IF($A934&gt;AsOfDate,"Future date – not yet deducted","OK")))))))</f>
        <v/>
      </c>
    </row>
    <row r="935" customFormat="false" ht="15" hidden="false" customHeight="false" outlineLevel="0" collapsed="false">
      <c r="A935" s="65"/>
      <c r="B935" s="63"/>
      <c r="C935" s="70"/>
      <c r="D935" s="66"/>
      <c r="E935" s="16" t="str">
        <f aca="false">IF($C935="","",IFERROR(INDEX(Mix_Desc,MATCH($C935,Mix_Code,0)),"⚠ Unknown mix code"))</f>
        <v/>
      </c>
      <c r="F935" s="67" t="str">
        <f aca="false">IF(OR($C935="",$D935=""),"",IFERROR($D935*INDEX(Mix_Eff,MATCH($C935,Mix_Code,0),1),""))</f>
        <v/>
      </c>
      <c r="G935" s="67" t="str">
        <f aca="false">IF(OR($C935="",$D935=""),"",IFERROR($D935*INDEX(Mix_Eff,MATCH($C935,Mix_Code,0),2),""))</f>
        <v/>
      </c>
      <c r="H935" s="67" t="str">
        <f aca="false">IF(OR($C935="",$D935=""),"",IFERROR($D935*INDEX(Mix_Eff,MATCH($C935,Mix_Code,0),3),""))</f>
        <v/>
      </c>
      <c r="I935" s="67" t="str">
        <f aca="false">IF(OR($C935="",$D935=""),"",IFERROR($D935*INDEX(Mix_Eff,MATCH($C935,Mix_Code,0),4),""))</f>
        <v/>
      </c>
      <c r="J935" s="67" t="str">
        <f aca="false">IF(OR($C935="",$D935=""),"",IFERROR($D935*INDEX(Mix_Eff,MATCH($C935,Mix_Code,0),5),""))</f>
        <v/>
      </c>
      <c r="K935" s="63"/>
      <c r="L935" s="16" t="str">
        <f aca="false">IF(AND($A935="",$B935="",$C935="",$D935=""),"",IF($A935="","⚠ Date missing",IF($B935="","⚠ Site missing",IF(ISNA(MATCH($C935,Mix_Code,0)),"⚠ Unknown mix code",IF($D935="","⚠ Enter m3 produced",IF(COUNTIF(CI_Site,$B935)=0,"⚠ Site not set up in Current Inventory",IF($A935&gt;AsOfDate,"Future date – not yet deducted","OK")))))))</f>
        <v/>
      </c>
    </row>
    <row r="936" customFormat="false" ht="15" hidden="false" customHeight="false" outlineLevel="0" collapsed="false">
      <c r="A936" s="65"/>
      <c r="B936" s="63"/>
      <c r="C936" s="70"/>
      <c r="D936" s="66"/>
      <c r="E936" s="16" t="str">
        <f aca="false">IF($C936="","",IFERROR(INDEX(Mix_Desc,MATCH($C936,Mix_Code,0)),"⚠ Unknown mix code"))</f>
        <v/>
      </c>
      <c r="F936" s="67" t="str">
        <f aca="false">IF(OR($C936="",$D936=""),"",IFERROR($D936*INDEX(Mix_Eff,MATCH($C936,Mix_Code,0),1),""))</f>
        <v/>
      </c>
      <c r="G936" s="67" t="str">
        <f aca="false">IF(OR($C936="",$D936=""),"",IFERROR($D936*INDEX(Mix_Eff,MATCH($C936,Mix_Code,0),2),""))</f>
        <v/>
      </c>
      <c r="H936" s="67" t="str">
        <f aca="false">IF(OR($C936="",$D936=""),"",IFERROR($D936*INDEX(Mix_Eff,MATCH($C936,Mix_Code,0),3),""))</f>
        <v/>
      </c>
      <c r="I936" s="67" t="str">
        <f aca="false">IF(OR($C936="",$D936=""),"",IFERROR($D936*INDEX(Mix_Eff,MATCH($C936,Mix_Code,0),4),""))</f>
        <v/>
      </c>
      <c r="J936" s="67" t="str">
        <f aca="false">IF(OR($C936="",$D936=""),"",IFERROR($D936*INDEX(Mix_Eff,MATCH($C936,Mix_Code,0),5),""))</f>
        <v/>
      </c>
      <c r="K936" s="63"/>
      <c r="L936" s="16" t="str">
        <f aca="false">IF(AND($A936="",$B936="",$C936="",$D936=""),"",IF($A936="","⚠ Date missing",IF($B936="","⚠ Site missing",IF(ISNA(MATCH($C936,Mix_Code,0)),"⚠ Unknown mix code",IF($D936="","⚠ Enter m3 produced",IF(COUNTIF(CI_Site,$B936)=0,"⚠ Site not set up in Current Inventory",IF($A936&gt;AsOfDate,"Future date – not yet deducted","OK")))))))</f>
        <v/>
      </c>
    </row>
    <row r="937" customFormat="false" ht="15" hidden="false" customHeight="false" outlineLevel="0" collapsed="false">
      <c r="A937" s="65"/>
      <c r="B937" s="63"/>
      <c r="C937" s="70"/>
      <c r="D937" s="66"/>
      <c r="E937" s="16" t="str">
        <f aca="false">IF($C937="","",IFERROR(INDEX(Mix_Desc,MATCH($C937,Mix_Code,0)),"⚠ Unknown mix code"))</f>
        <v/>
      </c>
      <c r="F937" s="67" t="str">
        <f aca="false">IF(OR($C937="",$D937=""),"",IFERROR($D937*INDEX(Mix_Eff,MATCH($C937,Mix_Code,0),1),""))</f>
        <v/>
      </c>
      <c r="G937" s="67" t="str">
        <f aca="false">IF(OR($C937="",$D937=""),"",IFERROR($D937*INDEX(Mix_Eff,MATCH($C937,Mix_Code,0),2),""))</f>
        <v/>
      </c>
      <c r="H937" s="67" t="str">
        <f aca="false">IF(OR($C937="",$D937=""),"",IFERROR($D937*INDEX(Mix_Eff,MATCH($C937,Mix_Code,0),3),""))</f>
        <v/>
      </c>
      <c r="I937" s="67" t="str">
        <f aca="false">IF(OR($C937="",$D937=""),"",IFERROR($D937*INDEX(Mix_Eff,MATCH($C937,Mix_Code,0),4),""))</f>
        <v/>
      </c>
      <c r="J937" s="67" t="str">
        <f aca="false">IF(OR($C937="",$D937=""),"",IFERROR($D937*INDEX(Mix_Eff,MATCH($C937,Mix_Code,0),5),""))</f>
        <v/>
      </c>
      <c r="K937" s="63"/>
      <c r="L937" s="16" t="str">
        <f aca="false">IF(AND($A937="",$B937="",$C937="",$D937=""),"",IF($A937="","⚠ Date missing",IF($B937="","⚠ Site missing",IF(ISNA(MATCH($C937,Mix_Code,0)),"⚠ Unknown mix code",IF($D937="","⚠ Enter m3 produced",IF(COUNTIF(CI_Site,$B937)=0,"⚠ Site not set up in Current Inventory",IF($A937&gt;AsOfDate,"Future date – not yet deducted","OK")))))))</f>
        <v/>
      </c>
    </row>
    <row r="938" customFormat="false" ht="15" hidden="false" customHeight="false" outlineLevel="0" collapsed="false">
      <c r="A938" s="65"/>
      <c r="B938" s="63"/>
      <c r="C938" s="70"/>
      <c r="D938" s="66"/>
      <c r="E938" s="16" t="str">
        <f aca="false">IF($C938="","",IFERROR(INDEX(Mix_Desc,MATCH($C938,Mix_Code,0)),"⚠ Unknown mix code"))</f>
        <v/>
      </c>
      <c r="F938" s="67" t="str">
        <f aca="false">IF(OR($C938="",$D938=""),"",IFERROR($D938*INDEX(Mix_Eff,MATCH($C938,Mix_Code,0),1),""))</f>
        <v/>
      </c>
      <c r="G938" s="67" t="str">
        <f aca="false">IF(OR($C938="",$D938=""),"",IFERROR($D938*INDEX(Mix_Eff,MATCH($C938,Mix_Code,0),2),""))</f>
        <v/>
      </c>
      <c r="H938" s="67" t="str">
        <f aca="false">IF(OR($C938="",$D938=""),"",IFERROR($D938*INDEX(Mix_Eff,MATCH($C938,Mix_Code,0),3),""))</f>
        <v/>
      </c>
      <c r="I938" s="67" t="str">
        <f aca="false">IF(OR($C938="",$D938=""),"",IFERROR($D938*INDEX(Mix_Eff,MATCH($C938,Mix_Code,0),4),""))</f>
        <v/>
      </c>
      <c r="J938" s="67" t="str">
        <f aca="false">IF(OR($C938="",$D938=""),"",IFERROR($D938*INDEX(Mix_Eff,MATCH($C938,Mix_Code,0),5),""))</f>
        <v/>
      </c>
      <c r="K938" s="63"/>
      <c r="L938" s="16" t="str">
        <f aca="false">IF(AND($A938="",$B938="",$C938="",$D938=""),"",IF($A938="","⚠ Date missing",IF($B938="","⚠ Site missing",IF(ISNA(MATCH($C938,Mix_Code,0)),"⚠ Unknown mix code",IF($D938="","⚠ Enter m3 produced",IF(COUNTIF(CI_Site,$B938)=0,"⚠ Site not set up in Current Inventory",IF($A938&gt;AsOfDate,"Future date – not yet deducted","OK")))))))</f>
        <v/>
      </c>
    </row>
    <row r="939" customFormat="false" ht="15" hidden="false" customHeight="false" outlineLevel="0" collapsed="false">
      <c r="A939" s="65"/>
      <c r="B939" s="63"/>
      <c r="C939" s="70"/>
      <c r="D939" s="66"/>
      <c r="E939" s="16" t="str">
        <f aca="false">IF($C939="","",IFERROR(INDEX(Mix_Desc,MATCH($C939,Mix_Code,0)),"⚠ Unknown mix code"))</f>
        <v/>
      </c>
      <c r="F939" s="67" t="str">
        <f aca="false">IF(OR($C939="",$D939=""),"",IFERROR($D939*INDEX(Mix_Eff,MATCH($C939,Mix_Code,0),1),""))</f>
        <v/>
      </c>
      <c r="G939" s="67" t="str">
        <f aca="false">IF(OR($C939="",$D939=""),"",IFERROR($D939*INDEX(Mix_Eff,MATCH($C939,Mix_Code,0),2),""))</f>
        <v/>
      </c>
      <c r="H939" s="67" t="str">
        <f aca="false">IF(OR($C939="",$D939=""),"",IFERROR($D939*INDEX(Mix_Eff,MATCH($C939,Mix_Code,0),3),""))</f>
        <v/>
      </c>
      <c r="I939" s="67" t="str">
        <f aca="false">IF(OR($C939="",$D939=""),"",IFERROR($D939*INDEX(Mix_Eff,MATCH($C939,Mix_Code,0),4),""))</f>
        <v/>
      </c>
      <c r="J939" s="67" t="str">
        <f aca="false">IF(OR($C939="",$D939=""),"",IFERROR($D939*INDEX(Mix_Eff,MATCH($C939,Mix_Code,0),5),""))</f>
        <v/>
      </c>
      <c r="K939" s="63"/>
      <c r="L939" s="16" t="str">
        <f aca="false">IF(AND($A939="",$B939="",$C939="",$D939=""),"",IF($A939="","⚠ Date missing",IF($B939="","⚠ Site missing",IF(ISNA(MATCH($C939,Mix_Code,0)),"⚠ Unknown mix code",IF($D939="","⚠ Enter m3 produced",IF(COUNTIF(CI_Site,$B939)=0,"⚠ Site not set up in Current Inventory",IF($A939&gt;AsOfDate,"Future date – not yet deducted","OK")))))))</f>
        <v/>
      </c>
    </row>
    <row r="940" customFormat="false" ht="15" hidden="false" customHeight="false" outlineLevel="0" collapsed="false">
      <c r="A940" s="65"/>
      <c r="B940" s="63"/>
      <c r="C940" s="70"/>
      <c r="D940" s="66"/>
      <c r="E940" s="16" t="str">
        <f aca="false">IF($C940="","",IFERROR(INDEX(Mix_Desc,MATCH($C940,Mix_Code,0)),"⚠ Unknown mix code"))</f>
        <v/>
      </c>
      <c r="F940" s="67" t="str">
        <f aca="false">IF(OR($C940="",$D940=""),"",IFERROR($D940*INDEX(Mix_Eff,MATCH($C940,Mix_Code,0),1),""))</f>
        <v/>
      </c>
      <c r="G940" s="67" t="str">
        <f aca="false">IF(OR($C940="",$D940=""),"",IFERROR($D940*INDEX(Mix_Eff,MATCH($C940,Mix_Code,0),2),""))</f>
        <v/>
      </c>
      <c r="H940" s="67" t="str">
        <f aca="false">IF(OR($C940="",$D940=""),"",IFERROR($D940*INDEX(Mix_Eff,MATCH($C940,Mix_Code,0),3),""))</f>
        <v/>
      </c>
      <c r="I940" s="67" t="str">
        <f aca="false">IF(OR($C940="",$D940=""),"",IFERROR($D940*INDEX(Mix_Eff,MATCH($C940,Mix_Code,0),4),""))</f>
        <v/>
      </c>
      <c r="J940" s="67" t="str">
        <f aca="false">IF(OR($C940="",$D940=""),"",IFERROR($D940*INDEX(Mix_Eff,MATCH($C940,Mix_Code,0),5),""))</f>
        <v/>
      </c>
      <c r="K940" s="63"/>
      <c r="L940" s="16" t="str">
        <f aca="false">IF(AND($A940="",$B940="",$C940="",$D940=""),"",IF($A940="","⚠ Date missing",IF($B940="","⚠ Site missing",IF(ISNA(MATCH($C940,Mix_Code,0)),"⚠ Unknown mix code",IF($D940="","⚠ Enter m3 produced",IF(COUNTIF(CI_Site,$B940)=0,"⚠ Site not set up in Current Inventory",IF($A940&gt;AsOfDate,"Future date – not yet deducted","OK")))))))</f>
        <v/>
      </c>
    </row>
    <row r="941" customFormat="false" ht="15" hidden="false" customHeight="false" outlineLevel="0" collapsed="false">
      <c r="A941" s="65"/>
      <c r="B941" s="63"/>
      <c r="C941" s="70"/>
      <c r="D941" s="66"/>
      <c r="E941" s="16" t="str">
        <f aca="false">IF($C941="","",IFERROR(INDEX(Mix_Desc,MATCH($C941,Mix_Code,0)),"⚠ Unknown mix code"))</f>
        <v/>
      </c>
      <c r="F941" s="67" t="str">
        <f aca="false">IF(OR($C941="",$D941=""),"",IFERROR($D941*INDEX(Mix_Eff,MATCH($C941,Mix_Code,0),1),""))</f>
        <v/>
      </c>
      <c r="G941" s="67" t="str">
        <f aca="false">IF(OR($C941="",$D941=""),"",IFERROR($D941*INDEX(Mix_Eff,MATCH($C941,Mix_Code,0),2),""))</f>
        <v/>
      </c>
      <c r="H941" s="67" t="str">
        <f aca="false">IF(OR($C941="",$D941=""),"",IFERROR($D941*INDEX(Mix_Eff,MATCH($C941,Mix_Code,0),3),""))</f>
        <v/>
      </c>
      <c r="I941" s="67" t="str">
        <f aca="false">IF(OR($C941="",$D941=""),"",IFERROR($D941*INDEX(Mix_Eff,MATCH($C941,Mix_Code,0),4),""))</f>
        <v/>
      </c>
      <c r="J941" s="67" t="str">
        <f aca="false">IF(OR($C941="",$D941=""),"",IFERROR($D941*INDEX(Mix_Eff,MATCH($C941,Mix_Code,0),5),""))</f>
        <v/>
      </c>
      <c r="K941" s="63"/>
      <c r="L941" s="16" t="str">
        <f aca="false">IF(AND($A941="",$B941="",$C941="",$D941=""),"",IF($A941="","⚠ Date missing",IF($B941="","⚠ Site missing",IF(ISNA(MATCH($C941,Mix_Code,0)),"⚠ Unknown mix code",IF($D941="","⚠ Enter m3 produced",IF(COUNTIF(CI_Site,$B941)=0,"⚠ Site not set up in Current Inventory",IF($A941&gt;AsOfDate,"Future date – not yet deducted","OK")))))))</f>
        <v/>
      </c>
    </row>
    <row r="942" customFormat="false" ht="15" hidden="false" customHeight="false" outlineLevel="0" collapsed="false">
      <c r="A942" s="65"/>
      <c r="B942" s="63"/>
      <c r="C942" s="70"/>
      <c r="D942" s="66"/>
      <c r="E942" s="16" t="str">
        <f aca="false">IF($C942="","",IFERROR(INDEX(Mix_Desc,MATCH($C942,Mix_Code,0)),"⚠ Unknown mix code"))</f>
        <v/>
      </c>
      <c r="F942" s="67" t="str">
        <f aca="false">IF(OR($C942="",$D942=""),"",IFERROR($D942*INDEX(Mix_Eff,MATCH($C942,Mix_Code,0),1),""))</f>
        <v/>
      </c>
      <c r="G942" s="67" t="str">
        <f aca="false">IF(OR($C942="",$D942=""),"",IFERROR($D942*INDEX(Mix_Eff,MATCH($C942,Mix_Code,0),2),""))</f>
        <v/>
      </c>
      <c r="H942" s="67" t="str">
        <f aca="false">IF(OR($C942="",$D942=""),"",IFERROR($D942*INDEX(Mix_Eff,MATCH($C942,Mix_Code,0),3),""))</f>
        <v/>
      </c>
      <c r="I942" s="67" t="str">
        <f aca="false">IF(OR($C942="",$D942=""),"",IFERROR($D942*INDEX(Mix_Eff,MATCH($C942,Mix_Code,0),4),""))</f>
        <v/>
      </c>
      <c r="J942" s="67" t="str">
        <f aca="false">IF(OR($C942="",$D942=""),"",IFERROR($D942*INDEX(Mix_Eff,MATCH($C942,Mix_Code,0),5),""))</f>
        <v/>
      </c>
      <c r="K942" s="63"/>
      <c r="L942" s="16" t="str">
        <f aca="false">IF(AND($A942="",$B942="",$C942="",$D942=""),"",IF($A942="","⚠ Date missing",IF($B942="","⚠ Site missing",IF(ISNA(MATCH($C942,Mix_Code,0)),"⚠ Unknown mix code",IF($D942="","⚠ Enter m3 produced",IF(COUNTIF(CI_Site,$B942)=0,"⚠ Site not set up in Current Inventory",IF($A942&gt;AsOfDate,"Future date – not yet deducted","OK")))))))</f>
        <v/>
      </c>
    </row>
    <row r="943" customFormat="false" ht="15" hidden="false" customHeight="false" outlineLevel="0" collapsed="false">
      <c r="A943" s="65"/>
      <c r="B943" s="63"/>
      <c r="C943" s="70"/>
      <c r="D943" s="66"/>
      <c r="E943" s="16" t="str">
        <f aca="false">IF($C943="","",IFERROR(INDEX(Mix_Desc,MATCH($C943,Mix_Code,0)),"⚠ Unknown mix code"))</f>
        <v/>
      </c>
      <c r="F943" s="67" t="str">
        <f aca="false">IF(OR($C943="",$D943=""),"",IFERROR($D943*INDEX(Mix_Eff,MATCH($C943,Mix_Code,0),1),""))</f>
        <v/>
      </c>
      <c r="G943" s="67" t="str">
        <f aca="false">IF(OR($C943="",$D943=""),"",IFERROR($D943*INDEX(Mix_Eff,MATCH($C943,Mix_Code,0),2),""))</f>
        <v/>
      </c>
      <c r="H943" s="67" t="str">
        <f aca="false">IF(OR($C943="",$D943=""),"",IFERROR($D943*INDEX(Mix_Eff,MATCH($C943,Mix_Code,0),3),""))</f>
        <v/>
      </c>
      <c r="I943" s="67" t="str">
        <f aca="false">IF(OR($C943="",$D943=""),"",IFERROR($D943*INDEX(Mix_Eff,MATCH($C943,Mix_Code,0),4),""))</f>
        <v/>
      </c>
      <c r="J943" s="67" t="str">
        <f aca="false">IF(OR($C943="",$D943=""),"",IFERROR($D943*INDEX(Mix_Eff,MATCH($C943,Mix_Code,0),5),""))</f>
        <v/>
      </c>
      <c r="K943" s="63"/>
      <c r="L943" s="16" t="str">
        <f aca="false">IF(AND($A943="",$B943="",$C943="",$D943=""),"",IF($A943="","⚠ Date missing",IF($B943="","⚠ Site missing",IF(ISNA(MATCH($C943,Mix_Code,0)),"⚠ Unknown mix code",IF($D943="","⚠ Enter m3 produced",IF(COUNTIF(CI_Site,$B943)=0,"⚠ Site not set up in Current Inventory",IF($A943&gt;AsOfDate,"Future date – not yet deducted","OK")))))))</f>
        <v/>
      </c>
    </row>
    <row r="944" customFormat="false" ht="15" hidden="false" customHeight="false" outlineLevel="0" collapsed="false">
      <c r="A944" s="65"/>
      <c r="B944" s="63"/>
      <c r="C944" s="70"/>
      <c r="D944" s="66"/>
      <c r="E944" s="16" t="str">
        <f aca="false">IF($C944="","",IFERROR(INDEX(Mix_Desc,MATCH($C944,Mix_Code,0)),"⚠ Unknown mix code"))</f>
        <v/>
      </c>
      <c r="F944" s="67" t="str">
        <f aca="false">IF(OR($C944="",$D944=""),"",IFERROR($D944*INDEX(Mix_Eff,MATCH($C944,Mix_Code,0),1),""))</f>
        <v/>
      </c>
      <c r="G944" s="67" t="str">
        <f aca="false">IF(OR($C944="",$D944=""),"",IFERROR($D944*INDEX(Mix_Eff,MATCH($C944,Mix_Code,0),2),""))</f>
        <v/>
      </c>
      <c r="H944" s="67" t="str">
        <f aca="false">IF(OR($C944="",$D944=""),"",IFERROR($D944*INDEX(Mix_Eff,MATCH($C944,Mix_Code,0),3),""))</f>
        <v/>
      </c>
      <c r="I944" s="67" t="str">
        <f aca="false">IF(OR($C944="",$D944=""),"",IFERROR($D944*INDEX(Mix_Eff,MATCH($C944,Mix_Code,0),4),""))</f>
        <v/>
      </c>
      <c r="J944" s="67" t="str">
        <f aca="false">IF(OR($C944="",$D944=""),"",IFERROR($D944*INDEX(Mix_Eff,MATCH($C944,Mix_Code,0),5),""))</f>
        <v/>
      </c>
      <c r="K944" s="63"/>
      <c r="L944" s="16" t="str">
        <f aca="false">IF(AND($A944="",$B944="",$C944="",$D944=""),"",IF($A944="","⚠ Date missing",IF($B944="","⚠ Site missing",IF(ISNA(MATCH($C944,Mix_Code,0)),"⚠ Unknown mix code",IF($D944="","⚠ Enter m3 produced",IF(COUNTIF(CI_Site,$B944)=0,"⚠ Site not set up in Current Inventory",IF($A944&gt;AsOfDate,"Future date – not yet deducted","OK")))))))</f>
        <v/>
      </c>
    </row>
    <row r="945" customFormat="false" ht="15" hidden="false" customHeight="false" outlineLevel="0" collapsed="false">
      <c r="A945" s="65"/>
      <c r="B945" s="63"/>
      <c r="C945" s="70"/>
      <c r="D945" s="66"/>
      <c r="E945" s="16" t="str">
        <f aca="false">IF($C945="","",IFERROR(INDEX(Mix_Desc,MATCH($C945,Mix_Code,0)),"⚠ Unknown mix code"))</f>
        <v/>
      </c>
      <c r="F945" s="67" t="str">
        <f aca="false">IF(OR($C945="",$D945=""),"",IFERROR($D945*INDEX(Mix_Eff,MATCH($C945,Mix_Code,0),1),""))</f>
        <v/>
      </c>
      <c r="G945" s="67" t="str">
        <f aca="false">IF(OR($C945="",$D945=""),"",IFERROR($D945*INDEX(Mix_Eff,MATCH($C945,Mix_Code,0),2),""))</f>
        <v/>
      </c>
      <c r="H945" s="67" t="str">
        <f aca="false">IF(OR($C945="",$D945=""),"",IFERROR($D945*INDEX(Mix_Eff,MATCH($C945,Mix_Code,0),3),""))</f>
        <v/>
      </c>
      <c r="I945" s="67" t="str">
        <f aca="false">IF(OR($C945="",$D945=""),"",IFERROR($D945*INDEX(Mix_Eff,MATCH($C945,Mix_Code,0),4),""))</f>
        <v/>
      </c>
      <c r="J945" s="67" t="str">
        <f aca="false">IF(OR($C945="",$D945=""),"",IFERROR($D945*INDEX(Mix_Eff,MATCH($C945,Mix_Code,0),5),""))</f>
        <v/>
      </c>
      <c r="K945" s="63"/>
      <c r="L945" s="16" t="str">
        <f aca="false">IF(AND($A945="",$B945="",$C945="",$D945=""),"",IF($A945="","⚠ Date missing",IF($B945="","⚠ Site missing",IF(ISNA(MATCH($C945,Mix_Code,0)),"⚠ Unknown mix code",IF($D945="","⚠ Enter m3 produced",IF(COUNTIF(CI_Site,$B945)=0,"⚠ Site not set up in Current Inventory",IF($A945&gt;AsOfDate,"Future date – not yet deducted","OK")))))))</f>
        <v/>
      </c>
    </row>
    <row r="946" customFormat="false" ht="15" hidden="false" customHeight="false" outlineLevel="0" collapsed="false">
      <c r="A946" s="65"/>
      <c r="B946" s="63"/>
      <c r="C946" s="70"/>
      <c r="D946" s="66"/>
      <c r="E946" s="16" t="str">
        <f aca="false">IF($C946="","",IFERROR(INDEX(Mix_Desc,MATCH($C946,Mix_Code,0)),"⚠ Unknown mix code"))</f>
        <v/>
      </c>
      <c r="F946" s="67" t="str">
        <f aca="false">IF(OR($C946="",$D946=""),"",IFERROR($D946*INDEX(Mix_Eff,MATCH($C946,Mix_Code,0),1),""))</f>
        <v/>
      </c>
      <c r="G946" s="67" t="str">
        <f aca="false">IF(OR($C946="",$D946=""),"",IFERROR($D946*INDEX(Mix_Eff,MATCH($C946,Mix_Code,0),2),""))</f>
        <v/>
      </c>
      <c r="H946" s="67" t="str">
        <f aca="false">IF(OR($C946="",$D946=""),"",IFERROR($D946*INDEX(Mix_Eff,MATCH($C946,Mix_Code,0),3),""))</f>
        <v/>
      </c>
      <c r="I946" s="67" t="str">
        <f aca="false">IF(OR($C946="",$D946=""),"",IFERROR($D946*INDEX(Mix_Eff,MATCH($C946,Mix_Code,0),4),""))</f>
        <v/>
      </c>
      <c r="J946" s="67" t="str">
        <f aca="false">IF(OR($C946="",$D946=""),"",IFERROR($D946*INDEX(Mix_Eff,MATCH($C946,Mix_Code,0),5),""))</f>
        <v/>
      </c>
      <c r="K946" s="63"/>
      <c r="L946" s="16" t="str">
        <f aca="false">IF(AND($A946="",$B946="",$C946="",$D946=""),"",IF($A946="","⚠ Date missing",IF($B946="","⚠ Site missing",IF(ISNA(MATCH($C946,Mix_Code,0)),"⚠ Unknown mix code",IF($D946="","⚠ Enter m3 produced",IF(COUNTIF(CI_Site,$B946)=0,"⚠ Site not set up in Current Inventory",IF($A946&gt;AsOfDate,"Future date – not yet deducted","OK")))))))</f>
        <v/>
      </c>
    </row>
    <row r="947" customFormat="false" ht="15" hidden="false" customHeight="false" outlineLevel="0" collapsed="false">
      <c r="A947" s="65"/>
      <c r="B947" s="63"/>
      <c r="C947" s="70"/>
      <c r="D947" s="66"/>
      <c r="E947" s="16" t="str">
        <f aca="false">IF($C947="","",IFERROR(INDEX(Mix_Desc,MATCH($C947,Mix_Code,0)),"⚠ Unknown mix code"))</f>
        <v/>
      </c>
      <c r="F947" s="67" t="str">
        <f aca="false">IF(OR($C947="",$D947=""),"",IFERROR($D947*INDEX(Mix_Eff,MATCH($C947,Mix_Code,0),1),""))</f>
        <v/>
      </c>
      <c r="G947" s="67" t="str">
        <f aca="false">IF(OR($C947="",$D947=""),"",IFERROR($D947*INDEX(Mix_Eff,MATCH($C947,Mix_Code,0),2),""))</f>
        <v/>
      </c>
      <c r="H947" s="67" t="str">
        <f aca="false">IF(OR($C947="",$D947=""),"",IFERROR($D947*INDEX(Mix_Eff,MATCH($C947,Mix_Code,0),3),""))</f>
        <v/>
      </c>
      <c r="I947" s="67" t="str">
        <f aca="false">IF(OR($C947="",$D947=""),"",IFERROR($D947*INDEX(Mix_Eff,MATCH($C947,Mix_Code,0),4),""))</f>
        <v/>
      </c>
      <c r="J947" s="67" t="str">
        <f aca="false">IF(OR($C947="",$D947=""),"",IFERROR($D947*INDEX(Mix_Eff,MATCH($C947,Mix_Code,0),5),""))</f>
        <v/>
      </c>
      <c r="K947" s="63"/>
      <c r="L947" s="16" t="str">
        <f aca="false">IF(AND($A947="",$B947="",$C947="",$D947=""),"",IF($A947="","⚠ Date missing",IF($B947="","⚠ Site missing",IF(ISNA(MATCH($C947,Mix_Code,0)),"⚠ Unknown mix code",IF($D947="","⚠ Enter m3 produced",IF(COUNTIF(CI_Site,$B947)=0,"⚠ Site not set up in Current Inventory",IF($A947&gt;AsOfDate,"Future date – not yet deducted","OK")))))))</f>
        <v/>
      </c>
    </row>
    <row r="948" customFormat="false" ht="15" hidden="false" customHeight="false" outlineLevel="0" collapsed="false">
      <c r="A948" s="65"/>
      <c r="B948" s="63"/>
      <c r="C948" s="70"/>
      <c r="D948" s="66"/>
      <c r="E948" s="16" t="str">
        <f aca="false">IF($C948="","",IFERROR(INDEX(Mix_Desc,MATCH($C948,Mix_Code,0)),"⚠ Unknown mix code"))</f>
        <v/>
      </c>
      <c r="F948" s="67" t="str">
        <f aca="false">IF(OR($C948="",$D948=""),"",IFERROR($D948*INDEX(Mix_Eff,MATCH($C948,Mix_Code,0),1),""))</f>
        <v/>
      </c>
      <c r="G948" s="67" t="str">
        <f aca="false">IF(OR($C948="",$D948=""),"",IFERROR($D948*INDEX(Mix_Eff,MATCH($C948,Mix_Code,0),2),""))</f>
        <v/>
      </c>
      <c r="H948" s="67" t="str">
        <f aca="false">IF(OR($C948="",$D948=""),"",IFERROR($D948*INDEX(Mix_Eff,MATCH($C948,Mix_Code,0),3),""))</f>
        <v/>
      </c>
      <c r="I948" s="67" t="str">
        <f aca="false">IF(OR($C948="",$D948=""),"",IFERROR($D948*INDEX(Mix_Eff,MATCH($C948,Mix_Code,0),4),""))</f>
        <v/>
      </c>
      <c r="J948" s="67" t="str">
        <f aca="false">IF(OR($C948="",$D948=""),"",IFERROR($D948*INDEX(Mix_Eff,MATCH($C948,Mix_Code,0),5),""))</f>
        <v/>
      </c>
      <c r="K948" s="63"/>
      <c r="L948" s="16" t="str">
        <f aca="false">IF(AND($A948="",$B948="",$C948="",$D948=""),"",IF($A948="","⚠ Date missing",IF($B948="","⚠ Site missing",IF(ISNA(MATCH($C948,Mix_Code,0)),"⚠ Unknown mix code",IF($D948="","⚠ Enter m3 produced",IF(COUNTIF(CI_Site,$B948)=0,"⚠ Site not set up in Current Inventory",IF($A948&gt;AsOfDate,"Future date – not yet deducted","OK")))))))</f>
        <v/>
      </c>
    </row>
    <row r="949" customFormat="false" ht="15" hidden="false" customHeight="false" outlineLevel="0" collapsed="false">
      <c r="A949" s="65"/>
      <c r="B949" s="63"/>
      <c r="C949" s="70"/>
      <c r="D949" s="66"/>
      <c r="E949" s="16" t="str">
        <f aca="false">IF($C949="","",IFERROR(INDEX(Mix_Desc,MATCH($C949,Mix_Code,0)),"⚠ Unknown mix code"))</f>
        <v/>
      </c>
      <c r="F949" s="67" t="str">
        <f aca="false">IF(OR($C949="",$D949=""),"",IFERROR($D949*INDEX(Mix_Eff,MATCH($C949,Mix_Code,0),1),""))</f>
        <v/>
      </c>
      <c r="G949" s="67" t="str">
        <f aca="false">IF(OR($C949="",$D949=""),"",IFERROR($D949*INDEX(Mix_Eff,MATCH($C949,Mix_Code,0),2),""))</f>
        <v/>
      </c>
      <c r="H949" s="67" t="str">
        <f aca="false">IF(OR($C949="",$D949=""),"",IFERROR($D949*INDEX(Mix_Eff,MATCH($C949,Mix_Code,0),3),""))</f>
        <v/>
      </c>
      <c r="I949" s="67" t="str">
        <f aca="false">IF(OR($C949="",$D949=""),"",IFERROR($D949*INDEX(Mix_Eff,MATCH($C949,Mix_Code,0),4),""))</f>
        <v/>
      </c>
      <c r="J949" s="67" t="str">
        <f aca="false">IF(OR($C949="",$D949=""),"",IFERROR($D949*INDEX(Mix_Eff,MATCH($C949,Mix_Code,0),5),""))</f>
        <v/>
      </c>
      <c r="K949" s="63"/>
      <c r="L949" s="16" t="str">
        <f aca="false">IF(AND($A949="",$B949="",$C949="",$D949=""),"",IF($A949="","⚠ Date missing",IF($B949="","⚠ Site missing",IF(ISNA(MATCH($C949,Mix_Code,0)),"⚠ Unknown mix code",IF($D949="","⚠ Enter m3 produced",IF(COUNTIF(CI_Site,$B949)=0,"⚠ Site not set up in Current Inventory",IF($A949&gt;AsOfDate,"Future date – not yet deducted","OK")))))))</f>
        <v/>
      </c>
    </row>
    <row r="950" customFormat="false" ht="15" hidden="false" customHeight="false" outlineLevel="0" collapsed="false">
      <c r="A950" s="65"/>
      <c r="B950" s="63"/>
      <c r="C950" s="70"/>
      <c r="D950" s="66"/>
      <c r="E950" s="16" t="str">
        <f aca="false">IF($C950="","",IFERROR(INDEX(Mix_Desc,MATCH($C950,Mix_Code,0)),"⚠ Unknown mix code"))</f>
        <v/>
      </c>
      <c r="F950" s="67" t="str">
        <f aca="false">IF(OR($C950="",$D950=""),"",IFERROR($D950*INDEX(Mix_Eff,MATCH($C950,Mix_Code,0),1),""))</f>
        <v/>
      </c>
      <c r="G950" s="67" t="str">
        <f aca="false">IF(OR($C950="",$D950=""),"",IFERROR($D950*INDEX(Mix_Eff,MATCH($C950,Mix_Code,0),2),""))</f>
        <v/>
      </c>
      <c r="H950" s="67" t="str">
        <f aca="false">IF(OR($C950="",$D950=""),"",IFERROR($D950*INDEX(Mix_Eff,MATCH($C950,Mix_Code,0),3),""))</f>
        <v/>
      </c>
      <c r="I950" s="67" t="str">
        <f aca="false">IF(OR($C950="",$D950=""),"",IFERROR($D950*INDEX(Mix_Eff,MATCH($C950,Mix_Code,0),4),""))</f>
        <v/>
      </c>
      <c r="J950" s="67" t="str">
        <f aca="false">IF(OR($C950="",$D950=""),"",IFERROR($D950*INDEX(Mix_Eff,MATCH($C950,Mix_Code,0),5),""))</f>
        <v/>
      </c>
      <c r="K950" s="63"/>
      <c r="L950" s="16" t="str">
        <f aca="false">IF(AND($A950="",$B950="",$C950="",$D950=""),"",IF($A950="","⚠ Date missing",IF($B950="","⚠ Site missing",IF(ISNA(MATCH($C950,Mix_Code,0)),"⚠ Unknown mix code",IF($D950="","⚠ Enter m3 produced",IF(COUNTIF(CI_Site,$B950)=0,"⚠ Site not set up in Current Inventory",IF($A950&gt;AsOfDate,"Future date – not yet deducted","OK")))))))</f>
        <v/>
      </c>
    </row>
    <row r="951" customFormat="false" ht="15" hidden="false" customHeight="false" outlineLevel="0" collapsed="false">
      <c r="A951" s="65"/>
      <c r="B951" s="63"/>
      <c r="C951" s="70"/>
      <c r="D951" s="66"/>
      <c r="E951" s="16" t="str">
        <f aca="false">IF($C951="","",IFERROR(INDEX(Mix_Desc,MATCH($C951,Mix_Code,0)),"⚠ Unknown mix code"))</f>
        <v/>
      </c>
      <c r="F951" s="67" t="str">
        <f aca="false">IF(OR($C951="",$D951=""),"",IFERROR($D951*INDEX(Mix_Eff,MATCH($C951,Mix_Code,0),1),""))</f>
        <v/>
      </c>
      <c r="G951" s="67" t="str">
        <f aca="false">IF(OR($C951="",$D951=""),"",IFERROR($D951*INDEX(Mix_Eff,MATCH($C951,Mix_Code,0),2),""))</f>
        <v/>
      </c>
      <c r="H951" s="67" t="str">
        <f aca="false">IF(OR($C951="",$D951=""),"",IFERROR($D951*INDEX(Mix_Eff,MATCH($C951,Mix_Code,0),3),""))</f>
        <v/>
      </c>
      <c r="I951" s="67" t="str">
        <f aca="false">IF(OR($C951="",$D951=""),"",IFERROR($D951*INDEX(Mix_Eff,MATCH($C951,Mix_Code,0),4),""))</f>
        <v/>
      </c>
      <c r="J951" s="67" t="str">
        <f aca="false">IF(OR($C951="",$D951=""),"",IFERROR($D951*INDEX(Mix_Eff,MATCH($C951,Mix_Code,0),5),""))</f>
        <v/>
      </c>
      <c r="K951" s="63"/>
      <c r="L951" s="16" t="str">
        <f aca="false">IF(AND($A951="",$B951="",$C951="",$D951=""),"",IF($A951="","⚠ Date missing",IF($B951="","⚠ Site missing",IF(ISNA(MATCH($C951,Mix_Code,0)),"⚠ Unknown mix code",IF($D951="","⚠ Enter m3 produced",IF(COUNTIF(CI_Site,$B951)=0,"⚠ Site not set up in Current Inventory",IF($A951&gt;AsOfDate,"Future date – not yet deducted","OK")))))))</f>
        <v/>
      </c>
    </row>
    <row r="952" customFormat="false" ht="15" hidden="false" customHeight="false" outlineLevel="0" collapsed="false">
      <c r="A952" s="65"/>
      <c r="B952" s="63"/>
      <c r="C952" s="70"/>
      <c r="D952" s="66"/>
      <c r="E952" s="16" t="str">
        <f aca="false">IF($C952="","",IFERROR(INDEX(Mix_Desc,MATCH($C952,Mix_Code,0)),"⚠ Unknown mix code"))</f>
        <v/>
      </c>
      <c r="F952" s="67" t="str">
        <f aca="false">IF(OR($C952="",$D952=""),"",IFERROR($D952*INDEX(Mix_Eff,MATCH($C952,Mix_Code,0),1),""))</f>
        <v/>
      </c>
      <c r="G952" s="67" t="str">
        <f aca="false">IF(OR($C952="",$D952=""),"",IFERROR($D952*INDEX(Mix_Eff,MATCH($C952,Mix_Code,0),2),""))</f>
        <v/>
      </c>
      <c r="H952" s="67" t="str">
        <f aca="false">IF(OR($C952="",$D952=""),"",IFERROR($D952*INDEX(Mix_Eff,MATCH($C952,Mix_Code,0),3),""))</f>
        <v/>
      </c>
      <c r="I952" s="67" t="str">
        <f aca="false">IF(OR($C952="",$D952=""),"",IFERROR($D952*INDEX(Mix_Eff,MATCH($C952,Mix_Code,0),4),""))</f>
        <v/>
      </c>
      <c r="J952" s="67" t="str">
        <f aca="false">IF(OR($C952="",$D952=""),"",IFERROR($D952*INDEX(Mix_Eff,MATCH($C952,Mix_Code,0),5),""))</f>
        <v/>
      </c>
      <c r="K952" s="63"/>
      <c r="L952" s="16" t="str">
        <f aca="false">IF(AND($A952="",$B952="",$C952="",$D952=""),"",IF($A952="","⚠ Date missing",IF($B952="","⚠ Site missing",IF(ISNA(MATCH($C952,Mix_Code,0)),"⚠ Unknown mix code",IF($D952="","⚠ Enter m3 produced",IF(COUNTIF(CI_Site,$B952)=0,"⚠ Site not set up in Current Inventory",IF($A952&gt;AsOfDate,"Future date – not yet deducted","OK")))))))</f>
        <v/>
      </c>
    </row>
    <row r="953" customFormat="false" ht="15" hidden="false" customHeight="false" outlineLevel="0" collapsed="false">
      <c r="A953" s="65"/>
      <c r="B953" s="63"/>
      <c r="C953" s="70"/>
      <c r="D953" s="66"/>
      <c r="E953" s="16" t="str">
        <f aca="false">IF($C953="","",IFERROR(INDEX(Mix_Desc,MATCH($C953,Mix_Code,0)),"⚠ Unknown mix code"))</f>
        <v/>
      </c>
      <c r="F953" s="67" t="str">
        <f aca="false">IF(OR($C953="",$D953=""),"",IFERROR($D953*INDEX(Mix_Eff,MATCH($C953,Mix_Code,0),1),""))</f>
        <v/>
      </c>
      <c r="G953" s="67" t="str">
        <f aca="false">IF(OR($C953="",$D953=""),"",IFERROR($D953*INDEX(Mix_Eff,MATCH($C953,Mix_Code,0),2),""))</f>
        <v/>
      </c>
      <c r="H953" s="67" t="str">
        <f aca="false">IF(OR($C953="",$D953=""),"",IFERROR($D953*INDEX(Mix_Eff,MATCH($C953,Mix_Code,0),3),""))</f>
        <v/>
      </c>
      <c r="I953" s="67" t="str">
        <f aca="false">IF(OR($C953="",$D953=""),"",IFERROR($D953*INDEX(Mix_Eff,MATCH($C953,Mix_Code,0),4),""))</f>
        <v/>
      </c>
      <c r="J953" s="67" t="str">
        <f aca="false">IF(OR($C953="",$D953=""),"",IFERROR($D953*INDEX(Mix_Eff,MATCH($C953,Mix_Code,0),5),""))</f>
        <v/>
      </c>
      <c r="K953" s="63"/>
      <c r="L953" s="16" t="str">
        <f aca="false">IF(AND($A953="",$B953="",$C953="",$D953=""),"",IF($A953="","⚠ Date missing",IF($B953="","⚠ Site missing",IF(ISNA(MATCH($C953,Mix_Code,0)),"⚠ Unknown mix code",IF($D953="","⚠ Enter m3 produced",IF(COUNTIF(CI_Site,$B953)=0,"⚠ Site not set up in Current Inventory",IF($A953&gt;AsOfDate,"Future date – not yet deducted","OK")))))))</f>
        <v/>
      </c>
    </row>
    <row r="954" customFormat="false" ht="15" hidden="false" customHeight="false" outlineLevel="0" collapsed="false">
      <c r="A954" s="65"/>
      <c r="B954" s="63"/>
      <c r="C954" s="70"/>
      <c r="D954" s="66"/>
      <c r="E954" s="16" t="str">
        <f aca="false">IF($C954="","",IFERROR(INDEX(Mix_Desc,MATCH($C954,Mix_Code,0)),"⚠ Unknown mix code"))</f>
        <v/>
      </c>
      <c r="F954" s="67" t="str">
        <f aca="false">IF(OR($C954="",$D954=""),"",IFERROR($D954*INDEX(Mix_Eff,MATCH($C954,Mix_Code,0),1),""))</f>
        <v/>
      </c>
      <c r="G954" s="67" t="str">
        <f aca="false">IF(OR($C954="",$D954=""),"",IFERROR($D954*INDEX(Mix_Eff,MATCH($C954,Mix_Code,0),2),""))</f>
        <v/>
      </c>
      <c r="H954" s="67" t="str">
        <f aca="false">IF(OR($C954="",$D954=""),"",IFERROR($D954*INDEX(Mix_Eff,MATCH($C954,Mix_Code,0),3),""))</f>
        <v/>
      </c>
      <c r="I954" s="67" t="str">
        <f aca="false">IF(OR($C954="",$D954=""),"",IFERROR($D954*INDEX(Mix_Eff,MATCH($C954,Mix_Code,0),4),""))</f>
        <v/>
      </c>
      <c r="J954" s="67" t="str">
        <f aca="false">IF(OR($C954="",$D954=""),"",IFERROR($D954*INDEX(Mix_Eff,MATCH($C954,Mix_Code,0),5),""))</f>
        <v/>
      </c>
      <c r="K954" s="63"/>
      <c r="L954" s="16" t="str">
        <f aca="false">IF(AND($A954="",$B954="",$C954="",$D954=""),"",IF($A954="","⚠ Date missing",IF($B954="","⚠ Site missing",IF(ISNA(MATCH($C954,Mix_Code,0)),"⚠ Unknown mix code",IF($D954="","⚠ Enter m3 produced",IF(COUNTIF(CI_Site,$B954)=0,"⚠ Site not set up in Current Inventory",IF($A954&gt;AsOfDate,"Future date – not yet deducted","OK")))))))</f>
        <v/>
      </c>
    </row>
    <row r="955" customFormat="false" ht="15" hidden="false" customHeight="false" outlineLevel="0" collapsed="false">
      <c r="A955" s="65"/>
      <c r="B955" s="63"/>
      <c r="C955" s="70"/>
      <c r="D955" s="66"/>
      <c r="E955" s="16" t="str">
        <f aca="false">IF($C955="","",IFERROR(INDEX(Mix_Desc,MATCH($C955,Mix_Code,0)),"⚠ Unknown mix code"))</f>
        <v/>
      </c>
      <c r="F955" s="67" t="str">
        <f aca="false">IF(OR($C955="",$D955=""),"",IFERROR($D955*INDEX(Mix_Eff,MATCH($C955,Mix_Code,0),1),""))</f>
        <v/>
      </c>
      <c r="G955" s="67" t="str">
        <f aca="false">IF(OR($C955="",$D955=""),"",IFERROR($D955*INDEX(Mix_Eff,MATCH($C955,Mix_Code,0),2),""))</f>
        <v/>
      </c>
      <c r="H955" s="67" t="str">
        <f aca="false">IF(OR($C955="",$D955=""),"",IFERROR($D955*INDEX(Mix_Eff,MATCH($C955,Mix_Code,0),3),""))</f>
        <v/>
      </c>
      <c r="I955" s="67" t="str">
        <f aca="false">IF(OR($C955="",$D955=""),"",IFERROR($D955*INDEX(Mix_Eff,MATCH($C955,Mix_Code,0),4),""))</f>
        <v/>
      </c>
      <c r="J955" s="67" t="str">
        <f aca="false">IF(OR($C955="",$D955=""),"",IFERROR($D955*INDEX(Mix_Eff,MATCH($C955,Mix_Code,0),5),""))</f>
        <v/>
      </c>
      <c r="K955" s="63"/>
      <c r="L955" s="16" t="str">
        <f aca="false">IF(AND($A955="",$B955="",$C955="",$D955=""),"",IF($A955="","⚠ Date missing",IF($B955="","⚠ Site missing",IF(ISNA(MATCH($C955,Mix_Code,0)),"⚠ Unknown mix code",IF($D955="","⚠ Enter m3 produced",IF(COUNTIF(CI_Site,$B955)=0,"⚠ Site not set up in Current Inventory",IF($A955&gt;AsOfDate,"Future date – not yet deducted","OK")))))))</f>
        <v/>
      </c>
    </row>
    <row r="956" customFormat="false" ht="15" hidden="false" customHeight="false" outlineLevel="0" collapsed="false">
      <c r="A956" s="65"/>
      <c r="B956" s="63"/>
      <c r="C956" s="70"/>
      <c r="D956" s="66"/>
      <c r="E956" s="16" t="str">
        <f aca="false">IF($C956="","",IFERROR(INDEX(Mix_Desc,MATCH($C956,Mix_Code,0)),"⚠ Unknown mix code"))</f>
        <v/>
      </c>
      <c r="F956" s="67" t="str">
        <f aca="false">IF(OR($C956="",$D956=""),"",IFERROR($D956*INDEX(Mix_Eff,MATCH($C956,Mix_Code,0),1),""))</f>
        <v/>
      </c>
      <c r="G956" s="67" t="str">
        <f aca="false">IF(OR($C956="",$D956=""),"",IFERROR($D956*INDEX(Mix_Eff,MATCH($C956,Mix_Code,0),2),""))</f>
        <v/>
      </c>
      <c r="H956" s="67" t="str">
        <f aca="false">IF(OR($C956="",$D956=""),"",IFERROR($D956*INDEX(Mix_Eff,MATCH($C956,Mix_Code,0),3),""))</f>
        <v/>
      </c>
      <c r="I956" s="67" t="str">
        <f aca="false">IF(OR($C956="",$D956=""),"",IFERROR($D956*INDEX(Mix_Eff,MATCH($C956,Mix_Code,0),4),""))</f>
        <v/>
      </c>
      <c r="J956" s="67" t="str">
        <f aca="false">IF(OR($C956="",$D956=""),"",IFERROR($D956*INDEX(Mix_Eff,MATCH($C956,Mix_Code,0),5),""))</f>
        <v/>
      </c>
      <c r="K956" s="63"/>
      <c r="L956" s="16" t="str">
        <f aca="false">IF(AND($A956="",$B956="",$C956="",$D956=""),"",IF($A956="","⚠ Date missing",IF($B956="","⚠ Site missing",IF(ISNA(MATCH($C956,Mix_Code,0)),"⚠ Unknown mix code",IF($D956="","⚠ Enter m3 produced",IF(COUNTIF(CI_Site,$B956)=0,"⚠ Site not set up in Current Inventory",IF($A956&gt;AsOfDate,"Future date – not yet deducted","OK")))))))</f>
        <v/>
      </c>
    </row>
    <row r="957" customFormat="false" ht="15" hidden="false" customHeight="false" outlineLevel="0" collapsed="false">
      <c r="A957" s="65"/>
      <c r="B957" s="63"/>
      <c r="C957" s="70"/>
      <c r="D957" s="66"/>
      <c r="E957" s="16" t="str">
        <f aca="false">IF($C957="","",IFERROR(INDEX(Mix_Desc,MATCH($C957,Mix_Code,0)),"⚠ Unknown mix code"))</f>
        <v/>
      </c>
      <c r="F957" s="67" t="str">
        <f aca="false">IF(OR($C957="",$D957=""),"",IFERROR($D957*INDEX(Mix_Eff,MATCH($C957,Mix_Code,0),1),""))</f>
        <v/>
      </c>
      <c r="G957" s="67" t="str">
        <f aca="false">IF(OR($C957="",$D957=""),"",IFERROR($D957*INDEX(Mix_Eff,MATCH($C957,Mix_Code,0),2),""))</f>
        <v/>
      </c>
      <c r="H957" s="67" t="str">
        <f aca="false">IF(OR($C957="",$D957=""),"",IFERROR($D957*INDEX(Mix_Eff,MATCH($C957,Mix_Code,0),3),""))</f>
        <v/>
      </c>
      <c r="I957" s="67" t="str">
        <f aca="false">IF(OR($C957="",$D957=""),"",IFERROR($D957*INDEX(Mix_Eff,MATCH($C957,Mix_Code,0),4),""))</f>
        <v/>
      </c>
      <c r="J957" s="67" t="str">
        <f aca="false">IF(OR($C957="",$D957=""),"",IFERROR($D957*INDEX(Mix_Eff,MATCH($C957,Mix_Code,0),5),""))</f>
        <v/>
      </c>
      <c r="K957" s="63"/>
      <c r="L957" s="16" t="str">
        <f aca="false">IF(AND($A957="",$B957="",$C957="",$D957=""),"",IF($A957="","⚠ Date missing",IF($B957="","⚠ Site missing",IF(ISNA(MATCH($C957,Mix_Code,0)),"⚠ Unknown mix code",IF($D957="","⚠ Enter m3 produced",IF(COUNTIF(CI_Site,$B957)=0,"⚠ Site not set up in Current Inventory",IF($A957&gt;AsOfDate,"Future date – not yet deducted","OK")))))))</f>
        <v/>
      </c>
    </row>
    <row r="958" customFormat="false" ht="15" hidden="false" customHeight="false" outlineLevel="0" collapsed="false">
      <c r="A958" s="65"/>
      <c r="B958" s="63"/>
      <c r="C958" s="70"/>
      <c r="D958" s="66"/>
      <c r="E958" s="16" t="str">
        <f aca="false">IF($C958="","",IFERROR(INDEX(Mix_Desc,MATCH($C958,Mix_Code,0)),"⚠ Unknown mix code"))</f>
        <v/>
      </c>
      <c r="F958" s="67" t="str">
        <f aca="false">IF(OR($C958="",$D958=""),"",IFERROR($D958*INDEX(Mix_Eff,MATCH($C958,Mix_Code,0),1),""))</f>
        <v/>
      </c>
      <c r="G958" s="67" t="str">
        <f aca="false">IF(OR($C958="",$D958=""),"",IFERROR($D958*INDEX(Mix_Eff,MATCH($C958,Mix_Code,0),2),""))</f>
        <v/>
      </c>
      <c r="H958" s="67" t="str">
        <f aca="false">IF(OR($C958="",$D958=""),"",IFERROR($D958*INDEX(Mix_Eff,MATCH($C958,Mix_Code,0),3),""))</f>
        <v/>
      </c>
      <c r="I958" s="67" t="str">
        <f aca="false">IF(OR($C958="",$D958=""),"",IFERROR($D958*INDEX(Mix_Eff,MATCH($C958,Mix_Code,0),4),""))</f>
        <v/>
      </c>
      <c r="J958" s="67" t="str">
        <f aca="false">IF(OR($C958="",$D958=""),"",IFERROR($D958*INDEX(Mix_Eff,MATCH($C958,Mix_Code,0),5),""))</f>
        <v/>
      </c>
      <c r="K958" s="63"/>
      <c r="L958" s="16" t="str">
        <f aca="false">IF(AND($A958="",$B958="",$C958="",$D958=""),"",IF($A958="","⚠ Date missing",IF($B958="","⚠ Site missing",IF(ISNA(MATCH($C958,Mix_Code,0)),"⚠ Unknown mix code",IF($D958="","⚠ Enter m3 produced",IF(COUNTIF(CI_Site,$B958)=0,"⚠ Site not set up in Current Inventory",IF($A958&gt;AsOfDate,"Future date – not yet deducted","OK")))))))</f>
        <v/>
      </c>
    </row>
    <row r="959" customFormat="false" ht="15" hidden="false" customHeight="false" outlineLevel="0" collapsed="false">
      <c r="A959" s="65"/>
      <c r="B959" s="63"/>
      <c r="C959" s="70"/>
      <c r="D959" s="66"/>
      <c r="E959" s="16" t="str">
        <f aca="false">IF($C959="","",IFERROR(INDEX(Mix_Desc,MATCH($C959,Mix_Code,0)),"⚠ Unknown mix code"))</f>
        <v/>
      </c>
      <c r="F959" s="67" t="str">
        <f aca="false">IF(OR($C959="",$D959=""),"",IFERROR($D959*INDEX(Mix_Eff,MATCH($C959,Mix_Code,0),1),""))</f>
        <v/>
      </c>
      <c r="G959" s="67" t="str">
        <f aca="false">IF(OR($C959="",$D959=""),"",IFERROR($D959*INDEX(Mix_Eff,MATCH($C959,Mix_Code,0),2),""))</f>
        <v/>
      </c>
      <c r="H959" s="67" t="str">
        <f aca="false">IF(OR($C959="",$D959=""),"",IFERROR($D959*INDEX(Mix_Eff,MATCH($C959,Mix_Code,0),3),""))</f>
        <v/>
      </c>
      <c r="I959" s="67" t="str">
        <f aca="false">IF(OR($C959="",$D959=""),"",IFERROR($D959*INDEX(Mix_Eff,MATCH($C959,Mix_Code,0),4),""))</f>
        <v/>
      </c>
      <c r="J959" s="67" t="str">
        <f aca="false">IF(OR($C959="",$D959=""),"",IFERROR($D959*INDEX(Mix_Eff,MATCH($C959,Mix_Code,0),5),""))</f>
        <v/>
      </c>
      <c r="K959" s="63"/>
      <c r="L959" s="16" t="str">
        <f aca="false">IF(AND($A959="",$B959="",$C959="",$D959=""),"",IF($A959="","⚠ Date missing",IF($B959="","⚠ Site missing",IF(ISNA(MATCH($C959,Mix_Code,0)),"⚠ Unknown mix code",IF($D959="","⚠ Enter m3 produced",IF(COUNTIF(CI_Site,$B959)=0,"⚠ Site not set up in Current Inventory",IF($A959&gt;AsOfDate,"Future date – not yet deducted","OK")))))))</f>
        <v/>
      </c>
    </row>
    <row r="960" customFormat="false" ht="15" hidden="false" customHeight="false" outlineLevel="0" collapsed="false">
      <c r="A960" s="65"/>
      <c r="B960" s="63"/>
      <c r="C960" s="70"/>
      <c r="D960" s="66"/>
      <c r="E960" s="16" t="str">
        <f aca="false">IF($C960="","",IFERROR(INDEX(Mix_Desc,MATCH($C960,Mix_Code,0)),"⚠ Unknown mix code"))</f>
        <v/>
      </c>
      <c r="F960" s="67" t="str">
        <f aca="false">IF(OR($C960="",$D960=""),"",IFERROR($D960*INDEX(Mix_Eff,MATCH($C960,Mix_Code,0),1),""))</f>
        <v/>
      </c>
      <c r="G960" s="67" t="str">
        <f aca="false">IF(OR($C960="",$D960=""),"",IFERROR($D960*INDEX(Mix_Eff,MATCH($C960,Mix_Code,0),2),""))</f>
        <v/>
      </c>
      <c r="H960" s="67" t="str">
        <f aca="false">IF(OR($C960="",$D960=""),"",IFERROR($D960*INDEX(Mix_Eff,MATCH($C960,Mix_Code,0),3),""))</f>
        <v/>
      </c>
      <c r="I960" s="67" t="str">
        <f aca="false">IF(OR($C960="",$D960=""),"",IFERROR($D960*INDEX(Mix_Eff,MATCH($C960,Mix_Code,0),4),""))</f>
        <v/>
      </c>
      <c r="J960" s="67" t="str">
        <f aca="false">IF(OR($C960="",$D960=""),"",IFERROR($D960*INDEX(Mix_Eff,MATCH($C960,Mix_Code,0),5),""))</f>
        <v/>
      </c>
      <c r="K960" s="63"/>
      <c r="L960" s="16" t="str">
        <f aca="false">IF(AND($A960="",$B960="",$C960="",$D960=""),"",IF($A960="","⚠ Date missing",IF($B960="","⚠ Site missing",IF(ISNA(MATCH($C960,Mix_Code,0)),"⚠ Unknown mix code",IF($D960="","⚠ Enter m3 produced",IF(COUNTIF(CI_Site,$B960)=0,"⚠ Site not set up in Current Inventory",IF($A960&gt;AsOfDate,"Future date – not yet deducted","OK")))))))</f>
        <v/>
      </c>
    </row>
    <row r="961" customFormat="false" ht="15" hidden="false" customHeight="false" outlineLevel="0" collapsed="false">
      <c r="A961" s="65"/>
      <c r="B961" s="63"/>
      <c r="C961" s="70"/>
      <c r="D961" s="66"/>
      <c r="E961" s="16" t="str">
        <f aca="false">IF($C961="","",IFERROR(INDEX(Mix_Desc,MATCH($C961,Mix_Code,0)),"⚠ Unknown mix code"))</f>
        <v/>
      </c>
      <c r="F961" s="67" t="str">
        <f aca="false">IF(OR($C961="",$D961=""),"",IFERROR($D961*INDEX(Mix_Eff,MATCH($C961,Mix_Code,0),1),""))</f>
        <v/>
      </c>
      <c r="G961" s="67" t="str">
        <f aca="false">IF(OR($C961="",$D961=""),"",IFERROR($D961*INDEX(Mix_Eff,MATCH($C961,Mix_Code,0),2),""))</f>
        <v/>
      </c>
      <c r="H961" s="67" t="str">
        <f aca="false">IF(OR($C961="",$D961=""),"",IFERROR($D961*INDEX(Mix_Eff,MATCH($C961,Mix_Code,0),3),""))</f>
        <v/>
      </c>
      <c r="I961" s="67" t="str">
        <f aca="false">IF(OR($C961="",$D961=""),"",IFERROR($D961*INDEX(Mix_Eff,MATCH($C961,Mix_Code,0),4),""))</f>
        <v/>
      </c>
      <c r="J961" s="67" t="str">
        <f aca="false">IF(OR($C961="",$D961=""),"",IFERROR($D961*INDEX(Mix_Eff,MATCH($C961,Mix_Code,0),5),""))</f>
        <v/>
      </c>
      <c r="K961" s="63"/>
      <c r="L961" s="16" t="str">
        <f aca="false">IF(AND($A961="",$B961="",$C961="",$D961=""),"",IF($A961="","⚠ Date missing",IF($B961="","⚠ Site missing",IF(ISNA(MATCH($C961,Mix_Code,0)),"⚠ Unknown mix code",IF($D961="","⚠ Enter m3 produced",IF(COUNTIF(CI_Site,$B961)=0,"⚠ Site not set up in Current Inventory",IF($A961&gt;AsOfDate,"Future date – not yet deducted","OK")))))))</f>
        <v/>
      </c>
    </row>
    <row r="962" customFormat="false" ht="15" hidden="false" customHeight="false" outlineLevel="0" collapsed="false">
      <c r="A962" s="65"/>
      <c r="B962" s="63"/>
      <c r="C962" s="70"/>
      <c r="D962" s="66"/>
      <c r="E962" s="16" t="str">
        <f aca="false">IF($C962="","",IFERROR(INDEX(Mix_Desc,MATCH($C962,Mix_Code,0)),"⚠ Unknown mix code"))</f>
        <v/>
      </c>
      <c r="F962" s="67" t="str">
        <f aca="false">IF(OR($C962="",$D962=""),"",IFERROR($D962*INDEX(Mix_Eff,MATCH($C962,Mix_Code,0),1),""))</f>
        <v/>
      </c>
      <c r="G962" s="67" t="str">
        <f aca="false">IF(OR($C962="",$D962=""),"",IFERROR($D962*INDEX(Mix_Eff,MATCH($C962,Mix_Code,0),2),""))</f>
        <v/>
      </c>
      <c r="H962" s="67" t="str">
        <f aca="false">IF(OR($C962="",$D962=""),"",IFERROR($D962*INDEX(Mix_Eff,MATCH($C962,Mix_Code,0),3),""))</f>
        <v/>
      </c>
      <c r="I962" s="67" t="str">
        <f aca="false">IF(OR($C962="",$D962=""),"",IFERROR($D962*INDEX(Mix_Eff,MATCH($C962,Mix_Code,0),4),""))</f>
        <v/>
      </c>
      <c r="J962" s="67" t="str">
        <f aca="false">IF(OR($C962="",$D962=""),"",IFERROR($D962*INDEX(Mix_Eff,MATCH($C962,Mix_Code,0),5),""))</f>
        <v/>
      </c>
      <c r="K962" s="63"/>
      <c r="L962" s="16" t="str">
        <f aca="false">IF(AND($A962="",$B962="",$C962="",$D962=""),"",IF($A962="","⚠ Date missing",IF($B962="","⚠ Site missing",IF(ISNA(MATCH($C962,Mix_Code,0)),"⚠ Unknown mix code",IF($D962="","⚠ Enter m3 produced",IF(COUNTIF(CI_Site,$B962)=0,"⚠ Site not set up in Current Inventory",IF($A962&gt;AsOfDate,"Future date – not yet deducted","OK")))))))</f>
        <v/>
      </c>
    </row>
    <row r="963" customFormat="false" ht="15" hidden="false" customHeight="false" outlineLevel="0" collapsed="false">
      <c r="A963" s="65"/>
      <c r="B963" s="63"/>
      <c r="C963" s="70"/>
      <c r="D963" s="66"/>
      <c r="E963" s="16" t="str">
        <f aca="false">IF($C963="","",IFERROR(INDEX(Mix_Desc,MATCH($C963,Mix_Code,0)),"⚠ Unknown mix code"))</f>
        <v/>
      </c>
      <c r="F963" s="67" t="str">
        <f aca="false">IF(OR($C963="",$D963=""),"",IFERROR($D963*INDEX(Mix_Eff,MATCH($C963,Mix_Code,0),1),""))</f>
        <v/>
      </c>
      <c r="G963" s="67" t="str">
        <f aca="false">IF(OR($C963="",$D963=""),"",IFERROR($D963*INDEX(Mix_Eff,MATCH($C963,Mix_Code,0),2),""))</f>
        <v/>
      </c>
      <c r="H963" s="67" t="str">
        <f aca="false">IF(OR($C963="",$D963=""),"",IFERROR($D963*INDEX(Mix_Eff,MATCH($C963,Mix_Code,0),3),""))</f>
        <v/>
      </c>
      <c r="I963" s="67" t="str">
        <f aca="false">IF(OR($C963="",$D963=""),"",IFERROR($D963*INDEX(Mix_Eff,MATCH($C963,Mix_Code,0),4),""))</f>
        <v/>
      </c>
      <c r="J963" s="67" t="str">
        <f aca="false">IF(OR($C963="",$D963=""),"",IFERROR($D963*INDEX(Mix_Eff,MATCH($C963,Mix_Code,0),5),""))</f>
        <v/>
      </c>
      <c r="K963" s="63"/>
      <c r="L963" s="16" t="str">
        <f aca="false">IF(AND($A963="",$B963="",$C963="",$D963=""),"",IF($A963="","⚠ Date missing",IF($B963="","⚠ Site missing",IF(ISNA(MATCH($C963,Mix_Code,0)),"⚠ Unknown mix code",IF($D963="","⚠ Enter m3 produced",IF(COUNTIF(CI_Site,$B963)=0,"⚠ Site not set up in Current Inventory",IF($A963&gt;AsOfDate,"Future date – not yet deducted","OK")))))))</f>
        <v/>
      </c>
    </row>
    <row r="964" customFormat="false" ht="15" hidden="false" customHeight="false" outlineLevel="0" collapsed="false">
      <c r="A964" s="65"/>
      <c r="B964" s="63"/>
      <c r="C964" s="70"/>
      <c r="D964" s="66"/>
      <c r="E964" s="16" t="str">
        <f aca="false">IF($C964="","",IFERROR(INDEX(Mix_Desc,MATCH($C964,Mix_Code,0)),"⚠ Unknown mix code"))</f>
        <v/>
      </c>
      <c r="F964" s="67" t="str">
        <f aca="false">IF(OR($C964="",$D964=""),"",IFERROR($D964*INDEX(Mix_Eff,MATCH($C964,Mix_Code,0),1),""))</f>
        <v/>
      </c>
      <c r="G964" s="67" t="str">
        <f aca="false">IF(OR($C964="",$D964=""),"",IFERROR($D964*INDEX(Mix_Eff,MATCH($C964,Mix_Code,0),2),""))</f>
        <v/>
      </c>
      <c r="H964" s="67" t="str">
        <f aca="false">IF(OR($C964="",$D964=""),"",IFERROR($D964*INDEX(Mix_Eff,MATCH($C964,Mix_Code,0),3),""))</f>
        <v/>
      </c>
      <c r="I964" s="67" t="str">
        <f aca="false">IF(OR($C964="",$D964=""),"",IFERROR($D964*INDEX(Mix_Eff,MATCH($C964,Mix_Code,0),4),""))</f>
        <v/>
      </c>
      <c r="J964" s="67" t="str">
        <f aca="false">IF(OR($C964="",$D964=""),"",IFERROR($D964*INDEX(Mix_Eff,MATCH($C964,Mix_Code,0),5),""))</f>
        <v/>
      </c>
      <c r="K964" s="63"/>
      <c r="L964" s="16" t="str">
        <f aca="false">IF(AND($A964="",$B964="",$C964="",$D964=""),"",IF($A964="","⚠ Date missing",IF($B964="","⚠ Site missing",IF(ISNA(MATCH($C964,Mix_Code,0)),"⚠ Unknown mix code",IF($D964="","⚠ Enter m3 produced",IF(COUNTIF(CI_Site,$B964)=0,"⚠ Site not set up in Current Inventory",IF($A964&gt;AsOfDate,"Future date – not yet deducted","OK")))))))</f>
        <v/>
      </c>
    </row>
    <row r="965" customFormat="false" ht="15" hidden="false" customHeight="false" outlineLevel="0" collapsed="false">
      <c r="A965" s="65"/>
      <c r="B965" s="63"/>
      <c r="C965" s="70"/>
      <c r="D965" s="66"/>
      <c r="E965" s="16" t="str">
        <f aca="false">IF($C965="","",IFERROR(INDEX(Mix_Desc,MATCH($C965,Mix_Code,0)),"⚠ Unknown mix code"))</f>
        <v/>
      </c>
      <c r="F965" s="67" t="str">
        <f aca="false">IF(OR($C965="",$D965=""),"",IFERROR($D965*INDEX(Mix_Eff,MATCH($C965,Mix_Code,0),1),""))</f>
        <v/>
      </c>
      <c r="G965" s="67" t="str">
        <f aca="false">IF(OR($C965="",$D965=""),"",IFERROR($D965*INDEX(Mix_Eff,MATCH($C965,Mix_Code,0),2),""))</f>
        <v/>
      </c>
      <c r="H965" s="67" t="str">
        <f aca="false">IF(OR($C965="",$D965=""),"",IFERROR($D965*INDEX(Mix_Eff,MATCH($C965,Mix_Code,0),3),""))</f>
        <v/>
      </c>
      <c r="I965" s="67" t="str">
        <f aca="false">IF(OR($C965="",$D965=""),"",IFERROR($D965*INDEX(Mix_Eff,MATCH($C965,Mix_Code,0),4),""))</f>
        <v/>
      </c>
      <c r="J965" s="67" t="str">
        <f aca="false">IF(OR($C965="",$D965=""),"",IFERROR($D965*INDEX(Mix_Eff,MATCH($C965,Mix_Code,0),5),""))</f>
        <v/>
      </c>
      <c r="K965" s="63"/>
      <c r="L965" s="16" t="str">
        <f aca="false">IF(AND($A965="",$B965="",$C965="",$D965=""),"",IF($A965="","⚠ Date missing",IF($B965="","⚠ Site missing",IF(ISNA(MATCH($C965,Mix_Code,0)),"⚠ Unknown mix code",IF($D965="","⚠ Enter m3 produced",IF(COUNTIF(CI_Site,$B965)=0,"⚠ Site not set up in Current Inventory",IF($A965&gt;AsOfDate,"Future date – not yet deducted","OK")))))))</f>
        <v/>
      </c>
    </row>
    <row r="966" customFormat="false" ht="15" hidden="false" customHeight="false" outlineLevel="0" collapsed="false">
      <c r="A966" s="65"/>
      <c r="B966" s="63"/>
      <c r="C966" s="70"/>
      <c r="D966" s="66"/>
      <c r="E966" s="16" t="str">
        <f aca="false">IF($C966="","",IFERROR(INDEX(Mix_Desc,MATCH($C966,Mix_Code,0)),"⚠ Unknown mix code"))</f>
        <v/>
      </c>
      <c r="F966" s="67" t="str">
        <f aca="false">IF(OR($C966="",$D966=""),"",IFERROR($D966*INDEX(Mix_Eff,MATCH($C966,Mix_Code,0),1),""))</f>
        <v/>
      </c>
      <c r="G966" s="67" t="str">
        <f aca="false">IF(OR($C966="",$D966=""),"",IFERROR($D966*INDEX(Mix_Eff,MATCH($C966,Mix_Code,0),2),""))</f>
        <v/>
      </c>
      <c r="H966" s="67" t="str">
        <f aca="false">IF(OR($C966="",$D966=""),"",IFERROR($D966*INDEX(Mix_Eff,MATCH($C966,Mix_Code,0),3),""))</f>
        <v/>
      </c>
      <c r="I966" s="67" t="str">
        <f aca="false">IF(OR($C966="",$D966=""),"",IFERROR($D966*INDEX(Mix_Eff,MATCH($C966,Mix_Code,0),4),""))</f>
        <v/>
      </c>
      <c r="J966" s="67" t="str">
        <f aca="false">IF(OR($C966="",$D966=""),"",IFERROR($D966*INDEX(Mix_Eff,MATCH($C966,Mix_Code,0),5),""))</f>
        <v/>
      </c>
      <c r="K966" s="63"/>
      <c r="L966" s="16" t="str">
        <f aca="false">IF(AND($A966="",$B966="",$C966="",$D966=""),"",IF($A966="","⚠ Date missing",IF($B966="","⚠ Site missing",IF(ISNA(MATCH($C966,Mix_Code,0)),"⚠ Unknown mix code",IF($D966="","⚠ Enter m3 produced",IF(COUNTIF(CI_Site,$B966)=0,"⚠ Site not set up in Current Inventory",IF($A966&gt;AsOfDate,"Future date – not yet deducted","OK")))))))</f>
        <v/>
      </c>
    </row>
    <row r="967" customFormat="false" ht="15" hidden="false" customHeight="false" outlineLevel="0" collapsed="false">
      <c r="A967" s="65"/>
      <c r="B967" s="63"/>
      <c r="C967" s="70"/>
      <c r="D967" s="66"/>
      <c r="E967" s="16" t="str">
        <f aca="false">IF($C967="","",IFERROR(INDEX(Mix_Desc,MATCH($C967,Mix_Code,0)),"⚠ Unknown mix code"))</f>
        <v/>
      </c>
      <c r="F967" s="67" t="str">
        <f aca="false">IF(OR($C967="",$D967=""),"",IFERROR($D967*INDEX(Mix_Eff,MATCH($C967,Mix_Code,0),1),""))</f>
        <v/>
      </c>
      <c r="G967" s="67" t="str">
        <f aca="false">IF(OR($C967="",$D967=""),"",IFERROR($D967*INDEX(Mix_Eff,MATCH($C967,Mix_Code,0),2),""))</f>
        <v/>
      </c>
      <c r="H967" s="67" t="str">
        <f aca="false">IF(OR($C967="",$D967=""),"",IFERROR($D967*INDEX(Mix_Eff,MATCH($C967,Mix_Code,0),3),""))</f>
        <v/>
      </c>
      <c r="I967" s="67" t="str">
        <f aca="false">IF(OR($C967="",$D967=""),"",IFERROR($D967*INDEX(Mix_Eff,MATCH($C967,Mix_Code,0),4),""))</f>
        <v/>
      </c>
      <c r="J967" s="67" t="str">
        <f aca="false">IF(OR($C967="",$D967=""),"",IFERROR($D967*INDEX(Mix_Eff,MATCH($C967,Mix_Code,0),5),""))</f>
        <v/>
      </c>
      <c r="K967" s="63"/>
      <c r="L967" s="16" t="str">
        <f aca="false">IF(AND($A967="",$B967="",$C967="",$D967=""),"",IF($A967="","⚠ Date missing",IF($B967="","⚠ Site missing",IF(ISNA(MATCH($C967,Mix_Code,0)),"⚠ Unknown mix code",IF($D967="","⚠ Enter m3 produced",IF(COUNTIF(CI_Site,$B967)=0,"⚠ Site not set up in Current Inventory",IF($A967&gt;AsOfDate,"Future date – not yet deducted","OK")))))))</f>
        <v/>
      </c>
    </row>
    <row r="968" customFormat="false" ht="15" hidden="false" customHeight="false" outlineLevel="0" collapsed="false">
      <c r="A968" s="65"/>
      <c r="B968" s="63"/>
      <c r="C968" s="70"/>
      <c r="D968" s="66"/>
      <c r="E968" s="16" t="str">
        <f aca="false">IF($C968="","",IFERROR(INDEX(Mix_Desc,MATCH($C968,Mix_Code,0)),"⚠ Unknown mix code"))</f>
        <v/>
      </c>
      <c r="F968" s="67" t="str">
        <f aca="false">IF(OR($C968="",$D968=""),"",IFERROR($D968*INDEX(Mix_Eff,MATCH($C968,Mix_Code,0),1),""))</f>
        <v/>
      </c>
      <c r="G968" s="67" t="str">
        <f aca="false">IF(OR($C968="",$D968=""),"",IFERROR($D968*INDEX(Mix_Eff,MATCH($C968,Mix_Code,0),2),""))</f>
        <v/>
      </c>
      <c r="H968" s="67" t="str">
        <f aca="false">IF(OR($C968="",$D968=""),"",IFERROR($D968*INDEX(Mix_Eff,MATCH($C968,Mix_Code,0),3),""))</f>
        <v/>
      </c>
      <c r="I968" s="67" t="str">
        <f aca="false">IF(OR($C968="",$D968=""),"",IFERROR($D968*INDEX(Mix_Eff,MATCH($C968,Mix_Code,0),4),""))</f>
        <v/>
      </c>
      <c r="J968" s="67" t="str">
        <f aca="false">IF(OR($C968="",$D968=""),"",IFERROR($D968*INDEX(Mix_Eff,MATCH($C968,Mix_Code,0),5),""))</f>
        <v/>
      </c>
      <c r="K968" s="63"/>
      <c r="L968" s="16" t="str">
        <f aca="false">IF(AND($A968="",$B968="",$C968="",$D968=""),"",IF($A968="","⚠ Date missing",IF($B968="","⚠ Site missing",IF(ISNA(MATCH($C968,Mix_Code,0)),"⚠ Unknown mix code",IF($D968="","⚠ Enter m3 produced",IF(COUNTIF(CI_Site,$B968)=0,"⚠ Site not set up in Current Inventory",IF($A968&gt;AsOfDate,"Future date – not yet deducted","OK")))))))</f>
        <v/>
      </c>
    </row>
    <row r="969" customFormat="false" ht="15" hidden="false" customHeight="false" outlineLevel="0" collapsed="false">
      <c r="A969" s="65"/>
      <c r="B969" s="63"/>
      <c r="C969" s="70"/>
      <c r="D969" s="66"/>
      <c r="E969" s="16" t="str">
        <f aca="false">IF($C969="","",IFERROR(INDEX(Mix_Desc,MATCH($C969,Mix_Code,0)),"⚠ Unknown mix code"))</f>
        <v/>
      </c>
      <c r="F969" s="67" t="str">
        <f aca="false">IF(OR($C969="",$D969=""),"",IFERROR($D969*INDEX(Mix_Eff,MATCH($C969,Mix_Code,0),1),""))</f>
        <v/>
      </c>
      <c r="G969" s="67" t="str">
        <f aca="false">IF(OR($C969="",$D969=""),"",IFERROR($D969*INDEX(Mix_Eff,MATCH($C969,Mix_Code,0),2),""))</f>
        <v/>
      </c>
      <c r="H969" s="67" t="str">
        <f aca="false">IF(OR($C969="",$D969=""),"",IFERROR($D969*INDEX(Mix_Eff,MATCH($C969,Mix_Code,0),3),""))</f>
        <v/>
      </c>
      <c r="I969" s="67" t="str">
        <f aca="false">IF(OR($C969="",$D969=""),"",IFERROR($D969*INDEX(Mix_Eff,MATCH($C969,Mix_Code,0),4),""))</f>
        <v/>
      </c>
      <c r="J969" s="67" t="str">
        <f aca="false">IF(OR($C969="",$D969=""),"",IFERROR($D969*INDEX(Mix_Eff,MATCH($C969,Mix_Code,0),5),""))</f>
        <v/>
      </c>
      <c r="K969" s="63"/>
      <c r="L969" s="16" t="str">
        <f aca="false">IF(AND($A969="",$B969="",$C969="",$D969=""),"",IF($A969="","⚠ Date missing",IF($B969="","⚠ Site missing",IF(ISNA(MATCH($C969,Mix_Code,0)),"⚠ Unknown mix code",IF($D969="","⚠ Enter m3 produced",IF(COUNTIF(CI_Site,$B969)=0,"⚠ Site not set up in Current Inventory",IF($A969&gt;AsOfDate,"Future date – not yet deducted","OK")))))))</f>
        <v/>
      </c>
    </row>
    <row r="970" customFormat="false" ht="15" hidden="false" customHeight="false" outlineLevel="0" collapsed="false">
      <c r="A970" s="65"/>
      <c r="B970" s="63"/>
      <c r="C970" s="70"/>
      <c r="D970" s="66"/>
      <c r="E970" s="16" t="str">
        <f aca="false">IF($C970="","",IFERROR(INDEX(Mix_Desc,MATCH($C970,Mix_Code,0)),"⚠ Unknown mix code"))</f>
        <v/>
      </c>
      <c r="F970" s="67" t="str">
        <f aca="false">IF(OR($C970="",$D970=""),"",IFERROR($D970*INDEX(Mix_Eff,MATCH($C970,Mix_Code,0),1),""))</f>
        <v/>
      </c>
      <c r="G970" s="67" t="str">
        <f aca="false">IF(OR($C970="",$D970=""),"",IFERROR($D970*INDEX(Mix_Eff,MATCH($C970,Mix_Code,0),2),""))</f>
        <v/>
      </c>
      <c r="H970" s="67" t="str">
        <f aca="false">IF(OR($C970="",$D970=""),"",IFERROR($D970*INDEX(Mix_Eff,MATCH($C970,Mix_Code,0),3),""))</f>
        <v/>
      </c>
      <c r="I970" s="67" t="str">
        <f aca="false">IF(OR($C970="",$D970=""),"",IFERROR($D970*INDEX(Mix_Eff,MATCH($C970,Mix_Code,0),4),""))</f>
        <v/>
      </c>
      <c r="J970" s="67" t="str">
        <f aca="false">IF(OR($C970="",$D970=""),"",IFERROR($D970*INDEX(Mix_Eff,MATCH($C970,Mix_Code,0),5),""))</f>
        <v/>
      </c>
      <c r="K970" s="63"/>
      <c r="L970" s="16" t="str">
        <f aca="false">IF(AND($A970="",$B970="",$C970="",$D970=""),"",IF($A970="","⚠ Date missing",IF($B970="","⚠ Site missing",IF(ISNA(MATCH($C970,Mix_Code,0)),"⚠ Unknown mix code",IF($D970="","⚠ Enter m3 produced",IF(COUNTIF(CI_Site,$B970)=0,"⚠ Site not set up in Current Inventory",IF($A970&gt;AsOfDate,"Future date – not yet deducted","OK")))))))</f>
        <v/>
      </c>
    </row>
    <row r="971" customFormat="false" ht="15" hidden="false" customHeight="false" outlineLevel="0" collapsed="false">
      <c r="A971" s="65"/>
      <c r="B971" s="63"/>
      <c r="C971" s="70"/>
      <c r="D971" s="66"/>
      <c r="E971" s="16" t="str">
        <f aca="false">IF($C971="","",IFERROR(INDEX(Mix_Desc,MATCH($C971,Mix_Code,0)),"⚠ Unknown mix code"))</f>
        <v/>
      </c>
      <c r="F971" s="67" t="str">
        <f aca="false">IF(OR($C971="",$D971=""),"",IFERROR($D971*INDEX(Mix_Eff,MATCH($C971,Mix_Code,0),1),""))</f>
        <v/>
      </c>
      <c r="G971" s="67" t="str">
        <f aca="false">IF(OR($C971="",$D971=""),"",IFERROR($D971*INDEX(Mix_Eff,MATCH($C971,Mix_Code,0),2),""))</f>
        <v/>
      </c>
      <c r="H971" s="67" t="str">
        <f aca="false">IF(OR($C971="",$D971=""),"",IFERROR($D971*INDEX(Mix_Eff,MATCH($C971,Mix_Code,0),3),""))</f>
        <v/>
      </c>
      <c r="I971" s="67" t="str">
        <f aca="false">IF(OR($C971="",$D971=""),"",IFERROR($D971*INDEX(Mix_Eff,MATCH($C971,Mix_Code,0),4),""))</f>
        <v/>
      </c>
      <c r="J971" s="67" t="str">
        <f aca="false">IF(OR($C971="",$D971=""),"",IFERROR($D971*INDEX(Mix_Eff,MATCH($C971,Mix_Code,0),5),""))</f>
        <v/>
      </c>
      <c r="K971" s="63"/>
      <c r="L971" s="16" t="str">
        <f aca="false">IF(AND($A971="",$B971="",$C971="",$D971=""),"",IF($A971="","⚠ Date missing",IF($B971="","⚠ Site missing",IF(ISNA(MATCH($C971,Mix_Code,0)),"⚠ Unknown mix code",IF($D971="","⚠ Enter m3 produced",IF(COUNTIF(CI_Site,$B971)=0,"⚠ Site not set up in Current Inventory",IF($A971&gt;AsOfDate,"Future date – not yet deducted","OK")))))))</f>
        <v/>
      </c>
    </row>
    <row r="972" customFormat="false" ht="15" hidden="false" customHeight="false" outlineLevel="0" collapsed="false">
      <c r="A972" s="65"/>
      <c r="B972" s="63"/>
      <c r="C972" s="70"/>
      <c r="D972" s="66"/>
      <c r="E972" s="16" t="str">
        <f aca="false">IF($C972="","",IFERROR(INDEX(Mix_Desc,MATCH($C972,Mix_Code,0)),"⚠ Unknown mix code"))</f>
        <v/>
      </c>
      <c r="F972" s="67" t="str">
        <f aca="false">IF(OR($C972="",$D972=""),"",IFERROR($D972*INDEX(Mix_Eff,MATCH($C972,Mix_Code,0),1),""))</f>
        <v/>
      </c>
      <c r="G972" s="67" t="str">
        <f aca="false">IF(OR($C972="",$D972=""),"",IFERROR($D972*INDEX(Mix_Eff,MATCH($C972,Mix_Code,0),2),""))</f>
        <v/>
      </c>
      <c r="H972" s="67" t="str">
        <f aca="false">IF(OR($C972="",$D972=""),"",IFERROR($D972*INDEX(Mix_Eff,MATCH($C972,Mix_Code,0),3),""))</f>
        <v/>
      </c>
      <c r="I972" s="67" t="str">
        <f aca="false">IF(OR($C972="",$D972=""),"",IFERROR($D972*INDEX(Mix_Eff,MATCH($C972,Mix_Code,0),4),""))</f>
        <v/>
      </c>
      <c r="J972" s="67" t="str">
        <f aca="false">IF(OR($C972="",$D972=""),"",IFERROR($D972*INDEX(Mix_Eff,MATCH($C972,Mix_Code,0),5),""))</f>
        <v/>
      </c>
      <c r="K972" s="63"/>
      <c r="L972" s="16" t="str">
        <f aca="false">IF(AND($A972="",$B972="",$C972="",$D972=""),"",IF($A972="","⚠ Date missing",IF($B972="","⚠ Site missing",IF(ISNA(MATCH($C972,Mix_Code,0)),"⚠ Unknown mix code",IF($D972="","⚠ Enter m3 produced",IF(COUNTIF(CI_Site,$B972)=0,"⚠ Site not set up in Current Inventory",IF($A972&gt;AsOfDate,"Future date – not yet deducted","OK")))))))</f>
        <v/>
      </c>
    </row>
    <row r="973" customFormat="false" ht="15" hidden="false" customHeight="false" outlineLevel="0" collapsed="false">
      <c r="A973" s="65"/>
      <c r="B973" s="63"/>
      <c r="C973" s="70"/>
      <c r="D973" s="66"/>
      <c r="E973" s="16" t="str">
        <f aca="false">IF($C973="","",IFERROR(INDEX(Mix_Desc,MATCH($C973,Mix_Code,0)),"⚠ Unknown mix code"))</f>
        <v/>
      </c>
      <c r="F973" s="67" t="str">
        <f aca="false">IF(OR($C973="",$D973=""),"",IFERROR($D973*INDEX(Mix_Eff,MATCH($C973,Mix_Code,0),1),""))</f>
        <v/>
      </c>
      <c r="G973" s="67" t="str">
        <f aca="false">IF(OR($C973="",$D973=""),"",IFERROR($D973*INDEX(Mix_Eff,MATCH($C973,Mix_Code,0),2),""))</f>
        <v/>
      </c>
      <c r="H973" s="67" t="str">
        <f aca="false">IF(OR($C973="",$D973=""),"",IFERROR($D973*INDEX(Mix_Eff,MATCH($C973,Mix_Code,0),3),""))</f>
        <v/>
      </c>
      <c r="I973" s="67" t="str">
        <f aca="false">IF(OR($C973="",$D973=""),"",IFERROR($D973*INDEX(Mix_Eff,MATCH($C973,Mix_Code,0),4),""))</f>
        <v/>
      </c>
      <c r="J973" s="67" t="str">
        <f aca="false">IF(OR($C973="",$D973=""),"",IFERROR($D973*INDEX(Mix_Eff,MATCH($C973,Mix_Code,0),5),""))</f>
        <v/>
      </c>
      <c r="K973" s="63"/>
      <c r="L973" s="16" t="str">
        <f aca="false">IF(AND($A973="",$B973="",$C973="",$D973=""),"",IF($A973="","⚠ Date missing",IF($B973="","⚠ Site missing",IF(ISNA(MATCH($C973,Mix_Code,0)),"⚠ Unknown mix code",IF($D973="","⚠ Enter m3 produced",IF(COUNTIF(CI_Site,$B973)=0,"⚠ Site not set up in Current Inventory",IF($A973&gt;AsOfDate,"Future date – not yet deducted","OK")))))))</f>
        <v/>
      </c>
    </row>
    <row r="974" customFormat="false" ht="15" hidden="false" customHeight="false" outlineLevel="0" collapsed="false">
      <c r="A974" s="65"/>
      <c r="B974" s="63"/>
      <c r="C974" s="70"/>
      <c r="D974" s="66"/>
      <c r="E974" s="16" t="str">
        <f aca="false">IF($C974="","",IFERROR(INDEX(Mix_Desc,MATCH($C974,Mix_Code,0)),"⚠ Unknown mix code"))</f>
        <v/>
      </c>
      <c r="F974" s="67" t="str">
        <f aca="false">IF(OR($C974="",$D974=""),"",IFERROR($D974*INDEX(Mix_Eff,MATCH($C974,Mix_Code,0),1),""))</f>
        <v/>
      </c>
      <c r="G974" s="67" t="str">
        <f aca="false">IF(OR($C974="",$D974=""),"",IFERROR($D974*INDEX(Mix_Eff,MATCH($C974,Mix_Code,0),2),""))</f>
        <v/>
      </c>
      <c r="H974" s="67" t="str">
        <f aca="false">IF(OR($C974="",$D974=""),"",IFERROR($D974*INDEX(Mix_Eff,MATCH($C974,Mix_Code,0),3),""))</f>
        <v/>
      </c>
      <c r="I974" s="67" t="str">
        <f aca="false">IF(OR($C974="",$D974=""),"",IFERROR($D974*INDEX(Mix_Eff,MATCH($C974,Mix_Code,0),4),""))</f>
        <v/>
      </c>
      <c r="J974" s="67" t="str">
        <f aca="false">IF(OR($C974="",$D974=""),"",IFERROR($D974*INDEX(Mix_Eff,MATCH($C974,Mix_Code,0),5),""))</f>
        <v/>
      </c>
      <c r="K974" s="63"/>
      <c r="L974" s="16" t="str">
        <f aca="false">IF(AND($A974="",$B974="",$C974="",$D974=""),"",IF($A974="","⚠ Date missing",IF($B974="","⚠ Site missing",IF(ISNA(MATCH($C974,Mix_Code,0)),"⚠ Unknown mix code",IF($D974="","⚠ Enter m3 produced",IF(COUNTIF(CI_Site,$B974)=0,"⚠ Site not set up in Current Inventory",IF($A974&gt;AsOfDate,"Future date – not yet deducted","OK")))))))</f>
        <v/>
      </c>
    </row>
    <row r="975" customFormat="false" ht="15" hidden="false" customHeight="false" outlineLevel="0" collapsed="false">
      <c r="A975" s="65"/>
      <c r="B975" s="63"/>
      <c r="C975" s="70"/>
      <c r="D975" s="66"/>
      <c r="E975" s="16" t="str">
        <f aca="false">IF($C975="","",IFERROR(INDEX(Mix_Desc,MATCH($C975,Mix_Code,0)),"⚠ Unknown mix code"))</f>
        <v/>
      </c>
      <c r="F975" s="67" t="str">
        <f aca="false">IF(OR($C975="",$D975=""),"",IFERROR($D975*INDEX(Mix_Eff,MATCH($C975,Mix_Code,0),1),""))</f>
        <v/>
      </c>
      <c r="G975" s="67" t="str">
        <f aca="false">IF(OR($C975="",$D975=""),"",IFERROR($D975*INDEX(Mix_Eff,MATCH($C975,Mix_Code,0),2),""))</f>
        <v/>
      </c>
      <c r="H975" s="67" t="str">
        <f aca="false">IF(OR($C975="",$D975=""),"",IFERROR($D975*INDEX(Mix_Eff,MATCH($C975,Mix_Code,0),3),""))</f>
        <v/>
      </c>
      <c r="I975" s="67" t="str">
        <f aca="false">IF(OR($C975="",$D975=""),"",IFERROR($D975*INDEX(Mix_Eff,MATCH($C975,Mix_Code,0),4),""))</f>
        <v/>
      </c>
      <c r="J975" s="67" t="str">
        <f aca="false">IF(OR($C975="",$D975=""),"",IFERROR($D975*INDEX(Mix_Eff,MATCH($C975,Mix_Code,0),5),""))</f>
        <v/>
      </c>
      <c r="K975" s="63"/>
      <c r="L975" s="16" t="str">
        <f aca="false">IF(AND($A975="",$B975="",$C975="",$D975=""),"",IF($A975="","⚠ Date missing",IF($B975="","⚠ Site missing",IF(ISNA(MATCH($C975,Mix_Code,0)),"⚠ Unknown mix code",IF($D975="","⚠ Enter m3 produced",IF(COUNTIF(CI_Site,$B975)=0,"⚠ Site not set up in Current Inventory",IF($A975&gt;AsOfDate,"Future date – not yet deducted","OK")))))))</f>
        <v/>
      </c>
    </row>
    <row r="976" customFormat="false" ht="15" hidden="false" customHeight="false" outlineLevel="0" collapsed="false">
      <c r="A976" s="65"/>
      <c r="B976" s="63"/>
      <c r="C976" s="70"/>
      <c r="D976" s="66"/>
      <c r="E976" s="16" t="str">
        <f aca="false">IF($C976="","",IFERROR(INDEX(Mix_Desc,MATCH($C976,Mix_Code,0)),"⚠ Unknown mix code"))</f>
        <v/>
      </c>
      <c r="F976" s="67" t="str">
        <f aca="false">IF(OR($C976="",$D976=""),"",IFERROR($D976*INDEX(Mix_Eff,MATCH($C976,Mix_Code,0),1),""))</f>
        <v/>
      </c>
      <c r="G976" s="67" t="str">
        <f aca="false">IF(OR($C976="",$D976=""),"",IFERROR($D976*INDEX(Mix_Eff,MATCH($C976,Mix_Code,0),2),""))</f>
        <v/>
      </c>
      <c r="H976" s="67" t="str">
        <f aca="false">IF(OR($C976="",$D976=""),"",IFERROR($D976*INDEX(Mix_Eff,MATCH($C976,Mix_Code,0),3),""))</f>
        <v/>
      </c>
      <c r="I976" s="67" t="str">
        <f aca="false">IF(OR($C976="",$D976=""),"",IFERROR($D976*INDEX(Mix_Eff,MATCH($C976,Mix_Code,0),4),""))</f>
        <v/>
      </c>
      <c r="J976" s="67" t="str">
        <f aca="false">IF(OR($C976="",$D976=""),"",IFERROR($D976*INDEX(Mix_Eff,MATCH($C976,Mix_Code,0),5),""))</f>
        <v/>
      </c>
      <c r="K976" s="63"/>
      <c r="L976" s="16" t="str">
        <f aca="false">IF(AND($A976="",$B976="",$C976="",$D976=""),"",IF($A976="","⚠ Date missing",IF($B976="","⚠ Site missing",IF(ISNA(MATCH($C976,Mix_Code,0)),"⚠ Unknown mix code",IF($D976="","⚠ Enter m3 produced",IF(COUNTIF(CI_Site,$B976)=0,"⚠ Site not set up in Current Inventory",IF($A976&gt;AsOfDate,"Future date – not yet deducted","OK")))))))</f>
        <v/>
      </c>
    </row>
    <row r="977" customFormat="false" ht="15" hidden="false" customHeight="false" outlineLevel="0" collapsed="false">
      <c r="A977" s="65"/>
      <c r="B977" s="63"/>
      <c r="C977" s="70"/>
      <c r="D977" s="66"/>
      <c r="E977" s="16" t="str">
        <f aca="false">IF($C977="","",IFERROR(INDEX(Mix_Desc,MATCH($C977,Mix_Code,0)),"⚠ Unknown mix code"))</f>
        <v/>
      </c>
      <c r="F977" s="67" t="str">
        <f aca="false">IF(OR($C977="",$D977=""),"",IFERROR($D977*INDEX(Mix_Eff,MATCH($C977,Mix_Code,0),1),""))</f>
        <v/>
      </c>
      <c r="G977" s="67" t="str">
        <f aca="false">IF(OR($C977="",$D977=""),"",IFERROR($D977*INDEX(Mix_Eff,MATCH($C977,Mix_Code,0),2),""))</f>
        <v/>
      </c>
      <c r="H977" s="67" t="str">
        <f aca="false">IF(OR($C977="",$D977=""),"",IFERROR($D977*INDEX(Mix_Eff,MATCH($C977,Mix_Code,0),3),""))</f>
        <v/>
      </c>
      <c r="I977" s="67" t="str">
        <f aca="false">IF(OR($C977="",$D977=""),"",IFERROR($D977*INDEX(Mix_Eff,MATCH($C977,Mix_Code,0),4),""))</f>
        <v/>
      </c>
      <c r="J977" s="67" t="str">
        <f aca="false">IF(OR($C977="",$D977=""),"",IFERROR($D977*INDEX(Mix_Eff,MATCH($C977,Mix_Code,0),5),""))</f>
        <v/>
      </c>
      <c r="K977" s="63"/>
      <c r="L977" s="16" t="str">
        <f aca="false">IF(AND($A977="",$B977="",$C977="",$D977=""),"",IF($A977="","⚠ Date missing",IF($B977="","⚠ Site missing",IF(ISNA(MATCH($C977,Mix_Code,0)),"⚠ Unknown mix code",IF($D977="","⚠ Enter m3 produced",IF(COUNTIF(CI_Site,$B977)=0,"⚠ Site not set up in Current Inventory",IF($A977&gt;AsOfDate,"Future date – not yet deducted","OK")))))))</f>
        <v/>
      </c>
    </row>
    <row r="978" customFormat="false" ht="15" hidden="false" customHeight="false" outlineLevel="0" collapsed="false">
      <c r="A978" s="65"/>
      <c r="B978" s="63"/>
      <c r="C978" s="70"/>
      <c r="D978" s="66"/>
      <c r="E978" s="16" t="str">
        <f aca="false">IF($C978="","",IFERROR(INDEX(Mix_Desc,MATCH($C978,Mix_Code,0)),"⚠ Unknown mix code"))</f>
        <v/>
      </c>
      <c r="F978" s="67" t="str">
        <f aca="false">IF(OR($C978="",$D978=""),"",IFERROR($D978*INDEX(Mix_Eff,MATCH($C978,Mix_Code,0),1),""))</f>
        <v/>
      </c>
      <c r="G978" s="67" t="str">
        <f aca="false">IF(OR($C978="",$D978=""),"",IFERROR($D978*INDEX(Mix_Eff,MATCH($C978,Mix_Code,0),2),""))</f>
        <v/>
      </c>
      <c r="H978" s="67" t="str">
        <f aca="false">IF(OR($C978="",$D978=""),"",IFERROR($D978*INDEX(Mix_Eff,MATCH($C978,Mix_Code,0),3),""))</f>
        <v/>
      </c>
      <c r="I978" s="67" t="str">
        <f aca="false">IF(OR($C978="",$D978=""),"",IFERROR($D978*INDEX(Mix_Eff,MATCH($C978,Mix_Code,0),4),""))</f>
        <v/>
      </c>
      <c r="J978" s="67" t="str">
        <f aca="false">IF(OR($C978="",$D978=""),"",IFERROR($D978*INDEX(Mix_Eff,MATCH($C978,Mix_Code,0),5),""))</f>
        <v/>
      </c>
      <c r="K978" s="63"/>
      <c r="L978" s="16" t="str">
        <f aca="false">IF(AND($A978="",$B978="",$C978="",$D978=""),"",IF($A978="","⚠ Date missing",IF($B978="","⚠ Site missing",IF(ISNA(MATCH($C978,Mix_Code,0)),"⚠ Unknown mix code",IF($D978="","⚠ Enter m3 produced",IF(COUNTIF(CI_Site,$B978)=0,"⚠ Site not set up in Current Inventory",IF($A978&gt;AsOfDate,"Future date – not yet deducted","OK")))))))</f>
        <v/>
      </c>
    </row>
    <row r="979" customFormat="false" ht="15" hidden="false" customHeight="false" outlineLevel="0" collapsed="false">
      <c r="A979" s="65"/>
      <c r="B979" s="63"/>
      <c r="C979" s="70"/>
      <c r="D979" s="66"/>
      <c r="E979" s="16" t="str">
        <f aca="false">IF($C979="","",IFERROR(INDEX(Mix_Desc,MATCH($C979,Mix_Code,0)),"⚠ Unknown mix code"))</f>
        <v/>
      </c>
      <c r="F979" s="67" t="str">
        <f aca="false">IF(OR($C979="",$D979=""),"",IFERROR($D979*INDEX(Mix_Eff,MATCH($C979,Mix_Code,0),1),""))</f>
        <v/>
      </c>
      <c r="G979" s="67" t="str">
        <f aca="false">IF(OR($C979="",$D979=""),"",IFERROR($D979*INDEX(Mix_Eff,MATCH($C979,Mix_Code,0),2),""))</f>
        <v/>
      </c>
      <c r="H979" s="67" t="str">
        <f aca="false">IF(OR($C979="",$D979=""),"",IFERROR($D979*INDEX(Mix_Eff,MATCH($C979,Mix_Code,0),3),""))</f>
        <v/>
      </c>
      <c r="I979" s="67" t="str">
        <f aca="false">IF(OR($C979="",$D979=""),"",IFERROR($D979*INDEX(Mix_Eff,MATCH($C979,Mix_Code,0),4),""))</f>
        <v/>
      </c>
      <c r="J979" s="67" t="str">
        <f aca="false">IF(OR($C979="",$D979=""),"",IFERROR($D979*INDEX(Mix_Eff,MATCH($C979,Mix_Code,0),5),""))</f>
        <v/>
      </c>
      <c r="K979" s="63"/>
      <c r="L979" s="16" t="str">
        <f aca="false">IF(AND($A979="",$B979="",$C979="",$D979=""),"",IF($A979="","⚠ Date missing",IF($B979="","⚠ Site missing",IF(ISNA(MATCH($C979,Mix_Code,0)),"⚠ Unknown mix code",IF($D979="","⚠ Enter m3 produced",IF(COUNTIF(CI_Site,$B979)=0,"⚠ Site not set up in Current Inventory",IF($A979&gt;AsOfDate,"Future date – not yet deducted","OK")))))))</f>
        <v/>
      </c>
    </row>
    <row r="980" customFormat="false" ht="15" hidden="false" customHeight="false" outlineLevel="0" collapsed="false">
      <c r="A980" s="65"/>
      <c r="B980" s="63"/>
      <c r="C980" s="70"/>
      <c r="D980" s="66"/>
      <c r="E980" s="16" t="str">
        <f aca="false">IF($C980="","",IFERROR(INDEX(Mix_Desc,MATCH($C980,Mix_Code,0)),"⚠ Unknown mix code"))</f>
        <v/>
      </c>
      <c r="F980" s="67" t="str">
        <f aca="false">IF(OR($C980="",$D980=""),"",IFERROR($D980*INDEX(Mix_Eff,MATCH($C980,Mix_Code,0),1),""))</f>
        <v/>
      </c>
      <c r="G980" s="67" t="str">
        <f aca="false">IF(OR($C980="",$D980=""),"",IFERROR($D980*INDEX(Mix_Eff,MATCH($C980,Mix_Code,0),2),""))</f>
        <v/>
      </c>
      <c r="H980" s="67" t="str">
        <f aca="false">IF(OR($C980="",$D980=""),"",IFERROR($D980*INDEX(Mix_Eff,MATCH($C980,Mix_Code,0),3),""))</f>
        <v/>
      </c>
      <c r="I980" s="67" t="str">
        <f aca="false">IF(OR($C980="",$D980=""),"",IFERROR($D980*INDEX(Mix_Eff,MATCH($C980,Mix_Code,0),4),""))</f>
        <v/>
      </c>
      <c r="J980" s="67" t="str">
        <f aca="false">IF(OR($C980="",$D980=""),"",IFERROR($D980*INDEX(Mix_Eff,MATCH($C980,Mix_Code,0),5),""))</f>
        <v/>
      </c>
      <c r="K980" s="63"/>
      <c r="L980" s="16" t="str">
        <f aca="false">IF(AND($A980="",$B980="",$C980="",$D980=""),"",IF($A980="","⚠ Date missing",IF($B980="","⚠ Site missing",IF(ISNA(MATCH($C980,Mix_Code,0)),"⚠ Unknown mix code",IF($D980="","⚠ Enter m3 produced",IF(COUNTIF(CI_Site,$B980)=0,"⚠ Site not set up in Current Inventory",IF($A980&gt;AsOfDate,"Future date – not yet deducted","OK")))))))</f>
        <v/>
      </c>
    </row>
    <row r="981" customFormat="false" ht="15" hidden="false" customHeight="false" outlineLevel="0" collapsed="false">
      <c r="A981" s="65"/>
      <c r="B981" s="63"/>
      <c r="C981" s="70"/>
      <c r="D981" s="66"/>
      <c r="E981" s="16" t="str">
        <f aca="false">IF($C981="","",IFERROR(INDEX(Mix_Desc,MATCH($C981,Mix_Code,0)),"⚠ Unknown mix code"))</f>
        <v/>
      </c>
      <c r="F981" s="67" t="str">
        <f aca="false">IF(OR($C981="",$D981=""),"",IFERROR($D981*INDEX(Mix_Eff,MATCH($C981,Mix_Code,0),1),""))</f>
        <v/>
      </c>
      <c r="G981" s="67" t="str">
        <f aca="false">IF(OR($C981="",$D981=""),"",IFERROR($D981*INDEX(Mix_Eff,MATCH($C981,Mix_Code,0),2),""))</f>
        <v/>
      </c>
      <c r="H981" s="67" t="str">
        <f aca="false">IF(OR($C981="",$D981=""),"",IFERROR($D981*INDEX(Mix_Eff,MATCH($C981,Mix_Code,0),3),""))</f>
        <v/>
      </c>
      <c r="I981" s="67" t="str">
        <f aca="false">IF(OR($C981="",$D981=""),"",IFERROR($D981*INDEX(Mix_Eff,MATCH($C981,Mix_Code,0),4),""))</f>
        <v/>
      </c>
      <c r="J981" s="67" t="str">
        <f aca="false">IF(OR($C981="",$D981=""),"",IFERROR($D981*INDEX(Mix_Eff,MATCH($C981,Mix_Code,0),5),""))</f>
        <v/>
      </c>
      <c r="K981" s="63"/>
      <c r="L981" s="16" t="str">
        <f aca="false">IF(AND($A981="",$B981="",$C981="",$D981=""),"",IF($A981="","⚠ Date missing",IF($B981="","⚠ Site missing",IF(ISNA(MATCH($C981,Mix_Code,0)),"⚠ Unknown mix code",IF($D981="","⚠ Enter m3 produced",IF(COUNTIF(CI_Site,$B981)=0,"⚠ Site not set up in Current Inventory",IF($A981&gt;AsOfDate,"Future date – not yet deducted","OK")))))))</f>
        <v/>
      </c>
    </row>
    <row r="982" customFormat="false" ht="15" hidden="false" customHeight="false" outlineLevel="0" collapsed="false">
      <c r="A982" s="65"/>
      <c r="B982" s="63"/>
      <c r="C982" s="70"/>
      <c r="D982" s="66"/>
      <c r="E982" s="16" t="str">
        <f aca="false">IF($C982="","",IFERROR(INDEX(Mix_Desc,MATCH($C982,Mix_Code,0)),"⚠ Unknown mix code"))</f>
        <v/>
      </c>
      <c r="F982" s="67" t="str">
        <f aca="false">IF(OR($C982="",$D982=""),"",IFERROR($D982*INDEX(Mix_Eff,MATCH($C982,Mix_Code,0),1),""))</f>
        <v/>
      </c>
      <c r="G982" s="67" t="str">
        <f aca="false">IF(OR($C982="",$D982=""),"",IFERROR($D982*INDEX(Mix_Eff,MATCH($C982,Mix_Code,0),2),""))</f>
        <v/>
      </c>
      <c r="H982" s="67" t="str">
        <f aca="false">IF(OR($C982="",$D982=""),"",IFERROR($D982*INDEX(Mix_Eff,MATCH($C982,Mix_Code,0),3),""))</f>
        <v/>
      </c>
      <c r="I982" s="67" t="str">
        <f aca="false">IF(OR($C982="",$D982=""),"",IFERROR($D982*INDEX(Mix_Eff,MATCH($C982,Mix_Code,0),4),""))</f>
        <v/>
      </c>
      <c r="J982" s="67" t="str">
        <f aca="false">IF(OR($C982="",$D982=""),"",IFERROR($D982*INDEX(Mix_Eff,MATCH($C982,Mix_Code,0),5),""))</f>
        <v/>
      </c>
      <c r="K982" s="63"/>
      <c r="L982" s="16" t="str">
        <f aca="false">IF(AND($A982="",$B982="",$C982="",$D982=""),"",IF($A982="","⚠ Date missing",IF($B982="","⚠ Site missing",IF(ISNA(MATCH($C982,Mix_Code,0)),"⚠ Unknown mix code",IF($D982="","⚠ Enter m3 produced",IF(COUNTIF(CI_Site,$B982)=0,"⚠ Site not set up in Current Inventory",IF($A982&gt;AsOfDate,"Future date – not yet deducted","OK")))))))</f>
        <v/>
      </c>
    </row>
    <row r="983" customFormat="false" ht="15" hidden="false" customHeight="false" outlineLevel="0" collapsed="false">
      <c r="A983" s="65"/>
      <c r="B983" s="63"/>
      <c r="C983" s="70"/>
      <c r="D983" s="66"/>
      <c r="E983" s="16" t="str">
        <f aca="false">IF($C983="","",IFERROR(INDEX(Mix_Desc,MATCH($C983,Mix_Code,0)),"⚠ Unknown mix code"))</f>
        <v/>
      </c>
      <c r="F983" s="67" t="str">
        <f aca="false">IF(OR($C983="",$D983=""),"",IFERROR($D983*INDEX(Mix_Eff,MATCH($C983,Mix_Code,0),1),""))</f>
        <v/>
      </c>
      <c r="G983" s="67" t="str">
        <f aca="false">IF(OR($C983="",$D983=""),"",IFERROR($D983*INDEX(Mix_Eff,MATCH($C983,Mix_Code,0),2),""))</f>
        <v/>
      </c>
      <c r="H983" s="67" t="str">
        <f aca="false">IF(OR($C983="",$D983=""),"",IFERROR($D983*INDEX(Mix_Eff,MATCH($C983,Mix_Code,0),3),""))</f>
        <v/>
      </c>
      <c r="I983" s="67" t="str">
        <f aca="false">IF(OR($C983="",$D983=""),"",IFERROR($D983*INDEX(Mix_Eff,MATCH($C983,Mix_Code,0),4),""))</f>
        <v/>
      </c>
      <c r="J983" s="67" t="str">
        <f aca="false">IF(OR($C983="",$D983=""),"",IFERROR($D983*INDEX(Mix_Eff,MATCH($C983,Mix_Code,0),5),""))</f>
        <v/>
      </c>
      <c r="K983" s="63"/>
      <c r="L983" s="16" t="str">
        <f aca="false">IF(AND($A983="",$B983="",$C983="",$D983=""),"",IF($A983="","⚠ Date missing",IF($B983="","⚠ Site missing",IF(ISNA(MATCH($C983,Mix_Code,0)),"⚠ Unknown mix code",IF($D983="","⚠ Enter m3 produced",IF(COUNTIF(CI_Site,$B983)=0,"⚠ Site not set up in Current Inventory",IF($A983&gt;AsOfDate,"Future date – not yet deducted","OK")))))))</f>
        <v/>
      </c>
    </row>
    <row r="984" customFormat="false" ht="15" hidden="false" customHeight="false" outlineLevel="0" collapsed="false">
      <c r="A984" s="65"/>
      <c r="B984" s="63"/>
      <c r="C984" s="70"/>
      <c r="D984" s="66"/>
      <c r="E984" s="16" t="str">
        <f aca="false">IF($C984="","",IFERROR(INDEX(Mix_Desc,MATCH($C984,Mix_Code,0)),"⚠ Unknown mix code"))</f>
        <v/>
      </c>
      <c r="F984" s="67" t="str">
        <f aca="false">IF(OR($C984="",$D984=""),"",IFERROR($D984*INDEX(Mix_Eff,MATCH($C984,Mix_Code,0),1),""))</f>
        <v/>
      </c>
      <c r="G984" s="67" t="str">
        <f aca="false">IF(OR($C984="",$D984=""),"",IFERROR($D984*INDEX(Mix_Eff,MATCH($C984,Mix_Code,0),2),""))</f>
        <v/>
      </c>
      <c r="H984" s="67" t="str">
        <f aca="false">IF(OR($C984="",$D984=""),"",IFERROR($D984*INDEX(Mix_Eff,MATCH($C984,Mix_Code,0),3),""))</f>
        <v/>
      </c>
      <c r="I984" s="67" t="str">
        <f aca="false">IF(OR($C984="",$D984=""),"",IFERROR($D984*INDEX(Mix_Eff,MATCH($C984,Mix_Code,0),4),""))</f>
        <v/>
      </c>
      <c r="J984" s="67" t="str">
        <f aca="false">IF(OR($C984="",$D984=""),"",IFERROR($D984*INDEX(Mix_Eff,MATCH($C984,Mix_Code,0),5),""))</f>
        <v/>
      </c>
      <c r="K984" s="63"/>
      <c r="L984" s="16" t="str">
        <f aca="false">IF(AND($A984="",$B984="",$C984="",$D984=""),"",IF($A984="","⚠ Date missing",IF($B984="","⚠ Site missing",IF(ISNA(MATCH($C984,Mix_Code,0)),"⚠ Unknown mix code",IF($D984="","⚠ Enter m3 produced",IF(COUNTIF(CI_Site,$B984)=0,"⚠ Site not set up in Current Inventory",IF($A984&gt;AsOfDate,"Future date – not yet deducted","OK")))))))</f>
        <v/>
      </c>
    </row>
    <row r="985" customFormat="false" ht="15" hidden="false" customHeight="false" outlineLevel="0" collapsed="false">
      <c r="A985" s="65"/>
      <c r="B985" s="63"/>
      <c r="C985" s="70"/>
      <c r="D985" s="66"/>
      <c r="E985" s="16" t="str">
        <f aca="false">IF($C985="","",IFERROR(INDEX(Mix_Desc,MATCH($C985,Mix_Code,0)),"⚠ Unknown mix code"))</f>
        <v/>
      </c>
      <c r="F985" s="67" t="str">
        <f aca="false">IF(OR($C985="",$D985=""),"",IFERROR($D985*INDEX(Mix_Eff,MATCH($C985,Mix_Code,0),1),""))</f>
        <v/>
      </c>
      <c r="G985" s="67" t="str">
        <f aca="false">IF(OR($C985="",$D985=""),"",IFERROR($D985*INDEX(Mix_Eff,MATCH($C985,Mix_Code,0),2),""))</f>
        <v/>
      </c>
      <c r="H985" s="67" t="str">
        <f aca="false">IF(OR($C985="",$D985=""),"",IFERROR($D985*INDEX(Mix_Eff,MATCH($C985,Mix_Code,0),3),""))</f>
        <v/>
      </c>
      <c r="I985" s="67" t="str">
        <f aca="false">IF(OR($C985="",$D985=""),"",IFERROR($D985*INDEX(Mix_Eff,MATCH($C985,Mix_Code,0),4),""))</f>
        <v/>
      </c>
      <c r="J985" s="67" t="str">
        <f aca="false">IF(OR($C985="",$D985=""),"",IFERROR($D985*INDEX(Mix_Eff,MATCH($C985,Mix_Code,0),5),""))</f>
        <v/>
      </c>
      <c r="K985" s="63"/>
      <c r="L985" s="16" t="str">
        <f aca="false">IF(AND($A985="",$B985="",$C985="",$D985=""),"",IF($A985="","⚠ Date missing",IF($B985="","⚠ Site missing",IF(ISNA(MATCH($C985,Mix_Code,0)),"⚠ Unknown mix code",IF($D985="","⚠ Enter m3 produced",IF(COUNTIF(CI_Site,$B985)=0,"⚠ Site not set up in Current Inventory",IF($A985&gt;AsOfDate,"Future date – not yet deducted","OK")))))))</f>
        <v/>
      </c>
    </row>
    <row r="986" customFormat="false" ht="15" hidden="false" customHeight="false" outlineLevel="0" collapsed="false">
      <c r="A986" s="65"/>
      <c r="B986" s="63"/>
      <c r="C986" s="70"/>
      <c r="D986" s="66"/>
      <c r="E986" s="16" t="str">
        <f aca="false">IF($C986="","",IFERROR(INDEX(Mix_Desc,MATCH($C986,Mix_Code,0)),"⚠ Unknown mix code"))</f>
        <v/>
      </c>
      <c r="F986" s="67" t="str">
        <f aca="false">IF(OR($C986="",$D986=""),"",IFERROR($D986*INDEX(Mix_Eff,MATCH($C986,Mix_Code,0),1),""))</f>
        <v/>
      </c>
      <c r="G986" s="67" t="str">
        <f aca="false">IF(OR($C986="",$D986=""),"",IFERROR($D986*INDEX(Mix_Eff,MATCH($C986,Mix_Code,0),2),""))</f>
        <v/>
      </c>
      <c r="H986" s="67" t="str">
        <f aca="false">IF(OR($C986="",$D986=""),"",IFERROR($D986*INDEX(Mix_Eff,MATCH($C986,Mix_Code,0),3),""))</f>
        <v/>
      </c>
      <c r="I986" s="67" t="str">
        <f aca="false">IF(OR($C986="",$D986=""),"",IFERROR($D986*INDEX(Mix_Eff,MATCH($C986,Mix_Code,0),4),""))</f>
        <v/>
      </c>
      <c r="J986" s="67" t="str">
        <f aca="false">IF(OR($C986="",$D986=""),"",IFERROR($D986*INDEX(Mix_Eff,MATCH($C986,Mix_Code,0),5),""))</f>
        <v/>
      </c>
      <c r="K986" s="63"/>
      <c r="L986" s="16" t="str">
        <f aca="false">IF(AND($A986="",$B986="",$C986="",$D986=""),"",IF($A986="","⚠ Date missing",IF($B986="","⚠ Site missing",IF(ISNA(MATCH($C986,Mix_Code,0)),"⚠ Unknown mix code",IF($D986="","⚠ Enter m3 produced",IF(COUNTIF(CI_Site,$B986)=0,"⚠ Site not set up in Current Inventory",IF($A986&gt;AsOfDate,"Future date – not yet deducted","OK")))))))</f>
        <v/>
      </c>
    </row>
    <row r="987" customFormat="false" ht="15" hidden="false" customHeight="false" outlineLevel="0" collapsed="false">
      <c r="A987" s="65"/>
      <c r="B987" s="63"/>
      <c r="C987" s="70"/>
      <c r="D987" s="66"/>
      <c r="E987" s="16" t="str">
        <f aca="false">IF($C987="","",IFERROR(INDEX(Mix_Desc,MATCH($C987,Mix_Code,0)),"⚠ Unknown mix code"))</f>
        <v/>
      </c>
      <c r="F987" s="67" t="str">
        <f aca="false">IF(OR($C987="",$D987=""),"",IFERROR($D987*INDEX(Mix_Eff,MATCH($C987,Mix_Code,0),1),""))</f>
        <v/>
      </c>
      <c r="G987" s="67" t="str">
        <f aca="false">IF(OR($C987="",$D987=""),"",IFERROR($D987*INDEX(Mix_Eff,MATCH($C987,Mix_Code,0),2),""))</f>
        <v/>
      </c>
      <c r="H987" s="67" t="str">
        <f aca="false">IF(OR($C987="",$D987=""),"",IFERROR($D987*INDEX(Mix_Eff,MATCH($C987,Mix_Code,0),3),""))</f>
        <v/>
      </c>
      <c r="I987" s="67" t="str">
        <f aca="false">IF(OR($C987="",$D987=""),"",IFERROR($D987*INDEX(Mix_Eff,MATCH($C987,Mix_Code,0),4),""))</f>
        <v/>
      </c>
      <c r="J987" s="67" t="str">
        <f aca="false">IF(OR($C987="",$D987=""),"",IFERROR($D987*INDEX(Mix_Eff,MATCH($C987,Mix_Code,0),5),""))</f>
        <v/>
      </c>
      <c r="K987" s="63"/>
      <c r="L987" s="16" t="str">
        <f aca="false">IF(AND($A987="",$B987="",$C987="",$D987=""),"",IF($A987="","⚠ Date missing",IF($B987="","⚠ Site missing",IF(ISNA(MATCH($C987,Mix_Code,0)),"⚠ Unknown mix code",IF($D987="","⚠ Enter m3 produced",IF(COUNTIF(CI_Site,$B987)=0,"⚠ Site not set up in Current Inventory",IF($A987&gt;AsOfDate,"Future date – not yet deducted","OK")))))))</f>
        <v/>
      </c>
    </row>
    <row r="988" customFormat="false" ht="15" hidden="false" customHeight="false" outlineLevel="0" collapsed="false">
      <c r="A988" s="65"/>
      <c r="B988" s="63"/>
      <c r="C988" s="70"/>
      <c r="D988" s="66"/>
      <c r="E988" s="16" t="str">
        <f aca="false">IF($C988="","",IFERROR(INDEX(Mix_Desc,MATCH($C988,Mix_Code,0)),"⚠ Unknown mix code"))</f>
        <v/>
      </c>
      <c r="F988" s="67" t="str">
        <f aca="false">IF(OR($C988="",$D988=""),"",IFERROR($D988*INDEX(Mix_Eff,MATCH($C988,Mix_Code,0),1),""))</f>
        <v/>
      </c>
      <c r="G988" s="67" t="str">
        <f aca="false">IF(OR($C988="",$D988=""),"",IFERROR($D988*INDEX(Mix_Eff,MATCH($C988,Mix_Code,0),2),""))</f>
        <v/>
      </c>
      <c r="H988" s="67" t="str">
        <f aca="false">IF(OR($C988="",$D988=""),"",IFERROR($D988*INDEX(Mix_Eff,MATCH($C988,Mix_Code,0),3),""))</f>
        <v/>
      </c>
      <c r="I988" s="67" t="str">
        <f aca="false">IF(OR($C988="",$D988=""),"",IFERROR($D988*INDEX(Mix_Eff,MATCH($C988,Mix_Code,0),4),""))</f>
        <v/>
      </c>
      <c r="J988" s="67" t="str">
        <f aca="false">IF(OR($C988="",$D988=""),"",IFERROR($D988*INDEX(Mix_Eff,MATCH($C988,Mix_Code,0),5),""))</f>
        <v/>
      </c>
      <c r="K988" s="63"/>
      <c r="L988" s="16" t="str">
        <f aca="false">IF(AND($A988="",$B988="",$C988="",$D988=""),"",IF($A988="","⚠ Date missing",IF($B988="","⚠ Site missing",IF(ISNA(MATCH($C988,Mix_Code,0)),"⚠ Unknown mix code",IF($D988="","⚠ Enter m3 produced",IF(COUNTIF(CI_Site,$B988)=0,"⚠ Site not set up in Current Inventory",IF($A988&gt;AsOfDate,"Future date – not yet deducted","OK")))))))</f>
        <v/>
      </c>
    </row>
    <row r="989" customFormat="false" ht="15" hidden="false" customHeight="false" outlineLevel="0" collapsed="false">
      <c r="A989" s="65"/>
      <c r="B989" s="63"/>
      <c r="C989" s="70"/>
      <c r="D989" s="66"/>
      <c r="E989" s="16" t="str">
        <f aca="false">IF($C989="","",IFERROR(INDEX(Mix_Desc,MATCH($C989,Mix_Code,0)),"⚠ Unknown mix code"))</f>
        <v/>
      </c>
      <c r="F989" s="67" t="str">
        <f aca="false">IF(OR($C989="",$D989=""),"",IFERROR($D989*INDEX(Mix_Eff,MATCH($C989,Mix_Code,0),1),""))</f>
        <v/>
      </c>
      <c r="G989" s="67" t="str">
        <f aca="false">IF(OR($C989="",$D989=""),"",IFERROR($D989*INDEX(Mix_Eff,MATCH($C989,Mix_Code,0),2),""))</f>
        <v/>
      </c>
      <c r="H989" s="67" t="str">
        <f aca="false">IF(OR($C989="",$D989=""),"",IFERROR($D989*INDEX(Mix_Eff,MATCH($C989,Mix_Code,0),3),""))</f>
        <v/>
      </c>
      <c r="I989" s="67" t="str">
        <f aca="false">IF(OR($C989="",$D989=""),"",IFERROR($D989*INDEX(Mix_Eff,MATCH($C989,Mix_Code,0),4),""))</f>
        <v/>
      </c>
      <c r="J989" s="67" t="str">
        <f aca="false">IF(OR($C989="",$D989=""),"",IFERROR($D989*INDEX(Mix_Eff,MATCH($C989,Mix_Code,0),5),""))</f>
        <v/>
      </c>
      <c r="K989" s="63"/>
      <c r="L989" s="16" t="str">
        <f aca="false">IF(AND($A989="",$B989="",$C989="",$D989=""),"",IF($A989="","⚠ Date missing",IF($B989="","⚠ Site missing",IF(ISNA(MATCH($C989,Mix_Code,0)),"⚠ Unknown mix code",IF($D989="","⚠ Enter m3 produced",IF(COUNTIF(CI_Site,$B989)=0,"⚠ Site not set up in Current Inventory",IF($A989&gt;AsOfDate,"Future date – not yet deducted","OK")))))))</f>
        <v/>
      </c>
    </row>
    <row r="990" customFormat="false" ht="15" hidden="false" customHeight="false" outlineLevel="0" collapsed="false">
      <c r="A990" s="65"/>
      <c r="B990" s="63"/>
      <c r="C990" s="70"/>
      <c r="D990" s="66"/>
      <c r="E990" s="16" t="str">
        <f aca="false">IF($C990="","",IFERROR(INDEX(Mix_Desc,MATCH($C990,Mix_Code,0)),"⚠ Unknown mix code"))</f>
        <v/>
      </c>
      <c r="F990" s="67" t="str">
        <f aca="false">IF(OR($C990="",$D990=""),"",IFERROR($D990*INDEX(Mix_Eff,MATCH($C990,Mix_Code,0),1),""))</f>
        <v/>
      </c>
      <c r="G990" s="67" t="str">
        <f aca="false">IF(OR($C990="",$D990=""),"",IFERROR($D990*INDEX(Mix_Eff,MATCH($C990,Mix_Code,0),2),""))</f>
        <v/>
      </c>
      <c r="H990" s="67" t="str">
        <f aca="false">IF(OR($C990="",$D990=""),"",IFERROR($D990*INDEX(Mix_Eff,MATCH($C990,Mix_Code,0),3),""))</f>
        <v/>
      </c>
      <c r="I990" s="67" t="str">
        <f aca="false">IF(OR($C990="",$D990=""),"",IFERROR($D990*INDEX(Mix_Eff,MATCH($C990,Mix_Code,0),4),""))</f>
        <v/>
      </c>
      <c r="J990" s="67" t="str">
        <f aca="false">IF(OR($C990="",$D990=""),"",IFERROR($D990*INDEX(Mix_Eff,MATCH($C990,Mix_Code,0),5),""))</f>
        <v/>
      </c>
      <c r="K990" s="63"/>
      <c r="L990" s="16" t="str">
        <f aca="false">IF(AND($A990="",$B990="",$C990="",$D990=""),"",IF($A990="","⚠ Date missing",IF($B990="","⚠ Site missing",IF(ISNA(MATCH($C990,Mix_Code,0)),"⚠ Unknown mix code",IF($D990="","⚠ Enter m3 produced",IF(COUNTIF(CI_Site,$B990)=0,"⚠ Site not set up in Current Inventory",IF($A990&gt;AsOfDate,"Future date – not yet deducted","OK")))))))</f>
        <v/>
      </c>
    </row>
    <row r="991" customFormat="false" ht="15" hidden="false" customHeight="false" outlineLevel="0" collapsed="false">
      <c r="A991" s="65"/>
      <c r="B991" s="63"/>
      <c r="C991" s="70"/>
      <c r="D991" s="66"/>
      <c r="E991" s="16" t="str">
        <f aca="false">IF($C991="","",IFERROR(INDEX(Mix_Desc,MATCH($C991,Mix_Code,0)),"⚠ Unknown mix code"))</f>
        <v/>
      </c>
      <c r="F991" s="67" t="str">
        <f aca="false">IF(OR($C991="",$D991=""),"",IFERROR($D991*INDEX(Mix_Eff,MATCH($C991,Mix_Code,0),1),""))</f>
        <v/>
      </c>
      <c r="G991" s="67" t="str">
        <f aca="false">IF(OR($C991="",$D991=""),"",IFERROR($D991*INDEX(Mix_Eff,MATCH($C991,Mix_Code,0),2),""))</f>
        <v/>
      </c>
      <c r="H991" s="67" t="str">
        <f aca="false">IF(OR($C991="",$D991=""),"",IFERROR($D991*INDEX(Mix_Eff,MATCH($C991,Mix_Code,0),3),""))</f>
        <v/>
      </c>
      <c r="I991" s="67" t="str">
        <f aca="false">IF(OR($C991="",$D991=""),"",IFERROR($D991*INDEX(Mix_Eff,MATCH($C991,Mix_Code,0),4),""))</f>
        <v/>
      </c>
      <c r="J991" s="67" t="str">
        <f aca="false">IF(OR($C991="",$D991=""),"",IFERROR($D991*INDEX(Mix_Eff,MATCH($C991,Mix_Code,0),5),""))</f>
        <v/>
      </c>
      <c r="K991" s="63"/>
      <c r="L991" s="16" t="str">
        <f aca="false">IF(AND($A991="",$B991="",$C991="",$D991=""),"",IF($A991="","⚠ Date missing",IF($B991="","⚠ Site missing",IF(ISNA(MATCH($C991,Mix_Code,0)),"⚠ Unknown mix code",IF($D991="","⚠ Enter m3 produced",IF(COUNTIF(CI_Site,$B991)=0,"⚠ Site not set up in Current Inventory",IF($A991&gt;AsOfDate,"Future date – not yet deducted","OK")))))))</f>
        <v/>
      </c>
    </row>
    <row r="992" customFormat="false" ht="15" hidden="false" customHeight="false" outlineLevel="0" collapsed="false">
      <c r="A992" s="65"/>
      <c r="B992" s="63"/>
      <c r="C992" s="70"/>
      <c r="D992" s="66"/>
      <c r="E992" s="16" t="str">
        <f aca="false">IF($C992="","",IFERROR(INDEX(Mix_Desc,MATCH($C992,Mix_Code,0)),"⚠ Unknown mix code"))</f>
        <v/>
      </c>
      <c r="F992" s="67" t="str">
        <f aca="false">IF(OR($C992="",$D992=""),"",IFERROR($D992*INDEX(Mix_Eff,MATCH($C992,Mix_Code,0),1),""))</f>
        <v/>
      </c>
      <c r="G992" s="67" t="str">
        <f aca="false">IF(OR($C992="",$D992=""),"",IFERROR($D992*INDEX(Mix_Eff,MATCH($C992,Mix_Code,0),2),""))</f>
        <v/>
      </c>
      <c r="H992" s="67" t="str">
        <f aca="false">IF(OR($C992="",$D992=""),"",IFERROR($D992*INDEX(Mix_Eff,MATCH($C992,Mix_Code,0),3),""))</f>
        <v/>
      </c>
      <c r="I992" s="67" t="str">
        <f aca="false">IF(OR($C992="",$D992=""),"",IFERROR($D992*INDEX(Mix_Eff,MATCH($C992,Mix_Code,0),4),""))</f>
        <v/>
      </c>
      <c r="J992" s="67" t="str">
        <f aca="false">IF(OR($C992="",$D992=""),"",IFERROR($D992*INDEX(Mix_Eff,MATCH($C992,Mix_Code,0),5),""))</f>
        <v/>
      </c>
      <c r="K992" s="63"/>
      <c r="L992" s="16" t="str">
        <f aca="false">IF(AND($A992="",$B992="",$C992="",$D992=""),"",IF($A992="","⚠ Date missing",IF($B992="","⚠ Site missing",IF(ISNA(MATCH($C992,Mix_Code,0)),"⚠ Unknown mix code",IF($D992="","⚠ Enter m3 produced",IF(COUNTIF(CI_Site,$B992)=0,"⚠ Site not set up in Current Inventory",IF($A992&gt;AsOfDate,"Future date – not yet deducted","OK")))))))</f>
        <v/>
      </c>
    </row>
    <row r="993" customFormat="false" ht="15" hidden="false" customHeight="false" outlineLevel="0" collapsed="false">
      <c r="A993" s="65"/>
      <c r="B993" s="63"/>
      <c r="C993" s="70"/>
      <c r="D993" s="66"/>
      <c r="E993" s="16" t="str">
        <f aca="false">IF($C993="","",IFERROR(INDEX(Mix_Desc,MATCH($C993,Mix_Code,0)),"⚠ Unknown mix code"))</f>
        <v/>
      </c>
      <c r="F993" s="67" t="str">
        <f aca="false">IF(OR($C993="",$D993=""),"",IFERROR($D993*INDEX(Mix_Eff,MATCH($C993,Mix_Code,0),1),""))</f>
        <v/>
      </c>
      <c r="G993" s="67" t="str">
        <f aca="false">IF(OR($C993="",$D993=""),"",IFERROR($D993*INDEX(Mix_Eff,MATCH($C993,Mix_Code,0),2),""))</f>
        <v/>
      </c>
      <c r="H993" s="67" t="str">
        <f aca="false">IF(OR($C993="",$D993=""),"",IFERROR($D993*INDEX(Mix_Eff,MATCH($C993,Mix_Code,0),3),""))</f>
        <v/>
      </c>
      <c r="I993" s="67" t="str">
        <f aca="false">IF(OR($C993="",$D993=""),"",IFERROR($D993*INDEX(Mix_Eff,MATCH($C993,Mix_Code,0),4),""))</f>
        <v/>
      </c>
      <c r="J993" s="67" t="str">
        <f aca="false">IF(OR($C993="",$D993=""),"",IFERROR($D993*INDEX(Mix_Eff,MATCH($C993,Mix_Code,0),5),""))</f>
        <v/>
      </c>
      <c r="K993" s="63"/>
      <c r="L993" s="16" t="str">
        <f aca="false">IF(AND($A993="",$B993="",$C993="",$D993=""),"",IF($A993="","⚠ Date missing",IF($B993="","⚠ Site missing",IF(ISNA(MATCH($C993,Mix_Code,0)),"⚠ Unknown mix code",IF($D993="","⚠ Enter m3 produced",IF(COUNTIF(CI_Site,$B993)=0,"⚠ Site not set up in Current Inventory",IF($A993&gt;AsOfDate,"Future date – not yet deducted","OK")))))))</f>
        <v/>
      </c>
    </row>
    <row r="994" customFormat="false" ht="15" hidden="false" customHeight="false" outlineLevel="0" collapsed="false">
      <c r="A994" s="65"/>
      <c r="B994" s="63"/>
      <c r="C994" s="70"/>
      <c r="D994" s="66"/>
      <c r="E994" s="16" t="str">
        <f aca="false">IF($C994="","",IFERROR(INDEX(Mix_Desc,MATCH($C994,Mix_Code,0)),"⚠ Unknown mix code"))</f>
        <v/>
      </c>
      <c r="F994" s="67" t="str">
        <f aca="false">IF(OR($C994="",$D994=""),"",IFERROR($D994*INDEX(Mix_Eff,MATCH($C994,Mix_Code,0),1),""))</f>
        <v/>
      </c>
      <c r="G994" s="67" t="str">
        <f aca="false">IF(OR($C994="",$D994=""),"",IFERROR($D994*INDEX(Mix_Eff,MATCH($C994,Mix_Code,0),2),""))</f>
        <v/>
      </c>
      <c r="H994" s="67" t="str">
        <f aca="false">IF(OR($C994="",$D994=""),"",IFERROR($D994*INDEX(Mix_Eff,MATCH($C994,Mix_Code,0),3),""))</f>
        <v/>
      </c>
      <c r="I994" s="67" t="str">
        <f aca="false">IF(OR($C994="",$D994=""),"",IFERROR($D994*INDEX(Mix_Eff,MATCH($C994,Mix_Code,0),4),""))</f>
        <v/>
      </c>
      <c r="J994" s="67" t="str">
        <f aca="false">IF(OR($C994="",$D994=""),"",IFERROR($D994*INDEX(Mix_Eff,MATCH($C994,Mix_Code,0),5),""))</f>
        <v/>
      </c>
      <c r="K994" s="63"/>
      <c r="L994" s="16" t="str">
        <f aca="false">IF(AND($A994="",$B994="",$C994="",$D994=""),"",IF($A994="","⚠ Date missing",IF($B994="","⚠ Site missing",IF(ISNA(MATCH($C994,Mix_Code,0)),"⚠ Unknown mix code",IF($D994="","⚠ Enter m3 produced",IF(COUNTIF(CI_Site,$B994)=0,"⚠ Site not set up in Current Inventory",IF($A994&gt;AsOfDate,"Future date – not yet deducted","OK")))))))</f>
        <v/>
      </c>
    </row>
    <row r="995" customFormat="false" ht="15" hidden="false" customHeight="false" outlineLevel="0" collapsed="false">
      <c r="A995" s="65"/>
      <c r="B995" s="63"/>
      <c r="C995" s="70"/>
      <c r="D995" s="66"/>
      <c r="E995" s="16" t="str">
        <f aca="false">IF($C995="","",IFERROR(INDEX(Mix_Desc,MATCH($C995,Mix_Code,0)),"⚠ Unknown mix code"))</f>
        <v/>
      </c>
      <c r="F995" s="67" t="str">
        <f aca="false">IF(OR($C995="",$D995=""),"",IFERROR($D995*INDEX(Mix_Eff,MATCH($C995,Mix_Code,0),1),""))</f>
        <v/>
      </c>
      <c r="G995" s="67" t="str">
        <f aca="false">IF(OR($C995="",$D995=""),"",IFERROR($D995*INDEX(Mix_Eff,MATCH($C995,Mix_Code,0),2),""))</f>
        <v/>
      </c>
      <c r="H995" s="67" t="str">
        <f aca="false">IF(OR($C995="",$D995=""),"",IFERROR($D995*INDEX(Mix_Eff,MATCH($C995,Mix_Code,0),3),""))</f>
        <v/>
      </c>
      <c r="I995" s="67" t="str">
        <f aca="false">IF(OR($C995="",$D995=""),"",IFERROR($D995*INDEX(Mix_Eff,MATCH($C995,Mix_Code,0),4),""))</f>
        <v/>
      </c>
      <c r="J995" s="67" t="str">
        <f aca="false">IF(OR($C995="",$D995=""),"",IFERROR($D995*INDEX(Mix_Eff,MATCH($C995,Mix_Code,0),5),""))</f>
        <v/>
      </c>
      <c r="K995" s="63"/>
      <c r="L995" s="16" t="str">
        <f aca="false">IF(AND($A995="",$B995="",$C995="",$D995=""),"",IF($A995="","⚠ Date missing",IF($B995="","⚠ Site missing",IF(ISNA(MATCH($C995,Mix_Code,0)),"⚠ Unknown mix code",IF($D995="","⚠ Enter m3 produced",IF(COUNTIF(CI_Site,$B995)=0,"⚠ Site not set up in Current Inventory",IF($A995&gt;AsOfDate,"Future date – not yet deducted","OK")))))))</f>
        <v/>
      </c>
    </row>
    <row r="996" customFormat="false" ht="15" hidden="false" customHeight="false" outlineLevel="0" collapsed="false">
      <c r="A996" s="65"/>
      <c r="B996" s="63"/>
      <c r="C996" s="70"/>
      <c r="D996" s="66"/>
      <c r="E996" s="16" t="str">
        <f aca="false">IF($C996="","",IFERROR(INDEX(Mix_Desc,MATCH($C996,Mix_Code,0)),"⚠ Unknown mix code"))</f>
        <v/>
      </c>
      <c r="F996" s="67" t="str">
        <f aca="false">IF(OR($C996="",$D996=""),"",IFERROR($D996*INDEX(Mix_Eff,MATCH($C996,Mix_Code,0),1),""))</f>
        <v/>
      </c>
      <c r="G996" s="67" t="str">
        <f aca="false">IF(OR($C996="",$D996=""),"",IFERROR($D996*INDEX(Mix_Eff,MATCH($C996,Mix_Code,0),2),""))</f>
        <v/>
      </c>
      <c r="H996" s="67" t="str">
        <f aca="false">IF(OR($C996="",$D996=""),"",IFERROR($D996*INDEX(Mix_Eff,MATCH($C996,Mix_Code,0),3),""))</f>
        <v/>
      </c>
      <c r="I996" s="67" t="str">
        <f aca="false">IF(OR($C996="",$D996=""),"",IFERROR($D996*INDEX(Mix_Eff,MATCH($C996,Mix_Code,0),4),""))</f>
        <v/>
      </c>
      <c r="J996" s="67" t="str">
        <f aca="false">IF(OR($C996="",$D996=""),"",IFERROR($D996*INDEX(Mix_Eff,MATCH($C996,Mix_Code,0),5),""))</f>
        <v/>
      </c>
      <c r="K996" s="63"/>
      <c r="L996" s="16" t="str">
        <f aca="false">IF(AND($A996="",$B996="",$C996="",$D996=""),"",IF($A996="","⚠ Date missing",IF($B996="","⚠ Site missing",IF(ISNA(MATCH($C996,Mix_Code,0)),"⚠ Unknown mix code",IF($D996="","⚠ Enter m3 produced",IF(COUNTIF(CI_Site,$B996)=0,"⚠ Site not set up in Current Inventory",IF($A996&gt;AsOfDate,"Future date – not yet deducted","OK")))))))</f>
        <v/>
      </c>
    </row>
    <row r="997" customFormat="false" ht="15" hidden="false" customHeight="false" outlineLevel="0" collapsed="false">
      <c r="A997" s="65"/>
      <c r="B997" s="63"/>
      <c r="C997" s="70"/>
      <c r="D997" s="66"/>
      <c r="E997" s="16" t="str">
        <f aca="false">IF($C997="","",IFERROR(INDEX(Mix_Desc,MATCH($C997,Mix_Code,0)),"⚠ Unknown mix code"))</f>
        <v/>
      </c>
      <c r="F997" s="67" t="str">
        <f aca="false">IF(OR($C997="",$D997=""),"",IFERROR($D997*INDEX(Mix_Eff,MATCH($C997,Mix_Code,0),1),""))</f>
        <v/>
      </c>
      <c r="G997" s="67" t="str">
        <f aca="false">IF(OR($C997="",$D997=""),"",IFERROR($D997*INDEX(Mix_Eff,MATCH($C997,Mix_Code,0),2),""))</f>
        <v/>
      </c>
      <c r="H997" s="67" t="str">
        <f aca="false">IF(OR($C997="",$D997=""),"",IFERROR($D997*INDEX(Mix_Eff,MATCH($C997,Mix_Code,0),3),""))</f>
        <v/>
      </c>
      <c r="I997" s="67" t="str">
        <f aca="false">IF(OR($C997="",$D997=""),"",IFERROR($D997*INDEX(Mix_Eff,MATCH($C997,Mix_Code,0),4),""))</f>
        <v/>
      </c>
      <c r="J997" s="67" t="str">
        <f aca="false">IF(OR($C997="",$D997=""),"",IFERROR($D997*INDEX(Mix_Eff,MATCH($C997,Mix_Code,0),5),""))</f>
        <v/>
      </c>
      <c r="K997" s="63"/>
      <c r="L997" s="16" t="str">
        <f aca="false">IF(AND($A997="",$B997="",$C997="",$D997=""),"",IF($A997="","⚠ Date missing",IF($B997="","⚠ Site missing",IF(ISNA(MATCH($C997,Mix_Code,0)),"⚠ Unknown mix code",IF($D997="","⚠ Enter m3 produced",IF(COUNTIF(CI_Site,$B997)=0,"⚠ Site not set up in Current Inventory",IF($A997&gt;AsOfDate,"Future date – not yet deducted","OK")))))))</f>
        <v/>
      </c>
    </row>
    <row r="998" customFormat="false" ht="15" hidden="false" customHeight="false" outlineLevel="0" collapsed="false">
      <c r="A998" s="65"/>
      <c r="B998" s="63"/>
      <c r="C998" s="70"/>
      <c r="D998" s="66"/>
      <c r="E998" s="16" t="str">
        <f aca="false">IF($C998="","",IFERROR(INDEX(Mix_Desc,MATCH($C998,Mix_Code,0)),"⚠ Unknown mix code"))</f>
        <v/>
      </c>
      <c r="F998" s="67" t="str">
        <f aca="false">IF(OR($C998="",$D998=""),"",IFERROR($D998*INDEX(Mix_Eff,MATCH($C998,Mix_Code,0),1),""))</f>
        <v/>
      </c>
      <c r="G998" s="67" t="str">
        <f aca="false">IF(OR($C998="",$D998=""),"",IFERROR($D998*INDEX(Mix_Eff,MATCH($C998,Mix_Code,0),2),""))</f>
        <v/>
      </c>
      <c r="H998" s="67" t="str">
        <f aca="false">IF(OR($C998="",$D998=""),"",IFERROR($D998*INDEX(Mix_Eff,MATCH($C998,Mix_Code,0),3),""))</f>
        <v/>
      </c>
      <c r="I998" s="67" t="str">
        <f aca="false">IF(OR($C998="",$D998=""),"",IFERROR($D998*INDEX(Mix_Eff,MATCH($C998,Mix_Code,0),4),""))</f>
        <v/>
      </c>
      <c r="J998" s="67" t="str">
        <f aca="false">IF(OR($C998="",$D998=""),"",IFERROR($D998*INDEX(Mix_Eff,MATCH($C998,Mix_Code,0),5),""))</f>
        <v/>
      </c>
      <c r="K998" s="63"/>
      <c r="L998" s="16" t="str">
        <f aca="false">IF(AND($A998="",$B998="",$C998="",$D998=""),"",IF($A998="","⚠ Date missing",IF($B998="","⚠ Site missing",IF(ISNA(MATCH($C998,Mix_Code,0)),"⚠ Unknown mix code",IF($D998="","⚠ Enter m3 produced",IF(COUNTIF(CI_Site,$B998)=0,"⚠ Site not set up in Current Inventory",IF($A998&gt;AsOfDate,"Future date – not yet deducted","OK")))))))</f>
        <v/>
      </c>
    </row>
    <row r="999" customFormat="false" ht="15" hidden="false" customHeight="false" outlineLevel="0" collapsed="false">
      <c r="A999" s="65"/>
      <c r="B999" s="63"/>
      <c r="C999" s="70"/>
      <c r="D999" s="66"/>
      <c r="E999" s="16" t="str">
        <f aca="false">IF($C999="","",IFERROR(INDEX(Mix_Desc,MATCH($C999,Mix_Code,0)),"⚠ Unknown mix code"))</f>
        <v/>
      </c>
      <c r="F999" s="67" t="str">
        <f aca="false">IF(OR($C999="",$D999=""),"",IFERROR($D999*INDEX(Mix_Eff,MATCH($C999,Mix_Code,0),1),""))</f>
        <v/>
      </c>
      <c r="G999" s="67" t="str">
        <f aca="false">IF(OR($C999="",$D999=""),"",IFERROR($D999*INDEX(Mix_Eff,MATCH($C999,Mix_Code,0),2),""))</f>
        <v/>
      </c>
      <c r="H999" s="67" t="str">
        <f aca="false">IF(OR($C999="",$D999=""),"",IFERROR($D999*INDEX(Mix_Eff,MATCH($C999,Mix_Code,0),3),""))</f>
        <v/>
      </c>
      <c r="I999" s="67" t="str">
        <f aca="false">IF(OR($C999="",$D999=""),"",IFERROR($D999*INDEX(Mix_Eff,MATCH($C999,Mix_Code,0),4),""))</f>
        <v/>
      </c>
      <c r="J999" s="67" t="str">
        <f aca="false">IF(OR($C999="",$D999=""),"",IFERROR($D999*INDEX(Mix_Eff,MATCH($C999,Mix_Code,0),5),""))</f>
        <v/>
      </c>
      <c r="K999" s="63"/>
      <c r="L999" s="16" t="str">
        <f aca="false">IF(AND($A999="",$B999="",$C999="",$D999=""),"",IF($A999="","⚠ Date missing",IF($B999="","⚠ Site missing",IF(ISNA(MATCH($C999,Mix_Code,0)),"⚠ Unknown mix code",IF($D999="","⚠ Enter m3 produced",IF(COUNTIF(CI_Site,$B999)=0,"⚠ Site not set up in Current Inventory",IF($A999&gt;AsOfDate,"Future date – not yet deducted","OK")))))))</f>
        <v/>
      </c>
    </row>
    <row r="1000" customFormat="false" ht="15" hidden="false" customHeight="false" outlineLevel="0" collapsed="false">
      <c r="A1000" s="65"/>
      <c r="B1000" s="63"/>
      <c r="C1000" s="70"/>
      <c r="D1000" s="66"/>
      <c r="E1000" s="16" t="str">
        <f aca="false">IF($C1000="","",IFERROR(INDEX(Mix_Desc,MATCH($C1000,Mix_Code,0)),"⚠ Unknown mix code"))</f>
        <v/>
      </c>
      <c r="F1000" s="67" t="str">
        <f aca="false">IF(OR($C1000="",$D1000=""),"",IFERROR($D1000*INDEX(Mix_Eff,MATCH($C1000,Mix_Code,0),1),""))</f>
        <v/>
      </c>
      <c r="G1000" s="67" t="str">
        <f aca="false">IF(OR($C1000="",$D1000=""),"",IFERROR($D1000*INDEX(Mix_Eff,MATCH($C1000,Mix_Code,0),2),""))</f>
        <v/>
      </c>
      <c r="H1000" s="67" t="str">
        <f aca="false">IF(OR($C1000="",$D1000=""),"",IFERROR($D1000*INDEX(Mix_Eff,MATCH($C1000,Mix_Code,0),3),""))</f>
        <v/>
      </c>
      <c r="I1000" s="67" t="str">
        <f aca="false">IF(OR($C1000="",$D1000=""),"",IFERROR($D1000*INDEX(Mix_Eff,MATCH($C1000,Mix_Code,0),4),""))</f>
        <v/>
      </c>
      <c r="J1000" s="67" t="str">
        <f aca="false">IF(OR($C1000="",$D1000=""),"",IFERROR($D1000*INDEX(Mix_Eff,MATCH($C1000,Mix_Code,0),5),""))</f>
        <v/>
      </c>
      <c r="K1000" s="63"/>
      <c r="L1000" s="16" t="str">
        <f aca="false">IF(AND($A1000="",$B1000="",$C1000="",$D1000=""),"",IF($A1000="","⚠ Date missing",IF($B1000="","⚠ Site missing",IF(ISNA(MATCH($C1000,Mix_Code,0)),"⚠ Unknown mix code",IF($D1000="","⚠ Enter m3 produced",IF(COUNTIF(CI_Site,$B1000)=0,"⚠ Site not set up in Current Inventory",IF($A1000&gt;AsOfDate,"Future date – not yet deducted","OK")))))))</f>
        <v/>
      </c>
    </row>
    <row r="1001" customFormat="false" ht="15" hidden="false" customHeight="false" outlineLevel="0" collapsed="false">
      <c r="A1001" s="65"/>
      <c r="B1001" s="63"/>
      <c r="C1001" s="70"/>
      <c r="D1001" s="66"/>
      <c r="E1001" s="16" t="str">
        <f aca="false">IF($C1001="","",IFERROR(INDEX(Mix_Desc,MATCH($C1001,Mix_Code,0)),"⚠ Unknown mix code"))</f>
        <v/>
      </c>
      <c r="F1001" s="67" t="str">
        <f aca="false">IF(OR($C1001="",$D1001=""),"",IFERROR($D1001*INDEX(Mix_Eff,MATCH($C1001,Mix_Code,0),1),""))</f>
        <v/>
      </c>
      <c r="G1001" s="67" t="str">
        <f aca="false">IF(OR($C1001="",$D1001=""),"",IFERROR($D1001*INDEX(Mix_Eff,MATCH($C1001,Mix_Code,0),2),""))</f>
        <v/>
      </c>
      <c r="H1001" s="67" t="str">
        <f aca="false">IF(OR($C1001="",$D1001=""),"",IFERROR($D1001*INDEX(Mix_Eff,MATCH($C1001,Mix_Code,0),3),""))</f>
        <v/>
      </c>
      <c r="I1001" s="67" t="str">
        <f aca="false">IF(OR($C1001="",$D1001=""),"",IFERROR($D1001*INDEX(Mix_Eff,MATCH($C1001,Mix_Code,0),4),""))</f>
        <v/>
      </c>
      <c r="J1001" s="67" t="str">
        <f aca="false">IF(OR($C1001="",$D1001=""),"",IFERROR($D1001*INDEX(Mix_Eff,MATCH($C1001,Mix_Code,0),5),""))</f>
        <v/>
      </c>
      <c r="K1001" s="63"/>
      <c r="L1001" s="16" t="str">
        <f aca="false">IF(AND($A1001="",$B1001="",$C1001="",$D1001=""),"",IF($A1001="","⚠ Date missing",IF($B1001="","⚠ Site missing",IF(ISNA(MATCH($C1001,Mix_Code,0)),"⚠ Unknown mix code",IF($D1001="","⚠ Enter m3 produced",IF(COUNTIF(CI_Site,$B1001)=0,"⚠ Site not set up in Current Inventory",IF($A1001&gt;AsOfDate,"Future date – not yet deducted","OK")))))))</f>
        <v/>
      </c>
    </row>
    <row r="1002" customFormat="false" ht="15" hidden="false" customHeight="false" outlineLevel="0" collapsed="false">
      <c r="A1002" s="65"/>
      <c r="B1002" s="63"/>
      <c r="C1002" s="70"/>
      <c r="D1002" s="66"/>
      <c r="E1002" s="16" t="str">
        <f aca="false">IF($C1002="","",IFERROR(INDEX(Mix_Desc,MATCH($C1002,Mix_Code,0)),"⚠ Unknown mix code"))</f>
        <v/>
      </c>
      <c r="F1002" s="67" t="str">
        <f aca="false">IF(OR($C1002="",$D1002=""),"",IFERROR($D1002*INDEX(Mix_Eff,MATCH($C1002,Mix_Code,0),1),""))</f>
        <v/>
      </c>
      <c r="G1002" s="67" t="str">
        <f aca="false">IF(OR($C1002="",$D1002=""),"",IFERROR($D1002*INDEX(Mix_Eff,MATCH($C1002,Mix_Code,0),2),""))</f>
        <v/>
      </c>
      <c r="H1002" s="67" t="str">
        <f aca="false">IF(OR($C1002="",$D1002=""),"",IFERROR($D1002*INDEX(Mix_Eff,MATCH($C1002,Mix_Code,0),3),""))</f>
        <v/>
      </c>
      <c r="I1002" s="67" t="str">
        <f aca="false">IF(OR($C1002="",$D1002=""),"",IFERROR($D1002*INDEX(Mix_Eff,MATCH($C1002,Mix_Code,0),4),""))</f>
        <v/>
      </c>
      <c r="J1002" s="67" t="str">
        <f aca="false">IF(OR($C1002="",$D1002=""),"",IFERROR($D1002*INDEX(Mix_Eff,MATCH($C1002,Mix_Code,0),5),""))</f>
        <v/>
      </c>
      <c r="K1002" s="63"/>
      <c r="L1002" s="16" t="str">
        <f aca="false">IF(AND($A1002="",$B1002="",$C1002="",$D1002=""),"",IF($A1002="","⚠ Date missing",IF($B1002="","⚠ Site missing",IF(ISNA(MATCH($C1002,Mix_Code,0)),"⚠ Unknown mix code",IF($D1002="","⚠ Enter m3 produced",IF(COUNTIF(CI_Site,$B1002)=0,"⚠ Site not set up in Current Inventory",IF($A1002&gt;AsOfDate,"Future date – not yet deducted","OK")))))))</f>
        <v/>
      </c>
    </row>
    <row r="1003" customFormat="false" ht="15" hidden="false" customHeight="false" outlineLevel="0" collapsed="false">
      <c r="A1003" s="65"/>
      <c r="B1003" s="63"/>
      <c r="C1003" s="70"/>
      <c r="D1003" s="66"/>
      <c r="E1003" s="16" t="str">
        <f aca="false">IF($C1003="","",IFERROR(INDEX(Mix_Desc,MATCH($C1003,Mix_Code,0)),"⚠ Unknown mix code"))</f>
        <v/>
      </c>
      <c r="F1003" s="67" t="str">
        <f aca="false">IF(OR($C1003="",$D1003=""),"",IFERROR($D1003*INDEX(Mix_Eff,MATCH($C1003,Mix_Code,0),1),""))</f>
        <v/>
      </c>
      <c r="G1003" s="67" t="str">
        <f aca="false">IF(OR($C1003="",$D1003=""),"",IFERROR($D1003*INDEX(Mix_Eff,MATCH($C1003,Mix_Code,0),2),""))</f>
        <v/>
      </c>
      <c r="H1003" s="67" t="str">
        <f aca="false">IF(OR($C1003="",$D1003=""),"",IFERROR($D1003*INDEX(Mix_Eff,MATCH($C1003,Mix_Code,0),3),""))</f>
        <v/>
      </c>
      <c r="I1003" s="67" t="str">
        <f aca="false">IF(OR($C1003="",$D1003=""),"",IFERROR($D1003*INDEX(Mix_Eff,MATCH($C1003,Mix_Code,0),4),""))</f>
        <v/>
      </c>
      <c r="J1003" s="67" t="str">
        <f aca="false">IF(OR($C1003="",$D1003=""),"",IFERROR($D1003*INDEX(Mix_Eff,MATCH($C1003,Mix_Code,0),5),""))</f>
        <v/>
      </c>
      <c r="K1003" s="63"/>
      <c r="L1003" s="16" t="str">
        <f aca="false">IF(AND($A1003="",$B1003="",$C1003="",$D1003=""),"",IF($A1003="","⚠ Date missing",IF($B1003="","⚠ Site missing",IF(ISNA(MATCH($C1003,Mix_Code,0)),"⚠ Unknown mix code",IF($D1003="","⚠ Enter m3 produced",IF(COUNTIF(CI_Site,$B1003)=0,"⚠ Site not set up in Current Inventory",IF($A1003&gt;AsOfDate,"Future date – not yet deducted","OK")))))))</f>
        <v/>
      </c>
    </row>
    <row r="1004" customFormat="false" ht="15" hidden="false" customHeight="false" outlineLevel="0" collapsed="false">
      <c r="A1004" s="65"/>
      <c r="B1004" s="63"/>
      <c r="C1004" s="70"/>
      <c r="D1004" s="66"/>
      <c r="E1004" s="16" t="str">
        <f aca="false">IF($C1004="","",IFERROR(INDEX(Mix_Desc,MATCH($C1004,Mix_Code,0)),"⚠ Unknown mix code"))</f>
        <v/>
      </c>
      <c r="F1004" s="67" t="str">
        <f aca="false">IF(OR($C1004="",$D1004=""),"",IFERROR($D1004*INDEX(Mix_Eff,MATCH($C1004,Mix_Code,0),1),""))</f>
        <v/>
      </c>
      <c r="G1004" s="67" t="str">
        <f aca="false">IF(OR($C1004="",$D1004=""),"",IFERROR($D1004*INDEX(Mix_Eff,MATCH($C1004,Mix_Code,0),2),""))</f>
        <v/>
      </c>
      <c r="H1004" s="67" t="str">
        <f aca="false">IF(OR($C1004="",$D1004=""),"",IFERROR($D1004*INDEX(Mix_Eff,MATCH($C1004,Mix_Code,0),3),""))</f>
        <v/>
      </c>
      <c r="I1004" s="67" t="str">
        <f aca="false">IF(OR($C1004="",$D1004=""),"",IFERROR($D1004*INDEX(Mix_Eff,MATCH($C1004,Mix_Code,0),4),""))</f>
        <v/>
      </c>
      <c r="J1004" s="67" t="str">
        <f aca="false">IF(OR($C1004="",$D1004=""),"",IFERROR($D1004*INDEX(Mix_Eff,MATCH($C1004,Mix_Code,0),5),""))</f>
        <v/>
      </c>
      <c r="K1004" s="63"/>
      <c r="L1004" s="16" t="str">
        <f aca="false">IF(AND($A1004="",$B1004="",$C1004="",$D1004=""),"",IF($A1004="","⚠ Date missing",IF($B1004="","⚠ Site missing",IF(ISNA(MATCH($C1004,Mix_Code,0)),"⚠ Unknown mix code",IF($D1004="","⚠ Enter m3 produced",IF(COUNTIF(CI_Site,$B1004)=0,"⚠ Site not set up in Current Inventory",IF($A1004&gt;AsOfDate,"Future date – not yet deducted","OK")))))))</f>
        <v/>
      </c>
    </row>
    <row r="1005" customFormat="false" ht="15" hidden="false" customHeight="false" outlineLevel="0" collapsed="false">
      <c r="A1005" s="65"/>
      <c r="B1005" s="63"/>
      <c r="C1005" s="70"/>
      <c r="D1005" s="66"/>
      <c r="E1005" s="16" t="str">
        <f aca="false">IF($C1005="","",IFERROR(INDEX(Mix_Desc,MATCH($C1005,Mix_Code,0)),"⚠ Unknown mix code"))</f>
        <v/>
      </c>
      <c r="F1005" s="67" t="str">
        <f aca="false">IF(OR($C1005="",$D1005=""),"",IFERROR($D1005*INDEX(Mix_Eff,MATCH($C1005,Mix_Code,0),1),""))</f>
        <v/>
      </c>
      <c r="G1005" s="67" t="str">
        <f aca="false">IF(OR($C1005="",$D1005=""),"",IFERROR($D1005*INDEX(Mix_Eff,MATCH($C1005,Mix_Code,0),2),""))</f>
        <v/>
      </c>
      <c r="H1005" s="67" t="str">
        <f aca="false">IF(OR($C1005="",$D1005=""),"",IFERROR($D1005*INDEX(Mix_Eff,MATCH($C1005,Mix_Code,0),3),""))</f>
        <v/>
      </c>
      <c r="I1005" s="67" t="str">
        <f aca="false">IF(OR($C1005="",$D1005=""),"",IFERROR($D1005*INDEX(Mix_Eff,MATCH($C1005,Mix_Code,0),4),""))</f>
        <v/>
      </c>
      <c r="J1005" s="67" t="str">
        <f aca="false">IF(OR($C1005="",$D1005=""),"",IFERROR($D1005*INDEX(Mix_Eff,MATCH($C1005,Mix_Code,0),5),""))</f>
        <v/>
      </c>
      <c r="K1005" s="63"/>
      <c r="L1005" s="16" t="str">
        <f aca="false">IF(AND($A1005="",$B1005="",$C1005="",$D1005=""),"",IF($A1005="","⚠ Date missing",IF($B1005="","⚠ Site missing",IF(ISNA(MATCH($C1005,Mix_Code,0)),"⚠ Unknown mix code",IF($D1005="","⚠ Enter m3 produced",IF(COUNTIF(CI_Site,$B1005)=0,"⚠ Site not set up in Current Inventory",IF($A1005&gt;AsOfDate,"Future date – not yet deducted","OK")))))))</f>
        <v/>
      </c>
    </row>
    <row r="1006" customFormat="false" ht="15" hidden="false" customHeight="false" outlineLevel="0" collapsed="false">
      <c r="A1006" s="65"/>
      <c r="B1006" s="63"/>
      <c r="C1006" s="70"/>
      <c r="D1006" s="66"/>
      <c r="E1006" s="16" t="str">
        <f aca="false">IF($C1006="","",IFERROR(INDEX(Mix_Desc,MATCH($C1006,Mix_Code,0)),"⚠ Unknown mix code"))</f>
        <v/>
      </c>
      <c r="F1006" s="67" t="str">
        <f aca="false">IF(OR($C1006="",$D1006=""),"",IFERROR($D1006*INDEX(Mix_Eff,MATCH($C1006,Mix_Code,0),1),""))</f>
        <v/>
      </c>
      <c r="G1006" s="67" t="str">
        <f aca="false">IF(OR($C1006="",$D1006=""),"",IFERROR($D1006*INDEX(Mix_Eff,MATCH($C1006,Mix_Code,0),2),""))</f>
        <v/>
      </c>
      <c r="H1006" s="67" t="str">
        <f aca="false">IF(OR($C1006="",$D1006=""),"",IFERROR($D1006*INDEX(Mix_Eff,MATCH($C1006,Mix_Code,0),3),""))</f>
        <v/>
      </c>
      <c r="I1006" s="67" t="str">
        <f aca="false">IF(OR($C1006="",$D1006=""),"",IFERROR($D1006*INDEX(Mix_Eff,MATCH($C1006,Mix_Code,0),4),""))</f>
        <v/>
      </c>
      <c r="J1006" s="67" t="str">
        <f aca="false">IF(OR($C1006="",$D1006=""),"",IFERROR($D1006*INDEX(Mix_Eff,MATCH($C1006,Mix_Code,0),5),""))</f>
        <v/>
      </c>
      <c r="K1006" s="63"/>
      <c r="L1006" s="16" t="str">
        <f aca="false">IF(AND($A1006="",$B1006="",$C1006="",$D1006=""),"",IF($A1006="","⚠ Date missing",IF($B1006="","⚠ Site missing",IF(ISNA(MATCH($C1006,Mix_Code,0)),"⚠ Unknown mix code",IF($D1006="","⚠ Enter m3 produced",IF(COUNTIF(CI_Site,$B1006)=0,"⚠ Site not set up in Current Inventory",IF($A1006&gt;AsOfDate,"Future date – not yet deducted","OK")))))))</f>
        <v/>
      </c>
    </row>
    <row r="1007" customFormat="false" ht="15" hidden="false" customHeight="false" outlineLevel="0" collapsed="false">
      <c r="A1007" s="65"/>
      <c r="B1007" s="63"/>
      <c r="C1007" s="70"/>
      <c r="D1007" s="66"/>
      <c r="E1007" s="16" t="str">
        <f aca="false">IF($C1007="","",IFERROR(INDEX(Mix_Desc,MATCH($C1007,Mix_Code,0)),"⚠ Unknown mix code"))</f>
        <v/>
      </c>
      <c r="F1007" s="67" t="str">
        <f aca="false">IF(OR($C1007="",$D1007=""),"",IFERROR($D1007*INDEX(Mix_Eff,MATCH($C1007,Mix_Code,0),1),""))</f>
        <v/>
      </c>
      <c r="G1007" s="67" t="str">
        <f aca="false">IF(OR($C1007="",$D1007=""),"",IFERROR($D1007*INDEX(Mix_Eff,MATCH($C1007,Mix_Code,0),2),""))</f>
        <v/>
      </c>
      <c r="H1007" s="67" t="str">
        <f aca="false">IF(OR($C1007="",$D1007=""),"",IFERROR($D1007*INDEX(Mix_Eff,MATCH($C1007,Mix_Code,0),3),""))</f>
        <v/>
      </c>
      <c r="I1007" s="67" t="str">
        <f aca="false">IF(OR($C1007="",$D1007=""),"",IFERROR($D1007*INDEX(Mix_Eff,MATCH($C1007,Mix_Code,0),4),""))</f>
        <v/>
      </c>
      <c r="J1007" s="67" t="str">
        <f aca="false">IF(OR($C1007="",$D1007=""),"",IFERROR($D1007*INDEX(Mix_Eff,MATCH($C1007,Mix_Code,0),5),""))</f>
        <v/>
      </c>
      <c r="K1007" s="63"/>
      <c r="L1007" s="16" t="str">
        <f aca="false">IF(AND($A1007="",$B1007="",$C1007="",$D1007=""),"",IF($A1007="","⚠ Date missing",IF($B1007="","⚠ Site missing",IF(ISNA(MATCH($C1007,Mix_Code,0)),"⚠ Unknown mix code",IF($D1007="","⚠ Enter m3 produced",IF(COUNTIF(CI_Site,$B1007)=0,"⚠ Site not set up in Current Inventory",IF($A1007&gt;AsOfDate,"Future date – not yet deducted","OK")))))))</f>
        <v/>
      </c>
    </row>
    <row r="1008" customFormat="false" ht="15" hidden="false" customHeight="false" outlineLevel="0" collapsed="false">
      <c r="A1008" s="65"/>
      <c r="B1008" s="63"/>
      <c r="C1008" s="70"/>
      <c r="D1008" s="66"/>
      <c r="E1008" s="16" t="str">
        <f aca="false">IF($C1008="","",IFERROR(INDEX(Mix_Desc,MATCH($C1008,Mix_Code,0)),"⚠ Unknown mix code"))</f>
        <v/>
      </c>
      <c r="F1008" s="67" t="str">
        <f aca="false">IF(OR($C1008="",$D1008=""),"",IFERROR($D1008*INDEX(Mix_Eff,MATCH($C1008,Mix_Code,0),1),""))</f>
        <v/>
      </c>
      <c r="G1008" s="67" t="str">
        <f aca="false">IF(OR($C1008="",$D1008=""),"",IFERROR($D1008*INDEX(Mix_Eff,MATCH($C1008,Mix_Code,0),2),""))</f>
        <v/>
      </c>
      <c r="H1008" s="67" t="str">
        <f aca="false">IF(OR($C1008="",$D1008=""),"",IFERROR($D1008*INDEX(Mix_Eff,MATCH($C1008,Mix_Code,0),3),""))</f>
        <v/>
      </c>
      <c r="I1008" s="67" t="str">
        <f aca="false">IF(OR($C1008="",$D1008=""),"",IFERROR($D1008*INDEX(Mix_Eff,MATCH($C1008,Mix_Code,0),4),""))</f>
        <v/>
      </c>
      <c r="J1008" s="67" t="str">
        <f aca="false">IF(OR($C1008="",$D1008=""),"",IFERROR($D1008*INDEX(Mix_Eff,MATCH($C1008,Mix_Code,0),5),""))</f>
        <v/>
      </c>
      <c r="K1008" s="63"/>
      <c r="L1008" s="16" t="str">
        <f aca="false">IF(AND($A1008="",$B1008="",$C1008="",$D1008=""),"",IF($A1008="","⚠ Date missing",IF($B1008="","⚠ Site missing",IF(ISNA(MATCH($C1008,Mix_Code,0)),"⚠ Unknown mix code",IF($D1008="","⚠ Enter m3 produced",IF(COUNTIF(CI_Site,$B1008)=0,"⚠ Site not set up in Current Inventory",IF($A1008&gt;AsOfDate,"Future date – not yet deducted","OK")))))))</f>
        <v/>
      </c>
    </row>
    <row r="1009" customFormat="false" ht="15" hidden="false" customHeight="false" outlineLevel="0" collapsed="false">
      <c r="A1009" s="65"/>
      <c r="B1009" s="63"/>
      <c r="C1009" s="70"/>
      <c r="D1009" s="66"/>
      <c r="E1009" s="16" t="str">
        <f aca="false">IF($C1009="","",IFERROR(INDEX(Mix_Desc,MATCH($C1009,Mix_Code,0)),"⚠ Unknown mix code"))</f>
        <v/>
      </c>
      <c r="F1009" s="67" t="str">
        <f aca="false">IF(OR($C1009="",$D1009=""),"",IFERROR($D1009*INDEX(Mix_Eff,MATCH($C1009,Mix_Code,0),1),""))</f>
        <v/>
      </c>
      <c r="G1009" s="67" t="str">
        <f aca="false">IF(OR($C1009="",$D1009=""),"",IFERROR($D1009*INDEX(Mix_Eff,MATCH($C1009,Mix_Code,0),2),""))</f>
        <v/>
      </c>
      <c r="H1009" s="67" t="str">
        <f aca="false">IF(OR($C1009="",$D1009=""),"",IFERROR($D1009*INDEX(Mix_Eff,MATCH($C1009,Mix_Code,0),3),""))</f>
        <v/>
      </c>
      <c r="I1009" s="67" t="str">
        <f aca="false">IF(OR($C1009="",$D1009=""),"",IFERROR($D1009*INDEX(Mix_Eff,MATCH($C1009,Mix_Code,0),4),""))</f>
        <v/>
      </c>
      <c r="J1009" s="67" t="str">
        <f aca="false">IF(OR($C1009="",$D1009=""),"",IFERROR($D1009*INDEX(Mix_Eff,MATCH($C1009,Mix_Code,0),5),""))</f>
        <v/>
      </c>
      <c r="K1009" s="63"/>
      <c r="L1009" s="16" t="str">
        <f aca="false">IF(AND($A1009="",$B1009="",$C1009="",$D1009=""),"",IF($A1009="","⚠ Date missing",IF($B1009="","⚠ Site missing",IF(ISNA(MATCH($C1009,Mix_Code,0)),"⚠ Unknown mix code",IF($D1009="","⚠ Enter m3 produced",IF(COUNTIF(CI_Site,$B1009)=0,"⚠ Site not set up in Current Inventory",IF($A1009&gt;AsOfDate,"Future date – not yet deducted","OK")))))))</f>
        <v/>
      </c>
    </row>
    <row r="1010" customFormat="false" ht="15" hidden="false" customHeight="false" outlineLevel="0" collapsed="false">
      <c r="A1010" s="65"/>
      <c r="B1010" s="63"/>
      <c r="C1010" s="70"/>
      <c r="D1010" s="66"/>
      <c r="E1010" s="16" t="str">
        <f aca="false">IF($C1010="","",IFERROR(INDEX(Mix_Desc,MATCH($C1010,Mix_Code,0)),"⚠ Unknown mix code"))</f>
        <v/>
      </c>
      <c r="F1010" s="67" t="str">
        <f aca="false">IF(OR($C1010="",$D1010=""),"",IFERROR($D1010*INDEX(Mix_Eff,MATCH($C1010,Mix_Code,0),1),""))</f>
        <v/>
      </c>
      <c r="G1010" s="67" t="str">
        <f aca="false">IF(OR($C1010="",$D1010=""),"",IFERROR($D1010*INDEX(Mix_Eff,MATCH($C1010,Mix_Code,0),2),""))</f>
        <v/>
      </c>
      <c r="H1010" s="67" t="str">
        <f aca="false">IF(OR($C1010="",$D1010=""),"",IFERROR($D1010*INDEX(Mix_Eff,MATCH($C1010,Mix_Code,0),3),""))</f>
        <v/>
      </c>
      <c r="I1010" s="67" t="str">
        <f aca="false">IF(OR($C1010="",$D1010=""),"",IFERROR($D1010*INDEX(Mix_Eff,MATCH($C1010,Mix_Code,0),4),""))</f>
        <v/>
      </c>
      <c r="J1010" s="67" t="str">
        <f aca="false">IF(OR($C1010="",$D1010=""),"",IFERROR($D1010*INDEX(Mix_Eff,MATCH($C1010,Mix_Code,0),5),""))</f>
        <v/>
      </c>
      <c r="K1010" s="63"/>
      <c r="L1010" s="16" t="str">
        <f aca="false">IF(AND($A1010="",$B1010="",$C1010="",$D1010=""),"",IF($A1010="","⚠ Date missing",IF($B1010="","⚠ Site missing",IF(ISNA(MATCH($C1010,Mix_Code,0)),"⚠ Unknown mix code",IF($D1010="","⚠ Enter m3 produced",IF(COUNTIF(CI_Site,$B1010)=0,"⚠ Site not set up in Current Inventory",IF($A1010&gt;AsOfDate,"Future date – not yet deducted","OK")))))))</f>
        <v/>
      </c>
    </row>
    <row r="1011" customFormat="false" ht="15" hidden="false" customHeight="false" outlineLevel="0" collapsed="false">
      <c r="A1011" s="65"/>
      <c r="B1011" s="63"/>
      <c r="C1011" s="70"/>
      <c r="D1011" s="66"/>
      <c r="E1011" s="16" t="str">
        <f aca="false">IF($C1011="","",IFERROR(INDEX(Mix_Desc,MATCH($C1011,Mix_Code,0)),"⚠ Unknown mix code"))</f>
        <v/>
      </c>
      <c r="F1011" s="67" t="str">
        <f aca="false">IF(OR($C1011="",$D1011=""),"",IFERROR($D1011*INDEX(Mix_Eff,MATCH($C1011,Mix_Code,0),1),""))</f>
        <v/>
      </c>
      <c r="G1011" s="67" t="str">
        <f aca="false">IF(OR($C1011="",$D1011=""),"",IFERROR($D1011*INDEX(Mix_Eff,MATCH($C1011,Mix_Code,0),2),""))</f>
        <v/>
      </c>
      <c r="H1011" s="67" t="str">
        <f aca="false">IF(OR($C1011="",$D1011=""),"",IFERROR($D1011*INDEX(Mix_Eff,MATCH($C1011,Mix_Code,0),3),""))</f>
        <v/>
      </c>
      <c r="I1011" s="67" t="str">
        <f aca="false">IF(OR($C1011="",$D1011=""),"",IFERROR($D1011*INDEX(Mix_Eff,MATCH($C1011,Mix_Code,0),4),""))</f>
        <v/>
      </c>
      <c r="J1011" s="67" t="str">
        <f aca="false">IF(OR($C1011="",$D1011=""),"",IFERROR($D1011*INDEX(Mix_Eff,MATCH($C1011,Mix_Code,0),5),""))</f>
        <v/>
      </c>
      <c r="K1011" s="63"/>
      <c r="L1011" s="16" t="str">
        <f aca="false">IF(AND($A1011="",$B1011="",$C1011="",$D1011=""),"",IF($A1011="","⚠ Date missing",IF($B1011="","⚠ Site missing",IF(ISNA(MATCH($C1011,Mix_Code,0)),"⚠ Unknown mix code",IF($D1011="","⚠ Enter m3 produced",IF(COUNTIF(CI_Site,$B1011)=0,"⚠ Site not set up in Current Inventory",IF($A1011&gt;AsOfDate,"Future date – not yet deducted","OK")))))))</f>
        <v/>
      </c>
    </row>
    <row r="1012" customFormat="false" ht="15" hidden="false" customHeight="false" outlineLevel="0" collapsed="false">
      <c r="A1012" s="65"/>
      <c r="B1012" s="63"/>
      <c r="C1012" s="70"/>
      <c r="D1012" s="66"/>
      <c r="E1012" s="16" t="str">
        <f aca="false">IF($C1012="","",IFERROR(INDEX(Mix_Desc,MATCH($C1012,Mix_Code,0)),"⚠ Unknown mix code"))</f>
        <v/>
      </c>
      <c r="F1012" s="67" t="str">
        <f aca="false">IF(OR($C1012="",$D1012=""),"",IFERROR($D1012*INDEX(Mix_Eff,MATCH($C1012,Mix_Code,0),1),""))</f>
        <v/>
      </c>
      <c r="G1012" s="67" t="str">
        <f aca="false">IF(OR($C1012="",$D1012=""),"",IFERROR($D1012*INDEX(Mix_Eff,MATCH($C1012,Mix_Code,0),2),""))</f>
        <v/>
      </c>
      <c r="H1012" s="67" t="str">
        <f aca="false">IF(OR($C1012="",$D1012=""),"",IFERROR($D1012*INDEX(Mix_Eff,MATCH($C1012,Mix_Code,0),3),""))</f>
        <v/>
      </c>
      <c r="I1012" s="67" t="str">
        <f aca="false">IF(OR($C1012="",$D1012=""),"",IFERROR($D1012*INDEX(Mix_Eff,MATCH($C1012,Mix_Code,0),4),""))</f>
        <v/>
      </c>
      <c r="J1012" s="67" t="str">
        <f aca="false">IF(OR($C1012="",$D1012=""),"",IFERROR($D1012*INDEX(Mix_Eff,MATCH($C1012,Mix_Code,0),5),""))</f>
        <v/>
      </c>
      <c r="K1012" s="63"/>
      <c r="L1012" s="16" t="str">
        <f aca="false">IF(AND($A1012="",$B1012="",$C1012="",$D1012=""),"",IF($A1012="","⚠ Date missing",IF($B1012="","⚠ Site missing",IF(ISNA(MATCH($C1012,Mix_Code,0)),"⚠ Unknown mix code",IF($D1012="","⚠ Enter m3 produced",IF(COUNTIF(CI_Site,$B1012)=0,"⚠ Site not set up in Current Inventory",IF($A1012&gt;AsOfDate,"Future date – not yet deducted","OK")))))))</f>
        <v/>
      </c>
    </row>
    <row r="1013" customFormat="false" ht="15" hidden="false" customHeight="false" outlineLevel="0" collapsed="false">
      <c r="A1013" s="65"/>
      <c r="B1013" s="63"/>
      <c r="C1013" s="70"/>
      <c r="D1013" s="66"/>
      <c r="E1013" s="16" t="str">
        <f aca="false">IF($C1013="","",IFERROR(INDEX(Mix_Desc,MATCH($C1013,Mix_Code,0)),"⚠ Unknown mix code"))</f>
        <v/>
      </c>
      <c r="F1013" s="67" t="str">
        <f aca="false">IF(OR($C1013="",$D1013=""),"",IFERROR($D1013*INDEX(Mix_Eff,MATCH($C1013,Mix_Code,0),1),""))</f>
        <v/>
      </c>
      <c r="G1013" s="67" t="str">
        <f aca="false">IF(OR($C1013="",$D1013=""),"",IFERROR($D1013*INDEX(Mix_Eff,MATCH($C1013,Mix_Code,0),2),""))</f>
        <v/>
      </c>
      <c r="H1013" s="67" t="str">
        <f aca="false">IF(OR($C1013="",$D1013=""),"",IFERROR($D1013*INDEX(Mix_Eff,MATCH($C1013,Mix_Code,0),3),""))</f>
        <v/>
      </c>
      <c r="I1013" s="67" t="str">
        <f aca="false">IF(OR($C1013="",$D1013=""),"",IFERROR($D1013*INDEX(Mix_Eff,MATCH($C1013,Mix_Code,0),4),""))</f>
        <v/>
      </c>
      <c r="J1013" s="67" t="str">
        <f aca="false">IF(OR($C1013="",$D1013=""),"",IFERROR($D1013*INDEX(Mix_Eff,MATCH($C1013,Mix_Code,0),5),""))</f>
        <v/>
      </c>
      <c r="K1013" s="63"/>
      <c r="L1013" s="16" t="str">
        <f aca="false">IF(AND($A1013="",$B1013="",$C1013="",$D1013=""),"",IF($A1013="","⚠ Date missing",IF($B1013="","⚠ Site missing",IF(ISNA(MATCH($C1013,Mix_Code,0)),"⚠ Unknown mix code",IF($D1013="","⚠ Enter m3 produced",IF(COUNTIF(CI_Site,$B1013)=0,"⚠ Site not set up in Current Inventory",IF($A1013&gt;AsOfDate,"Future date – not yet deducted","OK")))))))</f>
        <v/>
      </c>
    </row>
    <row r="1014" customFormat="false" ht="15" hidden="false" customHeight="false" outlineLevel="0" collapsed="false">
      <c r="A1014" s="65"/>
      <c r="B1014" s="63"/>
      <c r="C1014" s="70"/>
      <c r="D1014" s="66"/>
      <c r="E1014" s="16" t="str">
        <f aca="false">IF($C1014="","",IFERROR(INDEX(Mix_Desc,MATCH($C1014,Mix_Code,0)),"⚠ Unknown mix code"))</f>
        <v/>
      </c>
      <c r="F1014" s="67" t="str">
        <f aca="false">IF(OR($C1014="",$D1014=""),"",IFERROR($D1014*INDEX(Mix_Eff,MATCH($C1014,Mix_Code,0),1),""))</f>
        <v/>
      </c>
      <c r="G1014" s="67" t="str">
        <f aca="false">IF(OR($C1014="",$D1014=""),"",IFERROR($D1014*INDEX(Mix_Eff,MATCH($C1014,Mix_Code,0),2),""))</f>
        <v/>
      </c>
      <c r="H1014" s="67" t="str">
        <f aca="false">IF(OR($C1014="",$D1014=""),"",IFERROR($D1014*INDEX(Mix_Eff,MATCH($C1014,Mix_Code,0),3),""))</f>
        <v/>
      </c>
      <c r="I1014" s="67" t="str">
        <f aca="false">IF(OR($C1014="",$D1014=""),"",IFERROR($D1014*INDEX(Mix_Eff,MATCH($C1014,Mix_Code,0),4),""))</f>
        <v/>
      </c>
      <c r="J1014" s="67" t="str">
        <f aca="false">IF(OR($C1014="",$D1014=""),"",IFERROR($D1014*INDEX(Mix_Eff,MATCH($C1014,Mix_Code,0),5),""))</f>
        <v/>
      </c>
      <c r="K1014" s="63"/>
      <c r="L1014" s="16" t="str">
        <f aca="false">IF(AND($A1014="",$B1014="",$C1014="",$D1014=""),"",IF($A1014="","⚠ Date missing",IF($B1014="","⚠ Site missing",IF(ISNA(MATCH($C1014,Mix_Code,0)),"⚠ Unknown mix code",IF($D1014="","⚠ Enter m3 produced",IF(COUNTIF(CI_Site,$B1014)=0,"⚠ Site not set up in Current Inventory",IF($A1014&gt;AsOfDate,"Future date – not yet deducted","OK")))))))</f>
        <v/>
      </c>
    </row>
    <row r="1015" customFormat="false" ht="15" hidden="false" customHeight="false" outlineLevel="0" collapsed="false">
      <c r="A1015" s="65"/>
      <c r="B1015" s="63"/>
      <c r="C1015" s="70"/>
      <c r="D1015" s="66"/>
      <c r="E1015" s="16" t="str">
        <f aca="false">IF($C1015="","",IFERROR(INDEX(Mix_Desc,MATCH($C1015,Mix_Code,0)),"⚠ Unknown mix code"))</f>
        <v/>
      </c>
      <c r="F1015" s="67" t="str">
        <f aca="false">IF(OR($C1015="",$D1015=""),"",IFERROR($D1015*INDEX(Mix_Eff,MATCH($C1015,Mix_Code,0),1),""))</f>
        <v/>
      </c>
      <c r="G1015" s="67" t="str">
        <f aca="false">IF(OR($C1015="",$D1015=""),"",IFERROR($D1015*INDEX(Mix_Eff,MATCH($C1015,Mix_Code,0),2),""))</f>
        <v/>
      </c>
      <c r="H1015" s="67" t="str">
        <f aca="false">IF(OR($C1015="",$D1015=""),"",IFERROR($D1015*INDEX(Mix_Eff,MATCH($C1015,Mix_Code,0),3),""))</f>
        <v/>
      </c>
      <c r="I1015" s="67" t="str">
        <f aca="false">IF(OR($C1015="",$D1015=""),"",IFERROR($D1015*INDEX(Mix_Eff,MATCH($C1015,Mix_Code,0),4),""))</f>
        <v/>
      </c>
      <c r="J1015" s="67" t="str">
        <f aca="false">IF(OR($C1015="",$D1015=""),"",IFERROR($D1015*INDEX(Mix_Eff,MATCH($C1015,Mix_Code,0),5),""))</f>
        <v/>
      </c>
      <c r="K1015" s="63"/>
      <c r="L1015" s="16" t="str">
        <f aca="false">IF(AND($A1015="",$B1015="",$C1015="",$D1015=""),"",IF($A1015="","⚠ Date missing",IF($B1015="","⚠ Site missing",IF(ISNA(MATCH($C1015,Mix_Code,0)),"⚠ Unknown mix code",IF($D1015="","⚠ Enter m3 produced",IF(COUNTIF(CI_Site,$B1015)=0,"⚠ Site not set up in Current Inventory",IF($A1015&gt;AsOfDate,"Future date – not yet deducted","OK")))))))</f>
        <v/>
      </c>
    </row>
    <row r="1016" customFormat="false" ht="15" hidden="false" customHeight="false" outlineLevel="0" collapsed="false">
      <c r="A1016" s="65"/>
      <c r="B1016" s="63"/>
      <c r="C1016" s="70"/>
      <c r="D1016" s="66"/>
      <c r="E1016" s="16" t="str">
        <f aca="false">IF($C1016="","",IFERROR(INDEX(Mix_Desc,MATCH($C1016,Mix_Code,0)),"⚠ Unknown mix code"))</f>
        <v/>
      </c>
      <c r="F1016" s="67" t="str">
        <f aca="false">IF(OR($C1016="",$D1016=""),"",IFERROR($D1016*INDEX(Mix_Eff,MATCH($C1016,Mix_Code,0),1),""))</f>
        <v/>
      </c>
      <c r="G1016" s="67" t="str">
        <f aca="false">IF(OR($C1016="",$D1016=""),"",IFERROR($D1016*INDEX(Mix_Eff,MATCH($C1016,Mix_Code,0),2),""))</f>
        <v/>
      </c>
      <c r="H1016" s="67" t="str">
        <f aca="false">IF(OR($C1016="",$D1016=""),"",IFERROR($D1016*INDEX(Mix_Eff,MATCH($C1016,Mix_Code,0),3),""))</f>
        <v/>
      </c>
      <c r="I1016" s="67" t="str">
        <f aca="false">IF(OR($C1016="",$D1016=""),"",IFERROR($D1016*INDEX(Mix_Eff,MATCH($C1016,Mix_Code,0),4),""))</f>
        <v/>
      </c>
      <c r="J1016" s="67" t="str">
        <f aca="false">IF(OR($C1016="",$D1016=""),"",IFERROR($D1016*INDEX(Mix_Eff,MATCH($C1016,Mix_Code,0),5),""))</f>
        <v/>
      </c>
      <c r="K1016" s="63"/>
      <c r="L1016" s="16" t="str">
        <f aca="false">IF(AND($A1016="",$B1016="",$C1016="",$D1016=""),"",IF($A1016="","⚠ Date missing",IF($B1016="","⚠ Site missing",IF(ISNA(MATCH($C1016,Mix_Code,0)),"⚠ Unknown mix code",IF($D1016="","⚠ Enter m3 produced",IF(COUNTIF(CI_Site,$B1016)=0,"⚠ Site not set up in Current Inventory",IF($A1016&gt;AsOfDate,"Future date – not yet deducted","OK")))))))</f>
        <v/>
      </c>
    </row>
    <row r="1017" customFormat="false" ht="15" hidden="false" customHeight="false" outlineLevel="0" collapsed="false">
      <c r="A1017" s="65"/>
      <c r="B1017" s="63"/>
      <c r="C1017" s="70"/>
      <c r="D1017" s="66"/>
      <c r="E1017" s="16" t="str">
        <f aca="false">IF($C1017="","",IFERROR(INDEX(Mix_Desc,MATCH($C1017,Mix_Code,0)),"⚠ Unknown mix code"))</f>
        <v/>
      </c>
      <c r="F1017" s="67" t="str">
        <f aca="false">IF(OR($C1017="",$D1017=""),"",IFERROR($D1017*INDEX(Mix_Eff,MATCH($C1017,Mix_Code,0),1),""))</f>
        <v/>
      </c>
      <c r="G1017" s="67" t="str">
        <f aca="false">IF(OR($C1017="",$D1017=""),"",IFERROR($D1017*INDEX(Mix_Eff,MATCH($C1017,Mix_Code,0),2),""))</f>
        <v/>
      </c>
      <c r="H1017" s="67" t="str">
        <f aca="false">IF(OR($C1017="",$D1017=""),"",IFERROR($D1017*INDEX(Mix_Eff,MATCH($C1017,Mix_Code,0),3),""))</f>
        <v/>
      </c>
      <c r="I1017" s="67" t="str">
        <f aca="false">IF(OR($C1017="",$D1017=""),"",IFERROR($D1017*INDEX(Mix_Eff,MATCH($C1017,Mix_Code,0),4),""))</f>
        <v/>
      </c>
      <c r="J1017" s="67" t="str">
        <f aca="false">IF(OR($C1017="",$D1017=""),"",IFERROR($D1017*INDEX(Mix_Eff,MATCH($C1017,Mix_Code,0),5),""))</f>
        <v/>
      </c>
      <c r="K1017" s="63"/>
      <c r="L1017" s="16" t="str">
        <f aca="false">IF(AND($A1017="",$B1017="",$C1017="",$D1017=""),"",IF($A1017="","⚠ Date missing",IF($B1017="","⚠ Site missing",IF(ISNA(MATCH($C1017,Mix_Code,0)),"⚠ Unknown mix code",IF($D1017="","⚠ Enter m3 produced",IF(COUNTIF(CI_Site,$B1017)=0,"⚠ Site not set up in Current Inventory",IF($A1017&gt;AsOfDate,"Future date – not yet deducted","OK")))))))</f>
        <v/>
      </c>
    </row>
    <row r="1018" customFormat="false" ht="15" hidden="false" customHeight="false" outlineLevel="0" collapsed="false">
      <c r="A1018" s="65"/>
      <c r="B1018" s="63"/>
      <c r="C1018" s="70"/>
      <c r="D1018" s="66"/>
      <c r="E1018" s="16" t="str">
        <f aca="false">IF($C1018="","",IFERROR(INDEX(Mix_Desc,MATCH($C1018,Mix_Code,0)),"⚠ Unknown mix code"))</f>
        <v/>
      </c>
      <c r="F1018" s="67" t="str">
        <f aca="false">IF(OR($C1018="",$D1018=""),"",IFERROR($D1018*INDEX(Mix_Eff,MATCH($C1018,Mix_Code,0),1),""))</f>
        <v/>
      </c>
      <c r="G1018" s="67" t="str">
        <f aca="false">IF(OR($C1018="",$D1018=""),"",IFERROR($D1018*INDEX(Mix_Eff,MATCH($C1018,Mix_Code,0),2),""))</f>
        <v/>
      </c>
      <c r="H1018" s="67" t="str">
        <f aca="false">IF(OR($C1018="",$D1018=""),"",IFERROR($D1018*INDEX(Mix_Eff,MATCH($C1018,Mix_Code,0),3),""))</f>
        <v/>
      </c>
      <c r="I1018" s="67" t="str">
        <f aca="false">IF(OR($C1018="",$D1018=""),"",IFERROR($D1018*INDEX(Mix_Eff,MATCH($C1018,Mix_Code,0),4),""))</f>
        <v/>
      </c>
      <c r="J1018" s="67" t="str">
        <f aca="false">IF(OR($C1018="",$D1018=""),"",IFERROR($D1018*INDEX(Mix_Eff,MATCH($C1018,Mix_Code,0),5),""))</f>
        <v/>
      </c>
      <c r="K1018" s="63"/>
      <c r="L1018" s="16" t="str">
        <f aca="false">IF(AND($A1018="",$B1018="",$C1018="",$D1018=""),"",IF($A1018="","⚠ Date missing",IF($B1018="","⚠ Site missing",IF(ISNA(MATCH($C1018,Mix_Code,0)),"⚠ Unknown mix code",IF($D1018="","⚠ Enter m3 produced",IF(COUNTIF(CI_Site,$B1018)=0,"⚠ Site not set up in Current Inventory",IF($A1018&gt;AsOfDate,"Future date – not yet deducted","OK")))))))</f>
        <v/>
      </c>
    </row>
    <row r="1019" customFormat="false" ht="15" hidden="false" customHeight="false" outlineLevel="0" collapsed="false">
      <c r="A1019" s="65"/>
      <c r="B1019" s="63"/>
      <c r="C1019" s="70"/>
      <c r="D1019" s="66"/>
      <c r="E1019" s="16" t="str">
        <f aca="false">IF($C1019="","",IFERROR(INDEX(Mix_Desc,MATCH($C1019,Mix_Code,0)),"⚠ Unknown mix code"))</f>
        <v/>
      </c>
      <c r="F1019" s="67" t="str">
        <f aca="false">IF(OR($C1019="",$D1019=""),"",IFERROR($D1019*INDEX(Mix_Eff,MATCH($C1019,Mix_Code,0),1),""))</f>
        <v/>
      </c>
      <c r="G1019" s="67" t="str">
        <f aca="false">IF(OR($C1019="",$D1019=""),"",IFERROR($D1019*INDEX(Mix_Eff,MATCH($C1019,Mix_Code,0),2),""))</f>
        <v/>
      </c>
      <c r="H1019" s="67" t="str">
        <f aca="false">IF(OR($C1019="",$D1019=""),"",IFERROR($D1019*INDEX(Mix_Eff,MATCH($C1019,Mix_Code,0),3),""))</f>
        <v/>
      </c>
      <c r="I1019" s="67" t="str">
        <f aca="false">IF(OR($C1019="",$D1019=""),"",IFERROR($D1019*INDEX(Mix_Eff,MATCH($C1019,Mix_Code,0),4),""))</f>
        <v/>
      </c>
      <c r="J1019" s="67" t="str">
        <f aca="false">IF(OR($C1019="",$D1019=""),"",IFERROR($D1019*INDEX(Mix_Eff,MATCH($C1019,Mix_Code,0),5),""))</f>
        <v/>
      </c>
      <c r="K1019" s="63"/>
      <c r="L1019" s="16" t="str">
        <f aca="false">IF(AND($A1019="",$B1019="",$C1019="",$D1019=""),"",IF($A1019="","⚠ Date missing",IF($B1019="","⚠ Site missing",IF(ISNA(MATCH($C1019,Mix_Code,0)),"⚠ Unknown mix code",IF($D1019="","⚠ Enter m3 produced",IF(COUNTIF(CI_Site,$B1019)=0,"⚠ Site not set up in Current Inventory",IF($A1019&gt;AsOfDate,"Future date – not yet deducted","OK")))))))</f>
        <v/>
      </c>
    </row>
    <row r="1020" customFormat="false" ht="15" hidden="false" customHeight="false" outlineLevel="0" collapsed="false">
      <c r="A1020" s="65"/>
      <c r="B1020" s="63"/>
      <c r="C1020" s="70"/>
      <c r="D1020" s="66"/>
      <c r="E1020" s="16" t="str">
        <f aca="false">IF($C1020="","",IFERROR(INDEX(Mix_Desc,MATCH($C1020,Mix_Code,0)),"⚠ Unknown mix code"))</f>
        <v/>
      </c>
      <c r="F1020" s="67" t="str">
        <f aca="false">IF(OR($C1020="",$D1020=""),"",IFERROR($D1020*INDEX(Mix_Eff,MATCH($C1020,Mix_Code,0),1),""))</f>
        <v/>
      </c>
      <c r="G1020" s="67" t="str">
        <f aca="false">IF(OR($C1020="",$D1020=""),"",IFERROR($D1020*INDEX(Mix_Eff,MATCH($C1020,Mix_Code,0),2),""))</f>
        <v/>
      </c>
      <c r="H1020" s="67" t="str">
        <f aca="false">IF(OR($C1020="",$D1020=""),"",IFERROR($D1020*INDEX(Mix_Eff,MATCH($C1020,Mix_Code,0),3),""))</f>
        <v/>
      </c>
      <c r="I1020" s="67" t="str">
        <f aca="false">IF(OR($C1020="",$D1020=""),"",IFERROR($D1020*INDEX(Mix_Eff,MATCH($C1020,Mix_Code,0),4),""))</f>
        <v/>
      </c>
      <c r="J1020" s="67" t="str">
        <f aca="false">IF(OR($C1020="",$D1020=""),"",IFERROR($D1020*INDEX(Mix_Eff,MATCH($C1020,Mix_Code,0),5),""))</f>
        <v/>
      </c>
      <c r="K1020" s="63"/>
      <c r="L1020" s="16" t="str">
        <f aca="false">IF(AND($A1020="",$B1020="",$C1020="",$D1020=""),"",IF($A1020="","⚠ Date missing",IF($B1020="","⚠ Site missing",IF(ISNA(MATCH($C1020,Mix_Code,0)),"⚠ Unknown mix code",IF($D1020="","⚠ Enter m3 produced",IF(COUNTIF(CI_Site,$B1020)=0,"⚠ Site not set up in Current Inventory",IF($A1020&gt;AsOfDate,"Future date – not yet deducted","OK")))))))</f>
        <v/>
      </c>
    </row>
    <row r="1021" customFormat="false" ht="15" hidden="false" customHeight="false" outlineLevel="0" collapsed="false">
      <c r="A1021" s="65"/>
      <c r="B1021" s="63"/>
      <c r="C1021" s="70"/>
      <c r="D1021" s="66"/>
      <c r="E1021" s="16" t="str">
        <f aca="false">IF($C1021="","",IFERROR(INDEX(Mix_Desc,MATCH($C1021,Mix_Code,0)),"⚠ Unknown mix code"))</f>
        <v/>
      </c>
      <c r="F1021" s="67" t="str">
        <f aca="false">IF(OR($C1021="",$D1021=""),"",IFERROR($D1021*INDEX(Mix_Eff,MATCH($C1021,Mix_Code,0),1),""))</f>
        <v/>
      </c>
      <c r="G1021" s="67" t="str">
        <f aca="false">IF(OR($C1021="",$D1021=""),"",IFERROR($D1021*INDEX(Mix_Eff,MATCH($C1021,Mix_Code,0),2),""))</f>
        <v/>
      </c>
      <c r="H1021" s="67" t="str">
        <f aca="false">IF(OR($C1021="",$D1021=""),"",IFERROR($D1021*INDEX(Mix_Eff,MATCH($C1021,Mix_Code,0),3),""))</f>
        <v/>
      </c>
      <c r="I1021" s="67" t="str">
        <f aca="false">IF(OR($C1021="",$D1021=""),"",IFERROR($D1021*INDEX(Mix_Eff,MATCH($C1021,Mix_Code,0),4),""))</f>
        <v/>
      </c>
      <c r="J1021" s="67" t="str">
        <f aca="false">IF(OR($C1021="",$D1021=""),"",IFERROR($D1021*INDEX(Mix_Eff,MATCH($C1021,Mix_Code,0),5),""))</f>
        <v/>
      </c>
      <c r="K1021" s="63"/>
      <c r="L1021" s="16" t="str">
        <f aca="false">IF(AND($A1021="",$B1021="",$C1021="",$D1021=""),"",IF($A1021="","⚠ Date missing",IF($B1021="","⚠ Site missing",IF(ISNA(MATCH($C1021,Mix_Code,0)),"⚠ Unknown mix code",IF($D1021="","⚠ Enter m3 produced",IF(COUNTIF(CI_Site,$B1021)=0,"⚠ Site not set up in Current Inventory",IF($A1021&gt;AsOfDate,"Future date – not yet deducted","OK")))))))</f>
        <v/>
      </c>
    </row>
    <row r="1022" customFormat="false" ht="15" hidden="false" customHeight="false" outlineLevel="0" collapsed="false">
      <c r="A1022" s="65"/>
      <c r="B1022" s="63"/>
      <c r="C1022" s="70"/>
      <c r="D1022" s="66"/>
      <c r="E1022" s="16" t="str">
        <f aca="false">IF($C1022="","",IFERROR(INDEX(Mix_Desc,MATCH($C1022,Mix_Code,0)),"⚠ Unknown mix code"))</f>
        <v/>
      </c>
      <c r="F1022" s="67" t="str">
        <f aca="false">IF(OR($C1022="",$D1022=""),"",IFERROR($D1022*INDEX(Mix_Eff,MATCH($C1022,Mix_Code,0),1),""))</f>
        <v/>
      </c>
      <c r="G1022" s="67" t="str">
        <f aca="false">IF(OR($C1022="",$D1022=""),"",IFERROR($D1022*INDEX(Mix_Eff,MATCH($C1022,Mix_Code,0),2),""))</f>
        <v/>
      </c>
      <c r="H1022" s="67" t="str">
        <f aca="false">IF(OR($C1022="",$D1022=""),"",IFERROR($D1022*INDEX(Mix_Eff,MATCH($C1022,Mix_Code,0),3),""))</f>
        <v/>
      </c>
      <c r="I1022" s="67" t="str">
        <f aca="false">IF(OR($C1022="",$D1022=""),"",IFERROR($D1022*INDEX(Mix_Eff,MATCH($C1022,Mix_Code,0),4),""))</f>
        <v/>
      </c>
      <c r="J1022" s="67" t="str">
        <f aca="false">IF(OR($C1022="",$D1022=""),"",IFERROR($D1022*INDEX(Mix_Eff,MATCH($C1022,Mix_Code,0),5),""))</f>
        <v/>
      </c>
      <c r="K1022" s="63"/>
      <c r="L1022" s="16" t="str">
        <f aca="false">IF(AND($A1022="",$B1022="",$C1022="",$D1022=""),"",IF($A1022="","⚠ Date missing",IF($B1022="","⚠ Site missing",IF(ISNA(MATCH($C1022,Mix_Code,0)),"⚠ Unknown mix code",IF($D1022="","⚠ Enter m3 produced",IF(COUNTIF(CI_Site,$B1022)=0,"⚠ Site not set up in Current Inventory",IF($A1022&gt;AsOfDate,"Future date – not yet deducted","OK")))))))</f>
        <v/>
      </c>
    </row>
    <row r="1023" customFormat="false" ht="15" hidden="false" customHeight="false" outlineLevel="0" collapsed="false">
      <c r="A1023" s="65"/>
      <c r="B1023" s="63"/>
      <c r="C1023" s="70"/>
      <c r="D1023" s="66"/>
      <c r="E1023" s="16" t="str">
        <f aca="false">IF($C1023="","",IFERROR(INDEX(Mix_Desc,MATCH($C1023,Mix_Code,0)),"⚠ Unknown mix code"))</f>
        <v/>
      </c>
      <c r="F1023" s="67" t="str">
        <f aca="false">IF(OR($C1023="",$D1023=""),"",IFERROR($D1023*INDEX(Mix_Eff,MATCH($C1023,Mix_Code,0),1),""))</f>
        <v/>
      </c>
      <c r="G1023" s="67" t="str">
        <f aca="false">IF(OR($C1023="",$D1023=""),"",IFERROR($D1023*INDEX(Mix_Eff,MATCH($C1023,Mix_Code,0),2),""))</f>
        <v/>
      </c>
      <c r="H1023" s="67" t="str">
        <f aca="false">IF(OR($C1023="",$D1023=""),"",IFERROR($D1023*INDEX(Mix_Eff,MATCH($C1023,Mix_Code,0),3),""))</f>
        <v/>
      </c>
      <c r="I1023" s="67" t="str">
        <f aca="false">IF(OR($C1023="",$D1023=""),"",IFERROR($D1023*INDEX(Mix_Eff,MATCH($C1023,Mix_Code,0),4),""))</f>
        <v/>
      </c>
      <c r="J1023" s="67" t="str">
        <f aca="false">IF(OR($C1023="",$D1023=""),"",IFERROR($D1023*INDEX(Mix_Eff,MATCH($C1023,Mix_Code,0),5),""))</f>
        <v/>
      </c>
      <c r="K1023" s="63"/>
      <c r="L1023" s="16" t="str">
        <f aca="false">IF(AND($A1023="",$B1023="",$C1023="",$D1023=""),"",IF($A1023="","⚠ Date missing",IF($B1023="","⚠ Site missing",IF(ISNA(MATCH($C1023,Mix_Code,0)),"⚠ Unknown mix code",IF($D1023="","⚠ Enter m3 produced",IF(COUNTIF(CI_Site,$B1023)=0,"⚠ Site not set up in Current Inventory",IF($A1023&gt;AsOfDate,"Future date – not yet deducted","OK")))))))</f>
        <v/>
      </c>
    </row>
    <row r="1024" customFormat="false" ht="15" hidden="false" customHeight="false" outlineLevel="0" collapsed="false">
      <c r="A1024" s="65"/>
      <c r="B1024" s="63"/>
      <c r="C1024" s="70"/>
      <c r="D1024" s="66"/>
      <c r="E1024" s="16" t="str">
        <f aca="false">IF($C1024="","",IFERROR(INDEX(Mix_Desc,MATCH($C1024,Mix_Code,0)),"⚠ Unknown mix code"))</f>
        <v/>
      </c>
      <c r="F1024" s="67" t="str">
        <f aca="false">IF(OR($C1024="",$D1024=""),"",IFERROR($D1024*INDEX(Mix_Eff,MATCH($C1024,Mix_Code,0),1),""))</f>
        <v/>
      </c>
      <c r="G1024" s="67" t="str">
        <f aca="false">IF(OR($C1024="",$D1024=""),"",IFERROR($D1024*INDEX(Mix_Eff,MATCH($C1024,Mix_Code,0),2),""))</f>
        <v/>
      </c>
      <c r="H1024" s="67" t="str">
        <f aca="false">IF(OR($C1024="",$D1024=""),"",IFERROR($D1024*INDEX(Mix_Eff,MATCH($C1024,Mix_Code,0),3),""))</f>
        <v/>
      </c>
      <c r="I1024" s="67" t="str">
        <f aca="false">IF(OR($C1024="",$D1024=""),"",IFERROR($D1024*INDEX(Mix_Eff,MATCH($C1024,Mix_Code,0),4),""))</f>
        <v/>
      </c>
      <c r="J1024" s="67" t="str">
        <f aca="false">IF(OR($C1024="",$D1024=""),"",IFERROR($D1024*INDEX(Mix_Eff,MATCH($C1024,Mix_Code,0),5),""))</f>
        <v/>
      </c>
      <c r="K1024" s="63"/>
      <c r="L1024" s="16" t="str">
        <f aca="false">IF(AND($A1024="",$B1024="",$C1024="",$D1024=""),"",IF($A1024="","⚠ Date missing",IF($B1024="","⚠ Site missing",IF(ISNA(MATCH($C1024,Mix_Code,0)),"⚠ Unknown mix code",IF($D1024="","⚠ Enter m3 produced",IF(COUNTIF(CI_Site,$B1024)=0,"⚠ Site not set up in Current Inventory",IF($A1024&gt;AsOfDate,"Future date – not yet deducted","OK")))))))</f>
        <v/>
      </c>
    </row>
    <row r="1025" customFormat="false" ht="15" hidden="false" customHeight="false" outlineLevel="0" collapsed="false">
      <c r="A1025" s="65"/>
      <c r="B1025" s="63"/>
      <c r="C1025" s="70"/>
      <c r="D1025" s="66"/>
      <c r="E1025" s="16" t="str">
        <f aca="false">IF($C1025="","",IFERROR(INDEX(Mix_Desc,MATCH($C1025,Mix_Code,0)),"⚠ Unknown mix code"))</f>
        <v/>
      </c>
      <c r="F1025" s="67" t="str">
        <f aca="false">IF(OR($C1025="",$D1025=""),"",IFERROR($D1025*INDEX(Mix_Eff,MATCH($C1025,Mix_Code,0),1),""))</f>
        <v/>
      </c>
      <c r="G1025" s="67" t="str">
        <f aca="false">IF(OR($C1025="",$D1025=""),"",IFERROR($D1025*INDEX(Mix_Eff,MATCH($C1025,Mix_Code,0),2),""))</f>
        <v/>
      </c>
      <c r="H1025" s="67" t="str">
        <f aca="false">IF(OR($C1025="",$D1025=""),"",IFERROR($D1025*INDEX(Mix_Eff,MATCH($C1025,Mix_Code,0),3),""))</f>
        <v/>
      </c>
      <c r="I1025" s="67" t="str">
        <f aca="false">IF(OR($C1025="",$D1025=""),"",IFERROR($D1025*INDEX(Mix_Eff,MATCH($C1025,Mix_Code,0),4),""))</f>
        <v/>
      </c>
      <c r="J1025" s="67" t="str">
        <f aca="false">IF(OR($C1025="",$D1025=""),"",IFERROR($D1025*INDEX(Mix_Eff,MATCH($C1025,Mix_Code,0),5),""))</f>
        <v/>
      </c>
      <c r="K1025" s="63"/>
      <c r="L1025" s="16" t="str">
        <f aca="false">IF(AND($A1025="",$B1025="",$C1025="",$D1025=""),"",IF($A1025="","⚠ Date missing",IF($B1025="","⚠ Site missing",IF(ISNA(MATCH($C1025,Mix_Code,0)),"⚠ Unknown mix code",IF($D1025="","⚠ Enter m3 produced",IF(COUNTIF(CI_Site,$B1025)=0,"⚠ Site not set up in Current Inventory",IF($A1025&gt;AsOfDate,"Future date – not yet deducted","OK")))))))</f>
        <v/>
      </c>
    </row>
    <row r="1026" customFormat="false" ht="15" hidden="false" customHeight="false" outlineLevel="0" collapsed="false">
      <c r="A1026" s="65"/>
      <c r="B1026" s="63"/>
      <c r="C1026" s="70"/>
      <c r="D1026" s="66"/>
      <c r="E1026" s="16" t="str">
        <f aca="false">IF($C1026="","",IFERROR(INDEX(Mix_Desc,MATCH($C1026,Mix_Code,0)),"⚠ Unknown mix code"))</f>
        <v/>
      </c>
      <c r="F1026" s="67" t="str">
        <f aca="false">IF(OR($C1026="",$D1026=""),"",IFERROR($D1026*INDEX(Mix_Eff,MATCH($C1026,Mix_Code,0),1),""))</f>
        <v/>
      </c>
      <c r="G1026" s="67" t="str">
        <f aca="false">IF(OR($C1026="",$D1026=""),"",IFERROR($D1026*INDEX(Mix_Eff,MATCH($C1026,Mix_Code,0),2),""))</f>
        <v/>
      </c>
      <c r="H1026" s="67" t="str">
        <f aca="false">IF(OR($C1026="",$D1026=""),"",IFERROR($D1026*INDEX(Mix_Eff,MATCH($C1026,Mix_Code,0),3),""))</f>
        <v/>
      </c>
      <c r="I1026" s="67" t="str">
        <f aca="false">IF(OR($C1026="",$D1026=""),"",IFERROR($D1026*INDEX(Mix_Eff,MATCH($C1026,Mix_Code,0),4),""))</f>
        <v/>
      </c>
      <c r="J1026" s="67" t="str">
        <f aca="false">IF(OR($C1026="",$D1026=""),"",IFERROR($D1026*INDEX(Mix_Eff,MATCH($C1026,Mix_Code,0),5),""))</f>
        <v/>
      </c>
      <c r="K1026" s="63"/>
      <c r="L1026" s="16" t="str">
        <f aca="false">IF(AND($A1026="",$B1026="",$C1026="",$D1026=""),"",IF($A1026="","⚠ Date missing",IF($B1026="","⚠ Site missing",IF(ISNA(MATCH($C1026,Mix_Code,0)),"⚠ Unknown mix code",IF($D1026="","⚠ Enter m3 produced",IF(COUNTIF(CI_Site,$B1026)=0,"⚠ Site not set up in Current Inventory",IF($A1026&gt;AsOfDate,"Future date – not yet deducted","OK")))))))</f>
        <v/>
      </c>
    </row>
    <row r="1027" customFormat="false" ht="15" hidden="false" customHeight="false" outlineLevel="0" collapsed="false">
      <c r="A1027" s="65"/>
      <c r="B1027" s="63"/>
      <c r="C1027" s="70"/>
      <c r="D1027" s="66"/>
      <c r="E1027" s="16" t="str">
        <f aca="false">IF($C1027="","",IFERROR(INDEX(Mix_Desc,MATCH($C1027,Mix_Code,0)),"⚠ Unknown mix code"))</f>
        <v/>
      </c>
      <c r="F1027" s="67" t="str">
        <f aca="false">IF(OR($C1027="",$D1027=""),"",IFERROR($D1027*INDEX(Mix_Eff,MATCH($C1027,Mix_Code,0),1),""))</f>
        <v/>
      </c>
      <c r="G1027" s="67" t="str">
        <f aca="false">IF(OR($C1027="",$D1027=""),"",IFERROR($D1027*INDEX(Mix_Eff,MATCH($C1027,Mix_Code,0),2),""))</f>
        <v/>
      </c>
      <c r="H1027" s="67" t="str">
        <f aca="false">IF(OR($C1027="",$D1027=""),"",IFERROR($D1027*INDEX(Mix_Eff,MATCH($C1027,Mix_Code,0),3),""))</f>
        <v/>
      </c>
      <c r="I1027" s="67" t="str">
        <f aca="false">IF(OR($C1027="",$D1027=""),"",IFERROR($D1027*INDEX(Mix_Eff,MATCH($C1027,Mix_Code,0),4),""))</f>
        <v/>
      </c>
      <c r="J1027" s="67" t="str">
        <f aca="false">IF(OR($C1027="",$D1027=""),"",IFERROR($D1027*INDEX(Mix_Eff,MATCH($C1027,Mix_Code,0),5),""))</f>
        <v/>
      </c>
      <c r="K1027" s="63"/>
      <c r="L1027" s="16" t="str">
        <f aca="false">IF(AND($A1027="",$B1027="",$C1027="",$D1027=""),"",IF($A1027="","⚠ Date missing",IF($B1027="","⚠ Site missing",IF(ISNA(MATCH($C1027,Mix_Code,0)),"⚠ Unknown mix code",IF($D1027="","⚠ Enter m3 produced",IF(COUNTIF(CI_Site,$B1027)=0,"⚠ Site not set up in Current Inventory",IF($A1027&gt;AsOfDate,"Future date – not yet deducted","OK")))))))</f>
        <v/>
      </c>
    </row>
    <row r="1028" customFormat="false" ht="15" hidden="false" customHeight="false" outlineLevel="0" collapsed="false">
      <c r="A1028" s="65"/>
      <c r="B1028" s="63"/>
      <c r="C1028" s="70"/>
      <c r="D1028" s="66"/>
      <c r="E1028" s="16" t="str">
        <f aca="false">IF($C1028="","",IFERROR(INDEX(Mix_Desc,MATCH($C1028,Mix_Code,0)),"⚠ Unknown mix code"))</f>
        <v/>
      </c>
      <c r="F1028" s="67" t="str">
        <f aca="false">IF(OR($C1028="",$D1028=""),"",IFERROR($D1028*INDEX(Mix_Eff,MATCH($C1028,Mix_Code,0),1),""))</f>
        <v/>
      </c>
      <c r="G1028" s="67" t="str">
        <f aca="false">IF(OR($C1028="",$D1028=""),"",IFERROR($D1028*INDEX(Mix_Eff,MATCH($C1028,Mix_Code,0),2),""))</f>
        <v/>
      </c>
      <c r="H1028" s="67" t="str">
        <f aca="false">IF(OR($C1028="",$D1028=""),"",IFERROR($D1028*INDEX(Mix_Eff,MATCH($C1028,Mix_Code,0),3),""))</f>
        <v/>
      </c>
      <c r="I1028" s="67" t="str">
        <f aca="false">IF(OR($C1028="",$D1028=""),"",IFERROR($D1028*INDEX(Mix_Eff,MATCH($C1028,Mix_Code,0),4),""))</f>
        <v/>
      </c>
      <c r="J1028" s="67" t="str">
        <f aca="false">IF(OR($C1028="",$D1028=""),"",IFERROR($D1028*INDEX(Mix_Eff,MATCH($C1028,Mix_Code,0),5),""))</f>
        <v/>
      </c>
      <c r="K1028" s="63"/>
      <c r="L1028" s="16" t="str">
        <f aca="false">IF(AND($A1028="",$B1028="",$C1028="",$D1028=""),"",IF($A1028="","⚠ Date missing",IF($B1028="","⚠ Site missing",IF(ISNA(MATCH($C1028,Mix_Code,0)),"⚠ Unknown mix code",IF($D1028="","⚠ Enter m3 produced",IF(COUNTIF(CI_Site,$B1028)=0,"⚠ Site not set up in Current Inventory",IF($A1028&gt;AsOfDate,"Future date – not yet deducted","OK")))))))</f>
        <v/>
      </c>
    </row>
    <row r="1029" customFormat="false" ht="15" hidden="false" customHeight="false" outlineLevel="0" collapsed="false">
      <c r="A1029" s="65"/>
      <c r="B1029" s="63"/>
      <c r="C1029" s="70"/>
      <c r="D1029" s="66"/>
      <c r="E1029" s="16" t="str">
        <f aca="false">IF($C1029="","",IFERROR(INDEX(Mix_Desc,MATCH($C1029,Mix_Code,0)),"⚠ Unknown mix code"))</f>
        <v/>
      </c>
      <c r="F1029" s="67" t="str">
        <f aca="false">IF(OR($C1029="",$D1029=""),"",IFERROR($D1029*INDEX(Mix_Eff,MATCH($C1029,Mix_Code,0),1),""))</f>
        <v/>
      </c>
      <c r="G1029" s="67" t="str">
        <f aca="false">IF(OR($C1029="",$D1029=""),"",IFERROR($D1029*INDEX(Mix_Eff,MATCH($C1029,Mix_Code,0),2),""))</f>
        <v/>
      </c>
      <c r="H1029" s="67" t="str">
        <f aca="false">IF(OR($C1029="",$D1029=""),"",IFERROR($D1029*INDEX(Mix_Eff,MATCH($C1029,Mix_Code,0),3),""))</f>
        <v/>
      </c>
      <c r="I1029" s="67" t="str">
        <f aca="false">IF(OR($C1029="",$D1029=""),"",IFERROR($D1029*INDEX(Mix_Eff,MATCH($C1029,Mix_Code,0),4),""))</f>
        <v/>
      </c>
      <c r="J1029" s="67" t="str">
        <f aca="false">IF(OR($C1029="",$D1029=""),"",IFERROR($D1029*INDEX(Mix_Eff,MATCH($C1029,Mix_Code,0),5),""))</f>
        <v/>
      </c>
      <c r="K1029" s="63"/>
      <c r="L1029" s="16" t="str">
        <f aca="false">IF(AND($A1029="",$B1029="",$C1029="",$D1029=""),"",IF($A1029="","⚠ Date missing",IF($B1029="","⚠ Site missing",IF(ISNA(MATCH($C1029,Mix_Code,0)),"⚠ Unknown mix code",IF($D1029="","⚠ Enter m3 produced",IF(COUNTIF(CI_Site,$B1029)=0,"⚠ Site not set up in Current Inventory",IF($A1029&gt;AsOfDate,"Future date – not yet deducted","OK")))))))</f>
        <v/>
      </c>
    </row>
    <row r="1030" customFormat="false" ht="15" hidden="false" customHeight="false" outlineLevel="0" collapsed="false">
      <c r="A1030" s="65"/>
      <c r="B1030" s="63"/>
      <c r="C1030" s="70"/>
      <c r="D1030" s="66"/>
      <c r="E1030" s="16" t="str">
        <f aca="false">IF($C1030="","",IFERROR(INDEX(Mix_Desc,MATCH($C1030,Mix_Code,0)),"⚠ Unknown mix code"))</f>
        <v/>
      </c>
      <c r="F1030" s="67" t="str">
        <f aca="false">IF(OR($C1030="",$D1030=""),"",IFERROR($D1030*INDEX(Mix_Eff,MATCH($C1030,Mix_Code,0),1),""))</f>
        <v/>
      </c>
      <c r="G1030" s="67" t="str">
        <f aca="false">IF(OR($C1030="",$D1030=""),"",IFERROR($D1030*INDEX(Mix_Eff,MATCH($C1030,Mix_Code,0),2),""))</f>
        <v/>
      </c>
      <c r="H1030" s="67" t="str">
        <f aca="false">IF(OR($C1030="",$D1030=""),"",IFERROR($D1030*INDEX(Mix_Eff,MATCH($C1030,Mix_Code,0),3),""))</f>
        <v/>
      </c>
      <c r="I1030" s="67" t="str">
        <f aca="false">IF(OR($C1030="",$D1030=""),"",IFERROR($D1030*INDEX(Mix_Eff,MATCH($C1030,Mix_Code,0),4),""))</f>
        <v/>
      </c>
      <c r="J1030" s="67" t="str">
        <f aca="false">IF(OR($C1030="",$D1030=""),"",IFERROR($D1030*INDEX(Mix_Eff,MATCH($C1030,Mix_Code,0),5),""))</f>
        <v/>
      </c>
      <c r="K1030" s="63"/>
      <c r="L1030" s="16" t="str">
        <f aca="false">IF(AND($A1030="",$B1030="",$C1030="",$D1030=""),"",IF($A1030="","⚠ Date missing",IF($B1030="","⚠ Site missing",IF(ISNA(MATCH($C1030,Mix_Code,0)),"⚠ Unknown mix code",IF($D1030="","⚠ Enter m3 produced",IF(COUNTIF(CI_Site,$B1030)=0,"⚠ Site not set up in Current Inventory",IF($A1030&gt;AsOfDate,"Future date – not yet deducted","OK")))))))</f>
        <v/>
      </c>
    </row>
    <row r="1031" customFormat="false" ht="15" hidden="false" customHeight="false" outlineLevel="0" collapsed="false">
      <c r="A1031" s="65"/>
      <c r="B1031" s="63"/>
      <c r="C1031" s="70"/>
      <c r="D1031" s="66"/>
      <c r="E1031" s="16" t="str">
        <f aca="false">IF($C1031="","",IFERROR(INDEX(Mix_Desc,MATCH($C1031,Mix_Code,0)),"⚠ Unknown mix code"))</f>
        <v/>
      </c>
      <c r="F1031" s="67" t="str">
        <f aca="false">IF(OR($C1031="",$D1031=""),"",IFERROR($D1031*INDEX(Mix_Eff,MATCH($C1031,Mix_Code,0),1),""))</f>
        <v/>
      </c>
      <c r="G1031" s="67" t="str">
        <f aca="false">IF(OR($C1031="",$D1031=""),"",IFERROR($D1031*INDEX(Mix_Eff,MATCH($C1031,Mix_Code,0),2),""))</f>
        <v/>
      </c>
      <c r="H1031" s="67" t="str">
        <f aca="false">IF(OR($C1031="",$D1031=""),"",IFERROR($D1031*INDEX(Mix_Eff,MATCH($C1031,Mix_Code,0),3),""))</f>
        <v/>
      </c>
      <c r="I1031" s="67" t="str">
        <f aca="false">IF(OR($C1031="",$D1031=""),"",IFERROR($D1031*INDEX(Mix_Eff,MATCH($C1031,Mix_Code,0),4),""))</f>
        <v/>
      </c>
      <c r="J1031" s="67" t="str">
        <f aca="false">IF(OR($C1031="",$D1031=""),"",IFERROR($D1031*INDEX(Mix_Eff,MATCH($C1031,Mix_Code,0),5),""))</f>
        <v/>
      </c>
      <c r="K1031" s="63"/>
      <c r="L1031" s="16" t="str">
        <f aca="false">IF(AND($A1031="",$B1031="",$C1031="",$D1031=""),"",IF($A1031="","⚠ Date missing",IF($B1031="","⚠ Site missing",IF(ISNA(MATCH($C1031,Mix_Code,0)),"⚠ Unknown mix code",IF($D1031="","⚠ Enter m3 produced",IF(COUNTIF(CI_Site,$B1031)=0,"⚠ Site not set up in Current Inventory",IF($A1031&gt;AsOfDate,"Future date – not yet deducted","OK")))))))</f>
        <v/>
      </c>
    </row>
    <row r="1032" customFormat="false" ht="15" hidden="false" customHeight="false" outlineLevel="0" collapsed="false">
      <c r="A1032" s="65"/>
      <c r="B1032" s="63"/>
      <c r="C1032" s="70"/>
      <c r="D1032" s="66"/>
      <c r="E1032" s="16" t="str">
        <f aca="false">IF($C1032="","",IFERROR(INDEX(Mix_Desc,MATCH($C1032,Mix_Code,0)),"⚠ Unknown mix code"))</f>
        <v/>
      </c>
      <c r="F1032" s="67" t="str">
        <f aca="false">IF(OR($C1032="",$D1032=""),"",IFERROR($D1032*INDEX(Mix_Eff,MATCH($C1032,Mix_Code,0),1),""))</f>
        <v/>
      </c>
      <c r="G1032" s="67" t="str">
        <f aca="false">IF(OR($C1032="",$D1032=""),"",IFERROR($D1032*INDEX(Mix_Eff,MATCH($C1032,Mix_Code,0),2),""))</f>
        <v/>
      </c>
      <c r="H1032" s="67" t="str">
        <f aca="false">IF(OR($C1032="",$D1032=""),"",IFERROR($D1032*INDEX(Mix_Eff,MATCH($C1032,Mix_Code,0),3),""))</f>
        <v/>
      </c>
      <c r="I1032" s="67" t="str">
        <f aca="false">IF(OR($C1032="",$D1032=""),"",IFERROR($D1032*INDEX(Mix_Eff,MATCH($C1032,Mix_Code,0),4),""))</f>
        <v/>
      </c>
      <c r="J1032" s="67" t="str">
        <f aca="false">IF(OR($C1032="",$D1032=""),"",IFERROR($D1032*INDEX(Mix_Eff,MATCH($C1032,Mix_Code,0),5),""))</f>
        <v/>
      </c>
      <c r="K1032" s="63"/>
      <c r="L1032" s="16" t="str">
        <f aca="false">IF(AND($A1032="",$B1032="",$C1032="",$D1032=""),"",IF($A1032="","⚠ Date missing",IF($B1032="","⚠ Site missing",IF(ISNA(MATCH($C1032,Mix_Code,0)),"⚠ Unknown mix code",IF($D1032="","⚠ Enter m3 produced",IF(COUNTIF(CI_Site,$B1032)=0,"⚠ Site not set up in Current Inventory",IF($A1032&gt;AsOfDate,"Future date – not yet deducted","OK")))))))</f>
        <v/>
      </c>
    </row>
    <row r="1033" customFormat="false" ht="15" hidden="false" customHeight="false" outlineLevel="0" collapsed="false">
      <c r="A1033" s="65"/>
      <c r="B1033" s="63"/>
      <c r="C1033" s="70"/>
      <c r="D1033" s="66"/>
      <c r="E1033" s="16" t="str">
        <f aca="false">IF($C1033="","",IFERROR(INDEX(Mix_Desc,MATCH($C1033,Mix_Code,0)),"⚠ Unknown mix code"))</f>
        <v/>
      </c>
      <c r="F1033" s="67" t="str">
        <f aca="false">IF(OR($C1033="",$D1033=""),"",IFERROR($D1033*INDEX(Mix_Eff,MATCH($C1033,Mix_Code,0),1),""))</f>
        <v/>
      </c>
      <c r="G1033" s="67" t="str">
        <f aca="false">IF(OR($C1033="",$D1033=""),"",IFERROR($D1033*INDEX(Mix_Eff,MATCH($C1033,Mix_Code,0),2),""))</f>
        <v/>
      </c>
      <c r="H1033" s="67" t="str">
        <f aca="false">IF(OR($C1033="",$D1033=""),"",IFERROR($D1033*INDEX(Mix_Eff,MATCH($C1033,Mix_Code,0),3),""))</f>
        <v/>
      </c>
      <c r="I1033" s="67" t="str">
        <f aca="false">IF(OR($C1033="",$D1033=""),"",IFERROR($D1033*INDEX(Mix_Eff,MATCH($C1033,Mix_Code,0),4),""))</f>
        <v/>
      </c>
      <c r="J1033" s="67" t="str">
        <f aca="false">IF(OR($C1033="",$D1033=""),"",IFERROR($D1033*INDEX(Mix_Eff,MATCH($C1033,Mix_Code,0),5),""))</f>
        <v/>
      </c>
      <c r="K1033" s="63"/>
      <c r="L1033" s="16" t="str">
        <f aca="false">IF(AND($A1033="",$B1033="",$C1033="",$D1033=""),"",IF($A1033="","⚠ Date missing",IF($B1033="","⚠ Site missing",IF(ISNA(MATCH($C1033,Mix_Code,0)),"⚠ Unknown mix code",IF($D1033="","⚠ Enter m3 produced",IF(COUNTIF(CI_Site,$B1033)=0,"⚠ Site not set up in Current Inventory",IF($A1033&gt;AsOfDate,"Future date – not yet deducted","OK")))))))</f>
        <v/>
      </c>
    </row>
    <row r="1034" customFormat="false" ht="15" hidden="false" customHeight="false" outlineLevel="0" collapsed="false">
      <c r="A1034" s="65"/>
      <c r="B1034" s="63"/>
      <c r="C1034" s="70"/>
      <c r="D1034" s="66"/>
      <c r="E1034" s="16" t="str">
        <f aca="false">IF($C1034="","",IFERROR(INDEX(Mix_Desc,MATCH($C1034,Mix_Code,0)),"⚠ Unknown mix code"))</f>
        <v/>
      </c>
      <c r="F1034" s="67" t="str">
        <f aca="false">IF(OR($C1034="",$D1034=""),"",IFERROR($D1034*INDEX(Mix_Eff,MATCH($C1034,Mix_Code,0),1),""))</f>
        <v/>
      </c>
      <c r="G1034" s="67" t="str">
        <f aca="false">IF(OR($C1034="",$D1034=""),"",IFERROR($D1034*INDEX(Mix_Eff,MATCH($C1034,Mix_Code,0),2),""))</f>
        <v/>
      </c>
      <c r="H1034" s="67" t="str">
        <f aca="false">IF(OR($C1034="",$D1034=""),"",IFERROR($D1034*INDEX(Mix_Eff,MATCH($C1034,Mix_Code,0),3),""))</f>
        <v/>
      </c>
      <c r="I1034" s="67" t="str">
        <f aca="false">IF(OR($C1034="",$D1034=""),"",IFERROR($D1034*INDEX(Mix_Eff,MATCH($C1034,Mix_Code,0),4),""))</f>
        <v/>
      </c>
      <c r="J1034" s="67" t="str">
        <f aca="false">IF(OR($C1034="",$D1034=""),"",IFERROR($D1034*INDEX(Mix_Eff,MATCH($C1034,Mix_Code,0),5),""))</f>
        <v/>
      </c>
      <c r="K1034" s="63"/>
      <c r="L1034" s="16" t="str">
        <f aca="false">IF(AND($A1034="",$B1034="",$C1034="",$D1034=""),"",IF($A1034="","⚠ Date missing",IF($B1034="","⚠ Site missing",IF(ISNA(MATCH($C1034,Mix_Code,0)),"⚠ Unknown mix code",IF($D1034="","⚠ Enter m3 produced",IF(COUNTIF(CI_Site,$B1034)=0,"⚠ Site not set up in Current Inventory",IF($A1034&gt;AsOfDate,"Future date – not yet deducted","OK")))))))</f>
        <v/>
      </c>
    </row>
    <row r="1035" customFormat="false" ht="15" hidden="false" customHeight="false" outlineLevel="0" collapsed="false">
      <c r="A1035" s="65"/>
      <c r="B1035" s="63"/>
      <c r="C1035" s="70"/>
      <c r="D1035" s="66"/>
      <c r="E1035" s="16" t="str">
        <f aca="false">IF($C1035="","",IFERROR(INDEX(Mix_Desc,MATCH($C1035,Mix_Code,0)),"⚠ Unknown mix code"))</f>
        <v/>
      </c>
      <c r="F1035" s="67" t="str">
        <f aca="false">IF(OR($C1035="",$D1035=""),"",IFERROR($D1035*INDEX(Mix_Eff,MATCH($C1035,Mix_Code,0),1),""))</f>
        <v/>
      </c>
      <c r="G1035" s="67" t="str">
        <f aca="false">IF(OR($C1035="",$D1035=""),"",IFERROR($D1035*INDEX(Mix_Eff,MATCH($C1035,Mix_Code,0),2),""))</f>
        <v/>
      </c>
      <c r="H1035" s="67" t="str">
        <f aca="false">IF(OR($C1035="",$D1035=""),"",IFERROR($D1035*INDEX(Mix_Eff,MATCH($C1035,Mix_Code,0),3),""))</f>
        <v/>
      </c>
      <c r="I1035" s="67" t="str">
        <f aca="false">IF(OR($C1035="",$D1035=""),"",IFERROR($D1035*INDEX(Mix_Eff,MATCH($C1035,Mix_Code,0),4),""))</f>
        <v/>
      </c>
      <c r="J1035" s="67" t="str">
        <f aca="false">IF(OR($C1035="",$D1035=""),"",IFERROR($D1035*INDEX(Mix_Eff,MATCH($C1035,Mix_Code,0),5),""))</f>
        <v/>
      </c>
      <c r="K1035" s="63"/>
      <c r="L1035" s="16" t="str">
        <f aca="false">IF(AND($A1035="",$B1035="",$C1035="",$D1035=""),"",IF($A1035="","⚠ Date missing",IF($B1035="","⚠ Site missing",IF(ISNA(MATCH($C1035,Mix_Code,0)),"⚠ Unknown mix code",IF($D1035="","⚠ Enter m3 produced",IF(COUNTIF(CI_Site,$B1035)=0,"⚠ Site not set up in Current Inventory",IF($A1035&gt;AsOfDate,"Future date – not yet deducted","OK")))))))</f>
        <v/>
      </c>
    </row>
    <row r="1036" customFormat="false" ht="15" hidden="false" customHeight="false" outlineLevel="0" collapsed="false">
      <c r="A1036" s="65"/>
      <c r="B1036" s="63"/>
      <c r="C1036" s="70"/>
      <c r="D1036" s="66"/>
      <c r="E1036" s="16" t="str">
        <f aca="false">IF($C1036="","",IFERROR(INDEX(Mix_Desc,MATCH($C1036,Mix_Code,0)),"⚠ Unknown mix code"))</f>
        <v/>
      </c>
      <c r="F1036" s="67" t="str">
        <f aca="false">IF(OR($C1036="",$D1036=""),"",IFERROR($D1036*INDEX(Mix_Eff,MATCH($C1036,Mix_Code,0),1),""))</f>
        <v/>
      </c>
      <c r="G1036" s="67" t="str">
        <f aca="false">IF(OR($C1036="",$D1036=""),"",IFERROR($D1036*INDEX(Mix_Eff,MATCH($C1036,Mix_Code,0),2),""))</f>
        <v/>
      </c>
      <c r="H1036" s="67" t="str">
        <f aca="false">IF(OR($C1036="",$D1036=""),"",IFERROR($D1036*INDEX(Mix_Eff,MATCH($C1036,Mix_Code,0),3),""))</f>
        <v/>
      </c>
      <c r="I1036" s="67" t="str">
        <f aca="false">IF(OR($C1036="",$D1036=""),"",IFERROR($D1036*INDEX(Mix_Eff,MATCH($C1036,Mix_Code,0),4),""))</f>
        <v/>
      </c>
      <c r="J1036" s="67" t="str">
        <f aca="false">IF(OR($C1036="",$D1036=""),"",IFERROR($D1036*INDEX(Mix_Eff,MATCH($C1036,Mix_Code,0),5),""))</f>
        <v/>
      </c>
      <c r="K1036" s="63"/>
      <c r="L1036" s="16" t="str">
        <f aca="false">IF(AND($A1036="",$B1036="",$C1036="",$D1036=""),"",IF($A1036="","⚠ Date missing",IF($B1036="","⚠ Site missing",IF(ISNA(MATCH($C1036,Mix_Code,0)),"⚠ Unknown mix code",IF($D1036="","⚠ Enter m3 produced",IF(COUNTIF(CI_Site,$B1036)=0,"⚠ Site not set up in Current Inventory",IF($A1036&gt;AsOfDate,"Future date – not yet deducted","OK")))))))</f>
        <v/>
      </c>
    </row>
    <row r="1037" customFormat="false" ht="15" hidden="false" customHeight="false" outlineLevel="0" collapsed="false">
      <c r="A1037" s="65"/>
      <c r="B1037" s="63"/>
      <c r="C1037" s="70"/>
      <c r="D1037" s="66"/>
      <c r="E1037" s="16" t="str">
        <f aca="false">IF($C1037="","",IFERROR(INDEX(Mix_Desc,MATCH($C1037,Mix_Code,0)),"⚠ Unknown mix code"))</f>
        <v/>
      </c>
      <c r="F1037" s="67" t="str">
        <f aca="false">IF(OR($C1037="",$D1037=""),"",IFERROR($D1037*INDEX(Mix_Eff,MATCH($C1037,Mix_Code,0),1),""))</f>
        <v/>
      </c>
      <c r="G1037" s="67" t="str">
        <f aca="false">IF(OR($C1037="",$D1037=""),"",IFERROR($D1037*INDEX(Mix_Eff,MATCH($C1037,Mix_Code,0),2),""))</f>
        <v/>
      </c>
      <c r="H1037" s="67" t="str">
        <f aca="false">IF(OR($C1037="",$D1037=""),"",IFERROR($D1037*INDEX(Mix_Eff,MATCH($C1037,Mix_Code,0),3),""))</f>
        <v/>
      </c>
      <c r="I1037" s="67" t="str">
        <f aca="false">IF(OR($C1037="",$D1037=""),"",IFERROR($D1037*INDEX(Mix_Eff,MATCH($C1037,Mix_Code,0),4),""))</f>
        <v/>
      </c>
      <c r="J1037" s="67" t="str">
        <f aca="false">IF(OR($C1037="",$D1037=""),"",IFERROR($D1037*INDEX(Mix_Eff,MATCH($C1037,Mix_Code,0),5),""))</f>
        <v/>
      </c>
      <c r="K1037" s="63"/>
      <c r="L1037" s="16" t="str">
        <f aca="false">IF(AND($A1037="",$B1037="",$C1037="",$D1037=""),"",IF($A1037="","⚠ Date missing",IF($B1037="","⚠ Site missing",IF(ISNA(MATCH($C1037,Mix_Code,0)),"⚠ Unknown mix code",IF($D1037="","⚠ Enter m3 produced",IF(COUNTIF(CI_Site,$B1037)=0,"⚠ Site not set up in Current Inventory",IF($A1037&gt;AsOfDate,"Future date – not yet deducted","OK")))))))</f>
        <v/>
      </c>
    </row>
    <row r="1038" customFormat="false" ht="15" hidden="false" customHeight="false" outlineLevel="0" collapsed="false">
      <c r="A1038" s="65"/>
      <c r="B1038" s="63"/>
      <c r="C1038" s="70"/>
      <c r="D1038" s="66"/>
      <c r="E1038" s="16" t="str">
        <f aca="false">IF($C1038="","",IFERROR(INDEX(Mix_Desc,MATCH($C1038,Mix_Code,0)),"⚠ Unknown mix code"))</f>
        <v/>
      </c>
      <c r="F1038" s="67" t="str">
        <f aca="false">IF(OR($C1038="",$D1038=""),"",IFERROR($D1038*INDEX(Mix_Eff,MATCH($C1038,Mix_Code,0),1),""))</f>
        <v/>
      </c>
      <c r="G1038" s="67" t="str">
        <f aca="false">IF(OR($C1038="",$D1038=""),"",IFERROR($D1038*INDEX(Mix_Eff,MATCH($C1038,Mix_Code,0),2),""))</f>
        <v/>
      </c>
      <c r="H1038" s="67" t="str">
        <f aca="false">IF(OR($C1038="",$D1038=""),"",IFERROR($D1038*INDEX(Mix_Eff,MATCH($C1038,Mix_Code,0),3),""))</f>
        <v/>
      </c>
      <c r="I1038" s="67" t="str">
        <f aca="false">IF(OR($C1038="",$D1038=""),"",IFERROR($D1038*INDEX(Mix_Eff,MATCH($C1038,Mix_Code,0),4),""))</f>
        <v/>
      </c>
      <c r="J1038" s="67" t="str">
        <f aca="false">IF(OR($C1038="",$D1038=""),"",IFERROR($D1038*INDEX(Mix_Eff,MATCH($C1038,Mix_Code,0),5),""))</f>
        <v/>
      </c>
      <c r="K1038" s="63"/>
      <c r="L1038" s="16" t="str">
        <f aca="false">IF(AND($A1038="",$B1038="",$C1038="",$D1038=""),"",IF($A1038="","⚠ Date missing",IF($B1038="","⚠ Site missing",IF(ISNA(MATCH($C1038,Mix_Code,0)),"⚠ Unknown mix code",IF($D1038="","⚠ Enter m3 produced",IF(COUNTIF(CI_Site,$B1038)=0,"⚠ Site not set up in Current Inventory",IF($A1038&gt;AsOfDate,"Future date – not yet deducted","OK")))))))</f>
        <v/>
      </c>
    </row>
    <row r="1039" customFormat="false" ht="15" hidden="false" customHeight="false" outlineLevel="0" collapsed="false">
      <c r="A1039" s="65"/>
      <c r="B1039" s="63"/>
      <c r="C1039" s="70"/>
      <c r="D1039" s="66"/>
      <c r="E1039" s="16" t="str">
        <f aca="false">IF($C1039="","",IFERROR(INDEX(Mix_Desc,MATCH($C1039,Mix_Code,0)),"⚠ Unknown mix code"))</f>
        <v/>
      </c>
      <c r="F1039" s="67" t="str">
        <f aca="false">IF(OR($C1039="",$D1039=""),"",IFERROR($D1039*INDEX(Mix_Eff,MATCH($C1039,Mix_Code,0),1),""))</f>
        <v/>
      </c>
      <c r="G1039" s="67" t="str">
        <f aca="false">IF(OR($C1039="",$D1039=""),"",IFERROR($D1039*INDEX(Mix_Eff,MATCH($C1039,Mix_Code,0),2),""))</f>
        <v/>
      </c>
      <c r="H1039" s="67" t="str">
        <f aca="false">IF(OR($C1039="",$D1039=""),"",IFERROR($D1039*INDEX(Mix_Eff,MATCH($C1039,Mix_Code,0),3),""))</f>
        <v/>
      </c>
      <c r="I1039" s="67" t="str">
        <f aca="false">IF(OR($C1039="",$D1039=""),"",IFERROR($D1039*INDEX(Mix_Eff,MATCH($C1039,Mix_Code,0),4),""))</f>
        <v/>
      </c>
      <c r="J1039" s="67" t="str">
        <f aca="false">IF(OR($C1039="",$D1039=""),"",IFERROR($D1039*INDEX(Mix_Eff,MATCH($C1039,Mix_Code,0),5),""))</f>
        <v/>
      </c>
      <c r="K1039" s="63"/>
      <c r="L1039" s="16" t="str">
        <f aca="false">IF(AND($A1039="",$B1039="",$C1039="",$D1039=""),"",IF($A1039="","⚠ Date missing",IF($B1039="","⚠ Site missing",IF(ISNA(MATCH($C1039,Mix_Code,0)),"⚠ Unknown mix code",IF($D1039="","⚠ Enter m3 produced",IF(COUNTIF(CI_Site,$B1039)=0,"⚠ Site not set up in Current Inventory",IF($A1039&gt;AsOfDate,"Future date – not yet deducted","OK")))))))</f>
        <v/>
      </c>
    </row>
    <row r="1040" customFormat="false" ht="15" hidden="false" customHeight="false" outlineLevel="0" collapsed="false">
      <c r="A1040" s="65"/>
      <c r="B1040" s="63"/>
      <c r="C1040" s="70"/>
      <c r="D1040" s="66"/>
      <c r="E1040" s="16" t="str">
        <f aca="false">IF($C1040="","",IFERROR(INDEX(Mix_Desc,MATCH($C1040,Mix_Code,0)),"⚠ Unknown mix code"))</f>
        <v/>
      </c>
      <c r="F1040" s="67" t="str">
        <f aca="false">IF(OR($C1040="",$D1040=""),"",IFERROR($D1040*INDEX(Mix_Eff,MATCH($C1040,Mix_Code,0),1),""))</f>
        <v/>
      </c>
      <c r="G1040" s="67" t="str">
        <f aca="false">IF(OR($C1040="",$D1040=""),"",IFERROR($D1040*INDEX(Mix_Eff,MATCH($C1040,Mix_Code,0),2),""))</f>
        <v/>
      </c>
      <c r="H1040" s="67" t="str">
        <f aca="false">IF(OR($C1040="",$D1040=""),"",IFERROR($D1040*INDEX(Mix_Eff,MATCH($C1040,Mix_Code,0),3),""))</f>
        <v/>
      </c>
      <c r="I1040" s="67" t="str">
        <f aca="false">IF(OR($C1040="",$D1040=""),"",IFERROR($D1040*INDEX(Mix_Eff,MATCH($C1040,Mix_Code,0),4),""))</f>
        <v/>
      </c>
      <c r="J1040" s="67" t="str">
        <f aca="false">IF(OR($C1040="",$D1040=""),"",IFERROR($D1040*INDEX(Mix_Eff,MATCH($C1040,Mix_Code,0),5),""))</f>
        <v/>
      </c>
      <c r="K1040" s="63"/>
      <c r="L1040" s="16" t="str">
        <f aca="false">IF(AND($A1040="",$B1040="",$C1040="",$D1040=""),"",IF($A1040="","⚠ Date missing",IF($B1040="","⚠ Site missing",IF(ISNA(MATCH($C1040,Mix_Code,0)),"⚠ Unknown mix code",IF($D1040="","⚠ Enter m3 produced",IF(COUNTIF(CI_Site,$B1040)=0,"⚠ Site not set up in Current Inventory",IF($A1040&gt;AsOfDate,"Future date – not yet deducted","OK")))))))</f>
        <v/>
      </c>
    </row>
    <row r="1041" customFormat="false" ht="15" hidden="false" customHeight="false" outlineLevel="0" collapsed="false">
      <c r="A1041" s="65"/>
      <c r="B1041" s="63"/>
      <c r="C1041" s="70"/>
      <c r="D1041" s="66"/>
      <c r="E1041" s="16" t="str">
        <f aca="false">IF($C1041="","",IFERROR(INDEX(Mix_Desc,MATCH($C1041,Mix_Code,0)),"⚠ Unknown mix code"))</f>
        <v/>
      </c>
      <c r="F1041" s="67" t="str">
        <f aca="false">IF(OR($C1041="",$D1041=""),"",IFERROR($D1041*INDEX(Mix_Eff,MATCH($C1041,Mix_Code,0),1),""))</f>
        <v/>
      </c>
      <c r="G1041" s="67" t="str">
        <f aca="false">IF(OR($C1041="",$D1041=""),"",IFERROR($D1041*INDEX(Mix_Eff,MATCH($C1041,Mix_Code,0),2),""))</f>
        <v/>
      </c>
      <c r="H1041" s="67" t="str">
        <f aca="false">IF(OR($C1041="",$D1041=""),"",IFERROR($D1041*INDEX(Mix_Eff,MATCH($C1041,Mix_Code,0),3),""))</f>
        <v/>
      </c>
      <c r="I1041" s="67" t="str">
        <f aca="false">IF(OR($C1041="",$D1041=""),"",IFERROR($D1041*INDEX(Mix_Eff,MATCH($C1041,Mix_Code,0),4),""))</f>
        <v/>
      </c>
      <c r="J1041" s="67" t="str">
        <f aca="false">IF(OR($C1041="",$D1041=""),"",IFERROR($D1041*INDEX(Mix_Eff,MATCH($C1041,Mix_Code,0),5),""))</f>
        <v/>
      </c>
      <c r="K1041" s="63"/>
      <c r="L1041" s="16" t="str">
        <f aca="false">IF(AND($A1041="",$B1041="",$C1041="",$D1041=""),"",IF($A1041="","⚠ Date missing",IF($B1041="","⚠ Site missing",IF(ISNA(MATCH($C1041,Mix_Code,0)),"⚠ Unknown mix code",IF($D1041="","⚠ Enter m3 produced",IF(COUNTIF(CI_Site,$B1041)=0,"⚠ Site not set up in Current Inventory",IF($A1041&gt;AsOfDate,"Future date – not yet deducted","OK")))))))</f>
        <v/>
      </c>
    </row>
    <row r="1042" customFormat="false" ht="15" hidden="false" customHeight="false" outlineLevel="0" collapsed="false">
      <c r="A1042" s="65"/>
      <c r="B1042" s="63"/>
      <c r="C1042" s="70"/>
      <c r="D1042" s="66"/>
      <c r="E1042" s="16" t="str">
        <f aca="false">IF($C1042="","",IFERROR(INDEX(Mix_Desc,MATCH($C1042,Mix_Code,0)),"⚠ Unknown mix code"))</f>
        <v/>
      </c>
      <c r="F1042" s="67" t="str">
        <f aca="false">IF(OR($C1042="",$D1042=""),"",IFERROR($D1042*INDEX(Mix_Eff,MATCH($C1042,Mix_Code,0),1),""))</f>
        <v/>
      </c>
      <c r="G1042" s="67" t="str">
        <f aca="false">IF(OR($C1042="",$D1042=""),"",IFERROR($D1042*INDEX(Mix_Eff,MATCH($C1042,Mix_Code,0),2),""))</f>
        <v/>
      </c>
      <c r="H1042" s="67" t="str">
        <f aca="false">IF(OR($C1042="",$D1042=""),"",IFERROR($D1042*INDEX(Mix_Eff,MATCH($C1042,Mix_Code,0),3),""))</f>
        <v/>
      </c>
      <c r="I1042" s="67" t="str">
        <f aca="false">IF(OR($C1042="",$D1042=""),"",IFERROR($D1042*INDEX(Mix_Eff,MATCH($C1042,Mix_Code,0),4),""))</f>
        <v/>
      </c>
      <c r="J1042" s="67" t="str">
        <f aca="false">IF(OR($C1042="",$D1042=""),"",IFERROR($D1042*INDEX(Mix_Eff,MATCH($C1042,Mix_Code,0),5),""))</f>
        <v/>
      </c>
      <c r="K1042" s="63"/>
      <c r="L1042" s="16" t="str">
        <f aca="false">IF(AND($A1042="",$B1042="",$C1042="",$D1042=""),"",IF($A1042="","⚠ Date missing",IF($B1042="","⚠ Site missing",IF(ISNA(MATCH($C1042,Mix_Code,0)),"⚠ Unknown mix code",IF($D1042="","⚠ Enter m3 produced",IF(COUNTIF(CI_Site,$B1042)=0,"⚠ Site not set up in Current Inventory",IF($A1042&gt;AsOfDate,"Future date – not yet deducted","OK")))))))</f>
        <v/>
      </c>
    </row>
    <row r="1043" customFormat="false" ht="15" hidden="false" customHeight="false" outlineLevel="0" collapsed="false">
      <c r="A1043" s="65"/>
      <c r="B1043" s="63"/>
      <c r="C1043" s="70"/>
      <c r="D1043" s="66"/>
      <c r="E1043" s="16" t="str">
        <f aca="false">IF($C1043="","",IFERROR(INDEX(Mix_Desc,MATCH($C1043,Mix_Code,0)),"⚠ Unknown mix code"))</f>
        <v/>
      </c>
      <c r="F1043" s="67" t="str">
        <f aca="false">IF(OR($C1043="",$D1043=""),"",IFERROR($D1043*INDEX(Mix_Eff,MATCH($C1043,Mix_Code,0),1),""))</f>
        <v/>
      </c>
      <c r="G1043" s="67" t="str">
        <f aca="false">IF(OR($C1043="",$D1043=""),"",IFERROR($D1043*INDEX(Mix_Eff,MATCH($C1043,Mix_Code,0),2),""))</f>
        <v/>
      </c>
      <c r="H1043" s="67" t="str">
        <f aca="false">IF(OR($C1043="",$D1043=""),"",IFERROR($D1043*INDEX(Mix_Eff,MATCH($C1043,Mix_Code,0),3),""))</f>
        <v/>
      </c>
      <c r="I1043" s="67" t="str">
        <f aca="false">IF(OR($C1043="",$D1043=""),"",IFERROR($D1043*INDEX(Mix_Eff,MATCH($C1043,Mix_Code,0),4),""))</f>
        <v/>
      </c>
      <c r="J1043" s="67" t="str">
        <f aca="false">IF(OR($C1043="",$D1043=""),"",IFERROR($D1043*INDEX(Mix_Eff,MATCH($C1043,Mix_Code,0),5),""))</f>
        <v/>
      </c>
      <c r="K1043" s="63"/>
      <c r="L1043" s="16" t="str">
        <f aca="false">IF(AND($A1043="",$B1043="",$C1043="",$D1043=""),"",IF($A1043="","⚠ Date missing",IF($B1043="","⚠ Site missing",IF(ISNA(MATCH($C1043,Mix_Code,0)),"⚠ Unknown mix code",IF($D1043="","⚠ Enter m3 produced",IF(COUNTIF(CI_Site,$B1043)=0,"⚠ Site not set up in Current Inventory",IF($A1043&gt;AsOfDate,"Future date – not yet deducted","OK")))))))</f>
        <v/>
      </c>
    </row>
    <row r="1044" customFormat="false" ht="15" hidden="false" customHeight="false" outlineLevel="0" collapsed="false">
      <c r="A1044" s="65"/>
      <c r="B1044" s="63"/>
      <c r="C1044" s="70"/>
      <c r="D1044" s="66"/>
      <c r="E1044" s="16" t="str">
        <f aca="false">IF($C1044="","",IFERROR(INDEX(Mix_Desc,MATCH($C1044,Mix_Code,0)),"⚠ Unknown mix code"))</f>
        <v/>
      </c>
      <c r="F1044" s="67" t="str">
        <f aca="false">IF(OR($C1044="",$D1044=""),"",IFERROR($D1044*INDEX(Mix_Eff,MATCH($C1044,Mix_Code,0),1),""))</f>
        <v/>
      </c>
      <c r="G1044" s="67" t="str">
        <f aca="false">IF(OR($C1044="",$D1044=""),"",IFERROR($D1044*INDEX(Mix_Eff,MATCH($C1044,Mix_Code,0),2),""))</f>
        <v/>
      </c>
      <c r="H1044" s="67" t="str">
        <f aca="false">IF(OR($C1044="",$D1044=""),"",IFERROR($D1044*INDEX(Mix_Eff,MATCH($C1044,Mix_Code,0),3),""))</f>
        <v/>
      </c>
      <c r="I1044" s="67" t="str">
        <f aca="false">IF(OR($C1044="",$D1044=""),"",IFERROR($D1044*INDEX(Mix_Eff,MATCH($C1044,Mix_Code,0),4),""))</f>
        <v/>
      </c>
      <c r="J1044" s="67" t="str">
        <f aca="false">IF(OR($C1044="",$D1044=""),"",IFERROR($D1044*INDEX(Mix_Eff,MATCH($C1044,Mix_Code,0),5),""))</f>
        <v/>
      </c>
      <c r="K1044" s="63"/>
      <c r="L1044" s="16" t="str">
        <f aca="false">IF(AND($A1044="",$B1044="",$C1044="",$D1044=""),"",IF($A1044="","⚠ Date missing",IF($B1044="","⚠ Site missing",IF(ISNA(MATCH($C1044,Mix_Code,0)),"⚠ Unknown mix code",IF($D1044="","⚠ Enter m3 produced",IF(COUNTIF(CI_Site,$B1044)=0,"⚠ Site not set up in Current Inventory",IF($A1044&gt;AsOfDate,"Future date – not yet deducted","OK")))))))</f>
        <v/>
      </c>
    </row>
    <row r="1045" customFormat="false" ht="15" hidden="false" customHeight="false" outlineLevel="0" collapsed="false">
      <c r="A1045" s="65"/>
      <c r="B1045" s="63"/>
      <c r="C1045" s="70"/>
      <c r="D1045" s="66"/>
      <c r="E1045" s="16" t="str">
        <f aca="false">IF($C1045="","",IFERROR(INDEX(Mix_Desc,MATCH($C1045,Mix_Code,0)),"⚠ Unknown mix code"))</f>
        <v/>
      </c>
      <c r="F1045" s="67" t="str">
        <f aca="false">IF(OR($C1045="",$D1045=""),"",IFERROR($D1045*INDEX(Mix_Eff,MATCH($C1045,Mix_Code,0),1),""))</f>
        <v/>
      </c>
      <c r="G1045" s="67" t="str">
        <f aca="false">IF(OR($C1045="",$D1045=""),"",IFERROR($D1045*INDEX(Mix_Eff,MATCH($C1045,Mix_Code,0),2),""))</f>
        <v/>
      </c>
      <c r="H1045" s="67" t="str">
        <f aca="false">IF(OR($C1045="",$D1045=""),"",IFERROR($D1045*INDEX(Mix_Eff,MATCH($C1045,Mix_Code,0),3),""))</f>
        <v/>
      </c>
      <c r="I1045" s="67" t="str">
        <f aca="false">IF(OR($C1045="",$D1045=""),"",IFERROR($D1045*INDEX(Mix_Eff,MATCH($C1045,Mix_Code,0),4),""))</f>
        <v/>
      </c>
      <c r="J1045" s="67" t="str">
        <f aca="false">IF(OR($C1045="",$D1045=""),"",IFERROR($D1045*INDEX(Mix_Eff,MATCH($C1045,Mix_Code,0),5),""))</f>
        <v/>
      </c>
      <c r="K1045" s="63"/>
      <c r="L1045" s="16" t="str">
        <f aca="false">IF(AND($A1045="",$B1045="",$C1045="",$D1045=""),"",IF($A1045="","⚠ Date missing",IF($B1045="","⚠ Site missing",IF(ISNA(MATCH($C1045,Mix_Code,0)),"⚠ Unknown mix code",IF($D1045="","⚠ Enter m3 produced",IF(COUNTIF(CI_Site,$B1045)=0,"⚠ Site not set up in Current Inventory",IF($A1045&gt;AsOfDate,"Future date – not yet deducted","OK")))))))</f>
        <v/>
      </c>
    </row>
    <row r="1046" customFormat="false" ht="15" hidden="false" customHeight="false" outlineLevel="0" collapsed="false">
      <c r="A1046" s="65"/>
      <c r="B1046" s="63"/>
      <c r="C1046" s="70"/>
      <c r="D1046" s="66"/>
      <c r="E1046" s="16" t="str">
        <f aca="false">IF($C1046="","",IFERROR(INDEX(Mix_Desc,MATCH($C1046,Mix_Code,0)),"⚠ Unknown mix code"))</f>
        <v/>
      </c>
      <c r="F1046" s="67" t="str">
        <f aca="false">IF(OR($C1046="",$D1046=""),"",IFERROR($D1046*INDEX(Mix_Eff,MATCH($C1046,Mix_Code,0),1),""))</f>
        <v/>
      </c>
      <c r="G1046" s="67" t="str">
        <f aca="false">IF(OR($C1046="",$D1046=""),"",IFERROR($D1046*INDEX(Mix_Eff,MATCH($C1046,Mix_Code,0),2),""))</f>
        <v/>
      </c>
      <c r="H1046" s="67" t="str">
        <f aca="false">IF(OR($C1046="",$D1046=""),"",IFERROR($D1046*INDEX(Mix_Eff,MATCH($C1046,Mix_Code,0),3),""))</f>
        <v/>
      </c>
      <c r="I1046" s="67" t="str">
        <f aca="false">IF(OR($C1046="",$D1046=""),"",IFERROR($D1046*INDEX(Mix_Eff,MATCH($C1046,Mix_Code,0),4),""))</f>
        <v/>
      </c>
      <c r="J1046" s="67" t="str">
        <f aca="false">IF(OR($C1046="",$D1046=""),"",IFERROR($D1046*INDEX(Mix_Eff,MATCH($C1046,Mix_Code,0),5),""))</f>
        <v/>
      </c>
      <c r="K1046" s="63"/>
      <c r="L1046" s="16" t="str">
        <f aca="false">IF(AND($A1046="",$B1046="",$C1046="",$D1046=""),"",IF($A1046="","⚠ Date missing",IF($B1046="","⚠ Site missing",IF(ISNA(MATCH($C1046,Mix_Code,0)),"⚠ Unknown mix code",IF($D1046="","⚠ Enter m3 produced",IF(COUNTIF(CI_Site,$B1046)=0,"⚠ Site not set up in Current Inventory",IF($A1046&gt;AsOfDate,"Future date – not yet deducted","OK")))))))</f>
        <v/>
      </c>
    </row>
    <row r="1047" customFormat="false" ht="15" hidden="false" customHeight="false" outlineLevel="0" collapsed="false">
      <c r="A1047" s="65"/>
      <c r="B1047" s="63"/>
      <c r="C1047" s="70"/>
      <c r="D1047" s="66"/>
      <c r="E1047" s="16" t="str">
        <f aca="false">IF($C1047="","",IFERROR(INDEX(Mix_Desc,MATCH($C1047,Mix_Code,0)),"⚠ Unknown mix code"))</f>
        <v/>
      </c>
      <c r="F1047" s="67" t="str">
        <f aca="false">IF(OR($C1047="",$D1047=""),"",IFERROR($D1047*INDEX(Mix_Eff,MATCH($C1047,Mix_Code,0),1),""))</f>
        <v/>
      </c>
      <c r="G1047" s="67" t="str">
        <f aca="false">IF(OR($C1047="",$D1047=""),"",IFERROR($D1047*INDEX(Mix_Eff,MATCH($C1047,Mix_Code,0),2),""))</f>
        <v/>
      </c>
      <c r="H1047" s="67" t="str">
        <f aca="false">IF(OR($C1047="",$D1047=""),"",IFERROR($D1047*INDEX(Mix_Eff,MATCH($C1047,Mix_Code,0),3),""))</f>
        <v/>
      </c>
      <c r="I1047" s="67" t="str">
        <f aca="false">IF(OR($C1047="",$D1047=""),"",IFERROR($D1047*INDEX(Mix_Eff,MATCH($C1047,Mix_Code,0),4),""))</f>
        <v/>
      </c>
      <c r="J1047" s="67" t="str">
        <f aca="false">IF(OR($C1047="",$D1047=""),"",IFERROR($D1047*INDEX(Mix_Eff,MATCH($C1047,Mix_Code,0),5),""))</f>
        <v/>
      </c>
      <c r="K1047" s="63"/>
      <c r="L1047" s="16" t="str">
        <f aca="false">IF(AND($A1047="",$B1047="",$C1047="",$D1047=""),"",IF($A1047="","⚠ Date missing",IF($B1047="","⚠ Site missing",IF(ISNA(MATCH($C1047,Mix_Code,0)),"⚠ Unknown mix code",IF($D1047="","⚠ Enter m3 produced",IF(COUNTIF(CI_Site,$B1047)=0,"⚠ Site not set up in Current Inventory",IF($A1047&gt;AsOfDate,"Future date – not yet deducted","OK")))))))</f>
        <v/>
      </c>
    </row>
    <row r="1048" customFormat="false" ht="15" hidden="false" customHeight="false" outlineLevel="0" collapsed="false">
      <c r="A1048" s="65"/>
      <c r="B1048" s="63"/>
      <c r="C1048" s="70"/>
      <c r="D1048" s="66"/>
      <c r="E1048" s="16" t="str">
        <f aca="false">IF($C1048="","",IFERROR(INDEX(Mix_Desc,MATCH($C1048,Mix_Code,0)),"⚠ Unknown mix code"))</f>
        <v/>
      </c>
      <c r="F1048" s="67" t="str">
        <f aca="false">IF(OR($C1048="",$D1048=""),"",IFERROR($D1048*INDEX(Mix_Eff,MATCH($C1048,Mix_Code,0),1),""))</f>
        <v/>
      </c>
      <c r="G1048" s="67" t="str">
        <f aca="false">IF(OR($C1048="",$D1048=""),"",IFERROR($D1048*INDEX(Mix_Eff,MATCH($C1048,Mix_Code,0),2),""))</f>
        <v/>
      </c>
      <c r="H1048" s="67" t="str">
        <f aca="false">IF(OR($C1048="",$D1048=""),"",IFERROR($D1048*INDEX(Mix_Eff,MATCH($C1048,Mix_Code,0),3),""))</f>
        <v/>
      </c>
      <c r="I1048" s="67" t="str">
        <f aca="false">IF(OR($C1048="",$D1048=""),"",IFERROR($D1048*INDEX(Mix_Eff,MATCH($C1048,Mix_Code,0),4),""))</f>
        <v/>
      </c>
      <c r="J1048" s="67" t="str">
        <f aca="false">IF(OR($C1048="",$D1048=""),"",IFERROR($D1048*INDEX(Mix_Eff,MATCH($C1048,Mix_Code,0),5),""))</f>
        <v/>
      </c>
      <c r="K1048" s="63"/>
      <c r="L1048" s="16" t="str">
        <f aca="false">IF(AND($A1048="",$B1048="",$C1048="",$D1048=""),"",IF($A1048="","⚠ Date missing",IF($B1048="","⚠ Site missing",IF(ISNA(MATCH($C1048,Mix_Code,0)),"⚠ Unknown mix code",IF($D1048="","⚠ Enter m3 produced",IF(COUNTIF(CI_Site,$B1048)=0,"⚠ Site not set up in Current Inventory",IF($A1048&gt;AsOfDate,"Future date – not yet deducted","OK")))))))</f>
        <v/>
      </c>
    </row>
    <row r="1049" customFormat="false" ht="15" hidden="false" customHeight="false" outlineLevel="0" collapsed="false">
      <c r="A1049" s="65"/>
      <c r="B1049" s="63"/>
      <c r="C1049" s="70"/>
      <c r="D1049" s="66"/>
      <c r="E1049" s="16" t="str">
        <f aca="false">IF($C1049="","",IFERROR(INDEX(Mix_Desc,MATCH($C1049,Mix_Code,0)),"⚠ Unknown mix code"))</f>
        <v/>
      </c>
      <c r="F1049" s="67" t="str">
        <f aca="false">IF(OR($C1049="",$D1049=""),"",IFERROR($D1049*INDEX(Mix_Eff,MATCH($C1049,Mix_Code,0),1),""))</f>
        <v/>
      </c>
      <c r="G1049" s="67" t="str">
        <f aca="false">IF(OR($C1049="",$D1049=""),"",IFERROR($D1049*INDEX(Mix_Eff,MATCH($C1049,Mix_Code,0),2),""))</f>
        <v/>
      </c>
      <c r="H1049" s="67" t="str">
        <f aca="false">IF(OR($C1049="",$D1049=""),"",IFERROR($D1049*INDEX(Mix_Eff,MATCH($C1049,Mix_Code,0),3),""))</f>
        <v/>
      </c>
      <c r="I1049" s="67" t="str">
        <f aca="false">IF(OR($C1049="",$D1049=""),"",IFERROR($D1049*INDEX(Mix_Eff,MATCH($C1049,Mix_Code,0),4),""))</f>
        <v/>
      </c>
      <c r="J1049" s="67" t="str">
        <f aca="false">IF(OR($C1049="",$D1049=""),"",IFERROR($D1049*INDEX(Mix_Eff,MATCH($C1049,Mix_Code,0),5),""))</f>
        <v/>
      </c>
      <c r="K1049" s="63"/>
      <c r="L1049" s="16" t="str">
        <f aca="false">IF(AND($A1049="",$B1049="",$C1049="",$D1049=""),"",IF($A1049="","⚠ Date missing",IF($B1049="","⚠ Site missing",IF(ISNA(MATCH($C1049,Mix_Code,0)),"⚠ Unknown mix code",IF($D1049="","⚠ Enter m3 produced",IF(COUNTIF(CI_Site,$B1049)=0,"⚠ Site not set up in Current Inventory",IF($A1049&gt;AsOfDate,"Future date – not yet deducted","OK")))))))</f>
        <v/>
      </c>
    </row>
    <row r="1050" customFormat="false" ht="15" hidden="false" customHeight="false" outlineLevel="0" collapsed="false">
      <c r="A1050" s="65"/>
      <c r="B1050" s="63"/>
      <c r="C1050" s="70"/>
      <c r="D1050" s="66"/>
      <c r="E1050" s="16" t="str">
        <f aca="false">IF($C1050="","",IFERROR(INDEX(Mix_Desc,MATCH($C1050,Mix_Code,0)),"⚠ Unknown mix code"))</f>
        <v/>
      </c>
      <c r="F1050" s="67" t="str">
        <f aca="false">IF(OR($C1050="",$D1050=""),"",IFERROR($D1050*INDEX(Mix_Eff,MATCH($C1050,Mix_Code,0),1),""))</f>
        <v/>
      </c>
      <c r="G1050" s="67" t="str">
        <f aca="false">IF(OR($C1050="",$D1050=""),"",IFERROR($D1050*INDEX(Mix_Eff,MATCH($C1050,Mix_Code,0),2),""))</f>
        <v/>
      </c>
      <c r="H1050" s="67" t="str">
        <f aca="false">IF(OR($C1050="",$D1050=""),"",IFERROR($D1050*INDEX(Mix_Eff,MATCH($C1050,Mix_Code,0),3),""))</f>
        <v/>
      </c>
      <c r="I1050" s="67" t="str">
        <f aca="false">IF(OR($C1050="",$D1050=""),"",IFERROR($D1050*INDEX(Mix_Eff,MATCH($C1050,Mix_Code,0),4),""))</f>
        <v/>
      </c>
      <c r="J1050" s="67" t="str">
        <f aca="false">IF(OR($C1050="",$D1050=""),"",IFERROR($D1050*INDEX(Mix_Eff,MATCH($C1050,Mix_Code,0),5),""))</f>
        <v/>
      </c>
      <c r="K1050" s="63"/>
      <c r="L1050" s="16" t="str">
        <f aca="false">IF(AND($A1050="",$B1050="",$C1050="",$D1050=""),"",IF($A1050="","⚠ Date missing",IF($B1050="","⚠ Site missing",IF(ISNA(MATCH($C1050,Mix_Code,0)),"⚠ Unknown mix code",IF($D1050="","⚠ Enter m3 produced",IF(COUNTIF(CI_Site,$B1050)=0,"⚠ Site not set up in Current Inventory",IF($A1050&gt;AsOfDate,"Future date – not yet deducted","OK")))))))</f>
        <v/>
      </c>
    </row>
    <row r="1051" customFormat="false" ht="15" hidden="false" customHeight="false" outlineLevel="0" collapsed="false">
      <c r="A1051" s="65"/>
      <c r="B1051" s="63"/>
      <c r="C1051" s="70"/>
      <c r="D1051" s="66"/>
      <c r="E1051" s="16" t="str">
        <f aca="false">IF($C1051="","",IFERROR(INDEX(Mix_Desc,MATCH($C1051,Mix_Code,0)),"⚠ Unknown mix code"))</f>
        <v/>
      </c>
      <c r="F1051" s="67" t="str">
        <f aca="false">IF(OR($C1051="",$D1051=""),"",IFERROR($D1051*INDEX(Mix_Eff,MATCH($C1051,Mix_Code,0),1),""))</f>
        <v/>
      </c>
      <c r="G1051" s="67" t="str">
        <f aca="false">IF(OR($C1051="",$D1051=""),"",IFERROR($D1051*INDEX(Mix_Eff,MATCH($C1051,Mix_Code,0),2),""))</f>
        <v/>
      </c>
      <c r="H1051" s="67" t="str">
        <f aca="false">IF(OR($C1051="",$D1051=""),"",IFERROR($D1051*INDEX(Mix_Eff,MATCH($C1051,Mix_Code,0),3),""))</f>
        <v/>
      </c>
      <c r="I1051" s="67" t="str">
        <f aca="false">IF(OR($C1051="",$D1051=""),"",IFERROR($D1051*INDEX(Mix_Eff,MATCH($C1051,Mix_Code,0),4),""))</f>
        <v/>
      </c>
      <c r="J1051" s="67" t="str">
        <f aca="false">IF(OR($C1051="",$D1051=""),"",IFERROR($D1051*INDEX(Mix_Eff,MATCH($C1051,Mix_Code,0),5),""))</f>
        <v/>
      </c>
      <c r="K1051" s="63"/>
      <c r="L1051" s="16" t="str">
        <f aca="false">IF(AND($A1051="",$B1051="",$C1051="",$D1051=""),"",IF($A1051="","⚠ Date missing",IF($B1051="","⚠ Site missing",IF(ISNA(MATCH($C1051,Mix_Code,0)),"⚠ Unknown mix code",IF($D1051="","⚠ Enter m3 produced",IF(COUNTIF(CI_Site,$B1051)=0,"⚠ Site not set up in Current Inventory",IF($A1051&gt;AsOfDate,"Future date – not yet deducted","OK")))))))</f>
        <v/>
      </c>
    </row>
    <row r="1052" customFormat="false" ht="15" hidden="false" customHeight="false" outlineLevel="0" collapsed="false">
      <c r="A1052" s="65"/>
      <c r="B1052" s="63"/>
      <c r="C1052" s="70"/>
      <c r="D1052" s="66"/>
      <c r="E1052" s="16" t="str">
        <f aca="false">IF($C1052="","",IFERROR(INDEX(Mix_Desc,MATCH($C1052,Mix_Code,0)),"⚠ Unknown mix code"))</f>
        <v/>
      </c>
      <c r="F1052" s="67" t="str">
        <f aca="false">IF(OR($C1052="",$D1052=""),"",IFERROR($D1052*INDEX(Mix_Eff,MATCH($C1052,Mix_Code,0),1),""))</f>
        <v/>
      </c>
      <c r="G1052" s="67" t="str">
        <f aca="false">IF(OR($C1052="",$D1052=""),"",IFERROR($D1052*INDEX(Mix_Eff,MATCH($C1052,Mix_Code,0),2),""))</f>
        <v/>
      </c>
      <c r="H1052" s="67" t="str">
        <f aca="false">IF(OR($C1052="",$D1052=""),"",IFERROR($D1052*INDEX(Mix_Eff,MATCH($C1052,Mix_Code,0),3),""))</f>
        <v/>
      </c>
      <c r="I1052" s="67" t="str">
        <f aca="false">IF(OR($C1052="",$D1052=""),"",IFERROR($D1052*INDEX(Mix_Eff,MATCH($C1052,Mix_Code,0),4),""))</f>
        <v/>
      </c>
      <c r="J1052" s="67" t="str">
        <f aca="false">IF(OR($C1052="",$D1052=""),"",IFERROR($D1052*INDEX(Mix_Eff,MATCH($C1052,Mix_Code,0),5),""))</f>
        <v/>
      </c>
      <c r="K1052" s="63"/>
      <c r="L1052" s="16" t="str">
        <f aca="false">IF(AND($A1052="",$B1052="",$C1052="",$D1052=""),"",IF($A1052="","⚠ Date missing",IF($B1052="","⚠ Site missing",IF(ISNA(MATCH($C1052,Mix_Code,0)),"⚠ Unknown mix code",IF($D1052="","⚠ Enter m3 produced",IF(COUNTIF(CI_Site,$B1052)=0,"⚠ Site not set up in Current Inventory",IF($A1052&gt;AsOfDate,"Future date – not yet deducted","OK")))))))</f>
        <v/>
      </c>
    </row>
    <row r="1053" customFormat="false" ht="15" hidden="false" customHeight="false" outlineLevel="0" collapsed="false">
      <c r="A1053" s="65"/>
      <c r="B1053" s="63"/>
      <c r="C1053" s="70"/>
      <c r="D1053" s="66"/>
      <c r="E1053" s="16" t="str">
        <f aca="false">IF($C1053="","",IFERROR(INDEX(Mix_Desc,MATCH($C1053,Mix_Code,0)),"⚠ Unknown mix code"))</f>
        <v/>
      </c>
      <c r="F1053" s="67" t="str">
        <f aca="false">IF(OR($C1053="",$D1053=""),"",IFERROR($D1053*INDEX(Mix_Eff,MATCH($C1053,Mix_Code,0),1),""))</f>
        <v/>
      </c>
      <c r="G1053" s="67" t="str">
        <f aca="false">IF(OR($C1053="",$D1053=""),"",IFERROR($D1053*INDEX(Mix_Eff,MATCH($C1053,Mix_Code,0),2),""))</f>
        <v/>
      </c>
      <c r="H1053" s="67" t="str">
        <f aca="false">IF(OR($C1053="",$D1053=""),"",IFERROR($D1053*INDEX(Mix_Eff,MATCH($C1053,Mix_Code,0),3),""))</f>
        <v/>
      </c>
      <c r="I1053" s="67" t="str">
        <f aca="false">IF(OR($C1053="",$D1053=""),"",IFERROR($D1053*INDEX(Mix_Eff,MATCH($C1053,Mix_Code,0),4),""))</f>
        <v/>
      </c>
      <c r="J1053" s="67" t="str">
        <f aca="false">IF(OR($C1053="",$D1053=""),"",IFERROR($D1053*INDEX(Mix_Eff,MATCH($C1053,Mix_Code,0),5),""))</f>
        <v/>
      </c>
      <c r="K1053" s="63"/>
      <c r="L1053" s="16" t="str">
        <f aca="false">IF(AND($A1053="",$B1053="",$C1053="",$D1053=""),"",IF($A1053="","⚠ Date missing",IF($B1053="","⚠ Site missing",IF(ISNA(MATCH($C1053,Mix_Code,0)),"⚠ Unknown mix code",IF($D1053="","⚠ Enter m3 produced",IF(COUNTIF(CI_Site,$B1053)=0,"⚠ Site not set up in Current Inventory",IF($A1053&gt;AsOfDate,"Future date – not yet deducted","OK")))))))</f>
        <v/>
      </c>
    </row>
    <row r="1054" customFormat="false" ht="15" hidden="false" customHeight="false" outlineLevel="0" collapsed="false">
      <c r="A1054" s="65"/>
      <c r="B1054" s="63"/>
      <c r="C1054" s="70"/>
      <c r="D1054" s="66"/>
      <c r="E1054" s="16" t="str">
        <f aca="false">IF($C1054="","",IFERROR(INDEX(Mix_Desc,MATCH($C1054,Mix_Code,0)),"⚠ Unknown mix code"))</f>
        <v/>
      </c>
      <c r="F1054" s="67" t="str">
        <f aca="false">IF(OR($C1054="",$D1054=""),"",IFERROR($D1054*INDEX(Mix_Eff,MATCH($C1054,Mix_Code,0),1),""))</f>
        <v/>
      </c>
      <c r="G1054" s="67" t="str">
        <f aca="false">IF(OR($C1054="",$D1054=""),"",IFERROR($D1054*INDEX(Mix_Eff,MATCH($C1054,Mix_Code,0),2),""))</f>
        <v/>
      </c>
      <c r="H1054" s="67" t="str">
        <f aca="false">IF(OR($C1054="",$D1054=""),"",IFERROR($D1054*INDEX(Mix_Eff,MATCH($C1054,Mix_Code,0),3),""))</f>
        <v/>
      </c>
      <c r="I1054" s="67" t="str">
        <f aca="false">IF(OR($C1054="",$D1054=""),"",IFERROR($D1054*INDEX(Mix_Eff,MATCH($C1054,Mix_Code,0),4),""))</f>
        <v/>
      </c>
      <c r="J1054" s="67" t="str">
        <f aca="false">IF(OR($C1054="",$D1054=""),"",IFERROR($D1054*INDEX(Mix_Eff,MATCH($C1054,Mix_Code,0),5),""))</f>
        <v/>
      </c>
      <c r="K1054" s="63"/>
      <c r="L1054" s="16" t="str">
        <f aca="false">IF(AND($A1054="",$B1054="",$C1054="",$D1054=""),"",IF($A1054="","⚠ Date missing",IF($B1054="","⚠ Site missing",IF(ISNA(MATCH($C1054,Mix_Code,0)),"⚠ Unknown mix code",IF($D1054="","⚠ Enter m3 produced",IF(COUNTIF(CI_Site,$B1054)=0,"⚠ Site not set up in Current Inventory",IF($A1054&gt;AsOfDate,"Future date – not yet deducted","OK")))))))</f>
        <v/>
      </c>
    </row>
    <row r="1055" customFormat="false" ht="15" hidden="false" customHeight="false" outlineLevel="0" collapsed="false">
      <c r="A1055" s="65"/>
      <c r="B1055" s="63"/>
      <c r="C1055" s="70"/>
      <c r="D1055" s="66"/>
      <c r="E1055" s="16" t="str">
        <f aca="false">IF($C1055="","",IFERROR(INDEX(Mix_Desc,MATCH($C1055,Mix_Code,0)),"⚠ Unknown mix code"))</f>
        <v/>
      </c>
      <c r="F1055" s="67" t="str">
        <f aca="false">IF(OR($C1055="",$D1055=""),"",IFERROR($D1055*INDEX(Mix_Eff,MATCH($C1055,Mix_Code,0),1),""))</f>
        <v/>
      </c>
      <c r="G1055" s="67" t="str">
        <f aca="false">IF(OR($C1055="",$D1055=""),"",IFERROR($D1055*INDEX(Mix_Eff,MATCH($C1055,Mix_Code,0),2),""))</f>
        <v/>
      </c>
      <c r="H1055" s="67" t="str">
        <f aca="false">IF(OR($C1055="",$D1055=""),"",IFERROR($D1055*INDEX(Mix_Eff,MATCH($C1055,Mix_Code,0),3),""))</f>
        <v/>
      </c>
      <c r="I1055" s="67" t="str">
        <f aca="false">IF(OR($C1055="",$D1055=""),"",IFERROR($D1055*INDEX(Mix_Eff,MATCH($C1055,Mix_Code,0),4),""))</f>
        <v/>
      </c>
      <c r="J1055" s="67" t="str">
        <f aca="false">IF(OR($C1055="",$D1055=""),"",IFERROR($D1055*INDEX(Mix_Eff,MATCH($C1055,Mix_Code,0),5),""))</f>
        <v/>
      </c>
      <c r="K1055" s="63"/>
      <c r="L1055" s="16" t="str">
        <f aca="false">IF(AND($A1055="",$B1055="",$C1055="",$D1055=""),"",IF($A1055="","⚠ Date missing",IF($B1055="","⚠ Site missing",IF(ISNA(MATCH($C1055,Mix_Code,0)),"⚠ Unknown mix code",IF($D1055="","⚠ Enter m3 produced",IF(COUNTIF(CI_Site,$B1055)=0,"⚠ Site not set up in Current Inventory",IF($A1055&gt;AsOfDate,"Future date – not yet deducted","OK")))))))</f>
        <v/>
      </c>
    </row>
    <row r="1056" customFormat="false" ht="15" hidden="false" customHeight="false" outlineLevel="0" collapsed="false">
      <c r="A1056" s="65"/>
      <c r="B1056" s="63"/>
      <c r="C1056" s="70"/>
      <c r="D1056" s="66"/>
      <c r="E1056" s="16" t="str">
        <f aca="false">IF($C1056="","",IFERROR(INDEX(Mix_Desc,MATCH($C1056,Mix_Code,0)),"⚠ Unknown mix code"))</f>
        <v/>
      </c>
      <c r="F1056" s="67" t="str">
        <f aca="false">IF(OR($C1056="",$D1056=""),"",IFERROR($D1056*INDEX(Mix_Eff,MATCH($C1056,Mix_Code,0),1),""))</f>
        <v/>
      </c>
      <c r="G1056" s="67" t="str">
        <f aca="false">IF(OR($C1056="",$D1056=""),"",IFERROR($D1056*INDEX(Mix_Eff,MATCH($C1056,Mix_Code,0),2),""))</f>
        <v/>
      </c>
      <c r="H1056" s="67" t="str">
        <f aca="false">IF(OR($C1056="",$D1056=""),"",IFERROR($D1056*INDEX(Mix_Eff,MATCH($C1056,Mix_Code,0),3),""))</f>
        <v/>
      </c>
      <c r="I1056" s="67" t="str">
        <f aca="false">IF(OR($C1056="",$D1056=""),"",IFERROR($D1056*INDEX(Mix_Eff,MATCH($C1056,Mix_Code,0),4),""))</f>
        <v/>
      </c>
      <c r="J1056" s="67" t="str">
        <f aca="false">IF(OR($C1056="",$D1056=""),"",IFERROR($D1056*INDEX(Mix_Eff,MATCH($C1056,Mix_Code,0),5),""))</f>
        <v/>
      </c>
      <c r="K1056" s="63"/>
      <c r="L1056" s="16" t="str">
        <f aca="false">IF(AND($A1056="",$B1056="",$C1056="",$D1056=""),"",IF($A1056="","⚠ Date missing",IF($B1056="","⚠ Site missing",IF(ISNA(MATCH($C1056,Mix_Code,0)),"⚠ Unknown mix code",IF($D1056="","⚠ Enter m3 produced",IF(COUNTIF(CI_Site,$B1056)=0,"⚠ Site not set up in Current Inventory",IF($A1056&gt;AsOfDate,"Future date – not yet deducted","OK")))))))</f>
        <v/>
      </c>
    </row>
    <row r="1057" customFormat="false" ht="15" hidden="false" customHeight="false" outlineLevel="0" collapsed="false">
      <c r="A1057" s="65"/>
      <c r="B1057" s="63"/>
      <c r="C1057" s="70"/>
      <c r="D1057" s="66"/>
      <c r="E1057" s="16" t="str">
        <f aca="false">IF($C1057="","",IFERROR(INDEX(Mix_Desc,MATCH($C1057,Mix_Code,0)),"⚠ Unknown mix code"))</f>
        <v/>
      </c>
      <c r="F1057" s="67" t="str">
        <f aca="false">IF(OR($C1057="",$D1057=""),"",IFERROR($D1057*INDEX(Mix_Eff,MATCH($C1057,Mix_Code,0),1),""))</f>
        <v/>
      </c>
      <c r="G1057" s="67" t="str">
        <f aca="false">IF(OR($C1057="",$D1057=""),"",IFERROR($D1057*INDEX(Mix_Eff,MATCH($C1057,Mix_Code,0),2),""))</f>
        <v/>
      </c>
      <c r="H1057" s="67" t="str">
        <f aca="false">IF(OR($C1057="",$D1057=""),"",IFERROR($D1057*INDEX(Mix_Eff,MATCH($C1057,Mix_Code,0),3),""))</f>
        <v/>
      </c>
      <c r="I1057" s="67" t="str">
        <f aca="false">IF(OR($C1057="",$D1057=""),"",IFERROR($D1057*INDEX(Mix_Eff,MATCH($C1057,Mix_Code,0),4),""))</f>
        <v/>
      </c>
      <c r="J1057" s="67" t="str">
        <f aca="false">IF(OR($C1057="",$D1057=""),"",IFERROR($D1057*INDEX(Mix_Eff,MATCH($C1057,Mix_Code,0),5),""))</f>
        <v/>
      </c>
      <c r="K1057" s="63"/>
      <c r="L1057" s="16" t="str">
        <f aca="false">IF(AND($A1057="",$B1057="",$C1057="",$D1057=""),"",IF($A1057="","⚠ Date missing",IF($B1057="","⚠ Site missing",IF(ISNA(MATCH($C1057,Mix_Code,0)),"⚠ Unknown mix code",IF($D1057="","⚠ Enter m3 produced",IF(COUNTIF(CI_Site,$B1057)=0,"⚠ Site not set up in Current Inventory",IF($A1057&gt;AsOfDate,"Future date – not yet deducted","OK")))))))</f>
        <v/>
      </c>
    </row>
    <row r="1058" customFormat="false" ht="15" hidden="false" customHeight="false" outlineLevel="0" collapsed="false">
      <c r="A1058" s="65"/>
      <c r="B1058" s="63"/>
      <c r="C1058" s="70"/>
      <c r="D1058" s="66"/>
      <c r="E1058" s="16" t="str">
        <f aca="false">IF($C1058="","",IFERROR(INDEX(Mix_Desc,MATCH($C1058,Mix_Code,0)),"⚠ Unknown mix code"))</f>
        <v/>
      </c>
      <c r="F1058" s="67" t="str">
        <f aca="false">IF(OR($C1058="",$D1058=""),"",IFERROR($D1058*INDEX(Mix_Eff,MATCH($C1058,Mix_Code,0),1),""))</f>
        <v/>
      </c>
      <c r="G1058" s="67" t="str">
        <f aca="false">IF(OR($C1058="",$D1058=""),"",IFERROR($D1058*INDEX(Mix_Eff,MATCH($C1058,Mix_Code,0),2),""))</f>
        <v/>
      </c>
      <c r="H1058" s="67" t="str">
        <f aca="false">IF(OR($C1058="",$D1058=""),"",IFERROR($D1058*INDEX(Mix_Eff,MATCH($C1058,Mix_Code,0),3),""))</f>
        <v/>
      </c>
      <c r="I1058" s="67" t="str">
        <f aca="false">IF(OR($C1058="",$D1058=""),"",IFERROR($D1058*INDEX(Mix_Eff,MATCH($C1058,Mix_Code,0),4),""))</f>
        <v/>
      </c>
      <c r="J1058" s="67" t="str">
        <f aca="false">IF(OR($C1058="",$D1058=""),"",IFERROR($D1058*INDEX(Mix_Eff,MATCH($C1058,Mix_Code,0),5),""))</f>
        <v/>
      </c>
      <c r="K1058" s="63"/>
      <c r="L1058" s="16" t="str">
        <f aca="false">IF(AND($A1058="",$B1058="",$C1058="",$D1058=""),"",IF($A1058="","⚠ Date missing",IF($B1058="","⚠ Site missing",IF(ISNA(MATCH($C1058,Mix_Code,0)),"⚠ Unknown mix code",IF($D1058="","⚠ Enter m3 produced",IF(COUNTIF(CI_Site,$B1058)=0,"⚠ Site not set up in Current Inventory",IF($A1058&gt;AsOfDate,"Future date – not yet deducted","OK")))))))</f>
        <v/>
      </c>
    </row>
    <row r="1059" customFormat="false" ht="15" hidden="false" customHeight="false" outlineLevel="0" collapsed="false">
      <c r="A1059" s="65"/>
      <c r="B1059" s="63"/>
      <c r="C1059" s="70"/>
      <c r="D1059" s="66"/>
      <c r="E1059" s="16" t="str">
        <f aca="false">IF($C1059="","",IFERROR(INDEX(Mix_Desc,MATCH($C1059,Mix_Code,0)),"⚠ Unknown mix code"))</f>
        <v/>
      </c>
      <c r="F1059" s="67" t="str">
        <f aca="false">IF(OR($C1059="",$D1059=""),"",IFERROR($D1059*INDEX(Mix_Eff,MATCH($C1059,Mix_Code,0),1),""))</f>
        <v/>
      </c>
      <c r="G1059" s="67" t="str">
        <f aca="false">IF(OR($C1059="",$D1059=""),"",IFERROR($D1059*INDEX(Mix_Eff,MATCH($C1059,Mix_Code,0),2),""))</f>
        <v/>
      </c>
      <c r="H1059" s="67" t="str">
        <f aca="false">IF(OR($C1059="",$D1059=""),"",IFERROR($D1059*INDEX(Mix_Eff,MATCH($C1059,Mix_Code,0),3),""))</f>
        <v/>
      </c>
      <c r="I1059" s="67" t="str">
        <f aca="false">IF(OR($C1059="",$D1059=""),"",IFERROR($D1059*INDEX(Mix_Eff,MATCH($C1059,Mix_Code,0),4),""))</f>
        <v/>
      </c>
      <c r="J1059" s="67" t="str">
        <f aca="false">IF(OR($C1059="",$D1059=""),"",IFERROR($D1059*INDEX(Mix_Eff,MATCH($C1059,Mix_Code,0),5),""))</f>
        <v/>
      </c>
      <c r="K1059" s="63"/>
      <c r="L1059" s="16" t="str">
        <f aca="false">IF(AND($A1059="",$B1059="",$C1059="",$D1059=""),"",IF($A1059="","⚠ Date missing",IF($B1059="","⚠ Site missing",IF(ISNA(MATCH($C1059,Mix_Code,0)),"⚠ Unknown mix code",IF($D1059="","⚠ Enter m3 produced",IF(COUNTIF(CI_Site,$B1059)=0,"⚠ Site not set up in Current Inventory",IF($A1059&gt;AsOfDate,"Future date – not yet deducted","OK")))))))</f>
        <v/>
      </c>
    </row>
    <row r="1060" customFormat="false" ht="15" hidden="false" customHeight="false" outlineLevel="0" collapsed="false">
      <c r="A1060" s="65"/>
      <c r="B1060" s="63"/>
      <c r="C1060" s="70"/>
      <c r="D1060" s="66"/>
      <c r="E1060" s="16" t="str">
        <f aca="false">IF($C1060="","",IFERROR(INDEX(Mix_Desc,MATCH($C1060,Mix_Code,0)),"⚠ Unknown mix code"))</f>
        <v/>
      </c>
      <c r="F1060" s="67" t="str">
        <f aca="false">IF(OR($C1060="",$D1060=""),"",IFERROR($D1060*INDEX(Mix_Eff,MATCH($C1060,Mix_Code,0),1),""))</f>
        <v/>
      </c>
      <c r="G1060" s="67" t="str">
        <f aca="false">IF(OR($C1060="",$D1060=""),"",IFERROR($D1060*INDEX(Mix_Eff,MATCH($C1060,Mix_Code,0),2),""))</f>
        <v/>
      </c>
      <c r="H1060" s="67" t="str">
        <f aca="false">IF(OR($C1060="",$D1060=""),"",IFERROR($D1060*INDEX(Mix_Eff,MATCH($C1060,Mix_Code,0),3),""))</f>
        <v/>
      </c>
      <c r="I1060" s="67" t="str">
        <f aca="false">IF(OR($C1060="",$D1060=""),"",IFERROR($D1060*INDEX(Mix_Eff,MATCH($C1060,Mix_Code,0),4),""))</f>
        <v/>
      </c>
      <c r="J1060" s="67" t="str">
        <f aca="false">IF(OR($C1060="",$D1060=""),"",IFERROR($D1060*INDEX(Mix_Eff,MATCH($C1060,Mix_Code,0),5),""))</f>
        <v/>
      </c>
      <c r="K1060" s="63"/>
      <c r="L1060" s="16" t="str">
        <f aca="false">IF(AND($A1060="",$B1060="",$C1060="",$D1060=""),"",IF($A1060="","⚠ Date missing",IF($B1060="","⚠ Site missing",IF(ISNA(MATCH($C1060,Mix_Code,0)),"⚠ Unknown mix code",IF($D1060="","⚠ Enter m3 produced",IF(COUNTIF(CI_Site,$B1060)=0,"⚠ Site not set up in Current Inventory",IF($A1060&gt;AsOfDate,"Future date – not yet deducted","OK")))))))</f>
        <v/>
      </c>
    </row>
    <row r="1061" customFormat="false" ht="15" hidden="false" customHeight="false" outlineLevel="0" collapsed="false">
      <c r="A1061" s="65"/>
      <c r="B1061" s="63"/>
      <c r="C1061" s="70"/>
      <c r="D1061" s="66"/>
      <c r="E1061" s="16" t="str">
        <f aca="false">IF($C1061="","",IFERROR(INDEX(Mix_Desc,MATCH($C1061,Mix_Code,0)),"⚠ Unknown mix code"))</f>
        <v/>
      </c>
      <c r="F1061" s="67" t="str">
        <f aca="false">IF(OR($C1061="",$D1061=""),"",IFERROR($D1061*INDEX(Mix_Eff,MATCH($C1061,Mix_Code,0),1),""))</f>
        <v/>
      </c>
      <c r="G1061" s="67" t="str">
        <f aca="false">IF(OR($C1061="",$D1061=""),"",IFERROR($D1061*INDEX(Mix_Eff,MATCH($C1061,Mix_Code,0),2),""))</f>
        <v/>
      </c>
      <c r="H1061" s="67" t="str">
        <f aca="false">IF(OR($C1061="",$D1061=""),"",IFERROR($D1061*INDEX(Mix_Eff,MATCH($C1061,Mix_Code,0),3),""))</f>
        <v/>
      </c>
      <c r="I1061" s="67" t="str">
        <f aca="false">IF(OR($C1061="",$D1061=""),"",IFERROR($D1061*INDEX(Mix_Eff,MATCH($C1061,Mix_Code,0),4),""))</f>
        <v/>
      </c>
      <c r="J1061" s="67" t="str">
        <f aca="false">IF(OR($C1061="",$D1061=""),"",IFERROR($D1061*INDEX(Mix_Eff,MATCH($C1061,Mix_Code,0),5),""))</f>
        <v/>
      </c>
      <c r="K1061" s="63"/>
      <c r="L1061" s="16" t="str">
        <f aca="false">IF(AND($A1061="",$B1061="",$C1061="",$D1061=""),"",IF($A1061="","⚠ Date missing",IF($B1061="","⚠ Site missing",IF(ISNA(MATCH($C1061,Mix_Code,0)),"⚠ Unknown mix code",IF($D1061="","⚠ Enter m3 produced",IF(COUNTIF(CI_Site,$B1061)=0,"⚠ Site not set up in Current Inventory",IF($A1061&gt;AsOfDate,"Future date – not yet deducted","OK")))))))</f>
        <v/>
      </c>
    </row>
    <row r="1062" customFormat="false" ht="15" hidden="false" customHeight="false" outlineLevel="0" collapsed="false">
      <c r="A1062" s="65"/>
      <c r="B1062" s="63"/>
      <c r="C1062" s="70"/>
      <c r="D1062" s="66"/>
      <c r="E1062" s="16" t="str">
        <f aca="false">IF($C1062="","",IFERROR(INDEX(Mix_Desc,MATCH($C1062,Mix_Code,0)),"⚠ Unknown mix code"))</f>
        <v/>
      </c>
      <c r="F1062" s="67" t="str">
        <f aca="false">IF(OR($C1062="",$D1062=""),"",IFERROR($D1062*INDEX(Mix_Eff,MATCH($C1062,Mix_Code,0),1),""))</f>
        <v/>
      </c>
      <c r="G1062" s="67" t="str">
        <f aca="false">IF(OR($C1062="",$D1062=""),"",IFERROR($D1062*INDEX(Mix_Eff,MATCH($C1062,Mix_Code,0),2),""))</f>
        <v/>
      </c>
      <c r="H1062" s="67" t="str">
        <f aca="false">IF(OR($C1062="",$D1062=""),"",IFERROR($D1062*INDEX(Mix_Eff,MATCH($C1062,Mix_Code,0),3),""))</f>
        <v/>
      </c>
      <c r="I1062" s="67" t="str">
        <f aca="false">IF(OR($C1062="",$D1062=""),"",IFERROR($D1062*INDEX(Mix_Eff,MATCH($C1062,Mix_Code,0),4),""))</f>
        <v/>
      </c>
      <c r="J1062" s="67" t="str">
        <f aca="false">IF(OR($C1062="",$D1062=""),"",IFERROR($D1062*INDEX(Mix_Eff,MATCH($C1062,Mix_Code,0),5),""))</f>
        <v/>
      </c>
      <c r="K1062" s="63"/>
      <c r="L1062" s="16" t="str">
        <f aca="false">IF(AND($A1062="",$B1062="",$C1062="",$D1062=""),"",IF($A1062="","⚠ Date missing",IF($B1062="","⚠ Site missing",IF(ISNA(MATCH($C1062,Mix_Code,0)),"⚠ Unknown mix code",IF($D1062="","⚠ Enter m3 produced",IF(COUNTIF(CI_Site,$B1062)=0,"⚠ Site not set up in Current Inventory",IF($A1062&gt;AsOfDate,"Future date – not yet deducted","OK")))))))</f>
        <v/>
      </c>
    </row>
    <row r="1063" customFormat="false" ht="15" hidden="false" customHeight="false" outlineLevel="0" collapsed="false">
      <c r="A1063" s="65"/>
      <c r="B1063" s="63"/>
      <c r="C1063" s="70"/>
      <c r="D1063" s="66"/>
      <c r="E1063" s="16" t="str">
        <f aca="false">IF($C1063="","",IFERROR(INDEX(Mix_Desc,MATCH($C1063,Mix_Code,0)),"⚠ Unknown mix code"))</f>
        <v/>
      </c>
      <c r="F1063" s="67" t="str">
        <f aca="false">IF(OR($C1063="",$D1063=""),"",IFERROR($D1063*INDEX(Mix_Eff,MATCH($C1063,Mix_Code,0),1),""))</f>
        <v/>
      </c>
      <c r="G1063" s="67" t="str">
        <f aca="false">IF(OR($C1063="",$D1063=""),"",IFERROR($D1063*INDEX(Mix_Eff,MATCH($C1063,Mix_Code,0),2),""))</f>
        <v/>
      </c>
      <c r="H1063" s="67" t="str">
        <f aca="false">IF(OR($C1063="",$D1063=""),"",IFERROR($D1063*INDEX(Mix_Eff,MATCH($C1063,Mix_Code,0),3),""))</f>
        <v/>
      </c>
      <c r="I1063" s="67" t="str">
        <f aca="false">IF(OR($C1063="",$D1063=""),"",IFERROR($D1063*INDEX(Mix_Eff,MATCH($C1063,Mix_Code,0),4),""))</f>
        <v/>
      </c>
      <c r="J1063" s="67" t="str">
        <f aca="false">IF(OR($C1063="",$D1063=""),"",IFERROR($D1063*INDEX(Mix_Eff,MATCH($C1063,Mix_Code,0),5),""))</f>
        <v/>
      </c>
      <c r="K1063" s="63"/>
      <c r="L1063" s="16" t="str">
        <f aca="false">IF(AND($A1063="",$B1063="",$C1063="",$D1063=""),"",IF($A1063="","⚠ Date missing",IF($B1063="","⚠ Site missing",IF(ISNA(MATCH($C1063,Mix_Code,0)),"⚠ Unknown mix code",IF($D1063="","⚠ Enter m3 produced",IF(COUNTIF(CI_Site,$B1063)=0,"⚠ Site not set up in Current Inventory",IF($A1063&gt;AsOfDate,"Future date – not yet deducted","OK")))))))</f>
        <v/>
      </c>
    </row>
    <row r="1064" customFormat="false" ht="15" hidden="false" customHeight="false" outlineLevel="0" collapsed="false">
      <c r="A1064" s="65"/>
      <c r="B1064" s="63"/>
      <c r="C1064" s="70"/>
      <c r="D1064" s="66"/>
      <c r="E1064" s="16" t="str">
        <f aca="false">IF($C1064="","",IFERROR(INDEX(Mix_Desc,MATCH($C1064,Mix_Code,0)),"⚠ Unknown mix code"))</f>
        <v/>
      </c>
      <c r="F1064" s="67" t="str">
        <f aca="false">IF(OR($C1064="",$D1064=""),"",IFERROR($D1064*INDEX(Mix_Eff,MATCH($C1064,Mix_Code,0),1),""))</f>
        <v/>
      </c>
      <c r="G1064" s="67" t="str">
        <f aca="false">IF(OR($C1064="",$D1064=""),"",IFERROR($D1064*INDEX(Mix_Eff,MATCH($C1064,Mix_Code,0),2),""))</f>
        <v/>
      </c>
      <c r="H1064" s="67" t="str">
        <f aca="false">IF(OR($C1064="",$D1064=""),"",IFERROR($D1064*INDEX(Mix_Eff,MATCH($C1064,Mix_Code,0),3),""))</f>
        <v/>
      </c>
      <c r="I1064" s="67" t="str">
        <f aca="false">IF(OR($C1064="",$D1064=""),"",IFERROR($D1064*INDEX(Mix_Eff,MATCH($C1064,Mix_Code,0),4),""))</f>
        <v/>
      </c>
      <c r="J1064" s="67" t="str">
        <f aca="false">IF(OR($C1064="",$D1064=""),"",IFERROR($D1064*INDEX(Mix_Eff,MATCH($C1064,Mix_Code,0),5),""))</f>
        <v/>
      </c>
      <c r="K1064" s="63"/>
      <c r="L1064" s="16" t="str">
        <f aca="false">IF(AND($A1064="",$B1064="",$C1064="",$D1064=""),"",IF($A1064="","⚠ Date missing",IF($B1064="","⚠ Site missing",IF(ISNA(MATCH($C1064,Mix_Code,0)),"⚠ Unknown mix code",IF($D1064="","⚠ Enter m3 produced",IF(COUNTIF(CI_Site,$B1064)=0,"⚠ Site not set up in Current Inventory",IF($A1064&gt;AsOfDate,"Future date – not yet deducted","OK")))))))</f>
        <v/>
      </c>
    </row>
    <row r="1065" customFormat="false" ht="15" hidden="false" customHeight="false" outlineLevel="0" collapsed="false">
      <c r="A1065" s="65"/>
      <c r="B1065" s="63"/>
      <c r="C1065" s="70"/>
      <c r="D1065" s="66"/>
      <c r="E1065" s="16" t="str">
        <f aca="false">IF($C1065="","",IFERROR(INDEX(Mix_Desc,MATCH($C1065,Mix_Code,0)),"⚠ Unknown mix code"))</f>
        <v/>
      </c>
      <c r="F1065" s="67" t="str">
        <f aca="false">IF(OR($C1065="",$D1065=""),"",IFERROR($D1065*INDEX(Mix_Eff,MATCH($C1065,Mix_Code,0),1),""))</f>
        <v/>
      </c>
      <c r="G1065" s="67" t="str">
        <f aca="false">IF(OR($C1065="",$D1065=""),"",IFERROR($D1065*INDEX(Mix_Eff,MATCH($C1065,Mix_Code,0),2),""))</f>
        <v/>
      </c>
      <c r="H1065" s="67" t="str">
        <f aca="false">IF(OR($C1065="",$D1065=""),"",IFERROR($D1065*INDEX(Mix_Eff,MATCH($C1065,Mix_Code,0),3),""))</f>
        <v/>
      </c>
      <c r="I1065" s="67" t="str">
        <f aca="false">IF(OR($C1065="",$D1065=""),"",IFERROR($D1065*INDEX(Mix_Eff,MATCH($C1065,Mix_Code,0),4),""))</f>
        <v/>
      </c>
      <c r="J1065" s="67" t="str">
        <f aca="false">IF(OR($C1065="",$D1065=""),"",IFERROR($D1065*INDEX(Mix_Eff,MATCH($C1065,Mix_Code,0),5),""))</f>
        <v/>
      </c>
      <c r="K1065" s="63"/>
      <c r="L1065" s="16" t="str">
        <f aca="false">IF(AND($A1065="",$B1065="",$C1065="",$D1065=""),"",IF($A1065="","⚠ Date missing",IF($B1065="","⚠ Site missing",IF(ISNA(MATCH($C1065,Mix_Code,0)),"⚠ Unknown mix code",IF($D1065="","⚠ Enter m3 produced",IF(COUNTIF(CI_Site,$B1065)=0,"⚠ Site not set up in Current Inventory",IF($A1065&gt;AsOfDate,"Future date – not yet deducted","OK")))))))</f>
        <v/>
      </c>
    </row>
    <row r="1066" customFormat="false" ht="15" hidden="false" customHeight="false" outlineLevel="0" collapsed="false">
      <c r="A1066" s="65"/>
      <c r="B1066" s="63"/>
      <c r="C1066" s="70"/>
      <c r="D1066" s="66"/>
      <c r="E1066" s="16" t="str">
        <f aca="false">IF($C1066="","",IFERROR(INDEX(Mix_Desc,MATCH($C1066,Mix_Code,0)),"⚠ Unknown mix code"))</f>
        <v/>
      </c>
      <c r="F1066" s="67" t="str">
        <f aca="false">IF(OR($C1066="",$D1066=""),"",IFERROR($D1066*INDEX(Mix_Eff,MATCH($C1066,Mix_Code,0),1),""))</f>
        <v/>
      </c>
      <c r="G1066" s="67" t="str">
        <f aca="false">IF(OR($C1066="",$D1066=""),"",IFERROR($D1066*INDEX(Mix_Eff,MATCH($C1066,Mix_Code,0),2),""))</f>
        <v/>
      </c>
      <c r="H1066" s="67" t="str">
        <f aca="false">IF(OR($C1066="",$D1066=""),"",IFERROR($D1066*INDEX(Mix_Eff,MATCH($C1066,Mix_Code,0),3),""))</f>
        <v/>
      </c>
      <c r="I1066" s="67" t="str">
        <f aca="false">IF(OR($C1066="",$D1066=""),"",IFERROR($D1066*INDEX(Mix_Eff,MATCH($C1066,Mix_Code,0),4),""))</f>
        <v/>
      </c>
      <c r="J1066" s="67" t="str">
        <f aca="false">IF(OR($C1066="",$D1066=""),"",IFERROR($D1066*INDEX(Mix_Eff,MATCH($C1066,Mix_Code,0),5),""))</f>
        <v/>
      </c>
      <c r="K1066" s="63"/>
      <c r="L1066" s="16" t="str">
        <f aca="false">IF(AND($A1066="",$B1066="",$C1066="",$D1066=""),"",IF($A1066="","⚠ Date missing",IF($B1066="","⚠ Site missing",IF(ISNA(MATCH($C1066,Mix_Code,0)),"⚠ Unknown mix code",IF($D1066="","⚠ Enter m3 produced",IF(COUNTIF(CI_Site,$B1066)=0,"⚠ Site not set up in Current Inventory",IF($A1066&gt;AsOfDate,"Future date – not yet deducted","OK")))))))</f>
        <v/>
      </c>
    </row>
    <row r="1067" customFormat="false" ht="15" hidden="false" customHeight="false" outlineLevel="0" collapsed="false">
      <c r="A1067" s="65"/>
      <c r="B1067" s="63"/>
      <c r="C1067" s="70"/>
      <c r="D1067" s="66"/>
      <c r="E1067" s="16" t="str">
        <f aca="false">IF($C1067="","",IFERROR(INDEX(Mix_Desc,MATCH($C1067,Mix_Code,0)),"⚠ Unknown mix code"))</f>
        <v/>
      </c>
      <c r="F1067" s="67" t="str">
        <f aca="false">IF(OR($C1067="",$D1067=""),"",IFERROR($D1067*INDEX(Mix_Eff,MATCH($C1067,Mix_Code,0),1),""))</f>
        <v/>
      </c>
      <c r="G1067" s="67" t="str">
        <f aca="false">IF(OR($C1067="",$D1067=""),"",IFERROR($D1067*INDEX(Mix_Eff,MATCH($C1067,Mix_Code,0),2),""))</f>
        <v/>
      </c>
      <c r="H1067" s="67" t="str">
        <f aca="false">IF(OR($C1067="",$D1067=""),"",IFERROR($D1067*INDEX(Mix_Eff,MATCH($C1067,Mix_Code,0),3),""))</f>
        <v/>
      </c>
      <c r="I1067" s="67" t="str">
        <f aca="false">IF(OR($C1067="",$D1067=""),"",IFERROR($D1067*INDEX(Mix_Eff,MATCH($C1067,Mix_Code,0),4),""))</f>
        <v/>
      </c>
      <c r="J1067" s="67" t="str">
        <f aca="false">IF(OR($C1067="",$D1067=""),"",IFERROR($D1067*INDEX(Mix_Eff,MATCH($C1067,Mix_Code,0),5),""))</f>
        <v/>
      </c>
      <c r="K1067" s="63"/>
      <c r="L1067" s="16" t="str">
        <f aca="false">IF(AND($A1067="",$B1067="",$C1067="",$D1067=""),"",IF($A1067="","⚠ Date missing",IF($B1067="","⚠ Site missing",IF(ISNA(MATCH($C1067,Mix_Code,0)),"⚠ Unknown mix code",IF($D1067="","⚠ Enter m3 produced",IF(COUNTIF(CI_Site,$B1067)=0,"⚠ Site not set up in Current Inventory",IF($A1067&gt;AsOfDate,"Future date – not yet deducted","OK")))))))</f>
        <v/>
      </c>
    </row>
    <row r="1068" customFormat="false" ht="15" hidden="false" customHeight="false" outlineLevel="0" collapsed="false">
      <c r="A1068" s="65"/>
      <c r="B1068" s="63"/>
      <c r="C1068" s="70"/>
      <c r="D1068" s="66"/>
      <c r="E1068" s="16" t="str">
        <f aca="false">IF($C1068="","",IFERROR(INDEX(Mix_Desc,MATCH($C1068,Mix_Code,0)),"⚠ Unknown mix code"))</f>
        <v/>
      </c>
      <c r="F1068" s="67" t="str">
        <f aca="false">IF(OR($C1068="",$D1068=""),"",IFERROR($D1068*INDEX(Mix_Eff,MATCH($C1068,Mix_Code,0),1),""))</f>
        <v/>
      </c>
      <c r="G1068" s="67" t="str">
        <f aca="false">IF(OR($C1068="",$D1068=""),"",IFERROR($D1068*INDEX(Mix_Eff,MATCH($C1068,Mix_Code,0),2),""))</f>
        <v/>
      </c>
      <c r="H1068" s="67" t="str">
        <f aca="false">IF(OR($C1068="",$D1068=""),"",IFERROR($D1068*INDEX(Mix_Eff,MATCH($C1068,Mix_Code,0),3),""))</f>
        <v/>
      </c>
      <c r="I1068" s="67" t="str">
        <f aca="false">IF(OR($C1068="",$D1068=""),"",IFERROR($D1068*INDEX(Mix_Eff,MATCH($C1068,Mix_Code,0),4),""))</f>
        <v/>
      </c>
      <c r="J1068" s="67" t="str">
        <f aca="false">IF(OR($C1068="",$D1068=""),"",IFERROR($D1068*INDEX(Mix_Eff,MATCH($C1068,Mix_Code,0),5),""))</f>
        <v/>
      </c>
      <c r="K1068" s="63"/>
      <c r="L1068" s="16" t="str">
        <f aca="false">IF(AND($A1068="",$B1068="",$C1068="",$D1068=""),"",IF($A1068="","⚠ Date missing",IF($B1068="","⚠ Site missing",IF(ISNA(MATCH($C1068,Mix_Code,0)),"⚠ Unknown mix code",IF($D1068="","⚠ Enter m3 produced",IF(COUNTIF(CI_Site,$B1068)=0,"⚠ Site not set up in Current Inventory",IF($A1068&gt;AsOfDate,"Future date – not yet deducted","OK")))))))</f>
        <v/>
      </c>
    </row>
    <row r="1069" customFormat="false" ht="15" hidden="false" customHeight="false" outlineLevel="0" collapsed="false">
      <c r="A1069" s="65"/>
      <c r="B1069" s="63"/>
      <c r="C1069" s="70"/>
      <c r="D1069" s="66"/>
      <c r="E1069" s="16" t="str">
        <f aca="false">IF($C1069="","",IFERROR(INDEX(Mix_Desc,MATCH($C1069,Mix_Code,0)),"⚠ Unknown mix code"))</f>
        <v/>
      </c>
      <c r="F1069" s="67" t="str">
        <f aca="false">IF(OR($C1069="",$D1069=""),"",IFERROR($D1069*INDEX(Mix_Eff,MATCH($C1069,Mix_Code,0),1),""))</f>
        <v/>
      </c>
      <c r="G1069" s="67" t="str">
        <f aca="false">IF(OR($C1069="",$D1069=""),"",IFERROR($D1069*INDEX(Mix_Eff,MATCH($C1069,Mix_Code,0),2),""))</f>
        <v/>
      </c>
      <c r="H1069" s="67" t="str">
        <f aca="false">IF(OR($C1069="",$D1069=""),"",IFERROR($D1069*INDEX(Mix_Eff,MATCH($C1069,Mix_Code,0),3),""))</f>
        <v/>
      </c>
      <c r="I1069" s="67" t="str">
        <f aca="false">IF(OR($C1069="",$D1069=""),"",IFERROR($D1069*INDEX(Mix_Eff,MATCH($C1069,Mix_Code,0),4),""))</f>
        <v/>
      </c>
      <c r="J1069" s="67" t="str">
        <f aca="false">IF(OR($C1069="",$D1069=""),"",IFERROR($D1069*INDEX(Mix_Eff,MATCH($C1069,Mix_Code,0),5),""))</f>
        <v/>
      </c>
      <c r="K1069" s="63"/>
      <c r="L1069" s="16" t="str">
        <f aca="false">IF(AND($A1069="",$B1069="",$C1069="",$D1069=""),"",IF($A1069="","⚠ Date missing",IF($B1069="","⚠ Site missing",IF(ISNA(MATCH($C1069,Mix_Code,0)),"⚠ Unknown mix code",IF($D1069="","⚠ Enter m3 produced",IF(COUNTIF(CI_Site,$B1069)=0,"⚠ Site not set up in Current Inventory",IF($A1069&gt;AsOfDate,"Future date – not yet deducted","OK")))))))</f>
        <v/>
      </c>
    </row>
    <row r="1070" customFormat="false" ht="15" hidden="false" customHeight="false" outlineLevel="0" collapsed="false">
      <c r="A1070" s="65"/>
      <c r="B1070" s="63"/>
      <c r="C1070" s="70"/>
      <c r="D1070" s="66"/>
      <c r="E1070" s="16" t="str">
        <f aca="false">IF($C1070="","",IFERROR(INDEX(Mix_Desc,MATCH($C1070,Mix_Code,0)),"⚠ Unknown mix code"))</f>
        <v/>
      </c>
      <c r="F1070" s="67" t="str">
        <f aca="false">IF(OR($C1070="",$D1070=""),"",IFERROR($D1070*INDEX(Mix_Eff,MATCH($C1070,Mix_Code,0),1),""))</f>
        <v/>
      </c>
      <c r="G1070" s="67" t="str">
        <f aca="false">IF(OR($C1070="",$D1070=""),"",IFERROR($D1070*INDEX(Mix_Eff,MATCH($C1070,Mix_Code,0),2),""))</f>
        <v/>
      </c>
      <c r="H1070" s="67" t="str">
        <f aca="false">IF(OR($C1070="",$D1070=""),"",IFERROR($D1070*INDEX(Mix_Eff,MATCH($C1070,Mix_Code,0),3),""))</f>
        <v/>
      </c>
      <c r="I1070" s="67" t="str">
        <f aca="false">IF(OR($C1070="",$D1070=""),"",IFERROR($D1070*INDEX(Mix_Eff,MATCH($C1070,Mix_Code,0),4),""))</f>
        <v/>
      </c>
      <c r="J1070" s="67" t="str">
        <f aca="false">IF(OR($C1070="",$D1070=""),"",IFERROR($D1070*INDEX(Mix_Eff,MATCH($C1070,Mix_Code,0),5),""))</f>
        <v/>
      </c>
      <c r="K1070" s="63"/>
      <c r="L1070" s="16" t="str">
        <f aca="false">IF(AND($A1070="",$B1070="",$C1070="",$D1070=""),"",IF($A1070="","⚠ Date missing",IF($B1070="","⚠ Site missing",IF(ISNA(MATCH($C1070,Mix_Code,0)),"⚠ Unknown mix code",IF($D1070="","⚠ Enter m3 produced",IF(COUNTIF(CI_Site,$B1070)=0,"⚠ Site not set up in Current Inventory",IF($A1070&gt;AsOfDate,"Future date – not yet deducted","OK")))))))</f>
        <v/>
      </c>
    </row>
    <row r="1071" customFormat="false" ht="15" hidden="false" customHeight="false" outlineLevel="0" collapsed="false">
      <c r="A1071" s="65"/>
      <c r="B1071" s="63"/>
      <c r="C1071" s="70"/>
      <c r="D1071" s="66"/>
      <c r="E1071" s="16" t="str">
        <f aca="false">IF($C1071="","",IFERROR(INDEX(Mix_Desc,MATCH($C1071,Mix_Code,0)),"⚠ Unknown mix code"))</f>
        <v/>
      </c>
      <c r="F1071" s="67" t="str">
        <f aca="false">IF(OR($C1071="",$D1071=""),"",IFERROR($D1071*INDEX(Mix_Eff,MATCH($C1071,Mix_Code,0),1),""))</f>
        <v/>
      </c>
      <c r="G1071" s="67" t="str">
        <f aca="false">IF(OR($C1071="",$D1071=""),"",IFERROR($D1071*INDEX(Mix_Eff,MATCH($C1071,Mix_Code,0),2),""))</f>
        <v/>
      </c>
      <c r="H1071" s="67" t="str">
        <f aca="false">IF(OR($C1071="",$D1071=""),"",IFERROR($D1071*INDEX(Mix_Eff,MATCH($C1071,Mix_Code,0),3),""))</f>
        <v/>
      </c>
      <c r="I1071" s="67" t="str">
        <f aca="false">IF(OR($C1071="",$D1071=""),"",IFERROR($D1071*INDEX(Mix_Eff,MATCH($C1071,Mix_Code,0),4),""))</f>
        <v/>
      </c>
      <c r="J1071" s="67" t="str">
        <f aca="false">IF(OR($C1071="",$D1071=""),"",IFERROR($D1071*INDEX(Mix_Eff,MATCH($C1071,Mix_Code,0),5),""))</f>
        <v/>
      </c>
      <c r="K1071" s="63"/>
      <c r="L1071" s="16" t="str">
        <f aca="false">IF(AND($A1071="",$B1071="",$C1071="",$D1071=""),"",IF($A1071="","⚠ Date missing",IF($B1071="","⚠ Site missing",IF(ISNA(MATCH($C1071,Mix_Code,0)),"⚠ Unknown mix code",IF($D1071="","⚠ Enter m3 produced",IF(COUNTIF(CI_Site,$B1071)=0,"⚠ Site not set up in Current Inventory",IF($A1071&gt;AsOfDate,"Future date – not yet deducted","OK")))))))</f>
        <v/>
      </c>
    </row>
    <row r="1072" customFormat="false" ht="15" hidden="false" customHeight="false" outlineLevel="0" collapsed="false">
      <c r="A1072" s="65"/>
      <c r="B1072" s="63"/>
      <c r="C1072" s="70"/>
      <c r="D1072" s="66"/>
      <c r="E1072" s="16" t="str">
        <f aca="false">IF($C1072="","",IFERROR(INDEX(Mix_Desc,MATCH($C1072,Mix_Code,0)),"⚠ Unknown mix code"))</f>
        <v/>
      </c>
      <c r="F1072" s="67" t="str">
        <f aca="false">IF(OR($C1072="",$D1072=""),"",IFERROR($D1072*INDEX(Mix_Eff,MATCH($C1072,Mix_Code,0),1),""))</f>
        <v/>
      </c>
      <c r="G1072" s="67" t="str">
        <f aca="false">IF(OR($C1072="",$D1072=""),"",IFERROR($D1072*INDEX(Mix_Eff,MATCH($C1072,Mix_Code,0),2),""))</f>
        <v/>
      </c>
      <c r="H1072" s="67" t="str">
        <f aca="false">IF(OR($C1072="",$D1072=""),"",IFERROR($D1072*INDEX(Mix_Eff,MATCH($C1072,Mix_Code,0),3),""))</f>
        <v/>
      </c>
      <c r="I1072" s="67" t="str">
        <f aca="false">IF(OR($C1072="",$D1072=""),"",IFERROR($D1072*INDEX(Mix_Eff,MATCH($C1072,Mix_Code,0),4),""))</f>
        <v/>
      </c>
      <c r="J1072" s="67" t="str">
        <f aca="false">IF(OR($C1072="",$D1072=""),"",IFERROR($D1072*INDEX(Mix_Eff,MATCH($C1072,Mix_Code,0),5),""))</f>
        <v/>
      </c>
      <c r="K1072" s="63"/>
      <c r="L1072" s="16" t="str">
        <f aca="false">IF(AND($A1072="",$B1072="",$C1072="",$D1072=""),"",IF($A1072="","⚠ Date missing",IF($B1072="","⚠ Site missing",IF(ISNA(MATCH($C1072,Mix_Code,0)),"⚠ Unknown mix code",IF($D1072="","⚠ Enter m3 produced",IF(COUNTIF(CI_Site,$B1072)=0,"⚠ Site not set up in Current Inventory",IF($A1072&gt;AsOfDate,"Future date – not yet deducted","OK")))))))</f>
        <v/>
      </c>
    </row>
    <row r="1073" customFormat="false" ht="15" hidden="false" customHeight="false" outlineLevel="0" collapsed="false">
      <c r="A1073" s="65"/>
      <c r="B1073" s="63"/>
      <c r="C1073" s="70"/>
      <c r="D1073" s="66"/>
      <c r="E1073" s="16" t="str">
        <f aca="false">IF($C1073="","",IFERROR(INDEX(Mix_Desc,MATCH($C1073,Mix_Code,0)),"⚠ Unknown mix code"))</f>
        <v/>
      </c>
      <c r="F1073" s="67" t="str">
        <f aca="false">IF(OR($C1073="",$D1073=""),"",IFERROR($D1073*INDEX(Mix_Eff,MATCH($C1073,Mix_Code,0),1),""))</f>
        <v/>
      </c>
      <c r="G1073" s="67" t="str">
        <f aca="false">IF(OR($C1073="",$D1073=""),"",IFERROR($D1073*INDEX(Mix_Eff,MATCH($C1073,Mix_Code,0),2),""))</f>
        <v/>
      </c>
      <c r="H1073" s="67" t="str">
        <f aca="false">IF(OR($C1073="",$D1073=""),"",IFERROR($D1073*INDEX(Mix_Eff,MATCH($C1073,Mix_Code,0),3),""))</f>
        <v/>
      </c>
      <c r="I1073" s="67" t="str">
        <f aca="false">IF(OR($C1073="",$D1073=""),"",IFERROR($D1073*INDEX(Mix_Eff,MATCH($C1073,Mix_Code,0),4),""))</f>
        <v/>
      </c>
      <c r="J1073" s="67" t="str">
        <f aca="false">IF(OR($C1073="",$D1073=""),"",IFERROR($D1073*INDEX(Mix_Eff,MATCH($C1073,Mix_Code,0),5),""))</f>
        <v/>
      </c>
      <c r="K1073" s="63"/>
      <c r="L1073" s="16" t="str">
        <f aca="false">IF(AND($A1073="",$B1073="",$C1073="",$D1073=""),"",IF($A1073="","⚠ Date missing",IF($B1073="","⚠ Site missing",IF(ISNA(MATCH($C1073,Mix_Code,0)),"⚠ Unknown mix code",IF($D1073="","⚠ Enter m3 produced",IF(COUNTIF(CI_Site,$B1073)=0,"⚠ Site not set up in Current Inventory",IF($A1073&gt;AsOfDate,"Future date – not yet deducted","OK")))))))</f>
        <v/>
      </c>
    </row>
    <row r="1074" customFormat="false" ht="15" hidden="false" customHeight="false" outlineLevel="0" collapsed="false">
      <c r="A1074" s="65"/>
      <c r="B1074" s="63"/>
      <c r="C1074" s="70"/>
      <c r="D1074" s="66"/>
      <c r="E1074" s="16" t="str">
        <f aca="false">IF($C1074="","",IFERROR(INDEX(Mix_Desc,MATCH($C1074,Mix_Code,0)),"⚠ Unknown mix code"))</f>
        <v/>
      </c>
      <c r="F1074" s="67" t="str">
        <f aca="false">IF(OR($C1074="",$D1074=""),"",IFERROR($D1074*INDEX(Mix_Eff,MATCH($C1074,Mix_Code,0),1),""))</f>
        <v/>
      </c>
      <c r="G1074" s="67" t="str">
        <f aca="false">IF(OR($C1074="",$D1074=""),"",IFERROR($D1074*INDEX(Mix_Eff,MATCH($C1074,Mix_Code,0),2),""))</f>
        <v/>
      </c>
      <c r="H1074" s="67" t="str">
        <f aca="false">IF(OR($C1074="",$D1074=""),"",IFERROR($D1074*INDEX(Mix_Eff,MATCH($C1074,Mix_Code,0),3),""))</f>
        <v/>
      </c>
      <c r="I1074" s="67" t="str">
        <f aca="false">IF(OR($C1074="",$D1074=""),"",IFERROR($D1074*INDEX(Mix_Eff,MATCH($C1074,Mix_Code,0),4),""))</f>
        <v/>
      </c>
      <c r="J1074" s="67" t="str">
        <f aca="false">IF(OR($C1074="",$D1074=""),"",IFERROR($D1074*INDEX(Mix_Eff,MATCH($C1074,Mix_Code,0),5),""))</f>
        <v/>
      </c>
      <c r="K1074" s="63"/>
      <c r="L1074" s="16" t="str">
        <f aca="false">IF(AND($A1074="",$B1074="",$C1074="",$D1074=""),"",IF($A1074="","⚠ Date missing",IF($B1074="","⚠ Site missing",IF(ISNA(MATCH($C1074,Mix_Code,0)),"⚠ Unknown mix code",IF($D1074="","⚠ Enter m3 produced",IF(COUNTIF(CI_Site,$B1074)=0,"⚠ Site not set up in Current Inventory",IF($A1074&gt;AsOfDate,"Future date – not yet deducted","OK")))))))</f>
        <v/>
      </c>
    </row>
    <row r="1075" customFormat="false" ht="15" hidden="false" customHeight="false" outlineLevel="0" collapsed="false">
      <c r="A1075" s="65"/>
      <c r="B1075" s="63"/>
      <c r="C1075" s="70"/>
      <c r="D1075" s="66"/>
      <c r="E1075" s="16" t="str">
        <f aca="false">IF($C1075="","",IFERROR(INDEX(Mix_Desc,MATCH($C1075,Mix_Code,0)),"⚠ Unknown mix code"))</f>
        <v/>
      </c>
      <c r="F1075" s="67" t="str">
        <f aca="false">IF(OR($C1075="",$D1075=""),"",IFERROR($D1075*INDEX(Mix_Eff,MATCH($C1075,Mix_Code,0),1),""))</f>
        <v/>
      </c>
      <c r="G1075" s="67" t="str">
        <f aca="false">IF(OR($C1075="",$D1075=""),"",IFERROR($D1075*INDEX(Mix_Eff,MATCH($C1075,Mix_Code,0),2),""))</f>
        <v/>
      </c>
      <c r="H1075" s="67" t="str">
        <f aca="false">IF(OR($C1075="",$D1075=""),"",IFERROR($D1075*INDEX(Mix_Eff,MATCH($C1075,Mix_Code,0),3),""))</f>
        <v/>
      </c>
      <c r="I1075" s="67" t="str">
        <f aca="false">IF(OR($C1075="",$D1075=""),"",IFERROR($D1075*INDEX(Mix_Eff,MATCH($C1075,Mix_Code,0),4),""))</f>
        <v/>
      </c>
      <c r="J1075" s="67" t="str">
        <f aca="false">IF(OR($C1075="",$D1075=""),"",IFERROR($D1075*INDEX(Mix_Eff,MATCH($C1075,Mix_Code,0),5),""))</f>
        <v/>
      </c>
      <c r="K1075" s="63"/>
      <c r="L1075" s="16" t="str">
        <f aca="false">IF(AND($A1075="",$B1075="",$C1075="",$D1075=""),"",IF($A1075="","⚠ Date missing",IF($B1075="","⚠ Site missing",IF(ISNA(MATCH($C1075,Mix_Code,0)),"⚠ Unknown mix code",IF($D1075="","⚠ Enter m3 produced",IF(COUNTIF(CI_Site,$B1075)=0,"⚠ Site not set up in Current Inventory",IF($A1075&gt;AsOfDate,"Future date – not yet deducted","OK")))))))</f>
        <v/>
      </c>
    </row>
    <row r="1076" customFormat="false" ht="15" hidden="false" customHeight="false" outlineLevel="0" collapsed="false">
      <c r="A1076" s="65"/>
      <c r="B1076" s="63"/>
      <c r="C1076" s="70"/>
      <c r="D1076" s="66"/>
      <c r="E1076" s="16" t="str">
        <f aca="false">IF($C1076="","",IFERROR(INDEX(Mix_Desc,MATCH($C1076,Mix_Code,0)),"⚠ Unknown mix code"))</f>
        <v/>
      </c>
      <c r="F1076" s="67" t="str">
        <f aca="false">IF(OR($C1076="",$D1076=""),"",IFERROR($D1076*INDEX(Mix_Eff,MATCH($C1076,Mix_Code,0),1),""))</f>
        <v/>
      </c>
      <c r="G1076" s="67" t="str">
        <f aca="false">IF(OR($C1076="",$D1076=""),"",IFERROR($D1076*INDEX(Mix_Eff,MATCH($C1076,Mix_Code,0),2),""))</f>
        <v/>
      </c>
      <c r="H1076" s="67" t="str">
        <f aca="false">IF(OR($C1076="",$D1076=""),"",IFERROR($D1076*INDEX(Mix_Eff,MATCH($C1076,Mix_Code,0),3),""))</f>
        <v/>
      </c>
      <c r="I1076" s="67" t="str">
        <f aca="false">IF(OR($C1076="",$D1076=""),"",IFERROR($D1076*INDEX(Mix_Eff,MATCH($C1076,Mix_Code,0),4),""))</f>
        <v/>
      </c>
      <c r="J1076" s="67" t="str">
        <f aca="false">IF(OR($C1076="",$D1076=""),"",IFERROR($D1076*INDEX(Mix_Eff,MATCH($C1076,Mix_Code,0),5),""))</f>
        <v/>
      </c>
      <c r="K1076" s="63"/>
      <c r="L1076" s="16" t="str">
        <f aca="false">IF(AND($A1076="",$B1076="",$C1076="",$D1076=""),"",IF($A1076="","⚠ Date missing",IF($B1076="","⚠ Site missing",IF(ISNA(MATCH($C1076,Mix_Code,0)),"⚠ Unknown mix code",IF($D1076="","⚠ Enter m3 produced",IF(COUNTIF(CI_Site,$B1076)=0,"⚠ Site not set up in Current Inventory",IF($A1076&gt;AsOfDate,"Future date – not yet deducted","OK")))))))</f>
        <v/>
      </c>
    </row>
    <row r="1077" customFormat="false" ht="15" hidden="false" customHeight="false" outlineLevel="0" collapsed="false">
      <c r="A1077" s="65"/>
      <c r="B1077" s="63"/>
      <c r="C1077" s="70"/>
      <c r="D1077" s="66"/>
      <c r="E1077" s="16" t="str">
        <f aca="false">IF($C1077="","",IFERROR(INDEX(Mix_Desc,MATCH($C1077,Mix_Code,0)),"⚠ Unknown mix code"))</f>
        <v/>
      </c>
      <c r="F1077" s="67" t="str">
        <f aca="false">IF(OR($C1077="",$D1077=""),"",IFERROR($D1077*INDEX(Mix_Eff,MATCH($C1077,Mix_Code,0),1),""))</f>
        <v/>
      </c>
      <c r="G1077" s="67" t="str">
        <f aca="false">IF(OR($C1077="",$D1077=""),"",IFERROR($D1077*INDEX(Mix_Eff,MATCH($C1077,Mix_Code,0),2),""))</f>
        <v/>
      </c>
      <c r="H1077" s="67" t="str">
        <f aca="false">IF(OR($C1077="",$D1077=""),"",IFERROR($D1077*INDEX(Mix_Eff,MATCH($C1077,Mix_Code,0),3),""))</f>
        <v/>
      </c>
      <c r="I1077" s="67" t="str">
        <f aca="false">IF(OR($C1077="",$D1077=""),"",IFERROR($D1077*INDEX(Mix_Eff,MATCH($C1077,Mix_Code,0),4),""))</f>
        <v/>
      </c>
      <c r="J1077" s="67" t="str">
        <f aca="false">IF(OR($C1077="",$D1077=""),"",IFERROR($D1077*INDEX(Mix_Eff,MATCH($C1077,Mix_Code,0),5),""))</f>
        <v/>
      </c>
      <c r="K1077" s="63"/>
      <c r="L1077" s="16" t="str">
        <f aca="false">IF(AND($A1077="",$B1077="",$C1077="",$D1077=""),"",IF($A1077="","⚠ Date missing",IF($B1077="","⚠ Site missing",IF(ISNA(MATCH($C1077,Mix_Code,0)),"⚠ Unknown mix code",IF($D1077="","⚠ Enter m3 produced",IF(COUNTIF(CI_Site,$B1077)=0,"⚠ Site not set up in Current Inventory",IF($A1077&gt;AsOfDate,"Future date – not yet deducted","OK")))))))</f>
        <v/>
      </c>
    </row>
    <row r="1078" customFormat="false" ht="15" hidden="false" customHeight="false" outlineLevel="0" collapsed="false">
      <c r="A1078" s="65"/>
      <c r="B1078" s="63"/>
      <c r="C1078" s="70"/>
      <c r="D1078" s="66"/>
      <c r="E1078" s="16" t="str">
        <f aca="false">IF($C1078="","",IFERROR(INDEX(Mix_Desc,MATCH($C1078,Mix_Code,0)),"⚠ Unknown mix code"))</f>
        <v/>
      </c>
      <c r="F1078" s="67" t="str">
        <f aca="false">IF(OR($C1078="",$D1078=""),"",IFERROR($D1078*INDEX(Mix_Eff,MATCH($C1078,Mix_Code,0),1),""))</f>
        <v/>
      </c>
      <c r="G1078" s="67" t="str">
        <f aca="false">IF(OR($C1078="",$D1078=""),"",IFERROR($D1078*INDEX(Mix_Eff,MATCH($C1078,Mix_Code,0),2),""))</f>
        <v/>
      </c>
      <c r="H1078" s="67" t="str">
        <f aca="false">IF(OR($C1078="",$D1078=""),"",IFERROR($D1078*INDEX(Mix_Eff,MATCH($C1078,Mix_Code,0),3),""))</f>
        <v/>
      </c>
      <c r="I1078" s="67" t="str">
        <f aca="false">IF(OR($C1078="",$D1078=""),"",IFERROR($D1078*INDEX(Mix_Eff,MATCH($C1078,Mix_Code,0),4),""))</f>
        <v/>
      </c>
      <c r="J1078" s="67" t="str">
        <f aca="false">IF(OR($C1078="",$D1078=""),"",IFERROR($D1078*INDEX(Mix_Eff,MATCH($C1078,Mix_Code,0),5),""))</f>
        <v/>
      </c>
      <c r="K1078" s="63"/>
      <c r="L1078" s="16" t="str">
        <f aca="false">IF(AND($A1078="",$B1078="",$C1078="",$D1078=""),"",IF($A1078="","⚠ Date missing",IF($B1078="","⚠ Site missing",IF(ISNA(MATCH($C1078,Mix_Code,0)),"⚠ Unknown mix code",IF($D1078="","⚠ Enter m3 produced",IF(COUNTIF(CI_Site,$B1078)=0,"⚠ Site not set up in Current Inventory",IF($A1078&gt;AsOfDate,"Future date – not yet deducted","OK")))))))</f>
        <v/>
      </c>
    </row>
    <row r="1079" customFormat="false" ht="15" hidden="false" customHeight="false" outlineLevel="0" collapsed="false">
      <c r="A1079" s="65"/>
      <c r="B1079" s="63"/>
      <c r="C1079" s="70"/>
      <c r="D1079" s="66"/>
      <c r="E1079" s="16" t="str">
        <f aca="false">IF($C1079="","",IFERROR(INDEX(Mix_Desc,MATCH($C1079,Mix_Code,0)),"⚠ Unknown mix code"))</f>
        <v/>
      </c>
      <c r="F1079" s="67" t="str">
        <f aca="false">IF(OR($C1079="",$D1079=""),"",IFERROR($D1079*INDEX(Mix_Eff,MATCH($C1079,Mix_Code,0),1),""))</f>
        <v/>
      </c>
      <c r="G1079" s="67" t="str">
        <f aca="false">IF(OR($C1079="",$D1079=""),"",IFERROR($D1079*INDEX(Mix_Eff,MATCH($C1079,Mix_Code,0),2),""))</f>
        <v/>
      </c>
      <c r="H1079" s="67" t="str">
        <f aca="false">IF(OR($C1079="",$D1079=""),"",IFERROR($D1079*INDEX(Mix_Eff,MATCH($C1079,Mix_Code,0),3),""))</f>
        <v/>
      </c>
      <c r="I1079" s="67" t="str">
        <f aca="false">IF(OR($C1079="",$D1079=""),"",IFERROR($D1079*INDEX(Mix_Eff,MATCH($C1079,Mix_Code,0),4),""))</f>
        <v/>
      </c>
      <c r="J1079" s="67" t="str">
        <f aca="false">IF(OR($C1079="",$D1079=""),"",IFERROR($D1079*INDEX(Mix_Eff,MATCH($C1079,Mix_Code,0),5),""))</f>
        <v/>
      </c>
      <c r="K1079" s="63"/>
      <c r="L1079" s="16" t="str">
        <f aca="false">IF(AND($A1079="",$B1079="",$C1079="",$D1079=""),"",IF($A1079="","⚠ Date missing",IF($B1079="","⚠ Site missing",IF(ISNA(MATCH($C1079,Mix_Code,0)),"⚠ Unknown mix code",IF($D1079="","⚠ Enter m3 produced",IF(COUNTIF(CI_Site,$B1079)=0,"⚠ Site not set up in Current Inventory",IF($A1079&gt;AsOfDate,"Future date – not yet deducted","OK")))))))</f>
        <v/>
      </c>
    </row>
    <row r="1080" customFormat="false" ht="15" hidden="false" customHeight="false" outlineLevel="0" collapsed="false">
      <c r="A1080" s="65"/>
      <c r="B1080" s="63"/>
      <c r="C1080" s="70"/>
      <c r="D1080" s="66"/>
      <c r="E1080" s="16" t="str">
        <f aca="false">IF($C1080="","",IFERROR(INDEX(Mix_Desc,MATCH($C1080,Mix_Code,0)),"⚠ Unknown mix code"))</f>
        <v/>
      </c>
      <c r="F1080" s="67" t="str">
        <f aca="false">IF(OR($C1080="",$D1080=""),"",IFERROR($D1080*INDEX(Mix_Eff,MATCH($C1080,Mix_Code,0),1),""))</f>
        <v/>
      </c>
      <c r="G1080" s="67" t="str">
        <f aca="false">IF(OR($C1080="",$D1080=""),"",IFERROR($D1080*INDEX(Mix_Eff,MATCH($C1080,Mix_Code,0),2),""))</f>
        <v/>
      </c>
      <c r="H1080" s="67" t="str">
        <f aca="false">IF(OR($C1080="",$D1080=""),"",IFERROR($D1080*INDEX(Mix_Eff,MATCH($C1080,Mix_Code,0),3),""))</f>
        <v/>
      </c>
      <c r="I1080" s="67" t="str">
        <f aca="false">IF(OR($C1080="",$D1080=""),"",IFERROR($D1080*INDEX(Mix_Eff,MATCH($C1080,Mix_Code,0),4),""))</f>
        <v/>
      </c>
      <c r="J1080" s="67" t="str">
        <f aca="false">IF(OR($C1080="",$D1080=""),"",IFERROR($D1080*INDEX(Mix_Eff,MATCH($C1080,Mix_Code,0),5),""))</f>
        <v/>
      </c>
      <c r="K1080" s="63"/>
      <c r="L1080" s="16" t="str">
        <f aca="false">IF(AND($A1080="",$B1080="",$C1080="",$D1080=""),"",IF($A1080="","⚠ Date missing",IF($B1080="","⚠ Site missing",IF(ISNA(MATCH($C1080,Mix_Code,0)),"⚠ Unknown mix code",IF($D1080="","⚠ Enter m3 produced",IF(COUNTIF(CI_Site,$B1080)=0,"⚠ Site not set up in Current Inventory",IF($A1080&gt;AsOfDate,"Future date – not yet deducted","OK")))))))</f>
        <v/>
      </c>
    </row>
    <row r="1081" customFormat="false" ht="15" hidden="false" customHeight="false" outlineLevel="0" collapsed="false">
      <c r="A1081" s="65"/>
      <c r="B1081" s="63"/>
      <c r="C1081" s="70"/>
      <c r="D1081" s="66"/>
      <c r="E1081" s="16" t="str">
        <f aca="false">IF($C1081="","",IFERROR(INDEX(Mix_Desc,MATCH($C1081,Mix_Code,0)),"⚠ Unknown mix code"))</f>
        <v/>
      </c>
      <c r="F1081" s="67" t="str">
        <f aca="false">IF(OR($C1081="",$D1081=""),"",IFERROR($D1081*INDEX(Mix_Eff,MATCH($C1081,Mix_Code,0),1),""))</f>
        <v/>
      </c>
      <c r="G1081" s="67" t="str">
        <f aca="false">IF(OR($C1081="",$D1081=""),"",IFERROR($D1081*INDEX(Mix_Eff,MATCH($C1081,Mix_Code,0),2),""))</f>
        <v/>
      </c>
      <c r="H1081" s="67" t="str">
        <f aca="false">IF(OR($C1081="",$D1081=""),"",IFERROR($D1081*INDEX(Mix_Eff,MATCH($C1081,Mix_Code,0),3),""))</f>
        <v/>
      </c>
      <c r="I1081" s="67" t="str">
        <f aca="false">IF(OR($C1081="",$D1081=""),"",IFERROR($D1081*INDEX(Mix_Eff,MATCH($C1081,Mix_Code,0),4),""))</f>
        <v/>
      </c>
      <c r="J1081" s="67" t="str">
        <f aca="false">IF(OR($C1081="",$D1081=""),"",IFERROR($D1081*INDEX(Mix_Eff,MATCH($C1081,Mix_Code,0),5),""))</f>
        <v/>
      </c>
      <c r="K1081" s="63"/>
      <c r="L1081" s="16" t="str">
        <f aca="false">IF(AND($A1081="",$B1081="",$C1081="",$D1081=""),"",IF($A1081="","⚠ Date missing",IF($B1081="","⚠ Site missing",IF(ISNA(MATCH($C1081,Mix_Code,0)),"⚠ Unknown mix code",IF($D1081="","⚠ Enter m3 produced",IF(COUNTIF(CI_Site,$B1081)=0,"⚠ Site not set up in Current Inventory",IF($A1081&gt;AsOfDate,"Future date – not yet deducted","OK")))))))</f>
        <v/>
      </c>
    </row>
    <row r="1082" customFormat="false" ht="15" hidden="false" customHeight="false" outlineLevel="0" collapsed="false">
      <c r="A1082" s="65"/>
      <c r="B1082" s="63"/>
      <c r="C1082" s="70"/>
      <c r="D1082" s="66"/>
      <c r="E1082" s="16" t="str">
        <f aca="false">IF($C1082="","",IFERROR(INDEX(Mix_Desc,MATCH($C1082,Mix_Code,0)),"⚠ Unknown mix code"))</f>
        <v/>
      </c>
      <c r="F1082" s="67" t="str">
        <f aca="false">IF(OR($C1082="",$D1082=""),"",IFERROR($D1082*INDEX(Mix_Eff,MATCH($C1082,Mix_Code,0),1),""))</f>
        <v/>
      </c>
      <c r="G1082" s="67" t="str">
        <f aca="false">IF(OR($C1082="",$D1082=""),"",IFERROR($D1082*INDEX(Mix_Eff,MATCH($C1082,Mix_Code,0),2),""))</f>
        <v/>
      </c>
      <c r="H1082" s="67" t="str">
        <f aca="false">IF(OR($C1082="",$D1082=""),"",IFERROR($D1082*INDEX(Mix_Eff,MATCH($C1082,Mix_Code,0),3),""))</f>
        <v/>
      </c>
      <c r="I1082" s="67" t="str">
        <f aca="false">IF(OR($C1082="",$D1082=""),"",IFERROR($D1082*INDEX(Mix_Eff,MATCH($C1082,Mix_Code,0),4),""))</f>
        <v/>
      </c>
      <c r="J1082" s="67" t="str">
        <f aca="false">IF(OR($C1082="",$D1082=""),"",IFERROR($D1082*INDEX(Mix_Eff,MATCH($C1082,Mix_Code,0),5),""))</f>
        <v/>
      </c>
      <c r="K1082" s="63"/>
      <c r="L1082" s="16" t="str">
        <f aca="false">IF(AND($A1082="",$B1082="",$C1082="",$D1082=""),"",IF($A1082="","⚠ Date missing",IF($B1082="","⚠ Site missing",IF(ISNA(MATCH($C1082,Mix_Code,0)),"⚠ Unknown mix code",IF($D1082="","⚠ Enter m3 produced",IF(COUNTIF(CI_Site,$B1082)=0,"⚠ Site not set up in Current Inventory",IF($A1082&gt;AsOfDate,"Future date – not yet deducted","OK")))))))</f>
        <v/>
      </c>
    </row>
    <row r="1083" customFormat="false" ht="15" hidden="false" customHeight="false" outlineLevel="0" collapsed="false">
      <c r="A1083" s="65"/>
      <c r="B1083" s="63"/>
      <c r="C1083" s="70"/>
      <c r="D1083" s="66"/>
      <c r="E1083" s="16" t="str">
        <f aca="false">IF($C1083="","",IFERROR(INDEX(Mix_Desc,MATCH($C1083,Mix_Code,0)),"⚠ Unknown mix code"))</f>
        <v/>
      </c>
      <c r="F1083" s="67" t="str">
        <f aca="false">IF(OR($C1083="",$D1083=""),"",IFERROR($D1083*INDEX(Mix_Eff,MATCH($C1083,Mix_Code,0),1),""))</f>
        <v/>
      </c>
      <c r="G1083" s="67" t="str">
        <f aca="false">IF(OR($C1083="",$D1083=""),"",IFERROR($D1083*INDEX(Mix_Eff,MATCH($C1083,Mix_Code,0),2),""))</f>
        <v/>
      </c>
      <c r="H1083" s="67" t="str">
        <f aca="false">IF(OR($C1083="",$D1083=""),"",IFERROR($D1083*INDEX(Mix_Eff,MATCH($C1083,Mix_Code,0),3),""))</f>
        <v/>
      </c>
      <c r="I1083" s="67" t="str">
        <f aca="false">IF(OR($C1083="",$D1083=""),"",IFERROR($D1083*INDEX(Mix_Eff,MATCH($C1083,Mix_Code,0),4),""))</f>
        <v/>
      </c>
      <c r="J1083" s="67" t="str">
        <f aca="false">IF(OR($C1083="",$D1083=""),"",IFERROR($D1083*INDEX(Mix_Eff,MATCH($C1083,Mix_Code,0),5),""))</f>
        <v/>
      </c>
      <c r="K1083" s="63"/>
      <c r="L1083" s="16" t="str">
        <f aca="false">IF(AND($A1083="",$B1083="",$C1083="",$D1083=""),"",IF($A1083="","⚠ Date missing",IF($B1083="","⚠ Site missing",IF(ISNA(MATCH($C1083,Mix_Code,0)),"⚠ Unknown mix code",IF($D1083="","⚠ Enter m3 produced",IF(COUNTIF(CI_Site,$B1083)=0,"⚠ Site not set up in Current Inventory",IF($A1083&gt;AsOfDate,"Future date – not yet deducted","OK")))))))</f>
        <v/>
      </c>
    </row>
    <row r="1084" customFormat="false" ht="15" hidden="false" customHeight="false" outlineLevel="0" collapsed="false">
      <c r="A1084" s="65"/>
      <c r="B1084" s="63"/>
      <c r="C1084" s="70"/>
      <c r="D1084" s="66"/>
      <c r="E1084" s="16" t="str">
        <f aca="false">IF($C1084="","",IFERROR(INDEX(Mix_Desc,MATCH($C1084,Mix_Code,0)),"⚠ Unknown mix code"))</f>
        <v/>
      </c>
      <c r="F1084" s="67" t="str">
        <f aca="false">IF(OR($C1084="",$D1084=""),"",IFERROR($D1084*INDEX(Mix_Eff,MATCH($C1084,Mix_Code,0),1),""))</f>
        <v/>
      </c>
      <c r="G1084" s="67" t="str">
        <f aca="false">IF(OR($C1084="",$D1084=""),"",IFERROR($D1084*INDEX(Mix_Eff,MATCH($C1084,Mix_Code,0),2),""))</f>
        <v/>
      </c>
      <c r="H1084" s="67" t="str">
        <f aca="false">IF(OR($C1084="",$D1084=""),"",IFERROR($D1084*INDEX(Mix_Eff,MATCH($C1084,Mix_Code,0),3),""))</f>
        <v/>
      </c>
      <c r="I1084" s="67" t="str">
        <f aca="false">IF(OR($C1084="",$D1084=""),"",IFERROR($D1084*INDEX(Mix_Eff,MATCH($C1084,Mix_Code,0),4),""))</f>
        <v/>
      </c>
      <c r="J1084" s="67" t="str">
        <f aca="false">IF(OR($C1084="",$D1084=""),"",IFERROR($D1084*INDEX(Mix_Eff,MATCH($C1084,Mix_Code,0),5),""))</f>
        <v/>
      </c>
      <c r="K1084" s="63"/>
      <c r="L1084" s="16" t="str">
        <f aca="false">IF(AND($A1084="",$B1084="",$C1084="",$D1084=""),"",IF($A1084="","⚠ Date missing",IF($B1084="","⚠ Site missing",IF(ISNA(MATCH($C1084,Mix_Code,0)),"⚠ Unknown mix code",IF($D1084="","⚠ Enter m3 produced",IF(COUNTIF(CI_Site,$B1084)=0,"⚠ Site not set up in Current Inventory",IF($A1084&gt;AsOfDate,"Future date – not yet deducted","OK")))))))</f>
        <v/>
      </c>
    </row>
    <row r="1085" customFormat="false" ht="15" hidden="false" customHeight="false" outlineLevel="0" collapsed="false">
      <c r="A1085" s="65"/>
      <c r="B1085" s="63"/>
      <c r="C1085" s="70"/>
      <c r="D1085" s="66"/>
      <c r="E1085" s="16" t="str">
        <f aca="false">IF($C1085="","",IFERROR(INDEX(Mix_Desc,MATCH($C1085,Mix_Code,0)),"⚠ Unknown mix code"))</f>
        <v/>
      </c>
      <c r="F1085" s="67" t="str">
        <f aca="false">IF(OR($C1085="",$D1085=""),"",IFERROR($D1085*INDEX(Mix_Eff,MATCH($C1085,Mix_Code,0),1),""))</f>
        <v/>
      </c>
      <c r="G1085" s="67" t="str">
        <f aca="false">IF(OR($C1085="",$D1085=""),"",IFERROR($D1085*INDEX(Mix_Eff,MATCH($C1085,Mix_Code,0),2),""))</f>
        <v/>
      </c>
      <c r="H1085" s="67" t="str">
        <f aca="false">IF(OR($C1085="",$D1085=""),"",IFERROR($D1085*INDEX(Mix_Eff,MATCH($C1085,Mix_Code,0),3),""))</f>
        <v/>
      </c>
      <c r="I1085" s="67" t="str">
        <f aca="false">IF(OR($C1085="",$D1085=""),"",IFERROR($D1085*INDEX(Mix_Eff,MATCH($C1085,Mix_Code,0),4),""))</f>
        <v/>
      </c>
      <c r="J1085" s="67" t="str">
        <f aca="false">IF(OR($C1085="",$D1085=""),"",IFERROR($D1085*INDEX(Mix_Eff,MATCH($C1085,Mix_Code,0),5),""))</f>
        <v/>
      </c>
      <c r="K1085" s="63"/>
      <c r="L1085" s="16" t="str">
        <f aca="false">IF(AND($A1085="",$B1085="",$C1085="",$D1085=""),"",IF($A1085="","⚠ Date missing",IF($B1085="","⚠ Site missing",IF(ISNA(MATCH($C1085,Mix_Code,0)),"⚠ Unknown mix code",IF($D1085="","⚠ Enter m3 produced",IF(COUNTIF(CI_Site,$B1085)=0,"⚠ Site not set up in Current Inventory",IF($A1085&gt;AsOfDate,"Future date – not yet deducted","OK")))))))</f>
        <v/>
      </c>
    </row>
    <row r="1086" customFormat="false" ht="15" hidden="false" customHeight="false" outlineLevel="0" collapsed="false">
      <c r="A1086" s="65"/>
      <c r="B1086" s="63"/>
      <c r="C1086" s="70"/>
      <c r="D1086" s="66"/>
      <c r="E1086" s="16" t="str">
        <f aca="false">IF($C1086="","",IFERROR(INDEX(Mix_Desc,MATCH($C1086,Mix_Code,0)),"⚠ Unknown mix code"))</f>
        <v/>
      </c>
      <c r="F1086" s="67" t="str">
        <f aca="false">IF(OR($C1086="",$D1086=""),"",IFERROR($D1086*INDEX(Mix_Eff,MATCH($C1086,Mix_Code,0),1),""))</f>
        <v/>
      </c>
      <c r="G1086" s="67" t="str">
        <f aca="false">IF(OR($C1086="",$D1086=""),"",IFERROR($D1086*INDEX(Mix_Eff,MATCH($C1086,Mix_Code,0),2),""))</f>
        <v/>
      </c>
      <c r="H1086" s="67" t="str">
        <f aca="false">IF(OR($C1086="",$D1086=""),"",IFERROR($D1086*INDEX(Mix_Eff,MATCH($C1086,Mix_Code,0),3),""))</f>
        <v/>
      </c>
      <c r="I1086" s="67" t="str">
        <f aca="false">IF(OR($C1086="",$D1086=""),"",IFERROR($D1086*INDEX(Mix_Eff,MATCH($C1086,Mix_Code,0),4),""))</f>
        <v/>
      </c>
      <c r="J1086" s="67" t="str">
        <f aca="false">IF(OR($C1086="",$D1086=""),"",IFERROR($D1086*INDEX(Mix_Eff,MATCH($C1086,Mix_Code,0),5),""))</f>
        <v/>
      </c>
      <c r="K1086" s="63"/>
      <c r="L1086" s="16" t="str">
        <f aca="false">IF(AND($A1086="",$B1086="",$C1086="",$D1086=""),"",IF($A1086="","⚠ Date missing",IF($B1086="","⚠ Site missing",IF(ISNA(MATCH($C1086,Mix_Code,0)),"⚠ Unknown mix code",IF($D1086="","⚠ Enter m3 produced",IF(COUNTIF(CI_Site,$B1086)=0,"⚠ Site not set up in Current Inventory",IF($A1086&gt;AsOfDate,"Future date – not yet deducted","OK")))))))</f>
        <v/>
      </c>
    </row>
    <row r="1087" customFormat="false" ht="15" hidden="false" customHeight="false" outlineLevel="0" collapsed="false">
      <c r="A1087" s="65"/>
      <c r="B1087" s="63"/>
      <c r="C1087" s="70"/>
      <c r="D1087" s="66"/>
      <c r="E1087" s="16" t="str">
        <f aca="false">IF($C1087="","",IFERROR(INDEX(Mix_Desc,MATCH($C1087,Mix_Code,0)),"⚠ Unknown mix code"))</f>
        <v/>
      </c>
      <c r="F1087" s="67" t="str">
        <f aca="false">IF(OR($C1087="",$D1087=""),"",IFERROR($D1087*INDEX(Mix_Eff,MATCH($C1087,Mix_Code,0),1),""))</f>
        <v/>
      </c>
      <c r="G1087" s="67" t="str">
        <f aca="false">IF(OR($C1087="",$D1087=""),"",IFERROR($D1087*INDEX(Mix_Eff,MATCH($C1087,Mix_Code,0),2),""))</f>
        <v/>
      </c>
      <c r="H1087" s="67" t="str">
        <f aca="false">IF(OR($C1087="",$D1087=""),"",IFERROR($D1087*INDEX(Mix_Eff,MATCH($C1087,Mix_Code,0),3),""))</f>
        <v/>
      </c>
      <c r="I1087" s="67" t="str">
        <f aca="false">IF(OR($C1087="",$D1087=""),"",IFERROR($D1087*INDEX(Mix_Eff,MATCH($C1087,Mix_Code,0),4),""))</f>
        <v/>
      </c>
      <c r="J1087" s="67" t="str">
        <f aca="false">IF(OR($C1087="",$D1087=""),"",IFERROR($D1087*INDEX(Mix_Eff,MATCH($C1087,Mix_Code,0),5),""))</f>
        <v/>
      </c>
      <c r="K1087" s="63"/>
      <c r="L1087" s="16" t="str">
        <f aca="false">IF(AND($A1087="",$B1087="",$C1087="",$D1087=""),"",IF($A1087="","⚠ Date missing",IF($B1087="","⚠ Site missing",IF(ISNA(MATCH($C1087,Mix_Code,0)),"⚠ Unknown mix code",IF($D1087="","⚠ Enter m3 produced",IF(COUNTIF(CI_Site,$B1087)=0,"⚠ Site not set up in Current Inventory",IF($A1087&gt;AsOfDate,"Future date – not yet deducted","OK")))))))</f>
        <v/>
      </c>
    </row>
    <row r="1088" customFormat="false" ht="15" hidden="false" customHeight="false" outlineLevel="0" collapsed="false">
      <c r="A1088" s="65"/>
      <c r="B1088" s="63"/>
      <c r="C1088" s="70"/>
      <c r="D1088" s="66"/>
      <c r="E1088" s="16" t="str">
        <f aca="false">IF($C1088="","",IFERROR(INDEX(Mix_Desc,MATCH($C1088,Mix_Code,0)),"⚠ Unknown mix code"))</f>
        <v/>
      </c>
      <c r="F1088" s="67" t="str">
        <f aca="false">IF(OR($C1088="",$D1088=""),"",IFERROR($D1088*INDEX(Mix_Eff,MATCH($C1088,Mix_Code,0),1),""))</f>
        <v/>
      </c>
      <c r="G1088" s="67" t="str">
        <f aca="false">IF(OR($C1088="",$D1088=""),"",IFERROR($D1088*INDEX(Mix_Eff,MATCH($C1088,Mix_Code,0),2),""))</f>
        <v/>
      </c>
      <c r="H1088" s="67" t="str">
        <f aca="false">IF(OR($C1088="",$D1088=""),"",IFERROR($D1088*INDEX(Mix_Eff,MATCH($C1088,Mix_Code,0),3),""))</f>
        <v/>
      </c>
      <c r="I1088" s="67" t="str">
        <f aca="false">IF(OR($C1088="",$D1088=""),"",IFERROR($D1088*INDEX(Mix_Eff,MATCH($C1088,Mix_Code,0),4),""))</f>
        <v/>
      </c>
      <c r="J1088" s="67" t="str">
        <f aca="false">IF(OR($C1088="",$D1088=""),"",IFERROR($D1088*INDEX(Mix_Eff,MATCH($C1088,Mix_Code,0),5),""))</f>
        <v/>
      </c>
      <c r="K1088" s="63"/>
      <c r="L1088" s="16" t="str">
        <f aca="false">IF(AND($A1088="",$B1088="",$C1088="",$D1088=""),"",IF($A1088="","⚠ Date missing",IF($B1088="","⚠ Site missing",IF(ISNA(MATCH($C1088,Mix_Code,0)),"⚠ Unknown mix code",IF($D1088="","⚠ Enter m3 produced",IF(COUNTIF(CI_Site,$B1088)=0,"⚠ Site not set up in Current Inventory",IF($A1088&gt;AsOfDate,"Future date – not yet deducted","OK")))))))</f>
        <v/>
      </c>
    </row>
    <row r="1089" customFormat="false" ht="15" hidden="false" customHeight="false" outlineLevel="0" collapsed="false">
      <c r="A1089" s="65"/>
      <c r="B1089" s="63"/>
      <c r="C1089" s="70"/>
      <c r="D1089" s="66"/>
      <c r="E1089" s="16" t="str">
        <f aca="false">IF($C1089="","",IFERROR(INDEX(Mix_Desc,MATCH($C1089,Mix_Code,0)),"⚠ Unknown mix code"))</f>
        <v/>
      </c>
      <c r="F1089" s="67" t="str">
        <f aca="false">IF(OR($C1089="",$D1089=""),"",IFERROR($D1089*INDEX(Mix_Eff,MATCH($C1089,Mix_Code,0),1),""))</f>
        <v/>
      </c>
      <c r="G1089" s="67" t="str">
        <f aca="false">IF(OR($C1089="",$D1089=""),"",IFERROR($D1089*INDEX(Mix_Eff,MATCH($C1089,Mix_Code,0),2),""))</f>
        <v/>
      </c>
      <c r="H1089" s="67" t="str">
        <f aca="false">IF(OR($C1089="",$D1089=""),"",IFERROR($D1089*INDEX(Mix_Eff,MATCH($C1089,Mix_Code,0),3),""))</f>
        <v/>
      </c>
      <c r="I1089" s="67" t="str">
        <f aca="false">IF(OR($C1089="",$D1089=""),"",IFERROR($D1089*INDEX(Mix_Eff,MATCH($C1089,Mix_Code,0),4),""))</f>
        <v/>
      </c>
      <c r="J1089" s="67" t="str">
        <f aca="false">IF(OR($C1089="",$D1089=""),"",IFERROR($D1089*INDEX(Mix_Eff,MATCH($C1089,Mix_Code,0),5),""))</f>
        <v/>
      </c>
      <c r="K1089" s="63"/>
      <c r="L1089" s="16" t="str">
        <f aca="false">IF(AND($A1089="",$B1089="",$C1089="",$D1089=""),"",IF($A1089="","⚠ Date missing",IF($B1089="","⚠ Site missing",IF(ISNA(MATCH($C1089,Mix_Code,0)),"⚠ Unknown mix code",IF($D1089="","⚠ Enter m3 produced",IF(COUNTIF(CI_Site,$B1089)=0,"⚠ Site not set up in Current Inventory",IF($A1089&gt;AsOfDate,"Future date – not yet deducted","OK")))))))</f>
        <v/>
      </c>
    </row>
    <row r="1090" customFormat="false" ht="15" hidden="false" customHeight="false" outlineLevel="0" collapsed="false">
      <c r="A1090" s="65"/>
      <c r="B1090" s="63"/>
      <c r="C1090" s="70"/>
      <c r="D1090" s="66"/>
      <c r="E1090" s="16" t="str">
        <f aca="false">IF($C1090="","",IFERROR(INDEX(Mix_Desc,MATCH($C1090,Mix_Code,0)),"⚠ Unknown mix code"))</f>
        <v/>
      </c>
      <c r="F1090" s="67" t="str">
        <f aca="false">IF(OR($C1090="",$D1090=""),"",IFERROR($D1090*INDEX(Mix_Eff,MATCH($C1090,Mix_Code,0),1),""))</f>
        <v/>
      </c>
      <c r="G1090" s="67" t="str">
        <f aca="false">IF(OR($C1090="",$D1090=""),"",IFERROR($D1090*INDEX(Mix_Eff,MATCH($C1090,Mix_Code,0),2),""))</f>
        <v/>
      </c>
      <c r="H1090" s="67" t="str">
        <f aca="false">IF(OR($C1090="",$D1090=""),"",IFERROR($D1090*INDEX(Mix_Eff,MATCH($C1090,Mix_Code,0),3),""))</f>
        <v/>
      </c>
      <c r="I1090" s="67" t="str">
        <f aca="false">IF(OR($C1090="",$D1090=""),"",IFERROR($D1090*INDEX(Mix_Eff,MATCH($C1090,Mix_Code,0),4),""))</f>
        <v/>
      </c>
      <c r="J1090" s="67" t="str">
        <f aca="false">IF(OR($C1090="",$D1090=""),"",IFERROR($D1090*INDEX(Mix_Eff,MATCH($C1090,Mix_Code,0),5),""))</f>
        <v/>
      </c>
      <c r="K1090" s="63"/>
      <c r="L1090" s="16" t="str">
        <f aca="false">IF(AND($A1090="",$B1090="",$C1090="",$D1090=""),"",IF($A1090="","⚠ Date missing",IF($B1090="","⚠ Site missing",IF(ISNA(MATCH($C1090,Mix_Code,0)),"⚠ Unknown mix code",IF($D1090="","⚠ Enter m3 produced",IF(COUNTIF(CI_Site,$B1090)=0,"⚠ Site not set up in Current Inventory",IF($A1090&gt;AsOfDate,"Future date – not yet deducted","OK")))))))</f>
        <v/>
      </c>
    </row>
    <row r="1091" customFormat="false" ht="15" hidden="false" customHeight="false" outlineLevel="0" collapsed="false">
      <c r="A1091" s="65"/>
      <c r="B1091" s="63"/>
      <c r="C1091" s="70"/>
      <c r="D1091" s="66"/>
      <c r="E1091" s="16" t="str">
        <f aca="false">IF($C1091="","",IFERROR(INDEX(Mix_Desc,MATCH($C1091,Mix_Code,0)),"⚠ Unknown mix code"))</f>
        <v/>
      </c>
      <c r="F1091" s="67" t="str">
        <f aca="false">IF(OR($C1091="",$D1091=""),"",IFERROR($D1091*INDEX(Mix_Eff,MATCH($C1091,Mix_Code,0),1),""))</f>
        <v/>
      </c>
      <c r="G1091" s="67" t="str">
        <f aca="false">IF(OR($C1091="",$D1091=""),"",IFERROR($D1091*INDEX(Mix_Eff,MATCH($C1091,Mix_Code,0),2),""))</f>
        <v/>
      </c>
      <c r="H1091" s="67" t="str">
        <f aca="false">IF(OR($C1091="",$D1091=""),"",IFERROR($D1091*INDEX(Mix_Eff,MATCH($C1091,Mix_Code,0),3),""))</f>
        <v/>
      </c>
      <c r="I1091" s="67" t="str">
        <f aca="false">IF(OR($C1091="",$D1091=""),"",IFERROR($D1091*INDEX(Mix_Eff,MATCH($C1091,Mix_Code,0),4),""))</f>
        <v/>
      </c>
      <c r="J1091" s="67" t="str">
        <f aca="false">IF(OR($C1091="",$D1091=""),"",IFERROR($D1091*INDEX(Mix_Eff,MATCH($C1091,Mix_Code,0),5),""))</f>
        <v/>
      </c>
      <c r="K1091" s="63"/>
      <c r="L1091" s="16" t="str">
        <f aca="false">IF(AND($A1091="",$B1091="",$C1091="",$D1091=""),"",IF($A1091="","⚠ Date missing",IF($B1091="","⚠ Site missing",IF(ISNA(MATCH($C1091,Mix_Code,0)),"⚠ Unknown mix code",IF($D1091="","⚠ Enter m3 produced",IF(COUNTIF(CI_Site,$B1091)=0,"⚠ Site not set up in Current Inventory",IF($A1091&gt;AsOfDate,"Future date – not yet deducted","OK")))))))</f>
        <v/>
      </c>
    </row>
    <row r="1092" customFormat="false" ht="15" hidden="false" customHeight="false" outlineLevel="0" collapsed="false">
      <c r="A1092" s="65"/>
      <c r="B1092" s="63"/>
      <c r="C1092" s="70"/>
      <c r="D1092" s="66"/>
      <c r="E1092" s="16" t="str">
        <f aca="false">IF($C1092="","",IFERROR(INDEX(Mix_Desc,MATCH($C1092,Mix_Code,0)),"⚠ Unknown mix code"))</f>
        <v/>
      </c>
      <c r="F1092" s="67" t="str">
        <f aca="false">IF(OR($C1092="",$D1092=""),"",IFERROR($D1092*INDEX(Mix_Eff,MATCH($C1092,Mix_Code,0),1),""))</f>
        <v/>
      </c>
      <c r="G1092" s="67" t="str">
        <f aca="false">IF(OR($C1092="",$D1092=""),"",IFERROR($D1092*INDEX(Mix_Eff,MATCH($C1092,Mix_Code,0),2),""))</f>
        <v/>
      </c>
      <c r="H1092" s="67" t="str">
        <f aca="false">IF(OR($C1092="",$D1092=""),"",IFERROR($D1092*INDEX(Mix_Eff,MATCH($C1092,Mix_Code,0),3),""))</f>
        <v/>
      </c>
      <c r="I1092" s="67" t="str">
        <f aca="false">IF(OR($C1092="",$D1092=""),"",IFERROR($D1092*INDEX(Mix_Eff,MATCH($C1092,Mix_Code,0),4),""))</f>
        <v/>
      </c>
      <c r="J1092" s="67" t="str">
        <f aca="false">IF(OR($C1092="",$D1092=""),"",IFERROR($D1092*INDEX(Mix_Eff,MATCH($C1092,Mix_Code,0),5),""))</f>
        <v/>
      </c>
      <c r="K1092" s="63"/>
      <c r="L1092" s="16" t="str">
        <f aca="false">IF(AND($A1092="",$B1092="",$C1092="",$D1092=""),"",IF($A1092="","⚠ Date missing",IF($B1092="","⚠ Site missing",IF(ISNA(MATCH($C1092,Mix_Code,0)),"⚠ Unknown mix code",IF($D1092="","⚠ Enter m3 produced",IF(COUNTIF(CI_Site,$B1092)=0,"⚠ Site not set up in Current Inventory",IF($A1092&gt;AsOfDate,"Future date – not yet deducted","OK")))))))</f>
        <v/>
      </c>
    </row>
    <row r="1093" customFormat="false" ht="15" hidden="false" customHeight="false" outlineLevel="0" collapsed="false">
      <c r="A1093" s="65"/>
      <c r="B1093" s="63"/>
      <c r="C1093" s="70"/>
      <c r="D1093" s="66"/>
      <c r="E1093" s="16" t="str">
        <f aca="false">IF($C1093="","",IFERROR(INDEX(Mix_Desc,MATCH($C1093,Mix_Code,0)),"⚠ Unknown mix code"))</f>
        <v/>
      </c>
      <c r="F1093" s="67" t="str">
        <f aca="false">IF(OR($C1093="",$D1093=""),"",IFERROR($D1093*INDEX(Mix_Eff,MATCH($C1093,Mix_Code,0),1),""))</f>
        <v/>
      </c>
      <c r="G1093" s="67" t="str">
        <f aca="false">IF(OR($C1093="",$D1093=""),"",IFERROR($D1093*INDEX(Mix_Eff,MATCH($C1093,Mix_Code,0),2),""))</f>
        <v/>
      </c>
      <c r="H1093" s="67" t="str">
        <f aca="false">IF(OR($C1093="",$D1093=""),"",IFERROR($D1093*INDEX(Mix_Eff,MATCH($C1093,Mix_Code,0),3),""))</f>
        <v/>
      </c>
      <c r="I1093" s="67" t="str">
        <f aca="false">IF(OR($C1093="",$D1093=""),"",IFERROR($D1093*INDEX(Mix_Eff,MATCH($C1093,Mix_Code,0),4),""))</f>
        <v/>
      </c>
      <c r="J1093" s="67" t="str">
        <f aca="false">IF(OR($C1093="",$D1093=""),"",IFERROR($D1093*INDEX(Mix_Eff,MATCH($C1093,Mix_Code,0),5),""))</f>
        <v/>
      </c>
      <c r="K1093" s="63"/>
      <c r="L1093" s="16" t="str">
        <f aca="false">IF(AND($A1093="",$B1093="",$C1093="",$D1093=""),"",IF($A1093="","⚠ Date missing",IF($B1093="","⚠ Site missing",IF(ISNA(MATCH($C1093,Mix_Code,0)),"⚠ Unknown mix code",IF($D1093="","⚠ Enter m3 produced",IF(COUNTIF(CI_Site,$B1093)=0,"⚠ Site not set up in Current Inventory",IF($A1093&gt;AsOfDate,"Future date – not yet deducted","OK")))))))</f>
        <v/>
      </c>
    </row>
    <row r="1094" customFormat="false" ht="15" hidden="false" customHeight="false" outlineLevel="0" collapsed="false">
      <c r="A1094" s="65"/>
      <c r="B1094" s="63"/>
      <c r="C1094" s="70"/>
      <c r="D1094" s="66"/>
      <c r="E1094" s="16" t="str">
        <f aca="false">IF($C1094="","",IFERROR(INDEX(Mix_Desc,MATCH($C1094,Mix_Code,0)),"⚠ Unknown mix code"))</f>
        <v/>
      </c>
      <c r="F1094" s="67" t="str">
        <f aca="false">IF(OR($C1094="",$D1094=""),"",IFERROR($D1094*INDEX(Mix_Eff,MATCH($C1094,Mix_Code,0),1),""))</f>
        <v/>
      </c>
      <c r="G1094" s="67" t="str">
        <f aca="false">IF(OR($C1094="",$D1094=""),"",IFERROR($D1094*INDEX(Mix_Eff,MATCH($C1094,Mix_Code,0),2),""))</f>
        <v/>
      </c>
      <c r="H1094" s="67" t="str">
        <f aca="false">IF(OR($C1094="",$D1094=""),"",IFERROR($D1094*INDEX(Mix_Eff,MATCH($C1094,Mix_Code,0),3),""))</f>
        <v/>
      </c>
      <c r="I1094" s="67" t="str">
        <f aca="false">IF(OR($C1094="",$D1094=""),"",IFERROR($D1094*INDEX(Mix_Eff,MATCH($C1094,Mix_Code,0),4),""))</f>
        <v/>
      </c>
      <c r="J1094" s="67" t="str">
        <f aca="false">IF(OR($C1094="",$D1094=""),"",IFERROR($D1094*INDEX(Mix_Eff,MATCH($C1094,Mix_Code,0),5),""))</f>
        <v/>
      </c>
      <c r="K1094" s="63"/>
      <c r="L1094" s="16" t="str">
        <f aca="false">IF(AND($A1094="",$B1094="",$C1094="",$D1094=""),"",IF($A1094="","⚠ Date missing",IF($B1094="","⚠ Site missing",IF(ISNA(MATCH($C1094,Mix_Code,0)),"⚠ Unknown mix code",IF($D1094="","⚠ Enter m3 produced",IF(COUNTIF(CI_Site,$B1094)=0,"⚠ Site not set up in Current Inventory",IF($A1094&gt;AsOfDate,"Future date – not yet deducted","OK")))))))</f>
        <v/>
      </c>
    </row>
    <row r="1095" customFormat="false" ht="15" hidden="false" customHeight="false" outlineLevel="0" collapsed="false">
      <c r="A1095" s="65"/>
      <c r="B1095" s="63"/>
      <c r="C1095" s="70"/>
      <c r="D1095" s="66"/>
      <c r="E1095" s="16" t="str">
        <f aca="false">IF($C1095="","",IFERROR(INDEX(Mix_Desc,MATCH($C1095,Mix_Code,0)),"⚠ Unknown mix code"))</f>
        <v/>
      </c>
      <c r="F1095" s="67" t="str">
        <f aca="false">IF(OR($C1095="",$D1095=""),"",IFERROR($D1095*INDEX(Mix_Eff,MATCH($C1095,Mix_Code,0),1),""))</f>
        <v/>
      </c>
      <c r="G1095" s="67" t="str">
        <f aca="false">IF(OR($C1095="",$D1095=""),"",IFERROR($D1095*INDEX(Mix_Eff,MATCH($C1095,Mix_Code,0),2),""))</f>
        <v/>
      </c>
      <c r="H1095" s="67" t="str">
        <f aca="false">IF(OR($C1095="",$D1095=""),"",IFERROR($D1095*INDEX(Mix_Eff,MATCH($C1095,Mix_Code,0),3),""))</f>
        <v/>
      </c>
      <c r="I1095" s="67" t="str">
        <f aca="false">IF(OR($C1095="",$D1095=""),"",IFERROR($D1095*INDEX(Mix_Eff,MATCH($C1095,Mix_Code,0),4),""))</f>
        <v/>
      </c>
      <c r="J1095" s="67" t="str">
        <f aca="false">IF(OR($C1095="",$D1095=""),"",IFERROR($D1095*INDEX(Mix_Eff,MATCH($C1095,Mix_Code,0),5),""))</f>
        <v/>
      </c>
      <c r="K1095" s="63"/>
      <c r="L1095" s="16" t="str">
        <f aca="false">IF(AND($A1095="",$B1095="",$C1095="",$D1095=""),"",IF($A1095="","⚠ Date missing",IF($B1095="","⚠ Site missing",IF(ISNA(MATCH($C1095,Mix_Code,0)),"⚠ Unknown mix code",IF($D1095="","⚠ Enter m3 produced",IF(COUNTIF(CI_Site,$B1095)=0,"⚠ Site not set up in Current Inventory",IF($A1095&gt;AsOfDate,"Future date – not yet deducted","OK")))))))</f>
        <v/>
      </c>
    </row>
    <row r="1096" customFormat="false" ht="15" hidden="false" customHeight="false" outlineLevel="0" collapsed="false">
      <c r="A1096" s="65"/>
      <c r="B1096" s="63"/>
      <c r="C1096" s="70"/>
      <c r="D1096" s="66"/>
      <c r="E1096" s="16" t="str">
        <f aca="false">IF($C1096="","",IFERROR(INDEX(Mix_Desc,MATCH($C1096,Mix_Code,0)),"⚠ Unknown mix code"))</f>
        <v/>
      </c>
      <c r="F1096" s="67" t="str">
        <f aca="false">IF(OR($C1096="",$D1096=""),"",IFERROR($D1096*INDEX(Mix_Eff,MATCH($C1096,Mix_Code,0),1),""))</f>
        <v/>
      </c>
      <c r="G1096" s="67" t="str">
        <f aca="false">IF(OR($C1096="",$D1096=""),"",IFERROR($D1096*INDEX(Mix_Eff,MATCH($C1096,Mix_Code,0),2),""))</f>
        <v/>
      </c>
      <c r="H1096" s="67" t="str">
        <f aca="false">IF(OR($C1096="",$D1096=""),"",IFERROR($D1096*INDEX(Mix_Eff,MATCH($C1096,Mix_Code,0),3),""))</f>
        <v/>
      </c>
      <c r="I1096" s="67" t="str">
        <f aca="false">IF(OR($C1096="",$D1096=""),"",IFERROR($D1096*INDEX(Mix_Eff,MATCH($C1096,Mix_Code,0),4),""))</f>
        <v/>
      </c>
      <c r="J1096" s="67" t="str">
        <f aca="false">IF(OR($C1096="",$D1096=""),"",IFERROR($D1096*INDEX(Mix_Eff,MATCH($C1096,Mix_Code,0),5),""))</f>
        <v/>
      </c>
      <c r="K1096" s="63"/>
      <c r="L1096" s="16" t="str">
        <f aca="false">IF(AND($A1096="",$B1096="",$C1096="",$D1096=""),"",IF($A1096="","⚠ Date missing",IF($B1096="","⚠ Site missing",IF(ISNA(MATCH($C1096,Mix_Code,0)),"⚠ Unknown mix code",IF($D1096="","⚠ Enter m3 produced",IF(COUNTIF(CI_Site,$B1096)=0,"⚠ Site not set up in Current Inventory",IF($A1096&gt;AsOfDate,"Future date – not yet deducted","OK")))))))</f>
        <v/>
      </c>
    </row>
    <row r="1097" customFormat="false" ht="15" hidden="false" customHeight="false" outlineLevel="0" collapsed="false">
      <c r="A1097" s="65"/>
      <c r="B1097" s="63"/>
      <c r="C1097" s="70"/>
      <c r="D1097" s="66"/>
      <c r="E1097" s="16" t="str">
        <f aca="false">IF($C1097="","",IFERROR(INDEX(Mix_Desc,MATCH($C1097,Mix_Code,0)),"⚠ Unknown mix code"))</f>
        <v/>
      </c>
      <c r="F1097" s="67" t="str">
        <f aca="false">IF(OR($C1097="",$D1097=""),"",IFERROR($D1097*INDEX(Mix_Eff,MATCH($C1097,Mix_Code,0),1),""))</f>
        <v/>
      </c>
      <c r="G1097" s="67" t="str">
        <f aca="false">IF(OR($C1097="",$D1097=""),"",IFERROR($D1097*INDEX(Mix_Eff,MATCH($C1097,Mix_Code,0),2),""))</f>
        <v/>
      </c>
      <c r="H1097" s="67" t="str">
        <f aca="false">IF(OR($C1097="",$D1097=""),"",IFERROR($D1097*INDEX(Mix_Eff,MATCH($C1097,Mix_Code,0),3),""))</f>
        <v/>
      </c>
      <c r="I1097" s="67" t="str">
        <f aca="false">IF(OR($C1097="",$D1097=""),"",IFERROR($D1097*INDEX(Mix_Eff,MATCH($C1097,Mix_Code,0),4),""))</f>
        <v/>
      </c>
      <c r="J1097" s="67" t="str">
        <f aca="false">IF(OR($C1097="",$D1097=""),"",IFERROR($D1097*INDEX(Mix_Eff,MATCH($C1097,Mix_Code,0),5),""))</f>
        <v/>
      </c>
      <c r="K1097" s="63"/>
      <c r="L1097" s="16" t="str">
        <f aca="false">IF(AND($A1097="",$B1097="",$C1097="",$D1097=""),"",IF($A1097="","⚠ Date missing",IF($B1097="","⚠ Site missing",IF(ISNA(MATCH($C1097,Mix_Code,0)),"⚠ Unknown mix code",IF($D1097="","⚠ Enter m3 produced",IF(COUNTIF(CI_Site,$B1097)=0,"⚠ Site not set up in Current Inventory",IF($A1097&gt;AsOfDate,"Future date – not yet deducted","OK")))))))</f>
        <v/>
      </c>
    </row>
    <row r="1098" customFormat="false" ht="15" hidden="false" customHeight="false" outlineLevel="0" collapsed="false">
      <c r="A1098" s="65"/>
      <c r="B1098" s="63"/>
      <c r="C1098" s="70"/>
      <c r="D1098" s="66"/>
      <c r="E1098" s="16" t="str">
        <f aca="false">IF($C1098="","",IFERROR(INDEX(Mix_Desc,MATCH($C1098,Mix_Code,0)),"⚠ Unknown mix code"))</f>
        <v/>
      </c>
      <c r="F1098" s="67" t="str">
        <f aca="false">IF(OR($C1098="",$D1098=""),"",IFERROR($D1098*INDEX(Mix_Eff,MATCH($C1098,Mix_Code,0),1),""))</f>
        <v/>
      </c>
      <c r="G1098" s="67" t="str">
        <f aca="false">IF(OR($C1098="",$D1098=""),"",IFERROR($D1098*INDEX(Mix_Eff,MATCH($C1098,Mix_Code,0),2),""))</f>
        <v/>
      </c>
      <c r="H1098" s="67" t="str">
        <f aca="false">IF(OR($C1098="",$D1098=""),"",IFERROR($D1098*INDEX(Mix_Eff,MATCH($C1098,Mix_Code,0),3),""))</f>
        <v/>
      </c>
      <c r="I1098" s="67" t="str">
        <f aca="false">IF(OR($C1098="",$D1098=""),"",IFERROR($D1098*INDEX(Mix_Eff,MATCH($C1098,Mix_Code,0),4),""))</f>
        <v/>
      </c>
      <c r="J1098" s="67" t="str">
        <f aca="false">IF(OR($C1098="",$D1098=""),"",IFERROR($D1098*INDEX(Mix_Eff,MATCH($C1098,Mix_Code,0),5),""))</f>
        <v/>
      </c>
      <c r="K1098" s="63"/>
      <c r="L1098" s="16" t="str">
        <f aca="false">IF(AND($A1098="",$B1098="",$C1098="",$D1098=""),"",IF($A1098="","⚠ Date missing",IF($B1098="","⚠ Site missing",IF(ISNA(MATCH($C1098,Mix_Code,0)),"⚠ Unknown mix code",IF($D1098="","⚠ Enter m3 produced",IF(COUNTIF(CI_Site,$B1098)=0,"⚠ Site not set up in Current Inventory",IF($A1098&gt;AsOfDate,"Future date – not yet deducted","OK")))))))</f>
        <v/>
      </c>
    </row>
    <row r="1099" customFormat="false" ht="15" hidden="false" customHeight="false" outlineLevel="0" collapsed="false">
      <c r="A1099" s="65"/>
      <c r="B1099" s="63"/>
      <c r="C1099" s="70"/>
      <c r="D1099" s="66"/>
      <c r="E1099" s="16" t="str">
        <f aca="false">IF($C1099="","",IFERROR(INDEX(Mix_Desc,MATCH($C1099,Mix_Code,0)),"⚠ Unknown mix code"))</f>
        <v/>
      </c>
      <c r="F1099" s="67" t="str">
        <f aca="false">IF(OR($C1099="",$D1099=""),"",IFERROR($D1099*INDEX(Mix_Eff,MATCH($C1099,Mix_Code,0),1),""))</f>
        <v/>
      </c>
      <c r="G1099" s="67" t="str">
        <f aca="false">IF(OR($C1099="",$D1099=""),"",IFERROR($D1099*INDEX(Mix_Eff,MATCH($C1099,Mix_Code,0),2),""))</f>
        <v/>
      </c>
      <c r="H1099" s="67" t="str">
        <f aca="false">IF(OR($C1099="",$D1099=""),"",IFERROR($D1099*INDEX(Mix_Eff,MATCH($C1099,Mix_Code,0),3),""))</f>
        <v/>
      </c>
      <c r="I1099" s="67" t="str">
        <f aca="false">IF(OR($C1099="",$D1099=""),"",IFERROR($D1099*INDEX(Mix_Eff,MATCH($C1099,Mix_Code,0),4),""))</f>
        <v/>
      </c>
      <c r="J1099" s="67" t="str">
        <f aca="false">IF(OR($C1099="",$D1099=""),"",IFERROR($D1099*INDEX(Mix_Eff,MATCH($C1099,Mix_Code,0),5),""))</f>
        <v/>
      </c>
      <c r="K1099" s="63"/>
      <c r="L1099" s="16" t="str">
        <f aca="false">IF(AND($A1099="",$B1099="",$C1099="",$D1099=""),"",IF($A1099="","⚠ Date missing",IF($B1099="","⚠ Site missing",IF(ISNA(MATCH($C1099,Mix_Code,0)),"⚠ Unknown mix code",IF($D1099="","⚠ Enter m3 produced",IF(COUNTIF(CI_Site,$B1099)=0,"⚠ Site not set up in Current Inventory",IF($A1099&gt;AsOfDate,"Future date – not yet deducted","OK")))))))</f>
        <v/>
      </c>
    </row>
    <row r="1100" customFormat="false" ht="15" hidden="false" customHeight="false" outlineLevel="0" collapsed="false">
      <c r="A1100" s="65"/>
      <c r="B1100" s="63"/>
      <c r="C1100" s="70"/>
      <c r="D1100" s="66"/>
      <c r="E1100" s="16" t="str">
        <f aca="false">IF($C1100="","",IFERROR(INDEX(Mix_Desc,MATCH($C1100,Mix_Code,0)),"⚠ Unknown mix code"))</f>
        <v/>
      </c>
      <c r="F1100" s="67" t="str">
        <f aca="false">IF(OR($C1100="",$D1100=""),"",IFERROR($D1100*INDEX(Mix_Eff,MATCH($C1100,Mix_Code,0),1),""))</f>
        <v/>
      </c>
      <c r="G1100" s="67" t="str">
        <f aca="false">IF(OR($C1100="",$D1100=""),"",IFERROR($D1100*INDEX(Mix_Eff,MATCH($C1100,Mix_Code,0),2),""))</f>
        <v/>
      </c>
      <c r="H1100" s="67" t="str">
        <f aca="false">IF(OR($C1100="",$D1100=""),"",IFERROR($D1100*INDEX(Mix_Eff,MATCH($C1100,Mix_Code,0),3),""))</f>
        <v/>
      </c>
      <c r="I1100" s="67" t="str">
        <f aca="false">IF(OR($C1100="",$D1100=""),"",IFERROR($D1100*INDEX(Mix_Eff,MATCH($C1100,Mix_Code,0),4),""))</f>
        <v/>
      </c>
      <c r="J1100" s="67" t="str">
        <f aca="false">IF(OR($C1100="",$D1100=""),"",IFERROR($D1100*INDEX(Mix_Eff,MATCH($C1100,Mix_Code,0),5),""))</f>
        <v/>
      </c>
      <c r="K1100" s="63"/>
      <c r="L1100" s="16" t="str">
        <f aca="false">IF(AND($A1100="",$B1100="",$C1100="",$D1100=""),"",IF($A1100="","⚠ Date missing",IF($B1100="","⚠ Site missing",IF(ISNA(MATCH($C1100,Mix_Code,0)),"⚠ Unknown mix code",IF($D1100="","⚠ Enter m3 produced",IF(COUNTIF(CI_Site,$B1100)=0,"⚠ Site not set up in Current Inventory",IF($A1100&gt;AsOfDate,"Future date – not yet deducted","OK")))))))</f>
        <v/>
      </c>
    </row>
    <row r="1101" customFormat="false" ht="15" hidden="false" customHeight="false" outlineLevel="0" collapsed="false">
      <c r="A1101" s="65"/>
      <c r="B1101" s="63"/>
      <c r="C1101" s="70"/>
      <c r="D1101" s="66"/>
      <c r="E1101" s="16" t="str">
        <f aca="false">IF($C1101="","",IFERROR(INDEX(Mix_Desc,MATCH($C1101,Mix_Code,0)),"⚠ Unknown mix code"))</f>
        <v/>
      </c>
      <c r="F1101" s="67" t="str">
        <f aca="false">IF(OR($C1101="",$D1101=""),"",IFERROR($D1101*INDEX(Mix_Eff,MATCH($C1101,Mix_Code,0),1),""))</f>
        <v/>
      </c>
      <c r="G1101" s="67" t="str">
        <f aca="false">IF(OR($C1101="",$D1101=""),"",IFERROR($D1101*INDEX(Mix_Eff,MATCH($C1101,Mix_Code,0),2),""))</f>
        <v/>
      </c>
      <c r="H1101" s="67" t="str">
        <f aca="false">IF(OR($C1101="",$D1101=""),"",IFERROR($D1101*INDEX(Mix_Eff,MATCH($C1101,Mix_Code,0),3),""))</f>
        <v/>
      </c>
      <c r="I1101" s="67" t="str">
        <f aca="false">IF(OR($C1101="",$D1101=""),"",IFERROR($D1101*INDEX(Mix_Eff,MATCH($C1101,Mix_Code,0),4),""))</f>
        <v/>
      </c>
      <c r="J1101" s="67" t="str">
        <f aca="false">IF(OR($C1101="",$D1101=""),"",IFERROR($D1101*INDEX(Mix_Eff,MATCH($C1101,Mix_Code,0),5),""))</f>
        <v/>
      </c>
      <c r="K1101" s="63"/>
      <c r="L1101" s="16" t="str">
        <f aca="false">IF(AND($A1101="",$B1101="",$C1101="",$D1101=""),"",IF($A1101="","⚠ Date missing",IF($B1101="","⚠ Site missing",IF(ISNA(MATCH($C1101,Mix_Code,0)),"⚠ Unknown mix code",IF($D1101="","⚠ Enter m3 produced",IF(COUNTIF(CI_Site,$B1101)=0,"⚠ Site not set up in Current Inventory",IF($A1101&gt;AsOfDate,"Future date – not yet deducted","OK")))))))</f>
        <v/>
      </c>
    </row>
    <row r="1102" customFormat="false" ht="15" hidden="false" customHeight="false" outlineLevel="0" collapsed="false">
      <c r="A1102" s="65"/>
      <c r="B1102" s="63"/>
      <c r="C1102" s="70"/>
      <c r="D1102" s="66"/>
      <c r="E1102" s="16" t="str">
        <f aca="false">IF($C1102="","",IFERROR(INDEX(Mix_Desc,MATCH($C1102,Mix_Code,0)),"⚠ Unknown mix code"))</f>
        <v/>
      </c>
      <c r="F1102" s="67" t="str">
        <f aca="false">IF(OR($C1102="",$D1102=""),"",IFERROR($D1102*INDEX(Mix_Eff,MATCH($C1102,Mix_Code,0),1),""))</f>
        <v/>
      </c>
      <c r="G1102" s="67" t="str">
        <f aca="false">IF(OR($C1102="",$D1102=""),"",IFERROR($D1102*INDEX(Mix_Eff,MATCH($C1102,Mix_Code,0),2),""))</f>
        <v/>
      </c>
      <c r="H1102" s="67" t="str">
        <f aca="false">IF(OR($C1102="",$D1102=""),"",IFERROR($D1102*INDEX(Mix_Eff,MATCH($C1102,Mix_Code,0),3),""))</f>
        <v/>
      </c>
      <c r="I1102" s="67" t="str">
        <f aca="false">IF(OR($C1102="",$D1102=""),"",IFERROR($D1102*INDEX(Mix_Eff,MATCH($C1102,Mix_Code,0),4),""))</f>
        <v/>
      </c>
      <c r="J1102" s="67" t="str">
        <f aca="false">IF(OR($C1102="",$D1102=""),"",IFERROR($D1102*INDEX(Mix_Eff,MATCH($C1102,Mix_Code,0),5),""))</f>
        <v/>
      </c>
      <c r="K1102" s="63"/>
      <c r="L1102" s="16" t="str">
        <f aca="false">IF(AND($A1102="",$B1102="",$C1102="",$D1102=""),"",IF($A1102="","⚠ Date missing",IF($B1102="","⚠ Site missing",IF(ISNA(MATCH($C1102,Mix_Code,0)),"⚠ Unknown mix code",IF($D1102="","⚠ Enter m3 produced",IF(COUNTIF(CI_Site,$B1102)=0,"⚠ Site not set up in Current Inventory",IF($A1102&gt;AsOfDate,"Future date – not yet deducted","OK")))))))</f>
        <v/>
      </c>
    </row>
    <row r="1103" customFormat="false" ht="15" hidden="false" customHeight="false" outlineLevel="0" collapsed="false">
      <c r="A1103" s="65"/>
      <c r="B1103" s="63"/>
      <c r="C1103" s="70"/>
      <c r="D1103" s="66"/>
      <c r="E1103" s="16" t="str">
        <f aca="false">IF($C1103="","",IFERROR(INDEX(Mix_Desc,MATCH($C1103,Mix_Code,0)),"⚠ Unknown mix code"))</f>
        <v/>
      </c>
      <c r="F1103" s="67" t="str">
        <f aca="false">IF(OR($C1103="",$D1103=""),"",IFERROR($D1103*INDEX(Mix_Eff,MATCH($C1103,Mix_Code,0),1),""))</f>
        <v/>
      </c>
      <c r="G1103" s="67" t="str">
        <f aca="false">IF(OR($C1103="",$D1103=""),"",IFERROR($D1103*INDEX(Mix_Eff,MATCH($C1103,Mix_Code,0),2),""))</f>
        <v/>
      </c>
      <c r="H1103" s="67" t="str">
        <f aca="false">IF(OR($C1103="",$D1103=""),"",IFERROR($D1103*INDEX(Mix_Eff,MATCH($C1103,Mix_Code,0),3),""))</f>
        <v/>
      </c>
      <c r="I1103" s="67" t="str">
        <f aca="false">IF(OR($C1103="",$D1103=""),"",IFERROR($D1103*INDEX(Mix_Eff,MATCH($C1103,Mix_Code,0),4),""))</f>
        <v/>
      </c>
      <c r="J1103" s="67" t="str">
        <f aca="false">IF(OR($C1103="",$D1103=""),"",IFERROR($D1103*INDEX(Mix_Eff,MATCH($C1103,Mix_Code,0),5),""))</f>
        <v/>
      </c>
      <c r="K1103" s="63"/>
      <c r="L1103" s="16" t="str">
        <f aca="false">IF(AND($A1103="",$B1103="",$C1103="",$D1103=""),"",IF($A1103="","⚠ Date missing",IF($B1103="","⚠ Site missing",IF(ISNA(MATCH($C1103,Mix_Code,0)),"⚠ Unknown mix code",IF($D1103="","⚠ Enter m3 produced",IF(COUNTIF(CI_Site,$B1103)=0,"⚠ Site not set up in Current Inventory",IF($A1103&gt;AsOfDate,"Future date – not yet deducted","OK")))))))</f>
        <v/>
      </c>
    </row>
    <row r="1104" customFormat="false" ht="15" hidden="false" customHeight="false" outlineLevel="0" collapsed="false">
      <c r="A1104" s="65"/>
      <c r="B1104" s="63"/>
      <c r="C1104" s="70"/>
      <c r="D1104" s="66"/>
      <c r="E1104" s="16" t="str">
        <f aca="false">IF($C1104="","",IFERROR(INDEX(Mix_Desc,MATCH($C1104,Mix_Code,0)),"⚠ Unknown mix code"))</f>
        <v/>
      </c>
      <c r="F1104" s="67" t="str">
        <f aca="false">IF(OR($C1104="",$D1104=""),"",IFERROR($D1104*INDEX(Mix_Eff,MATCH($C1104,Mix_Code,0),1),""))</f>
        <v/>
      </c>
      <c r="G1104" s="67" t="str">
        <f aca="false">IF(OR($C1104="",$D1104=""),"",IFERROR($D1104*INDEX(Mix_Eff,MATCH($C1104,Mix_Code,0),2),""))</f>
        <v/>
      </c>
      <c r="H1104" s="67" t="str">
        <f aca="false">IF(OR($C1104="",$D1104=""),"",IFERROR($D1104*INDEX(Mix_Eff,MATCH($C1104,Mix_Code,0),3),""))</f>
        <v/>
      </c>
      <c r="I1104" s="67" t="str">
        <f aca="false">IF(OR($C1104="",$D1104=""),"",IFERROR($D1104*INDEX(Mix_Eff,MATCH($C1104,Mix_Code,0),4),""))</f>
        <v/>
      </c>
      <c r="J1104" s="67" t="str">
        <f aca="false">IF(OR($C1104="",$D1104=""),"",IFERROR($D1104*INDEX(Mix_Eff,MATCH($C1104,Mix_Code,0),5),""))</f>
        <v/>
      </c>
      <c r="K1104" s="63"/>
      <c r="L1104" s="16" t="str">
        <f aca="false">IF(AND($A1104="",$B1104="",$C1104="",$D1104=""),"",IF($A1104="","⚠ Date missing",IF($B1104="","⚠ Site missing",IF(ISNA(MATCH($C1104,Mix_Code,0)),"⚠ Unknown mix code",IF($D1104="","⚠ Enter m3 produced",IF(COUNTIF(CI_Site,$B1104)=0,"⚠ Site not set up in Current Inventory",IF($A1104&gt;AsOfDate,"Future date – not yet deducted","OK")))))))</f>
        <v/>
      </c>
    </row>
    <row r="1105" customFormat="false" ht="15" hidden="false" customHeight="false" outlineLevel="0" collapsed="false">
      <c r="A1105" s="65"/>
      <c r="B1105" s="63"/>
      <c r="C1105" s="70"/>
      <c r="D1105" s="66"/>
      <c r="E1105" s="16" t="str">
        <f aca="false">IF($C1105="","",IFERROR(INDEX(Mix_Desc,MATCH($C1105,Mix_Code,0)),"⚠ Unknown mix code"))</f>
        <v/>
      </c>
      <c r="F1105" s="67" t="str">
        <f aca="false">IF(OR($C1105="",$D1105=""),"",IFERROR($D1105*INDEX(Mix_Eff,MATCH($C1105,Mix_Code,0),1),""))</f>
        <v/>
      </c>
      <c r="G1105" s="67" t="str">
        <f aca="false">IF(OR($C1105="",$D1105=""),"",IFERROR($D1105*INDEX(Mix_Eff,MATCH($C1105,Mix_Code,0),2),""))</f>
        <v/>
      </c>
      <c r="H1105" s="67" t="str">
        <f aca="false">IF(OR($C1105="",$D1105=""),"",IFERROR($D1105*INDEX(Mix_Eff,MATCH($C1105,Mix_Code,0),3),""))</f>
        <v/>
      </c>
      <c r="I1105" s="67" t="str">
        <f aca="false">IF(OR($C1105="",$D1105=""),"",IFERROR($D1105*INDEX(Mix_Eff,MATCH($C1105,Mix_Code,0),4),""))</f>
        <v/>
      </c>
      <c r="J1105" s="67" t="str">
        <f aca="false">IF(OR($C1105="",$D1105=""),"",IFERROR($D1105*INDEX(Mix_Eff,MATCH($C1105,Mix_Code,0),5),""))</f>
        <v/>
      </c>
      <c r="K1105" s="63"/>
      <c r="L1105" s="16" t="str">
        <f aca="false">IF(AND($A1105="",$B1105="",$C1105="",$D1105=""),"",IF($A1105="","⚠ Date missing",IF($B1105="","⚠ Site missing",IF(ISNA(MATCH($C1105,Mix_Code,0)),"⚠ Unknown mix code",IF($D1105="","⚠ Enter m3 produced",IF(COUNTIF(CI_Site,$B1105)=0,"⚠ Site not set up in Current Inventory",IF($A1105&gt;AsOfDate,"Future date – not yet deducted","OK")))))))</f>
        <v/>
      </c>
    </row>
    <row r="1106" customFormat="false" ht="15" hidden="false" customHeight="false" outlineLevel="0" collapsed="false">
      <c r="A1106" s="65"/>
      <c r="B1106" s="63"/>
      <c r="C1106" s="70"/>
      <c r="D1106" s="66"/>
      <c r="E1106" s="16" t="str">
        <f aca="false">IF($C1106="","",IFERROR(INDEX(Mix_Desc,MATCH($C1106,Mix_Code,0)),"⚠ Unknown mix code"))</f>
        <v/>
      </c>
      <c r="F1106" s="67" t="str">
        <f aca="false">IF(OR($C1106="",$D1106=""),"",IFERROR($D1106*INDEX(Mix_Eff,MATCH($C1106,Mix_Code,0),1),""))</f>
        <v/>
      </c>
      <c r="G1106" s="67" t="str">
        <f aca="false">IF(OR($C1106="",$D1106=""),"",IFERROR($D1106*INDEX(Mix_Eff,MATCH($C1106,Mix_Code,0),2),""))</f>
        <v/>
      </c>
      <c r="H1106" s="67" t="str">
        <f aca="false">IF(OR($C1106="",$D1106=""),"",IFERROR($D1106*INDEX(Mix_Eff,MATCH($C1106,Mix_Code,0),3),""))</f>
        <v/>
      </c>
      <c r="I1106" s="67" t="str">
        <f aca="false">IF(OR($C1106="",$D1106=""),"",IFERROR($D1106*INDEX(Mix_Eff,MATCH($C1106,Mix_Code,0),4),""))</f>
        <v/>
      </c>
      <c r="J1106" s="67" t="str">
        <f aca="false">IF(OR($C1106="",$D1106=""),"",IFERROR($D1106*INDEX(Mix_Eff,MATCH($C1106,Mix_Code,0),5),""))</f>
        <v/>
      </c>
      <c r="K1106" s="63"/>
      <c r="L1106" s="16" t="str">
        <f aca="false">IF(AND($A1106="",$B1106="",$C1106="",$D1106=""),"",IF($A1106="","⚠ Date missing",IF($B1106="","⚠ Site missing",IF(ISNA(MATCH($C1106,Mix_Code,0)),"⚠ Unknown mix code",IF($D1106="","⚠ Enter m3 produced",IF(COUNTIF(CI_Site,$B1106)=0,"⚠ Site not set up in Current Inventory",IF($A1106&gt;AsOfDate,"Future date – not yet deducted","OK")))))))</f>
        <v/>
      </c>
    </row>
    <row r="1107" customFormat="false" ht="15" hidden="false" customHeight="false" outlineLevel="0" collapsed="false">
      <c r="A1107" s="65"/>
      <c r="B1107" s="63"/>
      <c r="C1107" s="70"/>
      <c r="D1107" s="66"/>
      <c r="E1107" s="16" t="str">
        <f aca="false">IF($C1107="","",IFERROR(INDEX(Mix_Desc,MATCH($C1107,Mix_Code,0)),"⚠ Unknown mix code"))</f>
        <v/>
      </c>
      <c r="F1107" s="67" t="str">
        <f aca="false">IF(OR($C1107="",$D1107=""),"",IFERROR($D1107*INDEX(Mix_Eff,MATCH($C1107,Mix_Code,0),1),""))</f>
        <v/>
      </c>
      <c r="G1107" s="67" t="str">
        <f aca="false">IF(OR($C1107="",$D1107=""),"",IFERROR($D1107*INDEX(Mix_Eff,MATCH($C1107,Mix_Code,0),2),""))</f>
        <v/>
      </c>
      <c r="H1107" s="67" t="str">
        <f aca="false">IF(OR($C1107="",$D1107=""),"",IFERROR($D1107*INDEX(Mix_Eff,MATCH($C1107,Mix_Code,0),3),""))</f>
        <v/>
      </c>
      <c r="I1107" s="67" t="str">
        <f aca="false">IF(OR($C1107="",$D1107=""),"",IFERROR($D1107*INDEX(Mix_Eff,MATCH($C1107,Mix_Code,0),4),""))</f>
        <v/>
      </c>
      <c r="J1107" s="67" t="str">
        <f aca="false">IF(OR($C1107="",$D1107=""),"",IFERROR($D1107*INDEX(Mix_Eff,MATCH($C1107,Mix_Code,0),5),""))</f>
        <v/>
      </c>
      <c r="K1107" s="63"/>
      <c r="L1107" s="16" t="str">
        <f aca="false">IF(AND($A1107="",$B1107="",$C1107="",$D1107=""),"",IF($A1107="","⚠ Date missing",IF($B1107="","⚠ Site missing",IF(ISNA(MATCH($C1107,Mix_Code,0)),"⚠ Unknown mix code",IF($D1107="","⚠ Enter m3 produced",IF(COUNTIF(CI_Site,$B1107)=0,"⚠ Site not set up in Current Inventory",IF($A1107&gt;AsOfDate,"Future date – not yet deducted","OK")))))))</f>
        <v/>
      </c>
    </row>
    <row r="1108" customFormat="false" ht="15" hidden="false" customHeight="false" outlineLevel="0" collapsed="false">
      <c r="A1108" s="65"/>
      <c r="B1108" s="63"/>
      <c r="C1108" s="70"/>
      <c r="D1108" s="66"/>
      <c r="E1108" s="16" t="str">
        <f aca="false">IF($C1108="","",IFERROR(INDEX(Mix_Desc,MATCH($C1108,Mix_Code,0)),"⚠ Unknown mix code"))</f>
        <v/>
      </c>
      <c r="F1108" s="67" t="str">
        <f aca="false">IF(OR($C1108="",$D1108=""),"",IFERROR($D1108*INDEX(Mix_Eff,MATCH($C1108,Mix_Code,0),1),""))</f>
        <v/>
      </c>
      <c r="G1108" s="67" t="str">
        <f aca="false">IF(OR($C1108="",$D1108=""),"",IFERROR($D1108*INDEX(Mix_Eff,MATCH($C1108,Mix_Code,0),2),""))</f>
        <v/>
      </c>
      <c r="H1108" s="67" t="str">
        <f aca="false">IF(OR($C1108="",$D1108=""),"",IFERROR($D1108*INDEX(Mix_Eff,MATCH($C1108,Mix_Code,0),3),""))</f>
        <v/>
      </c>
      <c r="I1108" s="67" t="str">
        <f aca="false">IF(OR($C1108="",$D1108=""),"",IFERROR($D1108*INDEX(Mix_Eff,MATCH($C1108,Mix_Code,0),4),""))</f>
        <v/>
      </c>
      <c r="J1108" s="67" t="str">
        <f aca="false">IF(OR($C1108="",$D1108=""),"",IFERROR($D1108*INDEX(Mix_Eff,MATCH($C1108,Mix_Code,0),5),""))</f>
        <v/>
      </c>
      <c r="K1108" s="63"/>
      <c r="L1108" s="16" t="str">
        <f aca="false">IF(AND($A1108="",$B1108="",$C1108="",$D1108=""),"",IF($A1108="","⚠ Date missing",IF($B1108="","⚠ Site missing",IF(ISNA(MATCH($C1108,Mix_Code,0)),"⚠ Unknown mix code",IF($D1108="","⚠ Enter m3 produced",IF(COUNTIF(CI_Site,$B1108)=0,"⚠ Site not set up in Current Inventory",IF($A1108&gt;AsOfDate,"Future date – not yet deducted","OK")))))))</f>
        <v/>
      </c>
    </row>
    <row r="1109" customFormat="false" ht="15" hidden="false" customHeight="false" outlineLevel="0" collapsed="false">
      <c r="A1109" s="65"/>
      <c r="B1109" s="63"/>
      <c r="C1109" s="70"/>
      <c r="D1109" s="66"/>
      <c r="E1109" s="16" t="str">
        <f aca="false">IF($C1109="","",IFERROR(INDEX(Mix_Desc,MATCH($C1109,Mix_Code,0)),"⚠ Unknown mix code"))</f>
        <v/>
      </c>
      <c r="F1109" s="67" t="str">
        <f aca="false">IF(OR($C1109="",$D1109=""),"",IFERROR($D1109*INDEX(Mix_Eff,MATCH($C1109,Mix_Code,0),1),""))</f>
        <v/>
      </c>
      <c r="G1109" s="67" t="str">
        <f aca="false">IF(OR($C1109="",$D1109=""),"",IFERROR($D1109*INDEX(Mix_Eff,MATCH($C1109,Mix_Code,0),2),""))</f>
        <v/>
      </c>
      <c r="H1109" s="67" t="str">
        <f aca="false">IF(OR($C1109="",$D1109=""),"",IFERROR($D1109*INDEX(Mix_Eff,MATCH($C1109,Mix_Code,0),3),""))</f>
        <v/>
      </c>
      <c r="I1109" s="67" t="str">
        <f aca="false">IF(OR($C1109="",$D1109=""),"",IFERROR($D1109*INDEX(Mix_Eff,MATCH($C1109,Mix_Code,0),4),""))</f>
        <v/>
      </c>
      <c r="J1109" s="67" t="str">
        <f aca="false">IF(OR($C1109="",$D1109=""),"",IFERROR($D1109*INDEX(Mix_Eff,MATCH($C1109,Mix_Code,0),5),""))</f>
        <v/>
      </c>
      <c r="K1109" s="63"/>
      <c r="L1109" s="16" t="str">
        <f aca="false">IF(AND($A1109="",$B1109="",$C1109="",$D1109=""),"",IF($A1109="","⚠ Date missing",IF($B1109="","⚠ Site missing",IF(ISNA(MATCH($C1109,Mix_Code,0)),"⚠ Unknown mix code",IF($D1109="","⚠ Enter m3 produced",IF(COUNTIF(CI_Site,$B1109)=0,"⚠ Site not set up in Current Inventory",IF($A1109&gt;AsOfDate,"Future date – not yet deducted","OK")))))))</f>
        <v/>
      </c>
    </row>
    <row r="1110" customFormat="false" ht="15" hidden="false" customHeight="false" outlineLevel="0" collapsed="false">
      <c r="A1110" s="65"/>
      <c r="B1110" s="63"/>
      <c r="C1110" s="70"/>
      <c r="D1110" s="66"/>
      <c r="E1110" s="16" t="str">
        <f aca="false">IF($C1110="","",IFERROR(INDEX(Mix_Desc,MATCH($C1110,Mix_Code,0)),"⚠ Unknown mix code"))</f>
        <v/>
      </c>
      <c r="F1110" s="67" t="str">
        <f aca="false">IF(OR($C1110="",$D1110=""),"",IFERROR($D1110*INDEX(Mix_Eff,MATCH($C1110,Mix_Code,0),1),""))</f>
        <v/>
      </c>
      <c r="G1110" s="67" t="str">
        <f aca="false">IF(OR($C1110="",$D1110=""),"",IFERROR($D1110*INDEX(Mix_Eff,MATCH($C1110,Mix_Code,0),2),""))</f>
        <v/>
      </c>
      <c r="H1110" s="67" t="str">
        <f aca="false">IF(OR($C1110="",$D1110=""),"",IFERROR($D1110*INDEX(Mix_Eff,MATCH($C1110,Mix_Code,0),3),""))</f>
        <v/>
      </c>
      <c r="I1110" s="67" t="str">
        <f aca="false">IF(OR($C1110="",$D1110=""),"",IFERROR($D1110*INDEX(Mix_Eff,MATCH($C1110,Mix_Code,0),4),""))</f>
        <v/>
      </c>
      <c r="J1110" s="67" t="str">
        <f aca="false">IF(OR($C1110="",$D1110=""),"",IFERROR($D1110*INDEX(Mix_Eff,MATCH($C1110,Mix_Code,0),5),""))</f>
        <v/>
      </c>
      <c r="K1110" s="63"/>
      <c r="L1110" s="16" t="str">
        <f aca="false">IF(AND($A1110="",$B1110="",$C1110="",$D1110=""),"",IF($A1110="","⚠ Date missing",IF($B1110="","⚠ Site missing",IF(ISNA(MATCH($C1110,Mix_Code,0)),"⚠ Unknown mix code",IF($D1110="","⚠ Enter m3 produced",IF(COUNTIF(CI_Site,$B1110)=0,"⚠ Site not set up in Current Inventory",IF($A1110&gt;AsOfDate,"Future date – not yet deducted","OK")))))))</f>
        <v/>
      </c>
    </row>
    <row r="1111" customFormat="false" ht="15" hidden="false" customHeight="false" outlineLevel="0" collapsed="false">
      <c r="A1111" s="65"/>
      <c r="B1111" s="63"/>
      <c r="C1111" s="70"/>
      <c r="D1111" s="66"/>
      <c r="E1111" s="16" t="str">
        <f aca="false">IF($C1111="","",IFERROR(INDEX(Mix_Desc,MATCH($C1111,Mix_Code,0)),"⚠ Unknown mix code"))</f>
        <v/>
      </c>
      <c r="F1111" s="67" t="str">
        <f aca="false">IF(OR($C1111="",$D1111=""),"",IFERROR($D1111*INDEX(Mix_Eff,MATCH($C1111,Mix_Code,0),1),""))</f>
        <v/>
      </c>
      <c r="G1111" s="67" t="str">
        <f aca="false">IF(OR($C1111="",$D1111=""),"",IFERROR($D1111*INDEX(Mix_Eff,MATCH($C1111,Mix_Code,0),2),""))</f>
        <v/>
      </c>
      <c r="H1111" s="67" t="str">
        <f aca="false">IF(OR($C1111="",$D1111=""),"",IFERROR($D1111*INDEX(Mix_Eff,MATCH($C1111,Mix_Code,0),3),""))</f>
        <v/>
      </c>
      <c r="I1111" s="67" t="str">
        <f aca="false">IF(OR($C1111="",$D1111=""),"",IFERROR($D1111*INDEX(Mix_Eff,MATCH($C1111,Mix_Code,0),4),""))</f>
        <v/>
      </c>
      <c r="J1111" s="67" t="str">
        <f aca="false">IF(OR($C1111="",$D1111=""),"",IFERROR($D1111*INDEX(Mix_Eff,MATCH($C1111,Mix_Code,0),5),""))</f>
        <v/>
      </c>
      <c r="K1111" s="63"/>
      <c r="L1111" s="16" t="str">
        <f aca="false">IF(AND($A1111="",$B1111="",$C1111="",$D1111=""),"",IF($A1111="","⚠ Date missing",IF($B1111="","⚠ Site missing",IF(ISNA(MATCH($C1111,Mix_Code,0)),"⚠ Unknown mix code",IF($D1111="","⚠ Enter m3 produced",IF(COUNTIF(CI_Site,$B1111)=0,"⚠ Site not set up in Current Inventory",IF($A1111&gt;AsOfDate,"Future date – not yet deducted","OK")))))))</f>
        <v/>
      </c>
    </row>
    <row r="1112" customFormat="false" ht="15" hidden="false" customHeight="false" outlineLevel="0" collapsed="false">
      <c r="A1112" s="65"/>
      <c r="B1112" s="63"/>
      <c r="C1112" s="70"/>
      <c r="D1112" s="66"/>
      <c r="E1112" s="16" t="str">
        <f aca="false">IF($C1112="","",IFERROR(INDEX(Mix_Desc,MATCH($C1112,Mix_Code,0)),"⚠ Unknown mix code"))</f>
        <v/>
      </c>
      <c r="F1112" s="67" t="str">
        <f aca="false">IF(OR($C1112="",$D1112=""),"",IFERROR($D1112*INDEX(Mix_Eff,MATCH($C1112,Mix_Code,0),1),""))</f>
        <v/>
      </c>
      <c r="G1112" s="67" t="str">
        <f aca="false">IF(OR($C1112="",$D1112=""),"",IFERROR($D1112*INDEX(Mix_Eff,MATCH($C1112,Mix_Code,0),2),""))</f>
        <v/>
      </c>
      <c r="H1112" s="67" t="str">
        <f aca="false">IF(OR($C1112="",$D1112=""),"",IFERROR($D1112*INDEX(Mix_Eff,MATCH($C1112,Mix_Code,0),3),""))</f>
        <v/>
      </c>
      <c r="I1112" s="67" t="str">
        <f aca="false">IF(OR($C1112="",$D1112=""),"",IFERROR($D1112*INDEX(Mix_Eff,MATCH($C1112,Mix_Code,0),4),""))</f>
        <v/>
      </c>
      <c r="J1112" s="67" t="str">
        <f aca="false">IF(OR($C1112="",$D1112=""),"",IFERROR($D1112*INDEX(Mix_Eff,MATCH($C1112,Mix_Code,0),5),""))</f>
        <v/>
      </c>
      <c r="K1112" s="63"/>
      <c r="L1112" s="16" t="str">
        <f aca="false">IF(AND($A1112="",$B1112="",$C1112="",$D1112=""),"",IF($A1112="","⚠ Date missing",IF($B1112="","⚠ Site missing",IF(ISNA(MATCH($C1112,Mix_Code,0)),"⚠ Unknown mix code",IF($D1112="","⚠ Enter m3 produced",IF(COUNTIF(CI_Site,$B1112)=0,"⚠ Site not set up in Current Inventory",IF($A1112&gt;AsOfDate,"Future date – not yet deducted","OK")))))))</f>
        <v/>
      </c>
    </row>
    <row r="1113" customFormat="false" ht="15" hidden="false" customHeight="false" outlineLevel="0" collapsed="false">
      <c r="A1113" s="65"/>
      <c r="B1113" s="63"/>
      <c r="C1113" s="70"/>
      <c r="D1113" s="66"/>
      <c r="E1113" s="16" t="str">
        <f aca="false">IF($C1113="","",IFERROR(INDEX(Mix_Desc,MATCH($C1113,Mix_Code,0)),"⚠ Unknown mix code"))</f>
        <v/>
      </c>
      <c r="F1113" s="67" t="str">
        <f aca="false">IF(OR($C1113="",$D1113=""),"",IFERROR($D1113*INDEX(Mix_Eff,MATCH($C1113,Mix_Code,0),1),""))</f>
        <v/>
      </c>
      <c r="G1113" s="67" t="str">
        <f aca="false">IF(OR($C1113="",$D1113=""),"",IFERROR($D1113*INDEX(Mix_Eff,MATCH($C1113,Mix_Code,0),2),""))</f>
        <v/>
      </c>
      <c r="H1113" s="67" t="str">
        <f aca="false">IF(OR($C1113="",$D1113=""),"",IFERROR($D1113*INDEX(Mix_Eff,MATCH($C1113,Mix_Code,0),3),""))</f>
        <v/>
      </c>
      <c r="I1113" s="67" t="str">
        <f aca="false">IF(OR($C1113="",$D1113=""),"",IFERROR($D1113*INDEX(Mix_Eff,MATCH($C1113,Mix_Code,0),4),""))</f>
        <v/>
      </c>
      <c r="J1113" s="67" t="str">
        <f aca="false">IF(OR($C1113="",$D1113=""),"",IFERROR($D1113*INDEX(Mix_Eff,MATCH($C1113,Mix_Code,0),5),""))</f>
        <v/>
      </c>
      <c r="K1113" s="63"/>
      <c r="L1113" s="16" t="str">
        <f aca="false">IF(AND($A1113="",$B1113="",$C1113="",$D1113=""),"",IF($A1113="","⚠ Date missing",IF($B1113="","⚠ Site missing",IF(ISNA(MATCH($C1113,Mix_Code,0)),"⚠ Unknown mix code",IF($D1113="","⚠ Enter m3 produced",IF(COUNTIF(CI_Site,$B1113)=0,"⚠ Site not set up in Current Inventory",IF($A1113&gt;AsOfDate,"Future date – not yet deducted","OK")))))))</f>
        <v/>
      </c>
    </row>
    <row r="1114" customFormat="false" ht="15" hidden="false" customHeight="false" outlineLevel="0" collapsed="false">
      <c r="A1114" s="65"/>
      <c r="B1114" s="63"/>
      <c r="C1114" s="70"/>
      <c r="D1114" s="66"/>
      <c r="E1114" s="16" t="str">
        <f aca="false">IF($C1114="","",IFERROR(INDEX(Mix_Desc,MATCH($C1114,Mix_Code,0)),"⚠ Unknown mix code"))</f>
        <v/>
      </c>
      <c r="F1114" s="67" t="str">
        <f aca="false">IF(OR($C1114="",$D1114=""),"",IFERROR($D1114*INDEX(Mix_Eff,MATCH($C1114,Mix_Code,0),1),""))</f>
        <v/>
      </c>
      <c r="G1114" s="67" t="str">
        <f aca="false">IF(OR($C1114="",$D1114=""),"",IFERROR($D1114*INDEX(Mix_Eff,MATCH($C1114,Mix_Code,0),2),""))</f>
        <v/>
      </c>
      <c r="H1114" s="67" t="str">
        <f aca="false">IF(OR($C1114="",$D1114=""),"",IFERROR($D1114*INDEX(Mix_Eff,MATCH($C1114,Mix_Code,0),3),""))</f>
        <v/>
      </c>
      <c r="I1114" s="67" t="str">
        <f aca="false">IF(OR($C1114="",$D1114=""),"",IFERROR($D1114*INDEX(Mix_Eff,MATCH($C1114,Mix_Code,0),4),""))</f>
        <v/>
      </c>
      <c r="J1114" s="67" t="str">
        <f aca="false">IF(OR($C1114="",$D1114=""),"",IFERROR($D1114*INDEX(Mix_Eff,MATCH($C1114,Mix_Code,0),5),""))</f>
        <v/>
      </c>
      <c r="K1114" s="63"/>
      <c r="L1114" s="16" t="str">
        <f aca="false">IF(AND($A1114="",$B1114="",$C1114="",$D1114=""),"",IF($A1114="","⚠ Date missing",IF($B1114="","⚠ Site missing",IF(ISNA(MATCH($C1114,Mix_Code,0)),"⚠ Unknown mix code",IF($D1114="","⚠ Enter m3 produced",IF(COUNTIF(CI_Site,$B1114)=0,"⚠ Site not set up in Current Inventory",IF($A1114&gt;AsOfDate,"Future date – not yet deducted","OK")))))))</f>
        <v/>
      </c>
    </row>
    <row r="1115" customFormat="false" ht="15" hidden="false" customHeight="false" outlineLevel="0" collapsed="false">
      <c r="A1115" s="65"/>
      <c r="B1115" s="63"/>
      <c r="C1115" s="70"/>
      <c r="D1115" s="66"/>
      <c r="E1115" s="16" t="str">
        <f aca="false">IF($C1115="","",IFERROR(INDEX(Mix_Desc,MATCH($C1115,Mix_Code,0)),"⚠ Unknown mix code"))</f>
        <v/>
      </c>
      <c r="F1115" s="67" t="str">
        <f aca="false">IF(OR($C1115="",$D1115=""),"",IFERROR($D1115*INDEX(Mix_Eff,MATCH($C1115,Mix_Code,0),1),""))</f>
        <v/>
      </c>
      <c r="G1115" s="67" t="str">
        <f aca="false">IF(OR($C1115="",$D1115=""),"",IFERROR($D1115*INDEX(Mix_Eff,MATCH($C1115,Mix_Code,0),2),""))</f>
        <v/>
      </c>
      <c r="H1115" s="67" t="str">
        <f aca="false">IF(OR($C1115="",$D1115=""),"",IFERROR($D1115*INDEX(Mix_Eff,MATCH($C1115,Mix_Code,0),3),""))</f>
        <v/>
      </c>
      <c r="I1115" s="67" t="str">
        <f aca="false">IF(OR($C1115="",$D1115=""),"",IFERROR($D1115*INDEX(Mix_Eff,MATCH($C1115,Mix_Code,0),4),""))</f>
        <v/>
      </c>
      <c r="J1115" s="67" t="str">
        <f aca="false">IF(OR($C1115="",$D1115=""),"",IFERROR($D1115*INDEX(Mix_Eff,MATCH($C1115,Mix_Code,0),5),""))</f>
        <v/>
      </c>
      <c r="K1115" s="63"/>
      <c r="L1115" s="16" t="str">
        <f aca="false">IF(AND($A1115="",$B1115="",$C1115="",$D1115=""),"",IF($A1115="","⚠ Date missing",IF($B1115="","⚠ Site missing",IF(ISNA(MATCH($C1115,Mix_Code,0)),"⚠ Unknown mix code",IF($D1115="","⚠ Enter m3 produced",IF(COUNTIF(CI_Site,$B1115)=0,"⚠ Site not set up in Current Inventory",IF($A1115&gt;AsOfDate,"Future date – not yet deducted","OK")))))))</f>
        <v/>
      </c>
    </row>
    <row r="1116" customFormat="false" ht="15" hidden="false" customHeight="false" outlineLevel="0" collapsed="false">
      <c r="A1116" s="65"/>
      <c r="B1116" s="63"/>
      <c r="C1116" s="70"/>
      <c r="D1116" s="66"/>
      <c r="E1116" s="16" t="str">
        <f aca="false">IF($C1116="","",IFERROR(INDEX(Mix_Desc,MATCH($C1116,Mix_Code,0)),"⚠ Unknown mix code"))</f>
        <v/>
      </c>
      <c r="F1116" s="67" t="str">
        <f aca="false">IF(OR($C1116="",$D1116=""),"",IFERROR($D1116*INDEX(Mix_Eff,MATCH($C1116,Mix_Code,0),1),""))</f>
        <v/>
      </c>
      <c r="G1116" s="67" t="str">
        <f aca="false">IF(OR($C1116="",$D1116=""),"",IFERROR($D1116*INDEX(Mix_Eff,MATCH($C1116,Mix_Code,0),2),""))</f>
        <v/>
      </c>
      <c r="H1116" s="67" t="str">
        <f aca="false">IF(OR($C1116="",$D1116=""),"",IFERROR($D1116*INDEX(Mix_Eff,MATCH($C1116,Mix_Code,0),3),""))</f>
        <v/>
      </c>
      <c r="I1116" s="67" t="str">
        <f aca="false">IF(OR($C1116="",$D1116=""),"",IFERROR($D1116*INDEX(Mix_Eff,MATCH($C1116,Mix_Code,0),4),""))</f>
        <v/>
      </c>
      <c r="J1116" s="67" t="str">
        <f aca="false">IF(OR($C1116="",$D1116=""),"",IFERROR($D1116*INDEX(Mix_Eff,MATCH($C1116,Mix_Code,0),5),""))</f>
        <v/>
      </c>
      <c r="K1116" s="63"/>
      <c r="L1116" s="16" t="str">
        <f aca="false">IF(AND($A1116="",$B1116="",$C1116="",$D1116=""),"",IF($A1116="","⚠ Date missing",IF($B1116="","⚠ Site missing",IF(ISNA(MATCH($C1116,Mix_Code,0)),"⚠ Unknown mix code",IF($D1116="","⚠ Enter m3 produced",IF(COUNTIF(CI_Site,$B1116)=0,"⚠ Site not set up in Current Inventory",IF($A1116&gt;AsOfDate,"Future date – not yet deducted","OK")))))))</f>
        <v/>
      </c>
    </row>
    <row r="1117" customFormat="false" ht="15" hidden="false" customHeight="false" outlineLevel="0" collapsed="false">
      <c r="A1117" s="65"/>
      <c r="B1117" s="63"/>
      <c r="C1117" s="70"/>
      <c r="D1117" s="66"/>
      <c r="E1117" s="16" t="str">
        <f aca="false">IF($C1117="","",IFERROR(INDEX(Mix_Desc,MATCH($C1117,Mix_Code,0)),"⚠ Unknown mix code"))</f>
        <v/>
      </c>
      <c r="F1117" s="67" t="str">
        <f aca="false">IF(OR($C1117="",$D1117=""),"",IFERROR($D1117*INDEX(Mix_Eff,MATCH($C1117,Mix_Code,0),1),""))</f>
        <v/>
      </c>
      <c r="G1117" s="67" t="str">
        <f aca="false">IF(OR($C1117="",$D1117=""),"",IFERROR($D1117*INDEX(Mix_Eff,MATCH($C1117,Mix_Code,0),2),""))</f>
        <v/>
      </c>
      <c r="H1117" s="67" t="str">
        <f aca="false">IF(OR($C1117="",$D1117=""),"",IFERROR($D1117*INDEX(Mix_Eff,MATCH($C1117,Mix_Code,0),3),""))</f>
        <v/>
      </c>
      <c r="I1117" s="67" t="str">
        <f aca="false">IF(OR($C1117="",$D1117=""),"",IFERROR($D1117*INDEX(Mix_Eff,MATCH($C1117,Mix_Code,0),4),""))</f>
        <v/>
      </c>
      <c r="J1117" s="67" t="str">
        <f aca="false">IF(OR($C1117="",$D1117=""),"",IFERROR($D1117*INDEX(Mix_Eff,MATCH($C1117,Mix_Code,0),5),""))</f>
        <v/>
      </c>
      <c r="K1117" s="63"/>
      <c r="L1117" s="16" t="str">
        <f aca="false">IF(AND($A1117="",$B1117="",$C1117="",$D1117=""),"",IF($A1117="","⚠ Date missing",IF($B1117="","⚠ Site missing",IF(ISNA(MATCH($C1117,Mix_Code,0)),"⚠ Unknown mix code",IF($D1117="","⚠ Enter m3 produced",IF(COUNTIF(CI_Site,$B1117)=0,"⚠ Site not set up in Current Inventory",IF($A1117&gt;AsOfDate,"Future date – not yet deducted","OK")))))))</f>
        <v/>
      </c>
    </row>
    <row r="1118" customFormat="false" ht="15" hidden="false" customHeight="false" outlineLevel="0" collapsed="false">
      <c r="A1118" s="65"/>
      <c r="B1118" s="63"/>
      <c r="C1118" s="70"/>
      <c r="D1118" s="66"/>
      <c r="E1118" s="16" t="str">
        <f aca="false">IF($C1118="","",IFERROR(INDEX(Mix_Desc,MATCH($C1118,Mix_Code,0)),"⚠ Unknown mix code"))</f>
        <v/>
      </c>
      <c r="F1118" s="67" t="str">
        <f aca="false">IF(OR($C1118="",$D1118=""),"",IFERROR($D1118*INDEX(Mix_Eff,MATCH($C1118,Mix_Code,0),1),""))</f>
        <v/>
      </c>
      <c r="G1118" s="67" t="str">
        <f aca="false">IF(OR($C1118="",$D1118=""),"",IFERROR($D1118*INDEX(Mix_Eff,MATCH($C1118,Mix_Code,0),2),""))</f>
        <v/>
      </c>
      <c r="H1118" s="67" t="str">
        <f aca="false">IF(OR($C1118="",$D1118=""),"",IFERROR($D1118*INDEX(Mix_Eff,MATCH($C1118,Mix_Code,0),3),""))</f>
        <v/>
      </c>
      <c r="I1118" s="67" t="str">
        <f aca="false">IF(OR($C1118="",$D1118=""),"",IFERROR($D1118*INDEX(Mix_Eff,MATCH($C1118,Mix_Code,0),4),""))</f>
        <v/>
      </c>
      <c r="J1118" s="67" t="str">
        <f aca="false">IF(OR($C1118="",$D1118=""),"",IFERROR($D1118*INDEX(Mix_Eff,MATCH($C1118,Mix_Code,0),5),""))</f>
        <v/>
      </c>
      <c r="K1118" s="63"/>
      <c r="L1118" s="16" t="str">
        <f aca="false">IF(AND($A1118="",$B1118="",$C1118="",$D1118=""),"",IF($A1118="","⚠ Date missing",IF($B1118="","⚠ Site missing",IF(ISNA(MATCH($C1118,Mix_Code,0)),"⚠ Unknown mix code",IF($D1118="","⚠ Enter m3 produced",IF(COUNTIF(CI_Site,$B1118)=0,"⚠ Site not set up in Current Inventory",IF($A1118&gt;AsOfDate,"Future date – not yet deducted","OK")))))))</f>
        <v/>
      </c>
    </row>
    <row r="1119" customFormat="false" ht="15" hidden="false" customHeight="false" outlineLevel="0" collapsed="false">
      <c r="A1119" s="65"/>
      <c r="B1119" s="63"/>
      <c r="C1119" s="70"/>
      <c r="D1119" s="66"/>
      <c r="E1119" s="16" t="str">
        <f aca="false">IF($C1119="","",IFERROR(INDEX(Mix_Desc,MATCH($C1119,Mix_Code,0)),"⚠ Unknown mix code"))</f>
        <v/>
      </c>
      <c r="F1119" s="67" t="str">
        <f aca="false">IF(OR($C1119="",$D1119=""),"",IFERROR($D1119*INDEX(Mix_Eff,MATCH($C1119,Mix_Code,0),1),""))</f>
        <v/>
      </c>
      <c r="G1119" s="67" t="str">
        <f aca="false">IF(OR($C1119="",$D1119=""),"",IFERROR($D1119*INDEX(Mix_Eff,MATCH($C1119,Mix_Code,0),2),""))</f>
        <v/>
      </c>
      <c r="H1119" s="67" t="str">
        <f aca="false">IF(OR($C1119="",$D1119=""),"",IFERROR($D1119*INDEX(Mix_Eff,MATCH($C1119,Mix_Code,0),3),""))</f>
        <v/>
      </c>
      <c r="I1119" s="67" t="str">
        <f aca="false">IF(OR($C1119="",$D1119=""),"",IFERROR($D1119*INDEX(Mix_Eff,MATCH($C1119,Mix_Code,0),4),""))</f>
        <v/>
      </c>
      <c r="J1119" s="67" t="str">
        <f aca="false">IF(OR($C1119="",$D1119=""),"",IFERROR($D1119*INDEX(Mix_Eff,MATCH($C1119,Mix_Code,0),5),""))</f>
        <v/>
      </c>
      <c r="K1119" s="63"/>
      <c r="L1119" s="16" t="str">
        <f aca="false">IF(AND($A1119="",$B1119="",$C1119="",$D1119=""),"",IF($A1119="","⚠ Date missing",IF($B1119="","⚠ Site missing",IF(ISNA(MATCH($C1119,Mix_Code,0)),"⚠ Unknown mix code",IF($D1119="","⚠ Enter m3 produced",IF(COUNTIF(CI_Site,$B1119)=0,"⚠ Site not set up in Current Inventory",IF($A1119&gt;AsOfDate,"Future date – not yet deducted","OK")))))))</f>
        <v/>
      </c>
    </row>
    <row r="1120" customFormat="false" ht="15" hidden="false" customHeight="false" outlineLevel="0" collapsed="false">
      <c r="A1120" s="65"/>
      <c r="B1120" s="63"/>
      <c r="C1120" s="70"/>
      <c r="D1120" s="66"/>
      <c r="E1120" s="16" t="str">
        <f aca="false">IF($C1120="","",IFERROR(INDEX(Mix_Desc,MATCH($C1120,Mix_Code,0)),"⚠ Unknown mix code"))</f>
        <v/>
      </c>
      <c r="F1120" s="67" t="str">
        <f aca="false">IF(OR($C1120="",$D1120=""),"",IFERROR($D1120*INDEX(Mix_Eff,MATCH($C1120,Mix_Code,0),1),""))</f>
        <v/>
      </c>
      <c r="G1120" s="67" t="str">
        <f aca="false">IF(OR($C1120="",$D1120=""),"",IFERROR($D1120*INDEX(Mix_Eff,MATCH($C1120,Mix_Code,0),2),""))</f>
        <v/>
      </c>
      <c r="H1120" s="67" t="str">
        <f aca="false">IF(OR($C1120="",$D1120=""),"",IFERROR($D1120*INDEX(Mix_Eff,MATCH($C1120,Mix_Code,0),3),""))</f>
        <v/>
      </c>
      <c r="I1120" s="67" t="str">
        <f aca="false">IF(OR($C1120="",$D1120=""),"",IFERROR($D1120*INDEX(Mix_Eff,MATCH($C1120,Mix_Code,0),4),""))</f>
        <v/>
      </c>
      <c r="J1120" s="67" t="str">
        <f aca="false">IF(OR($C1120="",$D1120=""),"",IFERROR($D1120*INDEX(Mix_Eff,MATCH($C1120,Mix_Code,0),5),""))</f>
        <v/>
      </c>
      <c r="K1120" s="63"/>
      <c r="L1120" s="16" t="str">
        <f aca="false">IF(AND($A1120="",$B1120="",$C1120="",$D1120=""),"",IF($A1120="","⚠ Date missing",IF($B1120="","⚠ Site missing",IF(ISNA(MATCH($C1120,Mix_Code,0)),"⚠ Unknown mix code",IF($D1120="","⚠ Enter m3 produced",IF(COUNTIF(CI_Site,$B1120)=0,"⚠ Site not set up in Current Inventory",IF($A1120&gt;AsOfDate,"Future date – not yet deducted","OK")))))))</f>
        <v/>
      </c>
    </row>
    <row r="1121" customFormat="false" ht="15" hidden="false" customHeight="false" outlineLevel="0" collapsed="false">
      <c r="A1121" s="65"/>
      <c r="B1121" s="63"/>
      <c r="C1121" s="70"/>
      <c r="D1121" s="66"/>
      <c r="E1121" s="16" t="str">
        <f aca="false">IF($C1121="","",IFERROR(INDEX(Mix_Desc,MATCH($C1121,Mix_Code,0)),"⚠ Unknown mix code"))</f>
        <v/>
      </c>
      <c r="F1121" s="67" t="str">
        <f aca="false">IF(OR($C1121="",$D1121=""),"",IFERROR($D1121*INDEX(Mix_Eff,MATCH($C1121,Mix_Code,0),1),""))</f>
        <v/>
      </c>
      <c r="G1121" s="67" t="str">
        <f aca="false">IF(OR($C1121="",$D1121=""),"",IFERROR($D1121*INDEX(Mix_Eff,MATCH($C1121,Mix_Code,0),2),""))</f>
        <v/>
      </c>
      <c r="H1121" s="67" t="str">
        <f aca="false">IF(OR($C1121="",$D1121=""),"",IFERROR($D1121*INDEX(Mix_Eff,MATCH($C1121,Mix_Code,0),3),""))</f>
        <v/>
      </c>
      <c r="I1121" s="67" t="str">
        <f aca="false">IF(OR($C1121="",$D1121=""),"",IFERROR($D1121*INDEX(Mix_Eff,MATCH($C1121,Mix_Code,0),4),""))</f>
        <v/>
      </c>
      <c r="J1121" s="67" t="str">
        <f aca="false">IF(OR($C1121="",$D1121=""),"",IFERROR($D1121*INDEX(Mix_Eff,MATCH($C1121,Mix_Code,0),5),""))</f>
        <v/>
      </c>
      <c r="K1121" s="63"/>
      <c r="L1121" s="16" t="str">
        <f aca="false">IF(AND($A1121="",$B1121="",$C1121="",$D1121=""),"",IF($A1121="","⚠ Date missing",IF($B1121="","⚠ Site missing",IF(ISNA(MATCH($C1121,Mix_Code,0)),"⚠ Unknown mix code",IF($D1121="","⚠ Enter m3 produced",IF(COUNTIF(CI_Site,$B1121)=0,"⚠ Site not set up in Current Inventory",IF($A1121&gt;AsOfDate,"Future date – not yet deducted","OK")))))))</f>
        <v/>
      </c>
    </row>
    <row r="1122" customFormat="false" ht="15" hidden="false" customHeight="false" outlineLevel="0" collapsed="false">
      <c r="A1122" s="65"/>
      <c r="B1122" s="63"/>
      <c r="C1122" s="70"/>
      <c r="D1122" s="66"/>
      <c r="E1122" s="16" t="str">
        <f aca="false">IF($C1122="","",IFERROR(INDEX(Mix_Desc,MATCH($C1122,Mix_Code,0)),"⚠ Unknown mix code"))</f>
        <v/>
      </c>
      <c r="F1122" s="67" t="str">
        <f aca="false">IF(OR($C1122="",$D1122=""),"",IFERROR($D1122*INDEX(Mix_Eff,MATCH($C1122,Mix_Code,0),1),""))</f>
        <v/>
      </c>
      <c r="G1122" s="67" t="str">
        <f aca="false">IF(OR($C1122="",$D1122=""),"",IFERROR($D1122*INDEX(Mix_Eff,MATCH($C1122,Mix_Code,0),2),""))</f>
        <v/>
      </c>
      <c r="H1122" s="67" t="str">
        <f aca="false">IF(OR($C1122="",$D1122=""),"",IFERROR($D1122*INDEX(Mix_Eff,MATCH($C1122,Mix_Code,0),3),""))</f>
        <v/>
      </c>
      <c r="I1122" s="67" t="str">
        <f aca="false">IF(OR($C1122="",$D1122=""),"",IFERROR($D1122*INDEX(Mix_Eff,MATCH($C1122,Mix_Code,0),4),""))</f>
        <v/>
      </c>
      <c r="J1122" s="67" t="str">
        <f aca="false">IF(OR($C1122="",$D1122=""),"",IFERROR($D1122*INDEX(Mix_Eff,MATCH($C1122,Mix_Code,0),5),""))</f>
        <v/>
      </c>
      <c r="K1122" s="63"/>
      <c r="L1122" s="16" t="str">
        <f aca="false">IF(AND($A1122="",$B1122="",$C1122="",$D1122=""),"",IF($A1122="","⚠ Date missing",IF($B1122="","⚠ Site missing",IF(ISNA(MATCH($C1122,Mix_Code,0)),"⚠ Unknown mix code",IF($D1122="","⚠ Enter m3 produced",IF(COUNTIF(CI_Site,$B1122)=0,"⚠ Site not set up in Current Inventory",IF($A1122&gt;AsOfDate,"Future date – not yet deducted","OK")))))))</f>
        <v/>
      </c>
    </row>
    <row r="1123" customFormat="false" ht="15" hidden="false" customHeight="false" outlineLevel="0" collapsed="false">
      <c r="A1123" s="65"/>
      <c r="B1123" s="63"/>
      <c r="C1123" s="70"/>
      <c r="D1123" s="66"/>
      <c r="E1123" s="16" t="str">
        <f aca="false">IF($C1123="","",IFERROR(INDEX(Mix_Desc,MATCH($C1123,Mix_Code,0)),"⚠ Unknown mix code"))</f>
        <v/>
      </c>
      <c r="F1123" s="67" t="str">
        <f aca="false">IF(OR($C1123="",$D1123=""),"",IFERROR($D1123*INDEX(Mix_Eff,MATCH($C1123,Mix_Code,0),1),""))</f>
        <v/>
      </c>
      <c r="G1123" s="67" t="str">
        <f aca="false">IF(OR($C1123="",$D1123=""),"",IFERROR($D1123*INDEX(Mix_Eff,MATCH($C1123,Mix_Code,0),2),""))</f>
        <v/>
      </c>
      <c r="H1123" s="67" t="str">
        <f aca="false">IF(OR($C1123="",$D1123=""),"",IFERROR($D1123*INDEX(Mix_Eff,MATCH($C1123,Mix_Code,0),3),""))</f>
        <v/>
      </c>
      <c r="I1123" s="67" t="str">
        <f aca="false">IF(OR($C1123="",$D1123=""),"",IFERROR($D1123*INDEX(Mix_Eff,MATCH($C1123,Mix_Code,0),4),""))</f>
        <v/>
      </c>
      <c r="J1123" s="67" t="str">
        <f aca="false">IF(OR($C1123="",$D1123=""),"",IFERROR($D1123*INDEX(Mix_Eff,MATCH($C1123,Mix_Code,0),5),""))</f>
        <v/>
      </c>
      <c r="K1123" s="63"/>
      <c r="L1123" s="16" t="str">
        <f aca="false">IF(AND($A1123="",$B1123="",$C1123="",$D1123=""),"",IF($A1123="","⚠ Date missing",IF($B1123="","⚠ Site missing",IF(ISNA(MATCH($C1123,Mix_Code,0)),"⚠ Unknown mix code",IF($D1123="","⚠ Enter m3 produced",IF(COUNTIF(CI_Site,$B1123)=0,"⚠ Site not set up in Current Inventory",IF($A1123&gt;AsOfDate,"Future date – not yet deducted","OK")))))))</f>
        <v/>
      </c>
    </row>
    <row r="1124" customFormat="false" ht="15" hidden="false" customHeight="false" outlineLevel="0" collapsed="false">
      <c r="A1124" s="65"/>
      <c r="B1124" s="63"/>
      <c r="C1124" s="70"/>
      <c r="D1124" s="66"/>
      <c r="E1124" s="16" t="str">
        <f aca="false">IF($C1124="","",IFERROR(INDEX(Mix_Desc,MATCH($C1124,Mix_Code,0)),"⚠ Unknown mix code"))</f>
        <v/>
      </c>
      <c r="F1124" s="67" t="str">
        <f aca="false">IF(OR($C1124="",$D1124=""),"",IFERROR($D1124*INDEX(Mix_Eff,MATCH($C1124,Mix_Code,0),1),""))</f>
        <v/>
      </c>
      <c r="G1124" s="67" t="str">
        <f aca="false">IF(OR($C1124="",$D1124=""),"",IFERROR($D1124*INDEX(Mix_Eff,MATCH($C1124,Mix_Code,0),2),""))</f>
        <v/>
      </c>
      <c r="H1124" s="67" t="str">
        <f aca="false">IF(OR($C1124="",$D1124=""),"",IFERROR($D1124*INDEX(Mix_Eff,MATCH($C1124,Mix_Code,0),3),""))</f>
        <v/>
      </c>
      <c r="I1124" s="67" t="str">
        <f aca="false">IF(OR($C1124="",$D1124=""),"",IFERROR($D1124*INDEX(Mix_Eff,MATCH($C1124,Mix_Code,0),4),""))</f>
        <v/>
      </c>
      <c r="J1124" s="67" t="str">
        <f aca="false">IF(OR($C1124="",$D1124=""),"",IFERROR($D1124*INDEX(Mix_Eff,MATCH($C1124,Mix_Code,0),5),""))</f>
        <v/>
      </c>
      <c r="K1124" s="63"/>
      <c r="L1124" s="16" t="str">
        <f aca="false">IF(AND($A1124="",$B1124="",$C1124="",$D1124=""),"",IF($A1124="","⚠ Date missing",IF($B1124="","⚠ Site missing",IF(ISNA(MATCH($C1124,Mix_Code,0)),"⚠ Unknown mix code",IF($D1124="","⚠ Enter m3 produced",IF(COUNTIF(CI_Site,$B1124)=0,"⚠ Site not set up in Current Inventory",IF($A1124&gt;AsOfDate,"Future date – not yet deducted","OK")))))))</f>
        <v/>
      </c>
    </row>
    <row r="1125" customFormat="false" ht="15" hidden="false" customHeight="false" outlineLevel="0" collapsed="false">
      <c r="A1125" s="65"/>
      <c r="B1125" s="63"/>
      <c r="C1125" s="70"/>
      <c r="D1125" s="66"/>
      <c r="E1125" s="16" t="str">
        <f aca="false">IF($C1125="","",IFERROR(INDEX(Mix_Desc,MATCH($C1125,Mix_Code,0)),"⚠ Unknown mix code"))</f>
        <v/>
      </c>
      <c r="F1125" s="67" t="str">
        <f aca="false">IF(OR($C1125="",$D1125=""),"",IFERROR($D1125*INDEX(Mix_Eff,MATCH($C1125,Mix_Code,0),1),""))</f>
        <v/>
      </c>
      <c r="G1125" s="67" t="str">
        <f aca="false">IF(OR($C1125="",$D1125=""),"",IFERROR($D1125*INDEX(Mix_Eff,MATCH($C1125,Mix_Code,0),2),""))</f>
        <v/>
      </c>
      <c r="H1125" s="67" t="str">
        <f aca="false">IF(OR($C1125="",$D1125=""),"",IFERROR($D1125*INDEX(Mix_Eff,MATCH($C1125,Mix_Code,0),3),""))</f>
        <v/>
      </c>
      <c r="I1125" s="67" t="str">
        <f aca="false">IF(OR($C1125="",$D1125=""),"",IFERROR($D1125*INDEX(Mix_Eff,MATCH($C1125,Mix_Code,0),4),""))</f>
        <v/>
      </c>
      <c r="J1125" s="67" t="str">
        <f aca="false">IF(OR($C1125="",$D1125=""),"",IFERROR($D1125*INDEX(Mix_Eff,MATCH($C1125,Mix_Code,0),5),""))</f>
        <v/>
      </c>
      <c r="K1125" s="63"/>
      <c r="L1125" s="16" t="str">
        <f aca="false">IF(AND($A1125="",$B1125="",$C1125="",$D1125=""),"",IF($A1125="","⚠ Date missing",IF($B1125="","⚠ Site missing",IF(ISNA(MATCH($C1125,Mix_Code,0)),"⚠ Unknown mix code",IF($D1125="","⚠ Enter m3 produced",IF(COUNTIF(CI_Site,$B1125)=0,"⚠ Site not set up in Current Inventory",IF($A1125&gt;AsOfDate,"Future date – not yet deducted","OK")))))))</f>
        <v/>
      </c>
    </row>
    <row r="1126" customFormat="false" ht="15" hidden="false" customHeight="false" outlineLevel="0" collapsed="false">
      <c r="A1126" s="65"/>
      <c r="B1126" s="63"/>
      <c r="C1126" s="70"/>
      <c r="D1126" s="66"/>
      <c r="E1126" s="16" t="str">
        <f aca="false">IF($C1126="","",IFERROR(INDEX(Mix_Desc,MATCH($C1126,Mix_Code,0)),"⚠ Unknown mix code"))</f>
        <v/>
      </c>
      <c r="F1126" s="67" t="str">
        <f aca="false">IF(OR($C1126="",$D1126=""),"",IFERROR($D1126*INDEX(Mix_Eff,MATCH($C1126,Mix_Code,0),1),""))</f>
        <v/>
      </c>
      <c r="G1126" s="67" t="str">
        <f aca="false">IF(OR($C1126="",$D1126=""),"",IFERROR($D1126*INDEX(Mix_Eff,MATCH($C1126,Mix_Code,0),2),""))</f>
        <v/>
      </c>
      <c r="H1126" s="67" t="str">
        <f aca="false">IF(OR($C1126="",$D1126=""),"",IFERROR($D1126*INDEX(Mix_Eff,MATCH($C1126,Mix_Code,0),3),""))</f>
        <v/>
      </c>
      <c r="I1126" s="67" t="str">
        <f aca="false">IF(OR($C1126="",$D1126=""),"",IFERROR($D1126*INDEX(Mix_Eff,MATCH($C1126,Mix_Code,0),4),""))</f>
        <v/>
      </c>
      <c r="J1126" s="67" t="str">
        <f aca="false">IF(OR($C1126="",$D1126=""),"",IFERROR($D1126*INDEX(Mix_Eff,MATCH($C1126,Mix_Code,0),5),""))</f>
        <v/>
      </c>
      <c r="K1126" s="63"/>
      <c r="L1126" s="16" t="str">
        <f aca="false">IF(AND($A1126="",$B1126="",$C1126="",$D1126=""),"",IF($A1126="","⚠ Date missing",IF($B1126="","⚠ Site missing",IF(ISNA(MATCH($C1126,Mix_Code,0)),"⚠ Unknown mix code",IF($D1126="","⚠ Enter m3 produced",IF(COUNTIF(CI_Site,$B1126)=0,"⚠ Site not set up in Current Inventory",IF($A1126&gt;AsOfDate,"Future date – not yet deducted","OK")))))))</f>
        <v/>
      </c>
    </row>
    <row r="1127" customFormat="false" ht="15" hidden="false" customHeight="false" outlineLevel="0" collapsed="false">
      <c r="A1127" s="65"/>
      <c r="B1127" s="63"/>
      <c r="C1127" s="70"/>
      <c r="D1127" s="66"/>
      <c r="E1127" s="16" t="str">
        <f aca="false">IF($C1127="","",IFERROR(INDEX(Mix_Desc,MATCH($C1127,Mix_Code,0)),"⚠ Unknown mix code"))</f>
        <v/>
      </c>
      <c r="F1127" s="67" t="str">
        <f aca="false">IF(OR($C1127="",$D1127=""),"",IFERROR($D1127*INDEX(Mix_Eff,MATCH($C1127,Mix_Code,0),1),""))</f>
        <v/>
      </c>
      <c r="G1127" s="67" t="str">
        <f aca="false">IF(OR($C1127="",$D1127=""),"",IFERROR($D1127*INDEX(Mix_Eff,MATCH($C1127,Mix_Code,0),2),""))</f>
        <v/>
      </c>
      <c r="H1127" s="67" t="str">
        <f aca="false">IF(OR($C1127="",$D1127=""),"",IFERROR($D1127*INDEX(Mix_Eff,MATCH($C1127,Mix_Code,0),3),""))</f>
        <v/>
      </c>
      <c r="I1127" s="67" t="str">
        <f aca="false">IF(OR($C1127="",$D1127=""),"",IFERROR($D1127*INDEX(Mix_Eff,MATCH($C1127,Mix_Code,0),4),""))</f>
        <v/>
      </c>
      <c r="J1127" s="67" t="str">
        <f aca="false">IF(OR($C1127="",$D1127=""),"",IFERROR($D1127*INDEX(Mix_Eff,MATCH($C1127,Mix_Code,0),5),""))</f>
        <v/>
      </c>
      <c r="K1127" s="63"/>
      <c r="L1127" s="16" t="str">
        <f aca="false">IF(AND($A1127="",$B1127="",$C1127="",$D1127=""),"",IF($A1127="","⚠ Date missing",IF($B1127="","⚠ Site missing",IF(ISNA(MATCH($C1127,Mix_Code,0)),"⚠ Unknown mix code",IF($D1127="","⚠ Enter m3 produced",IF(COUNTIF(CI_Site,$B1127)=0,"⚠ Site not set up in Current Inventory",IF($A1127&gt;AsOfDate,"Future date – not yet deducted","OK")))))))</f>
        <v/>
      </c>
    </row>
    <row r="1128" customFormat="false" ht="15" hidden="false" customHeight="false" outlineLevel="0" collapsed="false">
      <c r="A1128" s="65"/>
      <c r="B1128" s="63"/>
      <c r="C1128" s="70"/>
      <c r="D1128" s="66"/>
      <c r="E1128" s="16" t="str">
        <f aca="false">IF($C1128="","",IFERROR(INDEX(Mix_Desc,MATCH($C1128,Mix_Code,0)),"⚠ Unknown mix code"))</f>
        <v/>
      </c>
      <c r="F1128" s="67" t="str">
        <f aca="false">IF(OR($C1128="",$D1128=""),"",IFERROR($D1128*INDEX(Mix_Eff,MATCH($C1128,Mix_Code,0),1),""))</f>
        <v/>
      </c>
      <c r="G1128" s="67" t="str">
        <f aca="false">IF(OR($C1128="",$D1128=""),"",IFERROR($D1128*INDEX(Mix_Eff,MATCH($C1128,Mix_Code,0),2),""))</f>
        <v/>
      </c>
      <c r="H1128" s="67" t="str">
        <f aca="false">IF(OR($C1128="",$D1128=""),"",IFERROR($D1128*INDEX(Mix_Eff,MATCH($C1128,Mix_Code,0),3),""))</f>
        <v/>
      </c>
      <c r="I1128" s="67" t="str">
        <f aca="false">IF(OR($C1128="",$D1128=""),"",IFERROR($D1128*INDEX(Mix_Eff,MATCH($C1128,Mix_Code,0),4),""))</f>
        <v/>
      </c>
      <c r="J1128" s="67" t="str">
        <f aca="false">IF(OR($C1128="",$D1128=""),"",IFERROR($D1128*INDEX(Mix_Eff,MATCH($C1128,Mix_Code,0),5),""))</f>
        <v/>
      </c>
      <c r="K1128" s="63"/>
      <c r="L1128" s="16" t="str">
        <f aca="false">IF(AND($A1128="",$B1128="",$C1128="",$D1128=""),"",IF($A1128="","⚠ Date missing",IF($B1128="","⚠ Site missing",IF(ISNA(MATCH($C1128,Mix_Code,0)),"⚠ Unknown mix code",IF($D1128="","⚠ Enter m3 produced",IF(COUNTIF(CI_Site,$B1128)=0,"⚠ Site not set up in Current Inventory",IF($A1128&gt;AsOfDate,"Future date – not yet deducted","OK")))))))</f>
        <v/>
      </c>
    </row>
    <row r="1129" customFormat="false" ht="15" hidden="false" customHeight="false" outlineLevel="0" collapsed="false">
      <c r="A1129" s="65"/>
      <c r="B1129" s="63"/>
      <c r="C1129" s="70"/>
      <c r="D1129" s="66"/>
      <c r="E1129" s="16" t="str">
        <f aca="false">IF($C1129="","",IFERROR(INDEX(Mix_Desc,MATCH($C1129,Mix_Code,0)),"⚠ Unknown mix code"))</f>
        <v/>
      </c>
      <c r="F1129" s="67" t="str">
        <f aca="false">IF(OR($C1129="",$D1129=""),"",IFERROR($D1129*INDEX(Mix_Eff,MATCH($C1129,Mix_Code,0),1),""))</f>
        <v/>
      </c>
      <c r="G1129" s="67" t="str">
        <f aca="false">IF(OR($C1129="",$D1129=""),"",IFERROR($D1129*INDEX(Mix_Eff,MATCH($C1129,Mix_Code,0),2),""))</f>
        <v/>
      </c>
      <c r="H1129" s="67" t="str">
        <f aca="false">IF(OR($C1129="",$D1129=""),"",IFERROR($D1129*INDEX(Mix_Eff,MATCH($C1129,Mix_Code,0),3),""))</f>
        <v/>
      </c>
      <c r="I1129" s="67" t="str">
        <f aca="false">IF(OR($C1129="",$D1129=""),"",IFERROR($D1129*INDEX(Mix_Eff,MATCH($C1129,Mix_Code,0),4),""))</f>
        <v/>
      </c>
      <c r="J1129" s="67" t="str">
        <f aca="false">IF(OR($C1129="",$D1129=""),"",IFERROR($D1129*INDEX(Mix_Eff,MATCH($C1129,Mix_Code,0),5),""))</f>
        <v/>
      </c>
      <c r="K1129" s="63"/>
      <c r="L1129" s="16" t="str">
        <f aca="false">IF(AND($A1129="",$B1129="",$C1129="",$D1129=""),"",IF($A1129="","⚠ Date missing",IF($B1129="","⚠ Site missing",IF(ISNA(MATCH($C1129,Mix_Code,0)),"⚠ Unknown mix code",IF($D1129="","⚠ Enter m3 produced",IF(COUNTIF(CI_Site,$B1129)=0,"⚠ Site not set up in Current Inventory",IF($A1129&gt;AsOfDate,"Future date – not yet deducted","OK")))))))</f>
        <v/>
      </c>
    </row>
    <row r="1130" customFormat="false" ht="15" hidden="false" customHeight="false" outlineLevel="0" collapsed="false">
      <c r="A1130" s="65"/>
      <c r="B1130" s="63"/>
      <c r="C1130" s="70"/>
      <c r="D1130" s="66"/>
      <c r="E1130" s="16" t="str">
        <f aca="false">IF($C1130="","",IFERROR(INDEX(Mix_Desc,MATCH($C1130,Mix_Code,0)),"⚠ Unknown mix code"))</f>
        <v/>
      </c>
      <c r="F1130" s="67" t="str">
        <f aca="false">IF(OR($C1130="",$D1130=""),"",IFERROR($D1130*INDEX(Mix_Eff,MATCH($C1130,Mix_Code,0),1),""))</f>
        <v/>
      </c>
      <c r="G1130" s="67" t="str">
        <f aca="false">IF(OR($C1130="",$D1130=""),"",IFERROR($D1130*INDEX(Mix_Eff,MATCH($C1130,Mix_Code,0),2),""))</f>
        <v/>
      </c>
      <c r="H1130" s="67" t="str">
        <f aca="false">IF(OR($C1130="",$D1130=""),"",IFERROR($D1130*INDEX(Mix_Eff,MATCH($C1130,Mix_Code,0),3),""))</f>
        <v/>
      </c>
      <c r="I1130" s="67" t="str">
        <f aca="false">IF(OR($C1130="",$D1130=""),"",IFERROR($D1130*INDEX(Mix_Eff,MATCH($C1130,Mix_Code,0),4),""))</f>
        <v/>
      </c>
      <c r="J1130" s="67" t="str">
        <f aca="false">IF(OR($C1130="",$D1130=""),"",IFERROR($D1130*INDEX(Mix_Eff,MATCH($C1130,Mix_Code,0),5),""))</f>
        <v/>
      </c>
      <c r="K1130" s="63"/>
      <c r="L1130" s="16" t="str">
        <f aca="false">IF(AND($A1130="",$B1130="",$C1130="",$D1130=""),"",IF($A1130="","⚠ Date missing",IF($B1130="","⚠ Site missing",IF(ISNA(MATCH($C1130,Mix_Code,0)),"⚠ Unknown mix code",IF($D1130="","⚠ Enter m3 produced",IF(COUNTIF(CI_Site,$B1130)=0,"⚠ Site not set up in Current Inventory",IF($A1130&gt;AsOfDate,"Future date – not yet deducted","OK")))))))</f>
        <v/>
      </c>
    </row>
    <row r="1131" customFormat="false" ht="15" hidden="false" customHeight="false" outlineLevel="0" collapsed="false">
      <c r="A1131" s="65"/>
      <c r="B1131" s="63"/>
      <c r="C1131" s="70"/>
      <c r="D1131" s="66"/>
      <c r="E1131" s="16" t="str">
        <f aca="false">IF($C1131="","",IFERROR(INDEX(Mix_Desc,MATCH($C1131,Mix_Code,0)),"⚠ Unknown mix code"))</f>
        <v/>
      </c>
      <c r="F1131" s="67" t="str">
        <f aca="false">IF(OR($C1131="",$D1131=""),"",IFERROR($D1131*INDEX(Mix_Eff,MATCH($C1131,Mix_Code,0),1),""))</f>
        <v/>
      </c>
      <c r="G1131" s="67" t="str">
        <f aca="false">IF(OR($C1131="",$D1131=""),"",IFERROR($D1131*INDEX(Mix_Eff,MATCH($C1131,Mix_Code,0),2),""))</f>
        <v/>
      </c>
      <c r="H1131" s="67" t="str">
        <f aca="false">IF(OR($C1131="",$D1131=""),"",IFERROR($D1131*INDEX(Mix_Eff,MATCH($C1131,Mix_Code,0),3),""))</f>
        <v/>
      </c>
      <c r="I1131" s="67" t="str">
        <f aca="false">IF(OR($C1131="",$D1131=""),"",IFERROR($D1131*INDEX(Mix_Eff,MATCH($C1131,Mix_Code,0),4),""))</f>
        <v/>
      </c>
      <c r="J1131" s="67" t="str">
        <f aca="false">IF(OR($C1131="",$D1131=""),"",IFERROR($D1131*INDEX(Mix_Eff,MATCH($C1131,Mix_Code,0),5),""))</f>
        <v/>
      </c>
      <c r="K1131" s="63"/>
      <c r="L1131" s="16" t="str">
        <f aca="false">IF(AND($A1131="",$B1131="",$C1131="",$D1131=""),"",IF($A1131="","⚠ Date missing",IF($B1131="","⚠ Site missing",IF(ISNA(MATCH($C1131,Mix_Code,0)),"⚠ Unknown mix code",IF($D1131="","⚠ Enter m3 produced",IF(COUNTIF(CI_Site,$B1131)=0,"⚠ Site not set up in Current Inventory",IF($A1131&gt;AsOfDate,"Future date – not yet deducted","OK")))))))</f>
        <v/>
      </c>
    </row>
    <row r="1132" customFormat="false" ht="15" hidden="false" customHeight="false" outlineLevel="0" collapsed="false">
      <c r="A1132" s="65"/>
      <c r="B1132" s="63"/>
      <c r="C1132" s="70"/>
      <c r="D1132" s="66"/>
      <c r="E1132" s="16" t="str">
        <f aca="false">IF($C1132="","",IFERROR(INDEX(Mix_Desc,MATCH($C1132,Mix_Code,0)),"⚠ Unknown mix code"))</f>
        <v/>
      </c>
      <c r="F1132" s="67" t="str">
        <f aca="false">IF(OR($C1132="",$D1132=""),"",IFERROR($D1132*INDEX(Mix_Eff,MATCH($C1132,Mix_Code,0),1),""))</f>
        <v/>
      </c>
      <c r="G1132" s="67" t="str">
        <f aca="false">IF(OR($C1132="",$D1132=""),"",IFERROR($D1132*INDEX(Mix_Eff,MATCH($C1132,Mix_Code,0),2),""))</f>
        <v/>
      </c>
      <c r="H1132" s="67" t="str">
        <f aca="false">IF(OR($C1132="",$D1132=""),"",IFERROR($D1132*INDEX(Mix_Eff,MATCH($C1132,Mix_Code,0),3),""))</f>
        <v/>
      </c>
      <c r="I1132" s="67" t="str">
        <f aca="false">IF(OR($C1132="",$D1132=""),"",IFERROR($D1132*INDEX(Mix_Eff,MATCH($C1132,Mix_Code,0),4),""))</f>
        <v/>
      </c>
      <c r="J1132" s="67" t="str">
        <f aca="false">IF(OR($C1132="",$D1132=""),"",IFERROR($D1132*INDEX(Mix_Eff,MATCH($C1132,Mix_Code,0),5),""))</f>
        <v/>
      </c>
      <c r="K1132" s="63"/>
      <c r="L1132" s="16" t="str">
        <f aca="false">IF(AND($A1132="",$B1132="",$C1132="",$D1132=""),"",IF($A1132="","⚠ Date missing",IF($B1132="","⚠ Site missing",IF(ISNA(MATCH($C1132,Mix_Code,0)),"⚠ Unknown mix code",IF($D1132="","⚠ Enter m3 produced",IF(COUNTIF(CI_Site,$B1132)=0,"⚠ Site not set up in Current Inventory",IF($A1132&gt;AsOfDate,"Future date – not yet deducted","OK")))))))</f>
        <v/>
      </c>
    </row>
    <row r="1133" customFormat="false" ht="15" hidden="false" customHeight="false" outlineLevel="0" collapsed="false">
      <c r="A1133" s="65"/>
      <c r="B1133" s="63"/>
      <c r="C1133" s="70"/>
      <c r="D1133" s="66"/>
      <c r="E1133" s="16" t="str">
        <f aca="false">IF($C1133="","",IFERROR(INDEX(Mix_Desc,MATCH($C1133,Mix_Code,0)),"⚠ Unknown mix code"))</f>
        <v/>
      </c>
      <c r="F1133" s="67" t="str">
        <f aca="false">IF(OR($C1133="",$D1133=""),"",IFERROR($D1133*INDEX(Mix_Eff,MATCH($C1133,Mix_Code,0),1),""))</f>
        <v/>
      </c>
      <c r="G1133" s="67" t="str">
        <f aca="false">IF(OR($C1133="",$D1133=""),"",IFERROR($D1133*INDEX(Mix_Eff,MATCH($C1133,Mix_Code,0),2),""))</f>
        <v/>
      </c>
      <c r="H1133" s="67" t="str">
        <f aca="false">IF(OR($C1133="",$D1133=""),"",IFERROR($D1133*INDEX(Mix_Eff,MATCH($C1133,Mix_Code,0),3),""))</f>
        <v/>
      </c>
      <c r="I1133" s="67" t="str">
        <f aca="false">IF(OR($C1133="",$D1133=""),"",IFERROR($D1133*INDEX(Mix_Eff,MATCH($C1133,Mix_Code,0),4),""))</f>
        <v/>
      </c>
      <c r="J1133" s="67" t="str">
        <f aca="false">IF(OR($C1133="",$D1133=""),"",IFERROR($D1133*INDEX(Mix_Eff,MATCH($C1133,Mix_Code,0),5),""))</f>
        <v/>
      </c>
      <c r="K1133" s="63"/>
      <c r="L1133" s="16" t="str">
        <f aca="false">IF(AND($A1133="",$B1133="",$C1133="",$D1133=""),"",IF($A1133="","⚠ Date missing",IF($B1133="","⚠ Site missing",IF(ISNA(MATCH($C1133,Mix_Code,0)),"⚠ Unknown mix code",IF($D1133="","⚠ Enter m3 produced",IF(COUNTIF(CI_Site,$B1133)=0,"⚠ Site not set up in Current Inventory",IF($A1133&gt;AsOfDate,"Future date – not yet deducted","OK")))))))</f>
        <v/>
      </c>
    </row>
    <row r="1134" customFormat="false" ht="15" hidden="false" customHeight="false" outlineLevel="0" collapsed="false">
      <c r="A1134" s="65"/>
      <c r="B1134" s="63"/>
      <c r="C1134" s="70"/>
      <c r="D1134" s="66"/>
      <c r="E1134" s="16" t="str">
        <f aca="false">IF($C1134="","",IFERROR(INDEX(Mix_Desc,MATCH($C1134,Mix_Code,0)),"⚠ Unknown mix code"))</f>
        <v/>
      </c>
      <c r="F1134" s="67" t="str">
        <f aca="false">IF(OR($C1134="",$D1134=""),"",IFERROR($D1134*INDEX(Mix_Eff,MATCH($C1134,Mix_Code,0),1),""))</f>
        <v/>
      </c>
      <c r="G1134" s="67" t="str">
        <f aca="false">IF(OR($C1134="",$D1134=""),"",IFERROR($D1134*INDEX(Mix_Eff,MATCH($C1134,Mix_Code,0),2),""))</f>
        <v/>
      </c>
      <c r="H1134" s="67" t="str">
        <f aca="false">IF(OR($C1134="",$D1134=""),"",IFERROR($D1134*INDEX(Mix_Eff,MATCH($C1134,Mix_Code,0),3),""))</f>
        <v/>
      </c>
      <c r="I1134" s="67" t="str">
        <f aca="false">IF(OR($C1134="",$D1134=""),"",IFERROR($D1134*INDEX(Mix_Eff,MATCH($C1134,Mix_Code,0),4),""))</f>
        <v/>
      </c>
      <c r="J1134" s="67" t="str">
        <f aca="false">IF(OR($C1134="",$D1134=""),"",IFERROR($D1134*INDEX(Mix_Eff,MATCH($C1134,Mix_Code,0),5),""))</f>
        <v/>
      </c>
      <c r="K1134" s="63"/>
      <c r="L1134" s="16" t="str">
        <f aca="false">IF(AND($A1134="",$B1134="",$C1134="",$D1134=""),"",IF($A1134="","⚠ Date missing",IF($B1134="","⚠ Site missing",IF(ISNA(MATCH($C1134,Mix_Code,0)),"⚠ Unknown mix code",IF($D1134="","⚠ Enter m3 produced",IF(COUNTIF(CI_Site,$B1134)=0,"⚠ Site not set up in Current Inventory",IF($A1134&gt;AsOfDate,"Future date – not yet deducted","OK")))))))</f>
        <v/>
      </c>
    </row>
    <row r="1135" customFormat="false" ht="15" hidden="false" customHeight="false" outlineLevel="0" collapsed="false">
      <c r="A1135" s="65"/>
      <c r="B1135" s="63"/>
      <c r="C1135" s="70"/>
      <c r="D1135" s="66"/>
      <c r="E1135" s="16" t="str">
        <f aca="false">IF($C1135="","",IFERROR(INDEX(Mix_Desc,MATCH($C1135,Mix_Code,0)),"⚠ Unknown mix code"))</f>
        <v/>
      </c>
      <c r="F1135" s="67" t="str">
        <f aca="false">IF(OR($C1135="",$D1135=""),"",IFERROR($D1135*INDEX(Mix_Eff,MATCH($C1135,Mix_Code,0),1),""))</f>
        <v/>
      </c>
      <c r="G1135" s="67" t="str">
        <f aca="false">IF(OR($C1135="",$D1135=""),"",IFERROR($D1135*INDEX(Mix_Eff,MATCH($C1135,Mix_Code,0),2),""))</f>
        <v/>
      </c>
      <c r="H1135" s="67" t="str">
        <f aca="false">IF(OR($C1135="",$D1135=""),"",IFERROR($D1135*INDEX(Mix_Eff,MATCH($C1135,Mix_Code,0),3),""))</f>
        <v/>
      </c>
      <c r="I1135" s="67" t="str">
        <f aca="false">IF(OR($C1135="",$D1135=""),"",IFERROR($D1135*INDEX(Mix_Eff,MATCH($C1135,Mix_Code,0),4),""))</f>
        <v/>
      </c>
      <c r="J1135" s="67" t="str">
        <f aca="false">IF(OR($C1135="",$D1135=""),"",IFERROR($D1135*INDEX(Mix_Eff,MATCH($C1135,Mix_Code,0),5),""))</f>
        <v/>
      </c>
      <c r="K1135" s="63"/>
      <c r="L1135" s="16" t="str">
        <f aca="false">IF(AND($A1135="",$B1135="",$C1135="",$D1135=""),"",IF($A1135="","⚠ Date missing",IF($B1135="","⚠ Site missing",IF(ISNA(MATCH($C1135,Mix_Code,0)),"⚠ Unknown mix code",IF($D1135="","⚠ Enter m3 produced",IF(COUNTIF(CI_Site,$B1135)=0,"⚠ Site not set up in Current Inventory",IF($A1135&gt;AsOfDate,"Future date – not yet deducted","OK")))))))</f>
        <v/>
      </c>
    </row>
    <row r="1136" customFormat="false" ht="15" hidden="false" customHeight="false" outlineLevel="0" collapsed="false">
      <c r="A1136" s="65"/>
      <c r="B1136" s="63"/>
      <c r="C1136" s="70"/>
      <c r="D1136" s="66"/>
      <c r="E1136" s="16" t="str">
        <f aca="false">IF($C1136="","",IFERROR(INDEX(Mix_Desc,MATCH($C1136,Mix_Code,0)),"⚠ Unknown mix code"))</f>
        <v/>
      </c>
      <c r="F1136" s="67" t="str">
        <f aca="false">IF(OR($C1136="",$D1136=""),"",IFERROR($D1136*INDEX(Mix_Eff,MATCH($C1136,Mix_Code,0),1),""))</f>
        <v/>
      </c>
      <c r="G1136" s="67" t="str">
        <f aca="false">IF(OR($C1136="",$D1136=""),"",IFERROR($D1136*INDEX(Mix_Eff,MATCH($C1136,Mix_Code,0),2),""))</f>
        <v/>
      </c>
      <c r="H1136" s="67" t="str">
        <f aca="false">IF(OR($C1136="",$D1136=""),"",IFERROR($D1136*INDEX(Mix_Eff,MATCH($C1136,Mix_Code,0),3),""))</f>
        <v/>
      </c>
      <c r="I1136" s="67" t="str">
        <f aca="false">IF(OR($C1136="",$D1136=""),"",IFERROR($D1136*INDEX(Mix_Eff,MATCH($C1136,Mix_Code,0),4),""))</f>
        <v/>
      </c>
      <c r="J1136" s="67" t="str">
        <f aca="false">IF(OR($C1136="",$D1136=""),"",IFERROR($D1136*INDEX(Mix_Eff,MATCH($C1136,Mix_Code,0),5),""))</f>
        <v/>
      </c>
      <c r="K1136" s="63"/>
      <c r="L1136" s="16" t="str">
        <f aca="false">IF(AND($A1136="",$B1136="",$C1136="",$D1136=""),"",IF($A1136="","⚠ Date missing",IF($B1136="","⚠ Site missing",IF(ISNA(MATCH($C1136,Mix_Code,0)),"⚠ Unknown mix code",IF($D1136="","⚠ Enter m3 produced",IF(COUNTIF(CI_Site,$B1136)=0,"⚠ Site not set up in Current Inventory",IF($A1136&gt;AsOfDate,"Future date – not yet deducted","OK")))))))</f>
        <v/>
      </c>
    </row>
    <row r="1137" customFormat="false" ht="15" hidden="false" customHeight="false" outlineLevel="0" collapsed="false">
      <c r="A1137" s="65"/>
      <c r="B1137" s="63"/>
      <c r="C1137" s="70"/>
      <c r="D1137" s="66"/>
      <c r="E1137" s="16" t="str">
        <f aca="false">IF($C1137="","",IFERROR(INDEX(Mix_Desc,MATCH($C1137,Mix_Code,0)),"⚠ Unknown mix code"))</f>
        <v/>
      </c>
      <c r="F1137" s="67" t="str">
        <f aca="false">IF(OR($C1137="",$D1137=""),"",IFERROR($D1137*INDEX(Mix_Eff,MATCH($C1137,Mix_Code,0),1),""))</f>
        <v/>
      </c>
      <c r="G1137" s="67" t="str">
        <f aca="false">IF(OR($C1137="",$D1137=""),"",IFERROR($D1137*INDEX(Mix_Eff,MATCH($C1137,Mix_Code,0),2),""))</f>
        <v/>
      </c>
      <c r="H1137" s="67" t="str">
        <f aca="false">IF(OR($C1137="",$D1137=""),"",IFERROR($D1137*INDEX(Mix_Eff,MATCH($C1137,Mix_Code,0),3),""))</f>
        <v/>
      </c>
      <c r="I1137" s="67" t="str">
        <f aca="false">IF(OR($C1137="",$D1137=""),"",IFERROR($D1137*INDEX(Mix_Eff,MATCH($C1137,Mix_Code,0),4),""))</f>
        <v/>
      </c>
      <c r="J1137" s="67" t="str">
        <f aca="false">IF(OR($C1137="",$D1137=""),"",IFERROR($D1137*INDEX(Mix_Eff,MATCH($C1137,Mix_Code,0),5),""))</f>
        <v/>
      </c>
      <c r="K1137" s="63"/>
      <c r="L1137" s="16" t="str">
        <f aca="false">IF(AND($A1137="",$B1137="",$C1137="",$D1137=""),"",IF($A1137="","⚠ Date missing",IF($B1137="","⚠ Site missing",IF(ISNA(MATCH($C1137,Mix_Code,0)),"⚠ Unknown mix code",IF($D1137="","⚠ Enter m3 produced",IF(COUNTIF(CI_Site,$B1137)=0,"⚠ Site not set up in Current Inventory",IF($A1137&gt;AsOfDate,"Future date – not yet deducted","OK")))))))</f>
        <v/>
      </c>
    </row>
    <row r="1138" customFormat="false" ht="15" hidden="false" customHeight="false" outlineLevel="0" collapsed="false">
      <c r="A1138" s="65"/>
      <c r="B1138" s="63"/>
      <c r="C1138" s="70"/>
      <c r="D1138" s="66"/>
      <c r="E1138" s="16" t="str">
        <f aca="false">IF($C1138="","",IFERROR(INDEX(Mix_Desc,MATCH($C1138,Mix_Code,0)),"⚠ Unknown mix code"))</f>
        <v/>
      </c>
      <c r="F1138" s="67" t="str">
        <f aca="false">IF(OR($C1138="",$D1138=""),"",IFERROR($D1138*INDEX(Mix_Eff,MATCH($C1138,Mix_Code,0),1),""))</f>
        <v/>
      </c>
      <c r="G1138" s="67" t="str">
        <f aca="false">IF(OR($C1138="",$D1138=""),"",IFERROR($D1138*INDEX(Mix_Eff,MATCH($C1138,Mix_Code,0),2),""))</f>
        <v/>
      </c>
      <c r="H1138" s="67" t="str">
        <f aca="false">IF(OR($C1138="",$D1138=""),"",IFERROR($D1138*INDEX(Mix_Eff,MATCH($C1138,Mix_Code,0),3),""))</f>
        <v/>
      </c>
      <c r="I1138" s="67" t="str">
        <f aca="false">IF(OR($C1138="",$D1138=""),"",IFERROR($D1138*INDEX(Mix_Eff,MATCH($C1138,Mix_Code,0),4),""))</f>
        <v/>
      </c>
      <c r="J1138" s="67" t="str">
        <f aca="false">IF(OR($C1138="",$D1138=""),"",IFERROR($D1138*INDEX(Mix_Eff,MATCH($C1138,Mix_Code,0),5),""))</f>
        <v/>
      </c>
      <c r="K1138" s="63"/>
      <c r="L1138" s="16" t="str">
        <f aca="false">IF(AND($A1138="",$B1138="",$C1138="",$D1138=""),"",IF($A1138="","⚠ Date missing",IF($B1138="","⚠ Site missing",IF(ISNA(MATCH($C1138,Mix_Code,0)),"⚠ Unknown mix code",IF($D1138="","⚠ Enter m3 produced",IF(COUNTIF(CI_Site,$B1138)=0,"⚠ Site not set up in Current Inventory",IF($A1138&gt;AsOfDate,"Future date – not yet deducted","OK")))))))</f>
        <v/>
      </c>
    </row>
    <row r="1139" customFormat="false" ht="15" hidden="false" customHeight="false" outlineLevel="0" collapsed="false">
      <c r="A1139" s="65"/>
      <c r="B1139" s="63"/>
      <c r="C1139" s="70"/>
      <c r="D1139" s="66"/>
      <c r="E1139" s="16" t="str">
        <f aca="false">IF($C1139="","",IFERROR(INDEX(Mix_Desc,MATCH($C1139,Mix_Code,0)),"⚠ Unknown mix code"))</f>
        <v/>
      </c>
      <c r="F1139" s="67" t="str">
        <f aca="false">IF(OR($C1139="",$D1139=""),"",IFERROR($D1139*INDEX(Mix_Eff,MATCH($C1139,Mix_Code,0),1),""))</f>
        <v/>
      </c>
      <c r="G1139" s="67" t="str">
        <f aca="false">IF(OR($C1139="",$D1139=""),"",IFERROR($D1139*INDEX(Mix_Eff,MATCH($C1139,Mix_Code,0),2),""))</f>
        <v/>
      </c>
      <c r="H1139" s="67" t="str">
        <f aca="false">IF(OR($C1139="",$D1139=""),"",IFERROR($D1139*INDEX(Mix_Eff,MATCH($C1139,Mix_Code,0),3),""))</f>
        <v/>
      </c>
      <c r="I1139" s="67" t="str">
        <f aca="false">IF(OR($C1139="",$D1139=""),"",IFERROR($D1139*INDEX(Mix_Eff,MATCH($C1139,Mix_Code,0),4),""))</f>
        <v/>
      </c>
      <c r="J1139" s="67" t="str">
        <f aca="false">IF(OR($C1139="",$D1139=""),"",IFERROR($D1139*INDEX(Mix_Eff,MATCH($C1139,Mix_Code,0),5),""))</f>
        <v/>
      </c>
      <c r="K1139" s="63"/>
      <c r="L1139" s="16" t="str">
        <f aca="false">IF(AND($A1139="",$B1139="",$C1139="",$D1139=""),"",IF($A1139="","⚠ Date missing",IF($B1139="","⚠ Site missing",IF(ISNA(MATCH($C1139,Mix_Code,0)),"⚠ Unknown mix code",IF($D1139="","⚠ Enter m3 produced",IF(COUNTIF(CI_Site,$B1139)=0,"⚠ Site not set up in Current Inventory",IF($A1139&gt;AsOfDate,"Future date – not yet deducted","OK")))))))</f>
        <v/>
      </c>
    </row>
    <row r="1140" customFormat="false" ht="15" hidden="false" customHeight="false" outlineLevel="0" collapsed="false">
      <c r="A1140" s="65"/>
      <c r="B1140" s="63"/>
      <c r="C1140" s="70"/>
      <c r="D1140" s="66"/>
      <c r="E1140" s="16" t="str">
        <f aca="false">IF($C1140="","",IFERROR(INDEX(Mix_Desc,MATCH($C1140,Mix_Code,0)),"⚠ Unknown mix code"))</f>
        <v/>
      </c>
      <c r="F1140" s="67" t="str">
        <f aca="false">IF(OR($C1140="",$D1140=""),"",IFERROR($D1140*INDEX(Mix_Eff,MATCH($C1140,Mix_Code,0),1),""))</f>
        <v/>
      </c>
      <c r="G1140" s="67" t="str">
        <f aca="false">IF(OR($C1140="",$D1140=""),"",IFERROR($D1140*INDEX(Mix_Eff,MATCH($C1140,Mix_Code,0),2),""))</f>
        <v/>
      </c>
      <c r="H1140" s="67" t="str">
        <f aca="false">IF(OR($C1140="",$D1140=""),"",IFERROR($D1140*INDEX(Mix_Eff,MATCH($C1140,Mix_Code,0),3),""))</f>
        <v/>
      </c>
      <c r="I1140" s="67" t="str">
        <f aca="false">IF(OR($C1140="",$D1140=""),"",IFERROR($D1140*INDEX(Mix_Eff,MATCH($C1140,Mix_Code,0),4),""))</f>
        <v/>
      </c>
      <c r="J1140" s="67" t="str">
        <f aca="false">IF(OR($C1140="",$D1140=""),"",IFERROR($D1140*INDEX(Mix_Eff,MATCH($C1140,Mix_Code,0),5),""))</f>
        <v/>
      </c>
      <c r="K1140" s="63"/>
      <c r="L1140" s="16" t="str">
        <f aca="false">IF(AND($A1140="",$B1140="",$C1140="",$D1140=""),"",IF($A1140="","⚠ Date missing",IF($B1140="","⚠ Site missing",IF(ISNA(MATCH($C1140,Mix_Code,0)),"⚠ Unknown mix code",IF($D1140="","⚠ Enter m3 produced",IF(COUNTIF(CI_Site,$B1140)=0,"⚠ Site not set up in Current Inventory",IF($A1140&gt;AsOfDate,"Future date – not yet deducted","OK")))))))</f>
        <v/>
      </c>
    </row>
    <row r="1141" customFormat="false" ht="15" hidden="false" customHeight="false" outlineLevel="0" collapsed="false">
      <c r="A1141" s="65"/>
      <c r="B1141" s="63"/>
      <c r="C1141" s="70"/>
      <c r="D1141" s="66"/>
      <c r="E1141" s="16" t="str">
        <f aca="false">IF($C1141="","",IFERROR(INDEX(Mix_Desc,MATCH($C1141,Mix_Code,0)),"⚠ Unknown mix code"))</f>
        <v/>
      </c>
      <c r="F1141" s="67" t="str">
        <f aca="false">IF(OR($C1141="",$D1141=""),"",IFERROR($D1141*INDEX(Mix_Eff,MATCH($C1141,Mix_Code,0),1),""))</f>
        <v/>
      </c>
      <c r="G1141" s="67" t="str">
        <f aca="false">IF(OR($C1141="",$D1141=""),"",IFERROR($D1141*INDEX(Mix_Eff,MATCH($C1141,Mix_Code,0),2),""))</f>
        <v/>
      </c>
      <c r="H1141" s="67" t="str">
        <f aca="false">IF(OR($C1141="",$D1141=""),"",IFERROR($D1141*INDEX(Mix_Eff,MATCH($C1141,Mix_Code,0),3),""))</f>
        <v/>
      </c>
      <c r="I1141" s="67" t="str">
        <f aca="false">IF(OR($C1141="",$D1141=""),"",IFERROR($D1141*INDEX(Mix_Eff,MATCH($C1141,Mix_Code,0),4),""))</f>
        <v/>
      </c>
      <c r="J1141" s="67" t="str">
        <f aca="false">IF(OR($C1141="",$D1141=""),"",IFERROR($D1141*INDEX(Mix_Eff,MATCH($C1141,Mix_Code,0),5),""))</f>
        <v/>
      </c>
      <c r="K1141" s="63"/>
      <c r="L1141" s="16" t="str">
        <f aca="false">IF(AND($A1141="",$B1141="",$C1141="",$D1141=""),"",IF($A1141="","⚠ Date missing",IF($B1141="","⚠ Site missing",IF(ISNA(MATCH($C1141,Mix_Code,0)),"⚠ Unknown mix code",IF($D1141="","⚠ Enter m3 produced",IF(COUNTIF(CI_Site,$B1141)=0,"⚠ Site not set up in Current Inventory",IF($A1141&gt;AsOfDate,"Future date – not yet deducted","OK")))))))</f>
        <v/>
      </c>
    </row>
    <row r="1142" customFormat="false" ht="15" hidden="false" customHeight="false" outlineLevel="0" collapsed="false">
      <c r="A1142" s="65"/>
      <c r="B1142" s="63"/>
      <c r="C1142" s="70"/>
      <c r="D1142" s="66"/>
      <c r="E1142" s="16" t="str">
        <f aca="false">IF($C1142="","",IFERROR(INDEX(Mix_Desc,MATCH($C1142,Mix_Code,0)),"⚠ Unknown mix code"))</f>
        <v/>
      </c>
      <c r="F1142" s="67" t="str">
        <f aca="false">IF(OR($C1142="",$D1142=""),"",IFERROR($D1142*INDEX(Mix_Eff,MATCH($C1142,Mix_Code,0),1),""))</f>
        <v/>
      </c>
      <c r="G1142" s="67" t="str">
        <f aca="false">IF(OR($C1142="",$D1142=""),"",IFERROR($D1142*INDEX(Mix_Eff,MATCH($C1142,Mix_Code,0),2),""))</f>
        <v/>
      </c>
      <c r="H1142" s="67" t="str">
        <f aca="false">IF(OR($C1142="",$D1142=""),"",IFERROR($D1142*INDEX(Mix_Eff,MATCH($C1142,Mix_Code,0),3),""))</f>
        <v/>
      </c>
      <c r="I1142" s="67" t="str">
        <f aca="false">IF(OR($C1142="",$D1142=""),"",IFERROR($D1142*INDEX(Mix_Eff,MATCH($C1142,Mix_Code,0),4),""))</f>
        <v/>
      </c>
      <c r="J1142" s="67" t="str">
        <f aca="false">IF(OR($C1142="",$D1142=""),"",IFERROR($D1142*INDEX(Mix_Eff,MATCH($C1142,Mix_Code,0),5),""))</f>
        <v/>
      </c>
      <c r="K1142" s="63"/>
      <c r="L1142" s="16" t="str">
        <f aca="false">IF(AND($A1142="",$B1142="",$C1142="",$D1142=""),"",IF($A1142="","⚠ Date missing",IF($B1142="","⚠ Site missing",IF(ISNA(MATCH($C1142,Mix_Code,0)),"⚠ Unknown mix code",IF($D1142="","⚠ Enter m3 produced",IF(COUNTIF(CI_Site,$B1142)=0,"⚠ Site not set up in Current Inventory",IF($A1142&gt;AsOfDate,"Future date – not yet deducted","OK")))))))</f>
        <v/>
      </c>
    </row>
    <row r="1143" customFormat="false" ht="15" hidden="false" customHeight="false" outlineLevel="0" collapsed="false">
      <c r="A1143" s="65"/>
      <c r="B1143" s="63"/>
      <c r="C1143" s="70"/>
      <c r="D1143" s="66"/>
      <c r="E1143" s="16" t="str">
        <f aca="false">IF($C1143="","",IFERROR(INDEX(Mix_Desc,MATCH($C1143,Mix_Code,0)),"⚠ Unknown mix code"))</f>
        <v/>
      </c>
      <c r="F1143" s="67" t="str">
        <f aca="false">IF(OR($C1143="",$D1143=""),"",IFERROR($D1143*INDEX(Mix_Eff,MATCH($C1143,Mix_Code,0),1),""))</f>
        <v/>
      </c>
      <c r="G1143" s="67" t="str">
        <f aca="false">IF(OR($C1143="",$D1143=""),"",IFERROR($D1143*INDEX(Mix_Eff,MATCH($C1143,Mix_Code,0),2),""))</f>
        <v/>
      </c>
      <c r="H1143" s="67" t="str">
        <f aca="false">IF(OR($C1143="",$D1143=""),"",IFERROR($D1143*INDEX(Mix_Eff,MATCH($C1143,Mix_Code,0),3),""))</f>
        <v/>
      </c>
      <c r="I1143" s="67" t="str">
        <f aca="false">IF(OR($C1143="",$D1143=""),"",IFERROR($D1143*INDEX(Mix_Eff,MATCH($C1143,Mix_Code,0),4),""))</f>
        <v/>
      </c>
      <c r="J1143" s="67" t="str">
        <f aca="false">IF(OR($C1143="",$D1143=""),"",IFERROR($D1143*INDEX(Mix_Eff,MATCH($C1143,Mix_Code,0),5),""))</f>
        <v/>
      </c>
      <c r="K1143" s="63"/>
      <c r="L1143" s="16" t="str">
        <f aca="false">IF(AND($A1143="",$B1143="",$C1143="",$D1143=""),"",IF($A1143="","⚠ Date missing",IF($B1143="","⚠ Site missing",IF(ISNA(MATCH($C1143,Mix_Code,0)),"⚠ Unknown mix code",IF($D1143="","⚠ Enter m3 produced",IF(COUNTIF(CI_Site,$B1143)=0,"⚠ Site not set up in Current Inventory",IF($A1143&gt;AsOfDate,"Future date – not yet deducted","OK")))))))</f>
        <v/>
      </c>
    </row>
    <row r="1144" customFormat="false" ht="15" hidden="false" customHeight="false" outlineLevel="0" collapsed="false">
      <c r="A1144" s="65"/>
      <c r="B1144" s="63"/>
      <c r="C1144" s="70"/>
      <c r="D1144" s="66"/>
      <c r="E1144" s="16" t="str">
        <f aca="false">IF($C1144="","",IFERROR(INDEX(Mix_Desc,MATCH($C1144,Mix_Code,0)),"⚠ Unknown mix code"))</f>
        <v/>
      </c>
      <c r="F1144" s="67" t="str">
        <f aca="false">IF(OR($C1144="",$D1144=""),"",IFERROR($D1144*INDEX(Mix_Eff,MATCH($C1144,Mix_Code,0),1),""))</f>
        <v/>
      </c>
      <c r="G1144" s="67" t="str">
        <f aca="false">IF(OR($C1144="",$D1144=""),"",IFERROR($D1144*INDEX(Mix_Eff,MATCH($C1144,Mix_Code,0),2),""))</f>
        <v/>
      </c>
      <c r="H1144" s="67" t="str">
        <f aca="false">IF(OR($C1144="",$D1144=""),"",IFERROR($D1144*INDEX(Mix_Eff,MATCH($C1144,Mix_Code,0),3),""))</f>
        <v/>
      </c>
      <c r="I1144" s="67" t="str">
        <f aca="false">IF(OR($C1144="",$D1144=""),"",IFERROR($D1144*INDEX(Mix_Eff,MATCH($C1144,Mix_Code,0),4),""))</f>
        <v/>
      </c>
      <c r="J1144" s="67" t="str">
        <f aca="false">IF(OR($C1144="",$D1144=""),"",IFERROR($D1144*INDEX(Mix_Eff,MATCH($C1144,Mix_Code,0),5),""))</f>
        <v/>
      </c>
      <c r="K1144" s="63"/>
      <c r="L1144" s="16" t="str">
        <f aca="false">IF(AND($A1144="",$B1144="",$C1144="",$D1144=""),"",IF($A1144="","⚠ Date missing",IF($B1144="","⚠ Site missing",IF(ISNA(MATCH($C1144,Mix_Code,0)),"⚠ Unknown mix code",IF($D1144="","⚠ Enter m3 produced",IF(COUNTIF(CI_Site,$B1144)=0,"⚠ Site not set up in Current Inventory",IF($A1144&gt;AsOfDate,"Future date – not yet deducted","OK")))))))</f>
        <v/>
      </c>
    </row>
    <row r="1145" customFormat="false" ht="15" hidden="false" customHeight="false" outlineLevel="0" collapsed="false">
      <c r="A1145" s="65"/>
      <c r="B1145" s="63"/>
      <c r="C1145" s="70"/>
      <c r="D1145" s="66"/>
      <c r="E1145" s="16" t="str">
        <f aca="false">IF($C1145="","",IFERROR(INDEX(Mix_Desc,MATCH($C1145,Mix_Code,0)),"⚠ Unknown mix code"))</f>
        <v/>
      </c>
      <c r="F1145" s="67" t="str">
        <f aca="false">IF(OR($C1145="",$D1145=""),"",IFERROR($D1145*INDEX(Mix_Eff,MATCH($C1145,Mix_Code,0),1),""))</f>
        <v/>
      </c>
      <c r="G1145" s="67" t="str">
        <f aca="false">IF(OR($C1145="",$D1145=""),"",IFERROR($D1145*INDEX(Mix_Eff,MATCH($C1145,Mix_Code,0),2),""))</f>
        <v/>
      </c>
      <c r="H1145" s="67" t="str">
        <f aca="false">IF(OR($C1145="",$D1145=""),"",IFERROR($D1145*INDEX(Mix_Eff,MATCH($C1145,Mix_Code,0),3),""))</f>
        <v/>
      </c>
      <c r="I1145" s="67" t="str">
        <f aca="false">IF(OR($C1145="",$D1145=""),"",IFERROR($D1145*INDEX(Mix_Eff,MATCH($C1145,Mix_Code,0),4),""))</f>
        <v/>
      </c>
      <c r="J1145" s="67" t="str">
        <f aca="false">IF(OR($C1145="",$D1145=""),"",IFERROR($D1145*INDEX(Mix_Eff,MATCH($C1145,Mix_Code,0),5),""))</f>
        <v/>
      </c>
      <c r="K1145" s="63"/>
      <c r="L1145" s="16" t="str">
        <f aca="false">IF(AND($A1145="",$B1145="",$C1145="",$D1145=""),"",IF($A1145="","⚠ Date missing",IF($B1145="","⚠ Site missing",IF(ISNA(MATCH($C1145,Mix_Code,0)),"⚠ Unknown mix code",IF($D1145="","⚠ Enter m3 produced",IF(COUNTIF(CI_Site,$B1145)=0,"⚠ Site not set up in Current Inventory",IF($A1145&gt;AsOfDate,"Future date – not yet deducted","OK")))))))</f>
        <v/>
      </c>
    </row>
    <row r="1146" customFormat="false" ht="15" hidden="false" customHeight="false" outlineLevel="0" collapsed="false">
      <c r="A1146" s="65"/>
      <c r="B1146" s="63"/>
      <c r="C1146" s="70"/>
      <c r="D1146" s="66"/>
      <c r="E1146" s="16" t="str">
        <f aca="false">IF($C1146="","",IFERROR(INDEX(Mix_Desc,MATCH($C1146,Mix_Code,0)),"⚠ Unknown mix code"))</f>
        <v/>
      </c>
      <c r="F1146" s="67" t="str">
        <f aca="false">IF(OR($C1146="",$D1146=""),"",IFERROR($D1146*INDEX(Mix_Eff,MATCH($C1146,Mix_Code,0),1),""))</f>
        <v/>
      </c>
      <c r="G1146" s="67" t="str">
        <f aca="false">IF(OR($C1146="",$D1146=""),"",IFERROR($D1146*INDEX(Mix_Eff,MATCH($C1146,Mix_Code,0),2),""))</f>
        <v/>
      </c>
      <c r="H1146" s="67" t="str">
        <f aca="false">IF(OR($C1146="",$D1146=""),"",IFERROR($D1146*INDEX(Mix_Eff,MATCH($C1146,Mix_Code,0),3),""))</f>
        <v/>
      </c>
      <c r="I1146" s="67" t="str">
        <f aca="false">IF(OR($C1146="",$D1146=""),"",IFERROR($D1146*INDEX(Mix_Eff,MATCH($C1146,Mix_Code,0),4),""))</f>
        <v/>
      </c>
      <c r="J1146" s="67" t="str">
        <f aca="false">IF(OR($C1146="",$D1146=""),"",IFERROR($D1146*INDEX(Mix_Eff,MATCH($C1146,Mix_Code,0),5),""))</f>
        <v/>
      </c>
      <c r="K1146" s="63"/>
      <c r="L1146" s="16" t="str">
        <f aca="false">IF(AND($A1146="",$B1146="",$C1146="",$D1146=""),"",IF($A1146="","⚠ Date missing",IF($B1146="","⚠ Site missing",IF(ISNA(MATCH($C1146,Mix_Code,0)),"⚠ Unknown mix code",IF($D1146="","⚠ Enter m3 produced",IF(COUNTIF(CI_Site,$B1146)=0,"⚠ Site not set up in Current Inventory",IF($A1146&gt;AsOfDate,"Future date – not yet deducted","OK")))))))</f>
        <v/>
      </c>
    </row>
    <row r="1147" customFormat="false" ht="15" hidden="false" customHeight="false" outlineLevel="0" collapsed="false">
      <c r="A1147" s="65"/>
      <c r="B1147" s="63"/>
      <c r="C1147" s="70"/>
      <c r="D1147" s="66"/>
      <c r="E1147" s="16" t="str">
        <f aca="false">IF($C1147="","",IFERROR(INDEX(Mix_Desc,MATCH($C1147,Mix_Code,0)),"⚠ Unknown mix code"))</f>
        <v/>
      </c>
      <c r="F1147" s="67" t="str">
        <f aca="false">IF(OR($C1147="",$D1147=""),"",IFERROR($D1147*INDEX(Mix_Eff,MATCH($C1147,Mix_Code,0),1),""))</f>
        <v/>
      </c>
      <c r="G1147" s="67" t="str">
        <f aca="false">IF(OR($C1147="",$D1147=""),"",IFERROR($D1147*INDEX(Mix_Eff,MATCH($C1147,Mix_Code,0),2),""))</f>
        <v/>
      </c>
      <c r="H1147" s="67" t="str">
        <f aca="false">IF(OR($C1147="",$D1147=""),"",IFERROR($D1147*INDEX(Mix_Eff,MATCH($C1147,Mix_Code,0),3),""))</f>
        <v/>
      </c>
      <c r="I1147" s="67" t="str">
        <f aca="false">IF(OR($C1147="",$D1147=""),"",IFERROR($D1147*INDEX(Mix_Eff,MATCH($C1147,Mix_Code,0),4),""))</f>
        <v/>
      </c>
      <c r="J1147" s="67" t="str">
        <f aca="false">IF(OR($C1147="",$D1147=""),"",IFERROR($D1147*INDEX(Mix_Eff,MATCH($C1147,Mix_Code,0),5),""))</f>
        <v/>
      </c>
      <c r="K1147" s="63"/>
      <c r="L1147" s="16" t="str">
        <f aca="false">IF(AND($A1147="",$B1147="",$C1147="",$D1147=""),"",IF($A1147="","⚠ Date missing",IF($B1147="","⚠ Site missing",IF(ISNA(MATCH($C1147,Mix_Code,0)),"⚠ Unknown mix code",IF($D1147="","⚠ Enter m3 produced",IF(COUNTIF(CI_Site,$B1147)=0,"⚠ Site not set up in Current Inventory",IF($A1147&gt;AsOfDate,"Future date – not yet deducted","OK")))))))</f>
        <v/>
      </c>
    </row>
    <row r="1148" customFormat="false" ht="15" hidden="false" customHeight="false" outlineLevel="0" collapsed="false">
      <c r="A1148" s="65"/>
      <c r="B1148" s="63"/>
      <c r="C1148" s="70"/>
      <c r="D1148" s="66"/>
      <c r="E1148" s="16" t="str">
        <f aca="false">IF($C1148="","",IFERROR(INDEX(Mix_Desc,MATCH($C1148,Mix_Code,0)),"⚠ Unknown mix code"))</f>
        <v/>
      </c>
      <c r="F1148" s="67" t="str">
        <f aca="false">IF(OR($C1148="",$D1148=""),"",IFERROR($D1148*INDEX(Mix_Eff,MATCH($C1148,Mix_Code,0),1),""))</f>
        <v/>
      </c>
      <c r="G1148" s="67" t="str">
        <f aca="false">IF(OR($C1148="",$D1148=""),"",IFERROR($D1148*INDEX(Mix_Eff,MATCH($C1148,Mix_Code,0),2),""))</f>
        <v/>
      </c>
      <c r="H1148" s="67" t="str">
        <f aca="false">IF(OR($C1148="",$D1148=""),"",IFERROR($D1148*INDEX(Mix_Eff,MATCH($C1148,Mix_Code,0),3),""))</f>
        <v/>
      </c>
      <c r="I1148" s="67" t="str">
        <f aca="false">IF(OR($C1148="",$D1148=""),"",IFERROR($D1148*INDEX(Mix_Eff,MATCH($C1148,Mix_Code,0),4),""))</f>
        <v/>
      </c>
      <c r="J1148" s="67" t="str">
        <f aca="false">IF(OR($C1148="",$D1148=""),"",IFERROR($D1148*INDEX(Mix_Eff,MATCH($C1148,Mix_Code,0),5),""))</f>
        <v/>
      </c>
      <c r="K1148" s="63"/>
      <c r="L1148" s="16" t="str">
        <f aca="false">IF(AND($A1148="",$B1148="",$C1148="",$D1148=""),"",IF($A1148="","⚠ Date missing",IF($B1148="","⚠ Site missing",IF(ISNA(MATCH($C1148,Mix_Code,0)),"⚠ Unknown mix code",IF($D1148="","⚠ Enter m3 produced",IF(COUNTIF(CI_Site,$B1148)=0,"⚠ Site not set up in Current Inventory",IF($A1148&gt;AsOfDate,"Future date – not yet deducted","OK")))))))</f>
        <v/>
      </c>
    </row>
    <row r="1149" customFormat="false" ht="15" hidden="false" customHeight="false" outlineLevel="0" collapsed="false">
      <c r="A1149" s="65"/>
      <c r="B1149" s="63"/>
      <c r="C1149" s="70"/>
      <c r="D1149" s="66"/>
      <c r="E1149" s="16" t="str">
        <f aca="false">IF($C1149="","",IFERROR(INDEX(Mix_Desc,MATCH($C1149,Mix_Code,0)),"⚠ Unknown mix code"))</f>
        <v/>
      </c>
      <c r="F1149" s="67" t="str">
        <f aca="false">IF(OR($C1149="",$D1149=""),"",IFERROR($D1149*INDEX(Mix_Eff,MATCH($C1149,Mix_Code,0),1),""))</f>
        <v/>
      </c>
      <c r="G1149" s="67" t="str">
        <f aca="false">IF(OR($C1149="",$D1149=""),"",IFERROR($D1149*INDEX(Mix_Eff,MATCH($C1149,Mix_Code,0),2),""))</f>
        <v/>
      </c>
      <c r="H1149" s="67" t="str">
        <f aca="false">IF(OR($C1149="",$D1149=""),"",IFERROR($D1149*INDEX(Mix_Eff,MATCH($C1149,Mix_Code,0),3),""))</f>
        <v/>
      </c>
      <c r="I1149" s="67" t="str">
        <f aca="false">IF(OR($C1149="",$D1149=""),"",IFERROR($D1149*INDEX(Mix_Eff,MATCH($C1149,Mix_Code,0),4),""))</f>
        <v/>
      </c>
      <c r="J1149" s="67" t="str">
        <f aca="false">IF(OR($C1149="",$D1149=""),"",IFERROR($D1149*INDEX(Mix_Eff,MATCH($C1149,Mix_Code,0),5),""))</f>
        <v/>
      </c>
      <c r="K1149" s="63"/>
      <c r="L1149" s="16" t="str">
        <f aca="false">IF(AND($A1149="",$B1149="",$C1149="",$D1149=""),"",IF($A1149="","⚠ Date missing",IF($B1149="","⚠ Site missing",IF(ISNA(MATCH($C1149,Mix_Code,0)),"⚠ Unknown mix code",IF($D1149="","⚠ Enter m3 produced",IF(COUNTIF(CI_Site,$B1149)=0,"⚠ Site not set up in Current Inventory",IF($A1149&gt;AsOfDate,"Future date – not yet deducted","OK")))))))</f>
        <v/>
      </c>
    </row>
    <row r="1150" customFormat="false" ht="15" hidden="false" customHeight="false" outlineLevel="0" collapsed="false">
      <c r="A1150" s="65"/>
      <c r="B1150" s="63"/>
      <c r="C1150" s="70"/>
      <c r="D1150" s="66"/>
      <c r="E1150" s="16" t="str">
        <f aca="false">IF($C1150="","",IFERROR(INDEX(Mix_Desc,MATCH($C1150,Mix_Code,0)),"⚠ Unknown mix code"))</f>
        <v/>
      </c>
      <c r="F1150" s="67" t="str">
        <f aca="false">IF(OR($C1150="",$D1150=""),"",IFERROR($D1150*INDEX(Mix_Eff,MATCH($C1150,Mix_Code,0),1),""))</f>
        <v/>
      </c>
      <c r="G1150" s="67" t="str">
        <f aca="false">IF(OR($C1150="",$D1150=""),"",IFERROR($D1150*INDEX(Mix_Eff,MATCH($C1150,Mix_Code,0),2),""))</f>
        <v/>
      </c>
      <c r="H1150" s="67" t="str">
        <f aca="false">IF(OR($C1150="",$D1150=""),"",IFERROR($D1150*INDEX(Mix_Eff,MATCH($C1150,Mix_Code,0),3),""))</f>
        <v/>
      </c>
      <c r="I1150" s="67" t="str">
        <f aca="false">IF(OR($C1150="",$D1150=""),"",IFERROR($D1150*INDEX(Mix_Eff,MATCH($C1150,Mix_Code,0),4),""))</f>
        <v/>
      </c>
      <c r="J1150" s="67" t="str">
        <f aca="false">IF(OR($C1150="",$D1150=""),"",IFERROR($D1150*INDEX(Mix_Eff,MATCH($C1150,Mix_Code,0),5),""))</f>
        <v/>
      </c>
      <c r="K1150" s="63"/>
      <c r="L1150" s="16" t="str">
        <f aca="false">IF(AND($A1150="",$B1150="",$C1150="",$D1150=""),"",IF($A1150="","⚠ Date missing",IF($B1150="","⚠ Site missing",IF(ISNA(MATCH($C1150,Mix_Code,0)),"⚠ Unknown mix code",IF($D1150="","⚠ Enter m3 produced",IF(COUNTIF(CI_Site,$B1150)=0,"⚠ Site not set up in Current Inventory",IF($A1150&gt;AsOfDate,"Future date – not yet deducted","OK")))))))</f>
        <v/>
      </c>
    </row>
    <row r="1151" customFormat="false" ht="15" hidden="false" customHeight="false" outlineLevel="0" collapsed="false">
      <c r="A1151" s="65"/>
      <c r="B1151" s="63"/>
      <c r="C1151" s="70"/>
      <c r="D1151" s="66"/>
      <c r="E1151" s="16" t="str">
        <f aca="false">IF($C1151="","",IFERROR(INDEX(Mix_Desc,MATCH($C1151,Mix_Code,0)),"⚠ Unknown mix code"))</f>
        <v/>
      </c>
      <c r="F1151" s="67" t="str">
        <f aca="false">IF(OR($C1151="",$D1151=""),"",IFERROR($D1151*INDEX(Mix_Eff,MATCH($C1151,Mix_Code,0),1),""))</f>
        <v/>
      </c>
      <c r="G1151" s="67" t="str">
        <f aca="false">IF(OR($C1151="",$D1151=""),"",IFERROR($D1151*INDEX(Mix_Eff,MATCH($C1151,Mix_Code,0),2),""))</f>
        <v/>
      </c>
      <c r="H1151" s="67" t="str">
        <f aca="false">IF(OR($C1151="",$D1151=""),"",IFERROR($D1151*INDEX(Mix_Eff,MATCH($C1151,Mix_Code,0),3),""))</f>
        <v/>
      </c>
      <c r="I1151" s="67" t="str">
        <f aca="false">IF(OR($C1151="",$D1151=""),"",IFERROR($D1151*INDEX(Mix_Eff,MATCH($C1151,Mix_Code,0),4),""))</f>
        <v/>
      </c>
      <c r="J1151" s="67" t="str">
        <f aca="false">IF(OR($C1151="",$D1151=""),"",IFERROR($D1151*INDEX(Mix_Eff,MATCH($C1151,Mix_Code,0),5),""))</f>
        <v/>
      </c>
      <c r="K1151" s="63"/>
      <c r="L1151" s="16" t="str">
        <f aca="false">IF(AND($A1151="",$B1151="",$C1151="",$D1151=""),"",IF($A1151="","⚠ Date missing",IF($B1151="","⚠ Site missing",IF(ISNA(MATCH($C1151,Mix_Code,0)),"⚠ Unknown mix code",IF($D1151="","⚠ Enter m3 produced",IF(COUNTIF(CI_Site,$B1151)=0,"⚠ Site not set up in Current Inventory",IF($A1151&gt;AsOfDate,"Future date – not yet deducted","OK")))))))</f>
        <v/>
      </c>
    </row>
    <row r="1152" customFormat="false" ht="15" hidden="false" customHeight="false" outlineLevel="0" collapsed="false">
      <c r="A1152" s="65"/>
      <c r="B1152" s="63"/>
      <c r="C1152" s="70"/>
      <c r="D1152" s="66"/>
      <c r="E1152" s="16" t="str">
        <f aca="false">IF($C1152="","",IFERROR(INDEX(Mix_Desc,MATCH($C1152,Mix_Code,0)),"⚠ Unknown mix code"))</f>
        <v/>
      </c>
      <c r="F1152" s="67" t="str">
        <f aca="false">IF(OR($C1152="",$D1152=""),"",IFERROR($D1152*INDEX(Mix_Eff,MATCH($C1152,Mix_Code,0),1),""))</f>
        <v/>
      </c>
      <c r="G1152" s="67" t="str">
        <f aca="false">IF(OR($C1152="",$D1152=""),"",IFERROR($D1152*INDEX(Mix_Eff,MATCH($C1152,Mix_Code,0),2),""))</f>
        <v/>
      </c>
      <c r="H1152" s="67" t="str">
        <f aca="false">IF(OR($C1152="",$D1152=""),"",IFERROR($D1152*INDEX(Mix_Eff,MATCH($C1152,Mix_Code,0),3),""))</f>
        <v/>
      </c>
      <c r="I1152" s="67" t="str">
        <f aca="false">IF(OR($C1152="",$D1152=""),"",IFERROR($D1152*INDEX(Mix_Eff,MATCH($C1152,Mix_Code,0),4),""))</f>
        <v/>
      </c>
      <c r="J1152" s="67" t="str">
        <f aca="false">IF(OR($C1152="",$D1152=""),"",IFERROR($D1152*INDEX(Mix_Eff,MATCH($C1152,Mix_Code,0),5),""))</f>
        <v/>
      </c>
      <c r="K1152" s="63"/>
      <c r="L1152" s="16" t="str">
        <f aca="false">IF(AND($A1152="",$B1152="",$C1152="",$D1152=""),"",IF($A1152="","⚠ Date missing",IF($B1152="","⚠ Site missing",IF(ISNA(MATCH($C1152,Mix_Code,0)),"⚠ Unknown mix code",IF($D1152="","⚠ Enter m3 produced",IF(COUNTIF(CI_Site,$B1152)=0,"⚠ Site not set up in Current Inventory",IF($A1152&gt;AsOfDate,"Future date – not yet deducted","OK")))))))</f>
        <v/>
      </c>
    </row>
    <row r="1153" customFormat="false" ht="15" hidden="false" customHeight="false" outlineLevel="0" collapsed="false">
      <c r="A1153" s="65"/>
      <c r="B1153" s="63"/>
      <c r="C1153" s="70"/>
      <c r="D1153" s="66"/>
      <c r="E1153" s="16" t="str">
        <f aca="false">IF($C1153="","",IFERROR(INDEX(Mix_Desc,MATCH($C1153,Mix_Code,0)),"⚠ Unknown mix code"))</f>
        <v/>
      </c>
      <c r="F1153" s="67" t="str">
        <f aca="false">IF(OR($C1153="",$D1153=""),"",IFERROR($D1153*INDEX(Mix_Eff,MATCH($C1153,Mix_Code,0),1),""))</f>
        <v/>
      </c>
      <c r="G1153" s="67" t="str">
        <f aca="false">IF(OR($C1153="",$D1153=""),"",IFERROR($D1153*INDEX(Mix_Eff,MATCH($C1153,Mix_Code,0),2),""))</f>
        <v/>
      </c>
      <c r="H1153" s="67" t="str">
        <f aca="false">IF(OR($C1153="",$D1153=""),"",IFERROR($D1153*INDEX(Mix_Eff,MATCH($C1153,Mix_Code,0),3),""))</f>
        <v/>
      </c>
      <c r="I1153" s="67" t="str">
        <f aca="false">IF(OR($C1153="",$D1153=""),"",IFERROR($D1153*INDEX(Mix_Eff,MATCH($C1153,Mix_Code,0),4),""))</f>
        <v/>
      </c>
      <c r="J1153" s="67" t="str">
        <f aca="false">IF(OR($C1153="",$D1153=""),"",IFERROR($D1153*INDEX(Mix_Eff,MATCH($C1153,Mix_Code,0),5),""))</f>
        <v/>
      </c>
      <c r="K1153" s="63"/>
      <c r="L1153" s="16" t="str">
        <f aca="false">IF(AND($A1153="",$B1153="",$C1153="",$D1153=""),"",IF($A1153="","⚠ Date missing",IF($B1153="","⚠ Site missing",IF(ISNA(MATCH($C1153,Mix_Code,0)),"⚠ Unknown mix code",IF($D1153="","⚠ Enter m3 produced",IF(COUNTIF(CI_Site,$B1153)=0,"⚠ Site not set up in Current Inventory",IF($A1153&gt;AsOfDate,"Future date – not yet deducted","OK")))))))</f>
        <v/>
      </c>
    </row>
    <row r="1154" customFormat="false" ht="15" hidden="false" customHeight="false" outlineLevel="0" collapsed="false">
      <c r="A1154" s="65"/>
      <c r="B1154" s="63"/>
      <c r="C1154" s="70"/>
      <c r="D1154" s="66"/>
      <c r="E1154" s="16" t="str">
        <f aca="false">IF($C1154="","",IFERROR(INDEX(Mix_Desc,MATCH($C1154,Mix_Code,0)),"⚠ Unknown mix code"))</f>
        <v/>
      </c>
      <c r="F1154" s="67" t="str">
        <f aca="false">IF(OR($C1154="",$D1154=""),"",IFERROR($D1154*INDEX(Mix_Eff,MATCH($C1154,Mix_Code,0),1),""))</f>
        <v/>
      </c>
      <c r="G1154" s="67" t="str">
        <f aca="false">IF(OR($C1154="",$D1154=""),"",IFERROR($D1154*INDEX(Mix_Eff,MATCH($C1154,Mix_Code,0),2),""))</f>
        <v/>
      </c>
      <c r="H1154" s="67" t="str">
        <f aca="false">IF(OR($C1154="",$D1154=""),"",IFERROR($D1154*INDEX(Mix_Eff,MATCH($C1154,Mix_Code,0),3),""))</f>
        <v/>
      </c>
      <c r="I1154" s="67" t="str">
        <f aca="false">IF(OR($C1154="",$D1154=""),"",IFERROR($D1154*INDEX(Mix_Eff,MATCH($C1154,Mix_Code,0),4),""))</f>
        <v/>
      </c>
      <c r="J1154" s="67" t="str">
        <f aca="false">IF(OR($C1154="",$D1154=""),"",IFERROR($D1154*INDEX(Mix_Eff,MATCH($C1154,Mix_Code,0),5),""))</f>
        <v/>
      </c>
      <c r="K1154" s="63"/>
      <c r="L1154" s="16" t="str">
        <f aca="false">IF(AND($A1154="",$B1154="",$C1154="",$D1154=""),"",IF($A1154="","⚠ Date missing",IF($B1154="","⚠ Site missing",IF(ISNA(MATCH($C1154,Mix_Code,0)),"⚠ Unknown mix code",IF($D1154="","⚠ Enter m3 produced",IF(COUNTIF(CI_Site,$B1154)=0,"⚠ Site not set up in Current Inventory",IF($A1154&gt;AsOfDate,"Future date – not yet deducted","OK")))))))</f>
        <v/>
      </c>
    </row>
    <row r="1155" customFormat="false" ht="15" hidden="false" customHeight="false" outlineLevel="0" collapsed="false">
      <c r="A1155" s="65"/>
      <c r="B1155" s="63"/>
      <c r="C1155" s="70"/>
      <c r="D1155" s="66"/>
      <c r="E1155" s="16" t="str">
        <f aca="false">IF($C1155="","",IFERROR(INDEX(Mix_Desc,MATCH($C1155,Mix_Code,0)),"⚠ Unknown mix code"))</f>
        <v/>
      </c>
      <c r="F1155" s="67" t="str">
        <f aca="false">IF(OR($C1155="",$D1155=""),"",IFERROR($D1155*INDEX(Mix_Eff,MATCH($C1155,Mix_Code,0),1),""))</f>
        <v/>
      </c>
      <c r="G1155" s="67" t="str">
        <f aca="false">IF(OR($C1155="",$D1155=""),"",IFERROR($D1155*INDEX(Mix_Eff,MATCH($C1155,Mix_Code,0),2),""))</f>
        <v/>
      </c>
      <c r="H1155" s="67" t="str">
        <f aca="false">IF(OR($C1155="",$D1155=""),"",IFERROR($D1155*INDEX(Mix_Eff,MATCH($C1155,Mix_Code,0),3),""))</f>
        <v/>
      </c>
      <c r="I1155" s="67" t="str">
        <f aca="false">IF(OR($C1155="",$D1155=""),"",IFERROR($D1155*INDEX(Mix_Eff,MATCH($C1155,Mix_Code,0),4),""))</f>
        <v/>
      </c>
      <c r="J1155" s="67" t="str">
        <f aca="false">IF(OR($C1155="",$D1155=""),"",IFERROR($D1155*INDEX(Mix_Eff,MATCH($C1155,Mix_Code,0),5),""))</f>
        <v/>
      </c>
      <c r="K1155" s="63"/>
      <c r="L1155" s="16" t="str">
        <f aca="false">IF(AND($A1155="",$B1155="",$C1155="",$D1155=""),"",IF($A1155="","⚠ Date missing",IF($B1155="","⚠ Site missing",IF(ISNA(MATCH($C1155,Mix_Code,0)),"⚠ Unknown mix code",IF($D1155="","⚠ Enter m3 produced",IF(COUNTIF(CI_Site,$B1155)=0,"⚠ Site not set up in Current Inventory",IF($A1155&gt;AsOfDate,"Future date – not yet deducted","OK")))))))</f>
        <v/>
      </c>
    </row>
    <row r="1156" customFormat="false" ht="15" hidden="false" customHeight="false" outlineLevel="0" collapsed="false">
      <c r="A1156" s="65"/>
      <c r="B1156" s="63"/>
      <c r="C1156" s="70"/>
      <c r="D1156" s="66"/>
      <c r="E1156" s="16" t="str">
        <f aca="false">IF($C1156="","",IFERROR(INDEX(Mix_Desc,MATCH($C1156,Mix_Code,0)),"⚠ Unknown mix code"))</f>
        <v/>
      </c>
      <c r="F1156" s="67" t="str">
        <f aca="false">IF(OR($C1156="",$D1156=""),"",IFERROR($D1156*INDEX(Mix_Eff,MATCH($C1156,Mix_Code,0),1),""))</f>
        <v/>
      </c>
      <c r="G1156" s="67" t="str">
        <f aca="false">IF(OR($C1156="",$D1156=""),"",IFERROR($D1156*INDEX(Mix_Eff,MATCH($C1156,Mix_Code,0),2),""))</f>
        <v/>
      </c>
      <c r="H1156" s="67" t="str">
        <f aca="false">IF(OR($C1156="",$D1156=""),"",IFERROR($D1156*INDEX(Mix_Eff,MATCH($C1156,Mix_Code,0),3),""))</f>
        <v/>
      </c>
      <c r="I1156" s="67" t="str">
        <f aca="false">IF(OR($C1156="",$D1156=""),"",IFERROR($D1156*INDEX(Mix_Eff,MATCH($C1156,Mix_Code,0),4),""))</f>
        <v/>
      </c>
      <c r="J1156" s="67" t="str">
        <f aca="false">IF(OR($C1156="",$D1156=""),"",IFERROR($D1156*INDEX(Mix_Eff,MATCH($C1156,Mix_Code,0),5),""))</f>
        <v/>
      </c>
      <c r="K1156" s="63"/>
      <c r="L1156" s="16" t="str">
        <f aca="false">IF(AND($A1156="",$B1156="",$C1156="",$D1156=""),"",IF($A1156="","⚠ Date missing",IF($B1156="","⚠ Site missing",IF(ISNA(MATCH($C1156,Mix_Code,0)),"⚠ Unknown mix code",IF($D1156="","⚠ Enter m3 produced",IF(COUNTIF(CI_Site,$B1156)=0,"⚠ Site not set up in Current Inventory",IF($A1156&gt;AsOfDate,"Future date – not yet deducted","OK")))))))</f>
        <v/>
      </c>
    </row>
    <row r="1157" customFormat="false" ht="15" hidden="false" customHeight="false" outlineLevel="0" collapsed="false">
      <c r="A1157" s="65"/>
      <c r="B1157" s="63"/>
      <c r="C1157" s="70"/>
      <c r="D1157" s="66"/>
      <c r="E1157" s="16" t="str">
        <f aca="false">IF($C1157="","",IFERROR(INDEX(Mix_Desc,MATCH($C1157,Mix_Code,0)),"⚠ Unknown mix code"))</f>
        <v/>
      </c>
      <c r="F1157" s="67" t="str">
        <f aca="false">IF(OR($C1157="",$D1157=""),"",IFERROR($D1157*INDEX(Mix_Eff,MATCH($C1157,Mix_Code,0),1),""))</f>
        <v/>
      </c>
      <c r="G1157" s="67" t="str">
        <f aca="false">IF(OR($C1157="",$D1157=""),"",IFERROR($D1157*INDEX(Mix_Eff,MATCH($C1157,Mix_Code,0),2),""))</f>
        <v/>
      </c>
      <c r="H1157" s="67" t="str">
        <f aca="false">IF(OR($C1157="",$D1157=""),"",IFERROR($D1157*INDEX(Mix_Eff,MATCH($C1157,Mix_Code,0),3),""))</f>
        <v/>
      </c>
      <c r="I1157" s="67" t="str">
        <f aca="false">IF(OR($C1157="",$D1157=""),"",IFERROR($D1157*INDEX(Mix_Eff,MATCH($C1157,Mix_Code,0),4),""))</f>
        <v/>
      </c>
      <c r="J1157" s="67" t="str">
        <f aca="false">IF(OR($C1157="",$D1157=""),"",IFERROR($D1157*INDEX(Mix_Eff,MATCH($C1157,Mix_Code,0),5),""))</f>
        <v/>
      </c>
      <c r="K1157" s="63"/>
      <c r="L1157" s="16" t="str">
        <f aca="false">IF(AND($A1157="",$B1157="",$C1157="",$D1157=""),"",IF($A1157="","⚠ Date missing",IF($B1157="","⚠ Site missing",IF(ISNA(MATCH($C1157,Mix_Code,0)),"⚠ Unknown mix code",IF($D1157="","⚠ Enter m3 produced",IF(COUNTIF(CI_Site,$B1157)=0,"⚠ Site not set up in Current Inventory",IF($A1157&gt;AsOfDate,"Future date – not yet deducted","OK")))))))</f>
        <v/>
      </c>
    </row>
    <row r="1158" customFormat="false" ht="15" hidden="false" customHeight="false" outlineLevel="0" collapsed="false">
      <c r="A1158" s="65"/>
      <c r="B1158" s="63"/>
      <c r="C1158" s="70"/>
      <c r="D1158" s="66"/>
      <c r="E1158" s="16" t="str">
        <f aca="false">IF($C1158="","",IFERROR(INDEX(Mix_Desc,MATCH($C1158,Mix_Code,0)),"⚠ Unknown mix code"))</f>
        <v/>
      </c>
      <c r="F1158" s="67" t="str">
        <f aca="false">IF(OR($C1158="",$D1158=""),"",IFERROR($D1158*INDEX(Mix_Eff,MATCH($C1158,Mix_Code,0),1),""))</f>
        <v/>
      </c>
      <c r="G1158" s="67" t="str">
        <f aca="false">IF(OR($C1158="",$D1158=""),"",IFERROR($D1158*INDEX(Mix_Eff,MATCH($C1158,Mix_Code,0),2),""))</f>
        <v/>
      </c>
      <c r="H1158" s="67" t="str">
        <f aca="false">IF(OR($C1158="",$D1158=""),"",IFERROR($D1158*INDEX(Mix_Eff,MATCH($C1158,Mix_Code,0),3),""))</f>
        <v/>
      </c>
      <c r="I1158" s="67" t="str">
        <f aca="false">IF(OR($C1158="",$D1158=""),"",IFERROR($D1158*INDEX(Mix_Eff,MATCH($C1158,Mix_Code,0),4),""))</f>
        <v/>
      </c>
      <c r="J1158" s="67" t="str">
        <f aca="false">IF(OR($C1158="",$D1158=""),"",IFERROR($D1158*INDEX(Mix_Eff,MATCH($C1158,Mix_Code,0),5),""))</f>
        <v/>
      </c>
      <c r="K1158" s="63"/>
      <c r="L1158" s="16" t="str">
        <f aca="false">IF(AND($A1158="",$B1158="",$C1158="",$D1158=""),"",IF($A1158="","⚠ Date missing",IF($B1158="","⚠ Site missing",IF(ISNA(MATCH($C1158,Mix_Code,0)),"⚠ Unknown mix code",IF($D1158="","⚠ Enter m3 produced",IF(COUNTIF(CI_Site,$B1158)=0,"⚠ Site not set up in Current Inventory",IF($A1158&gt;AsOfDate,"Future date – not yet deducted","OK")))))))</f>
        <v/>
      </c>
    </row>
    <row r="1159" customFormat="false" ht="15" hidden="false" customHeight="false" outlineLevel="0" collapsed="false">
      <c r="A1159" s="65"/>
      <c r="B1159" s="63"/>
      <c r="C1159" s="70"/>
      <c r="D1159" s="66"/>
      <c r="E1159" s="16" t="str">
        <f aca="false">IF($C1159="","",IFERROR(INDEX(Mix_Desc,MATCH($C1159,Mix_Code,0)),"⚠ Unknown mix code"))</f>
        <v/>
      </c>
      <c r="F1159" s="67" t="str">
        <f aca="false">IF(OR($C1159="",$D1159=""),"",IFERROR($D1159*INDEX(Mix_Eff,MATCH($C1159,Mix_Code,0),1),""))</f>
        <v/>
      </c>
      <c r="G1159" s="67" t="str">
        <f aca="false">IF(OR($C1159="",$D1159=""),"",IFERROR($D1159*INDEX(Mix_Eff,MATCH($C1159,Mix_Code,0),2),""))</f>
        <v/>
      </c>
      <c r="H1159" s="67" t="str">
        <f aca="false">IF(OR($C1159="",$D1159=""),"",IFERROR($D1159*INDEX(Mix_Eff,MATCH($C1159,Mix_Code,0),3),""))</f>
        <v/>
      </c>
      <c r="I1159" s="67" t="str">
        <f aca="false">IF(OR($C1159="",$D1159=""),"",IFERROR($D1159*INDEX(Mix_Eff,MATCH($C1159,Mix_Code,0),4),""))</f>
        <v/>
      </c>
      <c r="J1159" s="67" t="str">
        <f aca="false">IF(OR($C1159="",$D1159=""),"",IFERROR($D1159*INDEX(Mix_Eff,MATCH($C1159,Mix_Code,0),5),""))</f>
        <v/>
      </c>
      <c r="K1159" s="63"/>
      <c r="L1159" s="16" t="str">
        <f aca="false">IF(AND($A1159="",$B1159="",$C1159="",$D1159=""),"",IF($A1159="","⚠ Date missing",IF($B1159="","⚠ Site missing",IF(ISNA(MATCH($C1159,Mix_Code,0)),"⚠ Unknown mix code",IF($D1159="","⚠ Enter m3 produced",IF(COUNTIF(CI_Site,$B1159)=0,"⚠ Site not set up in Current Inventory",IF($A1159&gt;AsOfDate,"Future date – not yet deducted","OK")))))))</f>
        <v/>
      </c>
    </row>
    <row r="1160" customFormat="false" ht="15" hidden="false" customHeight="false" outlineLevel="0" collapsed="false">
      <c r="A1160" s="65"/>
      <c r="B1160" s="63"/>
      <c r="C1160" s="70"/>
      <c r="D1160" s="66"/>
      <c r="E1160" s="16" t="str">
        <f aca="false">IF($C1160="","",IFERROR(INDEX(Mix_Desc,MATCH($C1160,Mix_Code,0)),"⚠ Unknown mix code"))</f>
        <v/>
      </c>
      <c r="F1160" s="67" t="str">
        <f aca="false">IF(OR($C1160="",$D1160=""),"",IFERROR($D1160*INDEX(Mix_Eff,MATCH($C1160,Mix_Code,0),1),""))</f>
        <v/>
      </c>
      <c r="G1160" s="67" t="str">
        <f aca="false">IF(OR($C1160="",$D1160=""),"",IFERROR($D1160*INDEX(Mix_Eff,MATCH($C1160,Mix_Code,0),2),""))</f>
        <v/>
      </c>
      <c r="H1160" s="67" t="str">
        <f aca="false">IF(OR($C1160="",$D1160=""),"",IFERROR($D1160*INDEX(Mix_Eff,MATCH($C1160,Mix_Code,0),3),""))</f>
        <v/>
      </c>
      <c r="I1160" s="67" t="str">
        <f aca="false">IF(OR($C1160="",$D1160=""),"",IFERROR($D1160*INDEX(Mix_Eff,MATCH($C1160,Mix_Code,0),4),""))</f>
        <v/>
      </c>
      <c r="J1160" s="67" t="str">
        <f aca="false">IF(OR($C1160="",$D1160=""),"",IFERROR($D1160*INDEX(Mix_Eff,MATCH($C1160,Mix_Code,0),5),""))</f>
        <v/>
      </c>
      <c r="K1160" s="63"/>
      <c r="L1160" s="16" t="str">
        <f aca="false">IF(AND($A1160="",$B1160="",$C1160="",$D1160=""),"",IF($A1160="","⚠ Date missing",IF($B1160="","⚠ Site missing",IF(ISNA(MATCH($C1160,Mix_Code,0)),"⚠ Unknown mix code",IF($D1160="","⚠ Enter m3 produced",IF(COUNTIF(CI_Site,$B1160)=0,"⚠ Site not set up in Current Inventory",IF($A1160&gt;AsOfDate,"Future date – not yet deducted","OK")))))))</f>
        <v/>
      </c>
    </row>
    <row r="1161" customFormat="false" ht="15" hidden="false" customHeight="false" outlineLevel="0" collapsed="false">
      <c r="A1161" s="65"/>
      <c r="B1161" s="63"/>
      <c r="C1161" s="70"/>
      <c r="D1161" s="66"/>
      <c r="E1161" s="16" t="str">
        <f aca="false">IF($C1161="","",IFERROR(INDEX(Mix_Desc,MATCH($C1161,Mix_Code,0)),"⚠ Unknown mix code"))</f>
        <v/>
      </c>
      <c r="F1161" s="67" t="str">
        <f aca="false">IF(OR($C1161="",$D1161=""),"",IFERROR($D1161*INDEX(Mix_Eff,MATCH($C1161,Mix_Code,0),1),""))</f>
        <v/>
      </c>
      <c r="G1161" s="67" t="str">
        <f aca="false">IF(OR($C1161="",$D1161=""),"",IFERROR($D1161*INDEX(Mix_Eff,MATCH($C1161,Mix_Code,0),2),""))</f>
        <v/>
      </c>
      <c r="H1161" s="67" t="str">
        <f aca="false">IF(OR($C1161="",$D1161=""),"",IFERROR($D1161*INDEX(Mix_Eff,MATCH($C1161,Mix_Code,0),3),""))</f>
        <v/>
      </c>
      <c r="I1161" s="67" t="str">
        <f aca="false">IF(OR($C1161="",$D1161=""),"",IFERROR($D1161*INDEX(Mix_Eff,MATCH($C1161,Mix_Code,0),4),""))</f>
        <v/>
      </c>
      <c r="J1161" s="67" t="str">
        <f aca="false">IF(OR($C1161="",$D1161=""),"",IFERROR($D1161*INDEX(Mix_Eff,MATCH($C1161,Mix_Code,0),5),""))</f>
        <v/>
      </c>
      <c r="K1161" s="63"/>
      <c r="L1161" s="16" t="str">
        <f aca="false">IF(AND($A1161="",$B1161="",$C1161="",$D1161=""),"",IF($A1161="","⚠ Date missing",IF($B1161="","⚠ Site missing",IF(ISNA(MATCH($C1161,Mix_Code,0)),"⚠ Unknown mix code",IF($D1161="","⚠ Enter m3 produced",IF(COUNTIF(CI_Site,$B1161)=0,"⚠ Site not set up in Current Inventory",IF($A1161&gt;AsOfDate,"Future date – not yet deducted","OK")))))))</f>
        <v/>
      </c>
    </row>
    <row r="1162" customFormat="false" ht="15" hidden="false" customHeight="false" outlineLevel="0" collapsed="false">
      <c r="A1162" s="65"/>
      <c r="B1162" s="63"/>
      <c r="C1162" s="70"/>
      <c r="D1162" s="66"/>
      <c r="E1162" s="16" t="str">
        <f aca="false">IF($C1162="","",IFERROR(INDEX(Mix_Desc,MATCH($C1162,Mix_Code,0)),"⚠ Unknown mix code"))</f>
        <v/>
      </c>
      <c r="F1162" s="67" t="str">
        <f aca="false">IF(OR($C1162="",$D1162=""),"",IFERROR($D1162*INDEX(Mix_Eff,MATCH($C1162,Mix_Code,0),1),""))</f>
        <v/>
      </c>
      <c r="G1162" s="67" t="str">
        <f aca="false">IF(OR($C1162="",$D1162=""),"",IFERROR($D1162*INDEX(Mix_Eff,MATCH($C1162,Mix_Code,0),2),""))</f>
        <v/>
      </c>
      <c r="H1162" s="67" t="str">
        <f aca="false">IF(OR($C1162="",$D1162=""),"",IFERROR($D1162*INDEX(Mix_Eff,MATCH($C1162,Mix_Code,0),3),""))</f>
        <v/>
      </c>
      <c r="I1162" s="67" t="str">
        <f aca="false">IF(OR($C1162="",$D1162=""),"",IFERROR($D1162*INDEX(Mix_Eff,MATCH($C1162,Mix_Code,0),4),""))</f>
        <v/>
      </c>
      <c r="J1162" s="67" t="str">
        <f aca="false">IF(OR($C1162="",$D1162=""),"",IFERROR($D1162*INDEX(Mix_Eff,MATCH($C1162,Mix_Code,0),5),""))</f>
        <v/>
      </c>
      <c r="K1162" s="63"/>
      <c r="L1162" s="16" t="str">
        <f aca="false">IF(AND($A1162="",$B1162="",$C1162="",$D1162=""),"",IF($A1162="","⚠ Date missing",IF($B1162="","⚠ Site missing",IF(ISNA(MATCH($C1162,Mix_Code,0)),"⚠ Unknown mix code",IF($D1162="","⚠ Enter m3 produced",IF(COUNTIF(CI_Site,$B1162)=0,"⚠ Site not set up in Current Inventory",IF($A1162&gt;AsOfDate,"Future date – not yet deducted","OK")))))))</f>
        <v/>
      </c>
    </row>
    <row r="1163" customFormat="false" ht="15" hidden="false" customHeight="false" outlineLevel="0" collapsed="false">
      <c r="A1163" s="65"/>
      <c r="B1163" s="63"/>
      <c r="C1163" s="70"/>
      <c r="D1163" s="66"/>
      <c r="E1163" s="16" t="str">
        <f aca="false">IF($C1163="","",IFERROR(INDEX(Mix_Desc,MATCH($C1163,Mix_Code,0)),"⚠ Unknown mix code"))</f>
        <v/>
      </c>
      <c r="F1163" s="67" t="str">
        <f aca="false">IF(OR($C1163="",$D1163=""),"",IFERROR($D1163*INDEX(Mix_Eff,MATCH($C1163,Mix_Code,0),1),""))</f>
        <v/>
      </c>
      <c r="G1163" s="67" t="str">
        <f aca="false">IF(OR($C1163="",$D1163=""),"",IFERROR($D1163*INDEX(Mix_Eff,MATCH($C1163,Mix_Code,0),2),""))</f>
        <v/>
      </c>
      <c r="H1163" s="67" t="str">
        <f aca="false">IF(OR($C1163="",$D1163=""),"",IFERROR($D1163*INDEX(Mix_Eff,MATCH($C1163,Mix_Code,0),3),""))</f>
        <v/>
      </c>
      <c r="I1163" s="67" t="str">
        <f aca="false">IF(OR($C1163="",$D1163=""),"",IFERROR($D1163*INDEX(Mix_Eff,MATCH($C1163,Mix_Code,0),4),""))</f>
        <v/>
      </c>
      <c r="J1163" s="67" t="str">
        <f aca="false">IF(OR($C1163="",$D1163=""),"",IFERROR($D1163*INDEX(Mix_Eff,MATCH($C1163,Mix_Code,0),5),""))</f>
        <v/>
      </c>
      <c r="K1163" s="63"/>
      <c r="L1163" s="16" t="str">
        <f aca="false">IF(AND($A1163="",$B1163="",$C1163="",$D1163=""),"",IF($A1163="","⚠ Date missing",IF($B1163="","⚠ Site missing",IF(ISNA(MATCH($C1163,Mix_Code,0)),"⚠ Unknown mix code",IF($D1163="","⚠ Enter m3 produced",IF(COUNTIF(CI_Site,$B1163)=0,"⚠ Site not set up in Current Inventory",IF($A1163&gt;AsOfDate,"Future date – not yet deducted","OK")))))))</f>
        <v/>
      </c>
    </row>
    <row r="1164" customFormat="false" ht="15" hidden="false" customHeight="false" outlineLevel="0" collapsed="false">
      <c r="A1164" s="65"/>
      <c r="B1164" s="63"/>
      <c r="C1164" s="70"/>
      <c r="D1164" s="66"/>
      <c r="E1164" s="16" t="str">
        <f aca="false">IF($C1164="","",IFERROR(INDEX(Mix_Desc,MATCH($C1164,Mix_Code,0)),"⚠ Unknown mix code"))</f>
        <v/>
      </c>
      <c r="F1164" s="67" t="str">
        <f aca="false">IF(OR($C1164="",$D1164=""),"",IFERROR($D1164*INDEX(Mix_Eff,MATCH($C1164,Mix_Code,0),1),""))</f>
        <v/>
      </c>
      <c r="G1164" s="67" t="str">
        <f aca="false">IF(OR($C1164="",$D1164=""),"",IFERROR($D1164*INDEX(Mix_Eff,MATCH($C1164,Mix_Code,0),2),""))</f>
        <v/>
      </c>
      <c r="H1164" s="67" t="str">
        <f aca="false">IF(OR($C1164="",$D1164=""),"",IFERROR($D1164*INDEX(Mix_Eff,MATCH($C1164,Mix_Code,0),3),""))</f>
        <v/>
      </c>
      <c r="I1164" s="67" t="str">
        <f aca="false">IF(OR($C1164="",$D1164=""),"",IFERROR($D1164*INDEX(Mix_Eff,MATCH($C1164,Mix_Code,0),4),""))</f>
        <v/>
      </c>
      <c r="J1164" s="67" t="str">
        <f aca="false">IF(OR($C1164="",$D1164=""),"",IFERROR($D1164*INDEX(Mix_Eff,MATCH($C1164,Mix_Code,0),5),""))</f>
        <v/>
      </c>
      <c r="K1164" s="63"/>
      <c r="L1164" s="16" t="str">
        <f aca="false">IF(AND($A1164="",$B1164="",$C1164="",$D1164=""),"",IF($A1164="","⚠ Date missing",IF($B1164="","⚠ Site missing",IF(ISNA(MATCH($C1164,Mix_Code,0)),"⚠ Unknown mix code",IF($D1164="","⚠ Enter m3 produced",IF(COUNTIF(CI_Site,$B1164)=0,"⚠ Site not set up in Current Inventory",IF($A1164&gt;AsOfDate,"Future date – not yet deducted","OK")))))))</f>
        <v/>
      </c>
    </row>
    <row r="1165" customFormat="false" ht="15" hidden="false" customHeight="false" outlineLevel="0" collapsed="false">
      <c r="A1165" s="65"/>
      <c r="B1165" s="63"/>
      <c r="C1165" s="70"/>
      <c r="D1165" s="66"/>
      <c r="E1165" s="16" t="str">
        <f aca="false">IF($C1165="","",IFERROR(INDEX(Mix_Desc,MATCH($C1165,Mix_Code,0)),"⚠ Unknown mix code"))</f>
        <v/>
      </c>
      <c r="F1165" s="67" t="str">
        <f aca="false">IF(OR($C1165="",$D1165=""),"",IFERROR($D1165*INDEX(Mix_Eff,MATCH($C1165,Mix_Code,0),1),""))</f>
        <v/>
      </c>
      <c r="G1165" s="67" t="str">
        <f aca="false">IF(OR($C1165="",$D1165=""),"",IFERROR($D1165*INDEX(Mix_Eff,MATCH($C1165,Mix_Code,0),2),""))</f>
        <v/>
      </c>
      <c r="H1165" s="67" t="str">
        <f aca="false">IF(OR($C1165="",$D1165=""),"",IFERROR($D1165*INDEX(Mix_Eff,MATCH($C1165,Mix_Code,0),3),""))</f>
        <v/>
      </c>
      <c r="I1165" s="67" t="str">
        <f aca="false">IF(OR($C1165="",$D1165=""),"",IFERROR($D1165*INDEX(Mix_Eff,MATCH($C1165,Mix_Code,0),4),""))</f>
        <v/>
      </c>
      <c r="J1165" s="67" t="str">
        <f aca="false">IF(OR($C1165="",$D1165=""),"",IFERROR($D1165*INDEX(Mix_Eff,MATCH($C1165,Mix_Code,0),5),""))</f>
        <v/>
      </c>
      <c r="K1165" s="63"/>
      <c r="L1165" s="16" t="str">
        <f aca="false">IF(AND($A1165="",$B1165="",$C1165="",$D1165=""),"",IF($A1165="","⚠ Date missing",IF($B1165="","⚠ Site missing",IF(ISNA(MATCH($C1165,Mix_Code,0)),"⚠ Unknown mix code",IF($D1165="","⚠ Enter m3 produced",IF(COUNTIF(CI_Site,$B1165)=0,"⚠ Site not set up in Current Inventory",IF($A1165&gt;AsOfDate,"Future date – not yet deducted","OK")))))))</f>
        <v/>
      </c>
    </row>
    <row r="1166" customFormat="false" ht="15" hidden="false" customHeight="false" outlineLevel="0" collapsed="false">
      <c r="A1166" s="65"/>
      <c r="B1166" s="63"/>
      <c r="C1166" s="70"/>
      <c r="D1166" s="66"/>
      <c r="E1166" s="16" t="str">
        <f aca="false">IF($C1166="","",IFERROR(INDEX(Mix_Desc,MATCH($C1166,Mix_Code,0)),"⚠ Unknown mix code"))</f>
        <v/>
      </c>
      <c r="F1166" s="67" t="str">
        <f aca="false">IF(OR($C1166="",$D1166=""),"",IFERROR($D1166*INDEX(Mix_Eff,MATCH($C1166,Mix_Code,0),1),""))</f>
        <v/>
      </c>
      <c r="G1166" s="67" t="str">
        <f aca="false">IF(OR($C1166="",$D1166=""),"",IFERROR($D1166*INDEX(Mix_Eff,MATCH($C1166,Mix_Code,0),2),""))</f>
        <v/>
      </c>
      <c r="H1166" s="67" t="str">
        <f aca="false">IF(OR($C1166="",$D1166=""),"",IFERROR($D1166*INDEX(Mix_Eff,MATCH($C1166,Mix_Code,0),3),""))</f>
        <v/>
      </c>
      <c r="I1166" s="67" t="str">
        <f aca="false">IF(OR($C1166="",$D1166=""),"",IFERROR($D1166*INDEX(Mix_Eff,MATCH($C1166,Mix_Code,0),4),""))</f>
        <v/>
      </c>
      <c r="J1166" s="67" t="str">
        <f aca="false">IF(OR($C1166="",$D1166=""),"",IFERROR($D1166*INDEX(Mix_Eff,MATCH($C1166,Mix_Code,0),5),""))</f>
        <v/>
      </c>
      <c r="K1166" s="63"/>
      <c r="L1166" s="16" t="str">
        <f aca="false">IF(AND($A1166="",$B1166="",$C1166="",$D1166=""),"",IF($A1166="","⚠ Date missing",IF($B1166="","⚠ Site missing",IF(ISNA(MATCH($C1166,Mix_Code,0)),"⚠ Unknown mix code",IF($D1166="","⚠ Enter m3 produced",IF(COUNTIF(CI_Site,$B1166)=0,"⚠ Site not set up in Current Inventory",IF($A1166&gt;AsOfDate,"Future date – not yet deducted","OK")))))))</f>
        <v/>
      </c>
    </row>
    <row r="1167" customFormat="false" ht="15" hidden="false" customHeight="false" outlineLevel="0" collapsed="false">
      <c r="A1167" s="65"/>
      <c r="B1167" s="63"/>
      <c r="C1167" s="70"/>
      <c r="D1167" s="66"/>
      <c r="E1167" s="16" t="str">
        <f aca="false">IF($C1167="","",IFERROR(INDEX(Mix_Desc,MATCH($C1167,Mix_Code,0)),"⚠ Unknown mix code"))</f>
        <v/>
      </c>
      <c r="F1167" s="67" t="str">
        <f aca="false">IF(OR($C1167="",$D1167=""),"",IFERROR($D1167*INDEX(Mix_Eff,MATCH($C1167,Mix_Code,0),1),""))</f>
        <v/>
      </c>
      <c r="G1167" s="67" t="str">
        <f aca="false">IF(OR($C1167="",$D1167=""),"",IFERROR($D1167*INDEX(Mix_Eff,MATCH($C1167,Mix_Code,0),2),""))</f>
        <v/>
      </c>
      <c r="H1167" s="67" t="str">
        <f aca="false">IF(OR($C1167="",$D1167=""),"",IFERROR($D1167*INDEX(Mix_Eff,MATCH($C1167,Mix_Code,0),3),""))</f>
        <v/>
      </c>
      <c r="I1167" s="67" t="str">
        <f aca="false">IF(OR($C1167="",$D1167=""),"",IFERROR($D1167*INDEX(Mix_Eff,MATCH($C1167,Mix_Code,0),4),""))</f>
        <v/>
      </c>
      <c r="J1167" s="67" t="str">
        <f aca="false">IF(OR($C1167="",$D1167=""),"",IFERROR($D1167*INDEX(Mix_Eff,MATCH($C1167,Mix_Code,0),5),""))</f>
        <v/>
      </c>
      <c r="K1167" s="63"/>
      <c r="L1167" s="16" t="str">
        <f aca="false">IF(AND($A1167="",$B1167="",$C1167="",$D1167=""),"",IF($A1167="","⚠ Date missing",IF($B1167="","⚠ Site missing",IF(ISNA(MATCH($C1167,Mix_Code,0)),"⚠ Unknown mix code",IF($D1167="","⚠ Enter m3 produced",IF(COUNTIF(CI_Site,$B1167)=0,"⚠ Site not set up in Current Inventory",IF($A1167&gt;AsOfDate,"Future date – not yet deducted","OK")))))))</f>
        <v/>
      </c>
    </row>
    <row r="1168" customFormat="false" ht="15" hidden="false" customHeight="false" outlineLevel="0" collapsed="false">
      <c r="A1168" s="65"/>
      <c r="B1168" s="63"/>
      <c r="C1168" s="70"/>
      <c r="D1168" s="66"/>
      <c r="E1168" s="16" t="str">
        <f aca="false">IF($C1168="","",IFERROR(INDEX(Mix_Desc,MATCH($C1168,Mix_Code,0)),"⚠ Unknown mix code"))</f>
        <v/>
      </c>
      <c r="F1168" s="67" t="str">
        <f aca="false">IF(OR($C1168="",$D1168=""),"",IFERROR($D1168*INDEX(Mix_Eff,MATCH($C1168,Mix_Code,0),1),""))</f>
        <v/>
      </c>
      <c r="G1168" s="67" t="str">
        <f aca="false">IF(OR($C1168="",$D1168=""),"",IFERROR($D1168*INDEX(Mix_Eff,MATCH($C1168,Mix_Code,0),2),""))</f>
        <v/>
      </c>
      <c r="H1168" s="67" t="str">
        <f aca="false">IF(OR($C1168="",$D1168=""),"",IFERROR($D1168*INDEX(Mix_Eff,MATCH($C1168,Mix_Code,0),3),""))</f>
        <v/>
      </c>
      <c r="I1168" s="67" t="str">
        <f aca="false">IF(OR($C1168="",$D1168=""),"",IFERROR($D1168*INDEX(Mix_Eff,MATCH($C1168,Mix_Code,0),4),""))</f>
        <v/>
      </c>
      <c r="J1168" s="67" t="str">
        <f aca="false">IF(OR($C1168="",$D1168=""),"",IFERROR($D1168*INDEX(Mix_Eff,MATCH($C1168,Mix_Code,0),5),""))</f>
        <v/>
      </c>
      <c r="K1168" s="63"/>
      <c r="L1168" s="16" t="str">
        <f aca="false">IF(AND($A1168="",$B1168="",$C1168="",$D1168=""),"",IF($A1168="","⚠ Date missing",IF($B1168="","⚠ Site missing",IF(ISNA(MATCH($C1168,Mix_Code,0)),"⚠ Unknown mix code",IF($D1168="","⚠ Enter m3 produced",IF(COUNTIF(CI_Site,$B1168)=0,"⚠ Site not set up in Current Inventory",IF($A1168&gt;AsOfDate,"Future date – not yet deducted","OK")))))))</f>
        <v/>
      </c>
    </row>
    <row r="1169" customFormat="false" ht="15" hidden="false" customHeight="false" outlineLevel="0" collapsed="false">
      <c r="A1169" s="65"/>
      <c r="B1169" s="63"/>
      <c r="C1169" s="70"/>
      <c r="D1169" s="66"/>
      <c r="E1169" s="16" t="str">
        <f aca="false">IF($C1169="","",IFERROR(INDEX(Mix_Desc,MATCH($C1169,Mix_Code,0)),"⚠ Unknown mix code"))</f>
        <v/>
      </c>
      <c r="F1169" s="67" t="str">
        <f aca="false">IF(OR($C1169="",$D1169=""),"",IFERROR($D1169*INDEX(Mix_Eff,MATCH($C1169,Mix_Code,0),1),""))</f>
        <v/>
      </c>
      <c r="G1169" s="67" t="str">
        <f aca="false">IF(OR($C1169="",$D1169=""),"",IFERROR($D1169*INDEX(Mix_Eff,MATCH($C1169,Mix_Code,0),2),""))</f>
        <v/>
      </c>
      <c r="H1169" s="67" t="str">
        <f aca="false">IF(OR($C1169="",$D1169=""),"",IFERROR($D1169*INDEX(Mix_Eff,MATCH($C1169,Mix_Code,0),3),""))</f>
        <v/>
      </c>
      <c r="I1169" s="67" t="str">
        <f aca="false">IF(OR($C1169="",$D1169=""),"",IFERROR($D1169*INDEX(Mix_Eff,MATCH($C1169,Mix_Code,0),4),""))</f>
        <v/>
      </c>
      <c r="J1169" s="67" t="str">
        <f aca="false">IF(OR($C1169="",$D1169=""),"",IFERROR($D1169*INDEX(Mix_Eff,MATCH($C1169,Mix_Code,0),5),""))</f>
        <v/>
      </c>
      <c r="K1169" s="63"/>
      <c r="L1169" s="16" t="str">
        <f aca="false">IF(AND($A1169="",$B1169="",$C1169="",$D1169=""),"",IF($A1169="","⚠ Date missing",IF($B1169="","⚠ Site missing",IF(ISNA(MATCH($C1169,Mix_Code,0)),"⚠ Unknown mix code",IF($D1169="","⚠ Enter m3 produced",IF(COUNTIF(CI_Site,$B1169)=0,"⚠ Site not set up in Current Inventory",IF($A1169&gt;AsOfDate,"Future date – not yet deducted","OK")))))))</f>
        <v/>
      </c>
    </row>
    <row r="1170" customFormat="false" ht="15" hidden="false" customHeight="false" outlineLevel="0" collapsed="false">
      <c r="A1170" s="65"/>
      <c r="B1170" s="63"/>
      <c r="C1170" s="70"/>
      <c r="D1170" s="66"/>
      <c r="E1170" s="16" t="str">
        <f aca="false">IF($C1170="","",IFERROR(INDEX(Mix_Desc,MATCH($C1170,Mix_Code,0)),"⚠ Unknown mix code"))</f>
        <v/>
      </c>
      <c r="F1170" s="67" t="str">
        <f aca="false">IF(OR($C1170="",$D1170=""),"",IFERROR($D1170*INDEX(Mix_Eff,MATCH($C1170,Mix_Code,0),1),""))</f>
        <v/>
      </c>
      <c r="G1170" s="67" t="str">
        <f aca="false">IF(OR($C1170="",$D1170=""),"",IFERROR($D1170*INDEX(Mix_Eff,MATCH($C1170,Mix_Code,0),2),""))</f>
        <v/>
      </c>
      <c r="H1170" s="67" t="str">
        <f aca="false">IF(OR($C1170="",$D1170=""),"",IFERROR($D1170*INDEX(Mix_Eff,MATCH($C1170,Mix_Code,0),3),""))</f>
        <v/>
      </c>
      <c r="I1170" s="67" t="str">
        <f aca="false">IF(OR($C1170="",$D1170=""),"",IFERROR($D1170*INDEX(Mix_Eff,MATCH($C1170,Mix_Code,0),4),""))</f>
        <v/>
      </c>
      <c r="J1170" s="67" t="str">
        <f aca="false">IF(OR($C1170="",$D1170=""),"",IFERROR($D1170*INDEX(Mix_Eff,MATCH($C1170,Mix_Code,0),5),""))</f>
        <v/>
      </c>
      <c r="K1170" s="63"/>
      <c r="L1170" s="16" t="str">
        <f aca="false">IF(AND($A1170="",$B1170="",$C1170="",$D1170=""),"",IF($A1170="","⚠ Date missing",IF($B1170="","⚠ Site missing",IF(ISNA(MATCH($C1170,Mix_Code,0)),"⚠ Unknown mix code",IF($D1170="","⚠ Enter m3 produced",IF(COUNTIF(CI_Site,$B1170)=0,"⚠ Site not set up in Current Inventory",IF($A1170&gt;AsOfDate,"Future date – not yet deducted","OK")))))))</f>
        <v/>
      </c>
    </row>
    <row r="1171" customFormat="false" ht="15" hidden="false" customHeight="false" outlineLevel="0" collapsed="false">
      <c r="A1171" s="65"/>
      <c r="B1171" s="63"/>
      <c r="C1171" s="70"/>
      <c r="D1171" s="66"/>
      <c r="E1171" s="16" t="str">
        <f aca="false">IF($C1171="","",IFERROR(INDEX(Mix_Desc,MATCH($C1171,Mix_Code,0)),"⚠ Unknown mix code"))</f>
        <v/>
      </c>
      <c r="F1171" s="67" t="str">
        <f aca="false">IF(OR($C1171="",$D1171=""),"",IFERROR($D1171*INDEX(Mix_Eff,MATCH($C1171,Mix_Code,0),1),""))</f>
        <v/>
      </c>
      <c r="G1171" s="67" t="str">
        <f aca="false">IF(OR($C1171="",$D1171=""),"",IFERROR($D1171*INDEX(Mix_Eff,MATCH($C1171,Mix_Code,0),2),""))</f>
        <v/>
      </c>
      <c r="H1171" s="67" t="str">
        <f aca="false">IF(OR($C1171="",$D1171=""),"",IFERROR($D1171*INDEX(Mix_Eff,MATCH($C1171,Mix_Code,0),3),""))</f>
        <v/>
      </c>
      <c r="I1171" s="67" t="str">
        <f aca="false">IF(OR($C1171="",$D1171=""),"",IFERROR($D1171*INDEX(Mix_Eff,MATCH($C1171,Mix_Code,0),4),""))</f>
        <v/>
      </c>
      <c r="J1171" s="67" t="str">
        <f aca="false">IF(OR($C1171="",$D1171=""),"",IFERROR($D1171*INDEX(Mix_Eff,MATCH($C1171,Mix_Code,0),5),""))</f>
        <v/>
      </c>
      <c r="K1171" s="63"/>
      <c r="L1171" s="16" t="str">
        <f aca="false">IF(AND($A1171="",$B1171="",$C1171="",$D1171=""),"",IF($A1171="","⚠ Date missing",IF($B1171="","⚠ Site missing",IF(ISNA(MATCH($C1171,Mix_Code,0)),"⚠ Unknown mix code",IF($D1171="","⚠ Enter m3 produced",IF(COUNTIF(CI_Site,$B1171)=0,"⚠ Site not set up in Current Inventory",IF($A1171&gt;AsOfDate,"Future date – not yet deducted","OK")))))))</f>
        <v/>
      </c>
    </row>
    <row r="1172" customFormat="false" ht="15" hidden="false" customHeight="false" outlineLevel="0" collapsed="false">
      <c r="A1172" s="65"/>
      <c r="B1172" s="63"/>
      <c r="C1172" s="70"/>
      <c r="D1172" s="66"/>
      <c r="E1172" s="16" t="str">
        <f aca="false">IF($C1172="","",IFERROR(INDEX(Mix_Desc,MATCH($C1172,Mix_Code,0)),"⚠ Unknown mix code"))</f>
        <v/>
      </c>
      <c r="F1172" s="67" t="str">
        <f aca="false">IF(OR($C1172="",$D1172=""),"",IFERROR($D1172*INDEX(Mix_Eff,MATCH($C1172,Mix_Code,0),1),""))</f>
        <v/>
      </c>
      <c r="G1172" s="67" t="str">
        <f aca="false">IF(OR($C1172="",$D1172=""),"",IFERROR($D1172*INDEX(Mix_Eff,MATCH($C1172,Mix_Code,0),2),""))</f>
        <v/>
      </c>
      <c r="H1172" s="67" t="str">
        <f aca="false">IF(OR($C1172="",$D1172=""),"",IFERROR($D1172*INDEX(Mix_Eff,MATCH($C1172,Mix_Code,0),3),""))</f>
        <v/>
      </c>
      <c r="I1172" s="67" t="str">
        <f aca="false">IF(OR($C1172="",$D1172=""),"",IFERROR($D1172*INDEX(Mix_Eff,MATCH($C1172,Mix_Code,0),4),""))</f>
        <v/>
      </c>
      <c r="J1172" s="67" t="str">
        <f aca="false">IF(OR($C1172="",$D1172=""),"",IFERROR($D1172*INDEX(Mix_Eff,MATCH($C1172,Mix_Code,0),5),""))</f>
        <v/>
      </c>
      <c r="K1172" s="63"/>
      <c r="L1172" s="16" t="str">
        <f aca="false">IF(AND($A1172="",$B1172="",$C1172="",$D1172=""),"",IF($A1172="","⚠ Date missing",IF($B1172="","⚠ Site missing",IF(ISNA(MATCH($C1172,Mix_Code,0)),"⚠ Unknown mix code",IF($D1172="","⚠ Enter m3 produced",IF(COUNTIF(CI_Site,$B1172)=0,"⚠ Site not set up in Current Inventory",IF($A1172&gt;AsOfDate,"Future date – not yet deducted","OK")))))))</f>
        <v/>
      </c>
    </row>
    <row r="1173" customFormat="false" ht="15" hidden="false" customHeight="false" outlineLevel="0" collapsed="false">
      <c r="A1173" s="65"/>
      <c r="B1173" s="63"/>
      <c r="C1173" s="70"/>
      <c r="D1173" s="66"/>
      <c r="E1173" s="16" t="str">
        <f aca="false">IF($C1173="","",IFERROR(INDEX(Mix_Desc,MATCH($C1173,Mix_Code,0)),"⚠ Unknown mix code"))</f>
        <v/>
      </c>
      <c r="F1173" s="67" t="str">
        <f aca="false">IF(OR($C1173="",$D1173=""),"",IFERROR($D1173*INDEX(Mix_Eff,MATCH($C1173,Mix_Code,0),1),""))</f>
        <v/>
      </c>
      <c r="G1173" s="67" t="str">
        <f aca="false">IF(OR($C1173="",$D1173=""),"",IFERROR($D1173*INDEX(Mix_Eff,MATCH($C1173,Mix_Code,0),2),""))</f>
        <v/>
      </c>
      <c r="H1173" s="67" t="str">
        <f aca="false">IF(OR($C1173="",$D1173=""),"",IFERROR($D1173*INDEX(Mix_Eff,MATCH($C1173,Mix_Code,0),3),""))</f>
        <v/>
      </c>
      <c r="I1173" s="67" t="str">
        <f aca="false">IF(OR($C1173="",$D1173=""),"",IFERROR($D1173*INDEX(Mix_Eff,MATCH($C1173,Mix_Code,0),4),""))</f>
        <v/>
      </c>
      <c r="J1173" s="67" t="str">
        <f aca="false">IF(OR($C1173="",$D1173=""),"",IFERROR($D1173*INDEX(Mix_Eff,MATCH($C1173,Mix_Code,0),5),""))</f>
        <v/>
      </c>
      <c r="K1173" s="63"/>
      <c r="L1173" s="16" t="str">
        <f aca="false">IF(AND($A1173="",$B1173="",$C1173="",$D1173=""),"",IF($A1173="","⚠ Date missing",IF($B1173="","⚠ Site missing",IF(ISNA(MATCH($C1173,Mix_Code,0)),"⚠ Unknown mix code",IF($D1173="","⚠ Enter m3 produced",IF(COUNTIF(CI_Site,$B1173)=0,"⚠ Site not set up in Current Inventory",IF($A1173&gt;AsOfDate,"Future date – not yet deducted","OK")))))))</f>
        <v/>
      </c>
    </row>
    <row r="1174" customFormat="false" ht="15" hidden="false" customHeight="false" outlineLevel="0" collapsed="false">
      <c r="A1174" s="65"/>
      <c r="B1174" s="63"/>
      <c r="C1174" s="70"/>
      <c r="D1174" s="66"/>
      <c r="E1174" s="16" t="str">
        <f aca="false">IF($C1174="","",IFERROR(INDEX(Mix_Desc,MATCH($C1174,Mix_Code,0)),"⚠ Unknown mix code"))</f>
        <v/>
      </c>
      <c r="F1174" s="67" t="str">
        <f aca="false">IF(OR($C1174="",$D1174=""),"",IFERROR($D1174*INDEX(Mix_Eff,MATCH($C1174,Mix_Code,0),1),""))</f>
        <v/>
      </c>
      <c r="G1174" s="67" t="str">
        <f aca="false">IF(OR($C1174="",$D1174=""),"",IFERROR($D1174*INDEX(Mix_Eff,MATCH($C1174,Mix_Code,0),2),""))</f>
        <v/>
      </c>
      <c r="H1174" s="67" t="str">
        <f aca="false">IF(OR($C1174="",$D1174=""),"",IFERROR($D1174*INDEX(Mix_Eff,MATCH($C1174,Mix_Code,0),3),""))</f>
        <v/>
      </c>
      <c r="I1174" s="67" t="str">
        <f aca="false">IF(OR($C1174="",$D1174=""),"",IFERROR($D1174*INDEX(Mix_Eff,MATCH($C1174,Mix_Code,0),4),""))</f>
        <v/>
      </c>
      <c r="J1174" s="67" t="str">
        <f aca="false">IF(OR($C1174="",$D1174=""),"",IFERROR($D1174*INDEX(Mix_Eff,MATCH($C1174,Mix_Code,0),5),""))</f>
        <v/>
      </c>
      <c r="K1174" s="63"/>
      <c r="L1174" s="16" t="str">
        <f aca="false">IF(AND($A1174="",$B1174="",$C1174="",$D1174=""),"",IF($A1174="","⚠ Date missing",IF($B1174="","⚠ Site missing",IF(ISNA(MATCH($C1174,Mix_Code,0)),"⚠ Unknown mix code",IF($D1174="","⚠ Enter m3 produced",IF(COUNTIF(CI_Site,$B1174)=0,"⚠ Site not set up in Current Inventory",IF($A1174&gt;AsOfDate,"Future date – not yet deducted","OK")))))))</f>
        <v/>
      </c>
    </row>
    <row r="1175" customFormat="false" ht="15" hidden="false" customHeight="false" outlineLevel="0" collapsed="false">
      <c r="A1175" s="65"/>
      <c r="B1175" s="63"/>
      <c r="C1175" s="70"/>
      <c r="D1175" s="66"/>
      <c r="E1175" s="16" t="str">
        <f aca="false">IF($C1175="","",IFERROR(INDEX(Mix_Desc,MATCH($C1175,Mix_Code,0)),"⚠ Unknown mix code"))</f>
        <v/>
      </c>
      <c r="F1175" s="67" t="str">
        <f aca="false">IF(OR($C1175="",$D1175=""),"",IFERROR($D1175*INDEX(Mix_Eff,MATCH($C1175,Mix_Code,0),1),""))</f>
        <v/>
      </c>
      <c r="G1175" s="67" t="str">
        <f aca="false">IF(OR($C1175="",$D1175=""),"",IFERROR($D1175*INDEX(Mix_Eff,MATCH($C1175,Mix_Code,0),2),""))</f>
        <v/>
      </c>
      <c r="H1175" s="67" t="str">
        <f aca="false">IF(OR($C1175="",$D1175=""),"",IFERROR($D1175*INDEX(Mix_Eff,MATCH($C1175,Mix_Code,0),3),""))</f>
        <v/>
      </c>
      <c r="I1175" s="67" t="str">
        <f aca="false">IF(OR($C1175="",$D1175=""),"",IFERROR($D1175*INDEX(Mix_Eff,MATCH($C1175,Mix_Code,0),4),""))</f>
        <v/>
      </c>
      <c r="J1175" s="67" t="str">
        <f aca="false">IF(OR($C1175="",$D1175=""),"",IFERROR($D1175*INDEX(Mix_Eff,MATCH($C1175,Mix_Code,0),5),""))</f>
        <v/>
      </c>
      <c r="K1175" s="63"/>
      <c r="L1175" s="16" t="str">
        <f aca="false">IF(AND($A1175="",$B1175="",$C1175="",$D1175=""),"",IF($A1175="","⚠ Date missing",IF($B1175="","⚠ Site missing",IF(ISNA(MATCH($C1175,Mix_Code,0)),"⚠ Unknown mix code",IF($D1175="","⚠ Enter m3 produced",IF(COUNTIF(CI_Site,$B1175)=0,"⚠ Site not set up in Current Inventory",IF($A1175&gt;AsOfDate,"Future date – not yet deducted","OK")))))))</f>
        <v/>
      </c>
    </row>
    <row r="1176" customFormat="false" ht="15" hidden="false" customHeight="false" outlineLevel="0" collapsed="false">
      <c r="A1176" s="65"/>
      <c r="B1176" s="63"/>
      <c r="C1176" s="70"/>
      <c r="D1176" s="66"/>
      <c r="E1176" s="16" t="str">
        <f aca="false">IF($C1176="","",IFERROR(INDEX(Mix_Desc,MATCH($C1176,Mix_Code,0)),"⚠ Unknown mix code"))</f>
        <v/>
      </c>
      <c r="F1176" s="67" t="str">
        <f aca="false">IF(OR($C1176="",$D1176=""),"",IFERROR($D1176*INDEX(Mix_Eff,MATCH($C1176,Mix_Code,0),1),""))</f>
        <v/>
      </c>
      <c r="G1176" s="67" t="str">
        <f aca="false">IF(OR($C1176="",$D1176=""),"",IFERROR($D1176*INDEX(Mix_Eff,MATCH($C1176,Mix_Code,0),2),""))</f>
        <v/>
      </c>
      <c r="H1176" s="67" t="str">
        <f aca="false">IF(OR($C1176="",$D1176=""),"",IFERROR($D1176*INDEX(Mix_Eff,MATCH($C1176,Mix_Code,0),3),""))</f>
        <v/>
      </c>
      <c r="I1176" s="67" t="str">
        <f aca="false">IF(OR($C1176="",$D1176=""),"",IFERROR($D1176*INDEX(Mix_Eff,MATCH($C1176,Mix_Code,0),4),""))</f>
        <v/>
      </c>
      <c r="J1176" s="67" t="str">
        <f aca="false">IF(OR($C1176="",$D1176=""),"",IFERROR($D1176*INDEX(Mix_Eff,MATCH($C1176,Mix_Code,0),5),""))</f>
        <v/>
      </c>
      <c r="K1176" s="63"/>
      <c r="L1176" s="16" t="str">
        <f aca="false">IF(AND($A1176="",$B1176="",$C1176="",$D1176=""),"",IF($A1176="","⚠ Date missing",IF($B1176="","⚠ Site missing",IF(ISNA(MATCH($C1176,Mix_Code,0)),"⚠ Unknown mix code",IF($D1176="","⚠ Enter m3 produced",IF(COUNTIF(CI_Site,$B1176)=0,"⚠ Site not set up in Current Inventory",IF($A1176&gt;AsOfDate,"Future date – not yet deducted","OK")))))))</f>
        <v/>
      </c>
    </row>
    <row r="1177" customFormat="false" ht="15" hidden="false" customHeight="false" outlineLevel="0" collapsed="false">
      <c r="A1177" s="65"/>
      <c r="B1177" s="63"/>
      <c r="C1177" s="70"/>
      <c r="D1177" s="66"/>
      <c r="E1177" s="16" t="str">
        <f aca="false">IF($C1177="","",IFERROR(INDEX(Mix_Desc,MATCH($C1177,Mix_Code,0)),"⚠ Unknown mix code"))</f>
        <v/>
      </c>
      <c r="F1177" s="67" t="str">
        <f aca="false">IF(OR($C1177="",$D1177=""),"",IFERROR($D1177*INDEX(Mix_Eff,MATCH($C1177,Mix_Code,0),1),""))</f>
        <v/>
      </c>
      <c r="G1177" s="67" t="str">
        <f aca="false">IF(OR($C1177="",$D1177=""),"",IFERROR($D1177*INDEX(Mix_Eff,MATCH($C1177,Mix_Code,0),2),""))</f>
        <v/>
      </c>
      <c r="H1177" s="67" t="str">
        <f aca="false">IF(OR($C1177="",$D1177=""),"",IFERROR($D1177*INDEX(Mix_Eff,MATCH($C1177,Mix_Code,0),3),""))</f>
        <v/>
      </c>
      <c r="I1177" s="67" t="str">
        <f aca="false">IF(OR($C1177="",$D1177=""),"",IFERROR($D1177*INDEX(Mix_Eff,MATCH($C1177,Mix_Code,0),4),""))</f>
        <v/>
      </c>
      <c r="J1177" s="67" t="str">
        <f aca="false">IF(OR($C1177="",$D1177=""),"",IFERROR($D1177*INDEX(Mix_Eff,MATCH($C1177,Mix_Code,0),5),""))</f>
        <v/>
      </c>
      <c r="K1177" s="63"/>
      <c r="L1177" s="16" t="str">
        <f aca="false">IF(AND($A1177="",$B1177="",$C1177="",$D1177=""),"",IF($A1177="","⚠ Date missing",IF($B1177="","⚠ Site missing",IF(ISNA(MATCH($C1177,Mix_Code,0)),"⚠ Unknown mix code",IF($D1177="","⚠ Enter m3 produced",IF(COUNTIF(CI_Site,$B1177)=0,"⚠ Site not set up in Current Inventory",IF($A1177&gt;AsOfDate,"Future date – not yet deducted","OK")))))))</f>
        <v/>
      </c>
    </row>
    <row r="1178" customFormat="false" ht="15" hidden="false" customHeight="false" outlineLevel="0" collapsed="false">
      <c r="A1178" s="65"/>
      <c r="B1178" s="63"/>
      <c r="C1178" s="70"/>
      <c r="D1178" s="66"/>
      <c r="E1178" s="16" t="str">
        <f aca="false">IF($C1178="","",IFERROR(INDEX(Mix_Desc,MATCH($C1178,Mix_Code,0)),"⚠ Unknown mix code"))</f>
        <v/>
      </c>
      <c r="F1178" s="67" t="str">
        <f aca="false">IF(OR($C1178="",$D1178=""),"",IFERROR($D1178*INDEX(Mix_Eff,MATCH($C1178,Mix_Code,0),1),""))</f>
        <v/>
      </c>
      <c r="G1178" s="67" t="str">
        <f aca="false">IF(OR($C1178="",$D1178=""),"",IFERROR($D1178*INDEX(Mix_Eff,MATCH($C1178,Mix_Code,0),2),""))</f>
        <v/>
      </c>
      <c r="H1178" s="67" t="str">
        <f aca="false">IF(OR($C1178="",$D1178=""),"",IFERROR($D1178*INDEX(Mix_Eff,MATCH($C1178,Mix_Code,0),3),""))</f>
        <v/>
      </c>
      <c r="I1178" s="67" t="str">
        <f aca="false">IF(OR($C1178="",$D1178=""),"",IFERROR($D1178*INDEX(Mix_Eff,MATCH($C1178,Mix_Code,0),4),""))</f>
        <v/>
      </c>
      <c r="J1178" s="67" t="str">
        <f aca="false">IF(OR($C1178="",$D1178=""),"",IFERROR($D1178*INDEX(Mix_Eff,MATCH($C1178,Mix_Code,0),5),""))</f>
        <v/>
      </c>
      <c r="K1178" s="63"/>
      <c r="L1178" s="16" t="str">
        <f aca="false">IF(AND($A1178="",$B1178="",$C1178="",$D1178=""),"",IF($A1178="","⚠ Date missing",IF($B1178="","⚠ Site missing",IF(ISNA(MATCH($C1178,Mix_Code,0)),"⚠ Unknown mix code",IF($D1178="","⚠ Enter m3 produced",IF(COUNTIF(CI_Site,$B1178)=0,"⚠ Site not set up in Current Inventory",IF($A1178&gt;AsOfDate,"Future date – not yet deducted","OK")))))))</f>
        <v/>
      </c>
    </row>
    <row r="1179" customFormat="false" ht="15" hidden="false" customHeight="false" outlineLevel="0" collapsed="false">
      <c r="A1179" s="65"/>
      <c r="B1179" s="63"/>
      <c r="C1179" s="70"/>
      <c r="D1179" s="66"/>
      <c r="E1179" s="16" t="str">
        <f aca="false">IF($C1179="","",IFERROR(INDEX(Mix_Desc,MATCH($C1179,Mix_Code,0)),"⚠ Unknown mix code"))</f>
        <v/>
      </c>
      <c r="F1179" s="67" t="str">
        <f aca="false">IF(OR($C1179="",$D1179=""),"",IFERROR($D1179*INDEX(Mix_Eff,MATCH($C1179,Mix_Code,0),1),""))</f>
        <v/>
      </c>
      <c r="G1179" s="67" t="str">
        <f aca="false">IF(OR($C1179="",$D1179=""),"",IFERROR($D1179*INDEX(Mix_Eff,MATCH($C1179,Mix_Code,0),2),""))</f>
        <v/>
      </c>
      <c r="H1179" s="67" t="str">
        <f aca="false">IF(OR($C1179="",$D1179=""),"",IFERROR($D1179*INDEX(Mix_Eff,MATCH($C1179,Mix_Code,0),3),""))</f>
        <v/>
      </c>
      <c r="I1179" s="67" t="str">
        <f aca="false">IF(OR($C1179="",$D1179=""),"",IFERROR($D1179*INDEX(Mix_Eff,MATCH($C1179,Mix_Code,0),4),""))</f>
        <v/>
      </c>
      <c r="J1179" s="67" t="str">
        <f aca="false">IF(OR($C1179="",$D1179=""),"",IFERROR($D1179*INDEX(Mix_Eff,MATCH($C1179,Mix_Code,0),5),""))</f>
        <v/>
      </c>
      <c r="K1179" s="63"/>
      <c r="L1179" s="16" t="str">
        <f aca="false">IF(AND($A1179="",$B1179="",$C1179="",$D1179=""),"",IF($A1179="","⚠ Date missing",IF($B1179="","⚠ Site missing",IF(ISNA(MATCH($C1179,Mix_Code,0)),"⚠ Unknown mix code",IF($D1179="","⚠ Enter m3 produced",IF(COUNTIF(CI_Site,$B1179)=0,"⚠ Site not set up in Current Inventory",IF($A1179&gt;AsOfDate,"Future date – not yet deducted","OK")))))))</f>
        <v/>
      </c>
    </row>
    <row r="1180" customFormat="false" ht="15" hidden="false" customHeight="false" outlineLevel="0" collapsed="false">
      <c r="A1180" s="65"/>
      <c r="B1180" s="63"/>
      <c r="C1180" s="70"/>
      <c r="D1180" s="66"/>
      <c r="E1180" s="16" t="str">
        <f aca="false">IF($C1180="","",IFERROR(INDEX(Mix_Desc,MATCH($C1180,Mix_Code,0)),"⚠ Unknown mix code"))</f>
        <v/>
      </c>
      <c r="F1180" s="67" t="str">
        <f aca="false">IF(OR($C1180="",$D1180=""),"",IFERROR($D1180*INDEX(Mix_Eff,MATCH($C1180,Mix_Code,0),1),""))</f>
        <v/>
      </c>
      <c r="G1180" s="67" t="str">
        <f aca="false">IF(OR($C1180="",$D1180=""),"",IFERROR($D1180*INDEX(Mix_Eff,MATCH($C1180,Mix_Code,0),2),""))</f>
        <v/>
      </c>
      <c r="H1180" s="67" t="str">
        <f aca="false">IF(OR($C1180="",$D1180=""),"",IFERROR($D1180*INDEX(Mix_Eff,MATCH($C1180,Mix_Code,0),3),""))</f>
        <v/>
      </c>
      <c r="I1180" s="67" t="str">
        <f aca="false">IF(OR($C1180="",$D1180=""),"",IFERROR($D1180*INDEX(Mix_Eff,MATCH($C1180,Mix_Code,0),4),""))</f>
        <v/>
      </c>
      <c r="J1180" s="67" t="str">
        <f aca="false">IF(OR($C1180="",$D1180=""),"",IFERROR($D1180*INDEX(Mix_Eff,MATCH($C1180,Mix_Code,0),5),""))</f>
        <v/>
      </c>
      <c r="K1180" s="63"/>
      <c r="L1180" s="16" t="str">
        <f aca="false">IF(AND($A1180="",$B1180="",$C1180="",$D1180=""),"",IF($A1180="","⚠ Date missing",IF($B1180="","⚠ Site missing",IF(ISNA(MATCH($C1180,Mix_Code,0)),"⚠ Unknown mix code",IF($D1180="","⚠ Enter m3 produced",IF(COUNTIF(CI_Site,$B1180)=0,"⚠ Site not set up in Current Inventory",IF($A1180&gt;AsOfDate,"Future date – not yet deducted","OK")))))))</f>
        <v/>
      </c>
    </row>
    <row r="1181" customFormat="false" ht="15" hidden="false" customHeight="false" outlineLevel="0" collapsed="false">
      <c r="A1181" s="65"/>
      <c r="B1181" s="63"/>
      <c r="C1181" s="70"/>
      <c r="D1181" s="66"/>
      <c r="E1181" s="16" t="str">
        <f aca="false">IF($C1181="","",IFERROR(INDEX(Mix_Desc,MATCH($C1181,Mix_Code,0)),"⚠ Unknown mix code"))</f>
        <v/>
      </c>
      <c r="F1181" s="67" t="str">
        <f aca="false">IF(OR($C1181="",$D1181=""),"",IFERROR($D1181*INDEX(Mix_Eff,MATCH($C1181,Mix_Code,0),1),""))</f>
        <v/>
      </c>
      <c r="G1181" s="67" t="str">
        <f aca="false">IF(OR($C1181="",$D1181=""),"",IFERROR($D1181*INDEX(Mix_Eff,MATCH($C1181,Mix_Code,0),2),""))</f>
        <v/>
      </c>
      <c r="H1181" s="67" t="str">
        <f aca="false">IF(OR($C1181="",$D1181=""),"",IFERROR($D1181*INDEX(Mix_Eff,MATCH($C1181,Mix_Code,0),3),""))</f>
        <v/>
      </c>
      <c r="I1181" s="67" t="str">
        <f aca="false">IF(OR($C1181="",$D1181=""),"",IFERROR($D1181*INDEX(Mix_Eff,MATCH($C1181,Mix_Code,0),4),""))</f>
        <v/>
      </c>
      <c r="J1181" s="67" t="str">
        <f aca="false">IF(OR($C1181="",$D1181=""),"",IFERROR($D1181*INDEX(Mix_Eff,MATCH($C1181,Mix_Code,0),5),""))</f>
        <v/>
      </c>
      <c r="K1181" s="63"/>
      <c r="L1181" s="16" t="str">
        <f aca="false">IF(AND($A1181="",$B1181="",$C1181="",$D1181=""),"",IF($A1181="","⚠ Date missing",IF($B1181="","⚠ Site missing",IF(ISNA(MATCH($C1181,Mix_Code,0)),"⚠ Unknown mix code",IF($D1181="","⚠ Enter m3 produced",IF(COUNTIF(CI_Site,$B1181)=0,"⚠ Site not set up in Current Inventory",IF($A1181&gt;AsOfDate,"Future date – not yet deducted","OK")))))))</f>
        <v/>
      </c>
    </row>
    <row r="1182" customFormat="false" ht="15" hidden="false" customHeight="false" outlineLevel="0" collapsed="false">
      <c r="A1182" s="65"/>
      <c r="B1182" s="63"/>
      <c r="C1182" s="70"/>
      <c r="D1182" s="66"/>
      <c r="E1182" s="16" t="str">
        <f aca="false">IF($C1182="","",IFERROR(INDEX(Mix_Desc,MATCH($C1182,Mix_Code,0)),"⚠ Unknown mix code"))</f>
        <v/>
      </c>
      <c r="F1182" s="67" t="str">
        <f aca="false">IF(OR($C1182="",$D1182=""),"",IFERROR($D1182*INDEX(Mix_Eff,MATCH($C1182,Mix_Code,0),1),""))</f>
        <v/>
      </c>
      <c r="G1182" s="67" t="str">
        <f aca="false">IF(OR($C1182="",$D1182=""),"",IFERROR($D1182*INDEX(Mix_Eff,MATCH($C1182,Mix_Code,0),2),""))</f>
        <v/>
      </c>
      <c r="H1182" s="67" t="str">
        <f aca="false">IF(OR($C1182="",$D1182=""),"",IFERROR($D1182*INDEX(Mix_Eff,MATCH($C1182,Mix_Code,0),3),""))</f>
        <v/>
      </c>
      <c r="I1182" s="67" t="str">
        <f aca="false">IF(OR($C1182="",$D1182=""),"",IFERROR($D1182*INDEX(Mix_Eff,MATCH($C1182,Mix_Code,0),4),""))</f>
        <v/>
      </c>
      <c r="J1182" s="67" t="str">
        <f aca="false">IF(OR($C1182="",$D1182=""),"",IFERROR($D1182*INDEX(Mix_Eff,MATCH($C1182,Mix_Code,0),5),""))</f>
        <v/>
      </c>
      <c r="K1182" s="63"/>
      <c r="L1182" s="16" t="str">
        <f aca="false">IF(AND($A1182="",$B1182="",$C1182="",$D1182=""),"",IF($A1182="","⚠ Date missing",IF($B1182="","⚠ Site missing",IF(ISNA(MATCH($C1182,Mix_Code,0)),"⚠ Unknown mix code",IF($D1182="","⚠ Enter m3 produced",IF(COUNTIF(CI_Site,$B1182)=0,"⚠ Site not set up in Current Inventory",IF($A1182&gt;AsOfDate,"Future date – not yet deducted","OK")))))))</f>
        <v/>
      </c>
    </row>
    <row r="1183" customFormat="false" ht="15" hidden="false" customHeight="false" outlineLevel="0" collapsed="false">
      <c r="A1183" s="65"/>
      <c r="B1183" s="63"/>
      <c r="C1183" s="70"/>
      <c r="D1183" s="66"/>
      <c r="E1183" s="16" t="str">
        <f aca="false">IF($C1183="","",IFERROR(INDEX(Mix_Desc,MATCH($C1183,Mix_Code,0)),"⚠ Unknown mix code"))</f>
        <v/>
      </c>
      <c r="F1183" s="67" t="str">
        <f aca="false">IF(OR($C1183="",$D1183=""),"",IFERROR($D1183*INDEX(Mix_Eff,MATCH($C1183,Mix_Code,0),1),""))</f>
        <v/>
      </c>
      <c r="G1183" s="67" t="str">
        <f aca="false">IF(OR($C1183="",$D1183=""),"",IFERROR($D1183*INDEX(Mix_Eff,MATCH($C1183,Mix_Code,0),2),""))</f>
        <v/>
      </c>
      <c r="H1183" s="67" t="str">
        <f aca="false">IF(OR($C1183="",$D1183=""),"",IFERROR($D1183*INDEX(Mix_Eff,MATCH($C1183,Mix_Code,0),3),""))</f>
        <v/>
      </c>
      <c r="I1183" s="67" t="str">
        <f aca="false">IF(OR($C1183="",$D1183=""),"",IFERROR($D1183*INDEX(Mix_Eff,MATCH($C1183,Mix_Code,0),4),""))</f>
        <v/>
      </c>
      <c r="J1183" s="67" t="str">
        <f aca="false">IF(OR($C1183="",$D1183=""),"",IFERROR($D1183*INDEX(Mix_Eff,MATCH($C1183,Mix_Code,0),5),""))</f>
        <v/>
      </c>
      <c r="K1183" s="63"/>
      <c r="L1183" s="16" t="str">
        <f aca="false">IF(AND($A1183="",$B1183="",$C1183="",$D1183=""),"",IF($A1183="","⚠ Date missing",IF($B1183="","⚠ Site missing",IF(ISNA(MATCH($C1183,Mix_Code,0)),"⚠ Unknown mix code",IF($D1183="","⚠ Enter m3 produced",IF(COUNTIF(CI_Site,$B1183)=0,"⚠ Site not set up in Current Inventory",IF($A1183&gt;AsOfDate,"Future date – not yet deducted","OK")))))))</f>
        <v/>
      </c>
    </row>
    <row r="1184" customFormat="false" ht="15" hidden="false" customHeight="false" outlineLevel="0" collapsed="false">
      <c r="A1184" s="65"/>
      <c r="B1184" s="63"/>
      <c r="C1184" s="70"/>
      <c r="D1184" s="66"/>
      <c r="E1184" s="16" t="str">
        <f aca="false">IF($C1184="","",IFERROR(INDEX(Mix_Desc,MATCH($C1184,Mix_Code,0)),"⚠ Unknown mix code"))</f>
        <v/>
      </c>
      <c r="F1184" s="67" t="str">
        <f aca="false">IF(OR($C1184="",$D1184=""),"",IFERROR($D1184*INDEX(Mix_Eff,MATCH($C1184,Mix_Code,0),1),""))</f>
        <v/>
      </c>
      <c r="G1184" s="67" t="str">
        <f aca="false">IF(OR($C1184="",$D1184=""),"",IFERROR($D1184*INDEX(Mix_Eff,MATCH($C1184,Mix_Code,0),2),""))</f>
        <v/>
      </c>
      <c r="H1184" s="67" t="str">
        <f aca="false">IF(OR($C1184="",$D1184=""),"",IFERROR($D1184*INDEX(Mix_Eff,MATCH($C1184,Mix_Code,0),3),""))</f>
        <v/>
      </c>
      <c r="I1184" s="67" t="str">
        <f aca="false">IF(OR($C1184="",$D1184=""),"",IFERROR($D1184*INDEX(Mix_Eff,MATCH($C1184,Mix_Code,0),4),""))</f>
        <v/>
      </c>
      <c r="J1184" s="67" t="str">
        <f aca="false">IF(OR($C1184="",$D1184=""),"",IFERROR($D1184*INDEX(Mix_Eff,MATCH($C1184,Mix_Code,0),5),""))</f>
        <v/>
      </c>
      <c r="K1184" s="63"/>
      <c r="L1184" s="16" t="str">
        <f aca="false">IF(AND($A1184="",$B1184="",$C1184="",$D1184=""),"",IF($A1184="","⚠ Date missing",IF($B1184="","⚠ Site missing",IF(ISNA(MATCH($C1184,Mix_Code,0)),"⚠ Unknown mix code",IF($D1184="","⚠ Enter m3 produced",IF(COUNTIF(CI_Site,$B1184)=0,"⚠ Site not set up in Current Inventory",IF($A1184&gt;AsOfDate,"Future date – not yet deducted","OK")))))))</f>
        <v/>
      </c>
    </row>
    <row r="1185" customFormat="false" ht="15" hidden="false" customHeight="false" outlineLevel="0" collapsed="false">
      <c r="A1185" s="65"/>
      <c r="B1185" s="63"/>
      <c r="C1185" s="70"/>
      <c r="D1185" s="66"/>
      <c r="E1185" s="16" t="str">
        <f aca="false">IF($C1185="","",IFERROR(INDEX(Mix_Desc,MATCH($C1185,Mix_Code,0)),"⚠ Unknown mix code"))</f>
        <v/>
      </c>
      <c r="F1185" s="67" t="str">
        <f aca="false">IF(OR($C1185="",$D1185=""),"",IFERROR($D1185*INDEX(Mix_Eff,MATCH($C1185,Mix_Code,0),1),""))</f>
        <v/>
      </c>
      <c r="G1185" s="67" t="str">
        <f aca="false">IF(OR($C1185="",$D1185=""),"",IFERROR($D1185*INDEX(Mix_Eff,MATCH($C1185,Mix_Code,0),2),""))</f>
        <v/>
      </c>
      <c r="H1185" s="67" t="str">
        <f aca="false">IF(OR($C1185="",$D1185=""),"",IFERROR($D1185*INDEX(Mix_Eff,MATCH($C1185,Mix_Code,0),3),""))</f>
        <v/>
      </c>
      <c r="I1185" s="67" t="str">
        <f aca="false">IF(OR($C1185="",$D1185=""),"",IFERROR($D1185*INDEX(Mix_Eff,MATCH($C1185,Mix_Code,0),4),""))</f>
        <v/>
      </c>
      <c r="J1185" s="67" t="str">
        <f aca="false">IF(OR($C1185="",$D1185=""),"",IFERROR($D1185*INDEX(Mix_Eff,MATCH($C1185,Mix_Code,0),5),""))</f>
        <v/>
      </c>
      <c r="K1185" s="63"/>
      <c r="L1185" s="16" t="str">
        <f aca="false">IF(AND($A1185="",$B1185="",$C1185="",$D1185=""),"",IF($A1185="","⚠ Date missing",IF($B1185="","⚠ Site missing",IF(ISNA(MATCH($C1185,Mix_Code,0)),"⚠ Unknown mix code",IF($D1185="","⚠ Enter m3 produced",IF(COUNTIF(CI_Site,$B1185)=0,"⚠ Site not set up in Current Inventory",IF($A1185&gt;AsOfDate,"Future date – not yet deducted","OK")))))))</f>
        <v/>
      </c>
    </row>
    <row r="1186" customFormat="false" ht="15" hidden="false" customHeight="false" outlineLevel="0" collapsed="false">
      <c r="A1186" s="65"/>
      <c r="B1186" s="63"/>
      <c r="C1186" s="70"/>
      <c r="D1186" s="66"/>
      <c r="E1186" s="16" t="str">
        <f aca="false">IF($C1186="","",IFERROR(INDEX(Mix_Desc,MATCH($C1186,Mix_Code,0)),"⚠ Unknown mix code"))</f>
        <v/>
      </c>
      <c r="F1186" s="67" t="str">
        <f aca="false">IF(OR($C1186="",$D1186=""),"",IFERROR($D1186*INDEX(Mix_Eff,MATCH($C1186,Mix_Code,0),1),""))</f>
        <v/>
      </c>
      <c r="G1186" s="67" t="str">
        <f aca="false">IF(OR($C1186="",$D1186=""),"",IFERROR($D1186*INDEX(Mix_Eff,MATCH($C1186,Mix_Code,0),2),""))</f>
        <v/>
      </c>
      <c r="H1186" s="67" t="str">
        <f aca="false">IF(OR($C1186="",$D1186=""),"",IFERROR($D1186*INDEX(Mix_Eff,MATCH($C1186,Mix_Code,0),3),""))</f>
        <v/>
      </c>
      <c r="I1186" s="67" t="str">
        <f aca="false">IF(OR($C1186="",$D1186=""),"",IFERROR($D1186*INDEX(Mix_Eff,MATCH($C1186,Mix_Code,0),4),""))</f>
        <v/>
      </c>
      <c r="J1186" s="67" t="str">
        <f aca="false">IF(OR($C1186="",$D1186=""),"",IFERROR($D1186*INDEX(Mix_Eff,MATCH($C1186,Mix_Code,0),5),""))</f>
        <v/>
      </c>
      <c r="K1186" s="63"/>
      <c r="L1186" s="16" t="str">
        <f aca="false">IF(AND($A1186="",$B1186="",$C1186="",$D1186=""),"",IF($A1186="","⚠ Date missing",IF($B1186="","⚠ Site missing",IF(ISNA(MATCH($C1186,Mix_Code,0)),"⚠ Unknown mix code",IF($D1186="","⚠ Enter m3 produced",IF(COUNTIF(CI_Site,$B1186)=0,"⚠ Site not set up in Current Inventory",IF($A1186&gt;AsOfDate,"Future date – not yet deducted","OK")))))))</f>
        <v/>
      </c>
    </row>
    <row r="1187" customFormat="false" ht="15" hidden="false" customHeight="false" outlineLevel="0" collapsed="false">
      <c r="A1187" s="65"/>
      <c r="B1187" s="63"/>
      <c r="C1187" s="70"/>
      <c r="D1187" s="66"/>
      <c r="E1187" s="16" t="str">
        <f aca="false">IF($C1187="","",IFERROR(INDEX(Mix_Desc,MATCH($C1187,Mix_Code,0)),"⚠ Unknown mix code"))</f>
        <v/>
      </c>
      <c r="F1187" s="67" t="str">
        <f aca="false">IF(OR($C1187="",$D1187=""),"",IFERROR($D1187*INDEX(Mix_Eff,MATCH($C1187,Mix_Code,0),1),""))</f>
        <v/>
      </c>
      <c r="G1187" s="67" t="str">
        <f aca="false">IF(OR($C1187="",$D1187=""),"",IFERROR($D1187*INDEX(Mix_Eff,MATCH($C1187,Mix_Code,0),2),""))</f>
        <v/>
      </c>
      <c r="H1187" s="67" t="str">
        <f aca="false">IF(OR($C1187="",$D1187=""),"",IFERROR($D1187*INDEX(Mix_Eff,MATCH($C1187,Mix_Code,0),3),""))</f>
        <v/>
      </c>
      <c r="I1187" s="67" t="str">
        <f aca="false">IF(OR($C1187="",$D1187=""),"",IFERROR($D1187*INDEX(Mix_Eff,MATCH($C1187,Mix_Code,0),4),""))</f>
        <v/>
      </c>
      <c r="J1187" s="67" t="str">
        <f aca="false">IF(OR($C1187="",$D1187=""),"",IFERROR($D1187*INDEX(Mix_Eff,MATCH($C1187,Mix_Code,0),5),""))</f>
        <v/>
      </c>
      <c r="K1187" s="63"/>
      <c r="L1187" s="16" t="str">
        <f aca="false">IF(AND($A1187="",$B1187="",$C1187="",$D1187=""),"",IF($A1187="","⚠ Date missing",IF($B1187="","⚠ Site missing",IF(ISNA(MATCH($C1187,Mix_Code,0)),"⚠ Unknown mix code",IF($D1187="","⚠ Enter m3 produced",IF(COUNTIF(CI_Site,$B1187)=0,"⚠ Site not set up in Current Inventory",IF($A1187&gt;AsOfDate,"Future date – not yet deducted","OK")))))))</f>
        <v/>
      </c>
    </row>
    <row r="1188" customFormat="false" ht="15" hidden="false" customHeight="false" outlineLevel="0" collapsed="false">
      <c r="A1188" s="65"/>
      <c r="B1188" s="63"/>
      <c r="C1188" s="70"/>
      <c r="D1188" s="66"/>
      <c r="E1188" s="16" t="str">
        <f aca="false">IF($C1188="","",IFERROR(INDEX(Mix_Desc,MATCH($C1188,Mix_Code,0)),"⚠ Unknown mix code"))</f>
        <v/>
      </c>
      <c r="F1188" s="67" t="str">
        <f aca="false">IF(OR($C1188="",$D1188=""),"",IFERROR($D1188*INDEX(Mix_Eff,MATCH($C1188,Mix_Code,0),1),""))</f>
        <v/>
      </c>
      <c r="G1188" s="67" t="str">
        <f aca="false">IF(OR($C1188="",$D1188=""),"",IFERROR($D1188*INDEX(Mix_Eff,MATCH($C1188,Mix_Code,0),2),""))</f>
        <v/>
      </c>
      <c r="H1188" s="67" t="str">
        <f aca="false">IF(OR($C1188="",$D1188=""),"",IFERROR($D1188*INDEX(Mix_Eff,MATCH($C1188,Mix_Code,0),3),""))</f>
        <v/>
      </c>
      <c r="I1188" s="67" t="str">
        <f aca="false">IF(OR($C1188="",$D1188=""),"",IFERROR($D1188*INDEX(Mix_Eff,MATCH($C1188,Mix_Code,0),4),""))</f>
        <v/>
      </c>
      <c r="J1188" s="67" t="str">
        <f aca="false">IF(OR($C1188="",$D1188=""),"",IFERROR($D1188*INDEX(Mix_Eff,MATCH($C1188,Mix_Code,0),5),""))</f>
        <v/>
      </c>
      <c r="K1188" s="63"/>
      <c r="L1188" s="16" t="str">
        <f aca="false">IF(AND($A1188="",$B1188="",$C1188="",$D1188=""),"",IF($A1188="","⚠ Date missing",IF($B1188="","⚠ Site missing",IF(ISNA(MATCH($C1188,Mix_Code,0)),"⚠ Unknown mix code",IF($D1188="","⚠ Enter m3 produced",IF(COUNTIF(CI_Site,$B1188)=0,"⚠ Site not set up in Current Inventory",IF($A1188&gt;AsOfDate,"Future date – not yet deducted","OK")))))))</f>
        <v/>
      </c>
    </row>
    <row r="1189" customFormat="false" ht="15" hidden="false" customHeight="false" outlineLevel="0" collapsed="false">
      <c r="A1189" s="65"/>
      <c r="B1189" s="63"/>
      <c r="C1189" s="70"/>
      <c r="D1189" s="66"/>
      <c r="E1189" s="16" t="str">
        <f aca="false">IF($C1189="","",IFERROR(INDEX(Mix_Desc,MATCH($C1189,Mix_Code,0)),"⚠ Unknown mix code"))</f>
        <v/>
      </c>
      <c r="F1189" s="67" t="str">
        <f aca="false">IF(OR($C1189="",$D1189=""),"",IFERROR($D1189*INDEX(Mix_Eff,MATCH($C1189,Mix_Code,0),1),""))</f>
        <v/>
      </c>
      <c r="G1189" s="67" t="str">
        <f aca="false">IF(OR($C1189="",$D1189=""),"",IFERROR($D1189*INDEX(Mix_Eff,MATCH($C1189,Mix_Code,0),2),""))</f>
        <v/>
      </c>
      <c r="H1189" s="67" t="str">
        <f aca="false">IF(OR($C1189="",$D1189=""),"",IFERROR($D1189*INDEX(Mix_Eff,MATCH($C1189,Mix_Code,0),3),""))</f>
        <v/>
      </c>
      <c r="I1189" s="67" t="str">
        <f aca="false">IF(OR($C1189="",$D1189=""),"",IFERROR($D1189*INDEX(Mix_Eff,MATCH($C1189,Mix_Code,0),4),""))</f>
        <v/>
      </c>
      <c r="J1189" s="67" t="str">
        <f aca="false">IF(OR($C1189="",$D1189=""),"",IFERROR($D1189*INDEX(Mix_Eff,MATCH($C1189,Mix_Code,0),5),""))</f>
        <v/>
      </c>
      <c r="K1189" s="63"/>
      <c r="L1189" s="16" t="str">
        <f aca="false">IF(AND($A1189="",$B1189="",$C1189="",$D1189=""),"",IF($A1189="","⚠ Date missing",IF($B1189="","⚠ Site missing",IF(ISNA(MATCH($C1189,Mix_Code,0)),"⚠ Unknown mix code",IF($D1189="","⚠ Enter m3 produced",IF(COUNTIF(CI_Site,$B1189)=0,"⚠ Site not set up in Current Inventory",IF($A1189&gt;AsOfDate,"Future date – not yet deducted","OK")))))))</f>
        <v/>
      </c>
    </row>
    <row r="1190" customFormat="false" ht="15" hidden="false" customHeight="false" outlineLevel="0" collapsed="false">
      <c r="A1190" s="65"/>
      <c r="B1190" s="63"/>
      <c r="C1190" s="70"/>
      <c r="D1190" s="66"/>
      <c r="E1190" s="16" t="str">
        <f aca="false">IF($C1190="","",IFERROR(INDEX(Mix_Desc,MATCH($C1190,Mix_Code,0)),"⚠ Unknown mix code"))</f>
        <v/>
      </c>
      <c r="F1190" s="67" t="str">
        <f aca="false">IF(OR($C1190="",$D1190=""),"",IFERROR($D1190*INDEX(Mix_Eff,MATCH($C1190,Mix_Code,0),1),""))</f>
        <v/>
      </c>
      <c r="G1190" s="67" t="str">
        <f aca="false">IF(OR($C1190="",$D1190=""),"",IFERROR($D1190*INDEX(Mix_Eff,MATCH($C1190,Mix_Code,0),2),""))</f>
        <v/>
      </c>
      <c r="H1190" s="67" t="str">
        <f aca="false">IF(OR($C1190="",$D1190=""),"",IFERROR($D1190*INDEX(Mix_Eff,MATCH($C1190,Mix_Code,0),3),""))</f>
        <v/>
      </c>
      <c r="I1190" s="67" t="str">
        <f aca="false">IF(OR($C1190="",$D1190=""),"",IFERROR($D1190*INDEX(Mix_Eff,MATCH($C1190,Mix_Code,0),4),""))</f>
        <v/>
      </c>
      <c r="J1190" s="67" t="str">
        <f aca="false">IF(OR($C1190="",$D1190=""),"",IFERROR($D1190*INDEX(Mix_Eff,MATCH($C1190,Mix_Code,0),5),""))</f>
        <v/>
      </c>
      <c r="K1190" s="63"/>
      <c r="L1190" s="16" t="str">
        <f aca="false">IF(AND($A1190="",$B1190="",$C1190="",$D1190=""),"",IF($A1190="","⚠ Date missing",IF($B1190="","⚠ Site missing",IF(ISNA(MATCH($C1190,Mix_Code,0)),"⚠ Unknown mix code",IF($D1190="","⚠ Enter m3 produced",IF(COUNTIF(CI_Site,$B1190)=0,"⚠ Site not set up in Current Inventory",IF($A1190&gt;AsOfDate,"Future date – not yet deducted","OK")))))))</f>
        <v/>
      </c>
    </row>
    <row r="1191" customFormat="false" ht="15" hidden="false" customHeight="false" outlineLevel="0" collapsed="false">
      <c r="A1191" s="65"/>
      <c r="B1191" s="63"/>
      <c r="C1191" s="70"/>
      <c r="D1191" s="66"/>
      <c r="E1191" s="16" t="str">
        <f aca="false">IF($C1191="","",IFERROR(INDEX(Mix_Desc,MATCH($C1191,Mix_Code,0)),"⚠ Unknown mix code"))</f>
        <v/>
      </c>
      <c r="F1191" s="67" t="str">
        <f aca="false">IF(OR($C1191="",$D1191=""),"",IFERROR($D1191*INDEX(Mix_Eff,MATCH($C1191,Mix_Code,0),1),""))</f>
        <v/>
      </c>
      <c r="G1191" s="67" t="str">
        <f aca="false">IF(OR($C1191="",$D1191=""),"",IFERROR($D1191*INDEX(Mix_Eff,MATCH($C1191,Mix_Code,0),2),""))</f>
        <v/>
      </c>
      <c r="H1191" s="67" t="str">
        <f aca="false">IF(OR($C1191="",$D1191=""),"",IFERROR($D1191*INDEX(Mix_Eff,MATCH($C1191,Mix_Code,0),3),""))</f>
        <v/>
      </c>
      <c r="I1191" s="67" t="str">
        <f aca="false">IF(OR($C1191="",$D1191=""),"",IFERROR($D1191*INDEX(Mix_Eff,MATCH($C1191,Mix_Code,0),4),""))</f>
        <v/>
      </c>
      <c r="J1191" s="67" t="str">
        <f aca="false">IF(OR($C1191="",$D1191=""),"",IFERROR($D1191*INDEX(Mix_Eff,MATCH($C1191,Mix_Code,0),5),""))</f>
        <v/>
      </c>
      <c r="K1191" s="63"/>
      <c r="L1191" s="16" t="str">
        <f aca="false">IF(AND($A1191="",$B1191="",$C1191="",$D1191=""),"",IF($A1191="","⚠ Date missing",IF($B1191="","⚠ Site missing",IF(ISNA(MATCH($C1191,Mix_Code,0)),"⚠ Unknown mix code",IF($D1191="","⚠ Enter m3 produced",IF(COUNTIF(CI_Site,$B1191)=0,"⚠ Site not set up in Current Inventory",IF($A1191&gt;AsOfDate,"Future date – not yet deducted","OK")))))))</f>
        <v/>
      </c>
    </row>
    <row r="1192" customFormat="false" ht="15" hidden="false" customHeight="false" outlineLevel="0" collapsed="false">
      <c r="A1192" s="65"/>
      <c r="B1192" s="63"/>
      <c r="C1192" s="70"/>
      <c r="D1192" s="66"/>
      <c r="E1192" s="16" t="str">
        <f aca="false">IF($C1192="","",IFERROR(INDEX(Mix_Desc,MATCH($C1192,Mix_Code,0)),"⚠ Unknown mix code"))</f>
        <v/>
      </c>
      <c r="F1192" s="67" t="str">
        <f aca="false">IF(OR($C1192="",$D1192=""),"",IFERROR($D1192*INDEX(Mix_Eff,MATCH($C1192,Mix_Code,0),1),""))</f>
        <v/>
      </c>
      <c r="G1192" s="67" t="str">
        <f aca="false">IF(OR($C1192="",$D1192=""),"",IFERROR($D1192*INDEX(Mix_Eff,MATCH($C1192,Mix_Code,0),2),""))</f>
        <v/>
      </c>
      <c r="H1192" s="67" t="str">
        <f aca="false">IF(OR($C1192="",$D1192=""),"",IFERROR($D1192*INDEX(Mix_Eff,MATCH($C1192,Mix_Code,0),3),""))</f>
        <v/>
      </c>
      <c r="I1192" s="67" t="str">
        <f aca="false">IF(OR($C1192="",$D1192=""),"",IFERROR($D1192*INDEX(Mix_Eff,MATCH($C1192,Mix_Code,0),4),""))</f>
        <v/>
      </c>
      <c r="J1192" s="67" t="str">
        <f aca="false">IF(OR($C1192="",$D1192=""),"",IFERROR($D1192*INDEX(Mix_Eff,MATCH($C1192,Mix_Code,0),5),""))</f>
        <v/>
      </c>
      <c r="K1192" s="63"/>
      <c r="L1192" s="16" t="str">
        <f aca="false">IF(AND($A1192="",$B1192="",$C1192="",$D1192=""),"",IF($A1192="","⚠ Date missing",IF($B1192="","⚠ Site missing",IF(ISNA(MATCH($C1192,Mix_Code,0)),"⚠ Unknown mix code",IF($D1192="","⚠ Enter m3 produced",IF(COUNTIF(CI_Site,$B1192)=0,"⚠ Site not set up in Current Inventory",IF($A1192&gt;AsOfDate,"Future date – not yet deducted","OK")))))))</f>
        <v/>
      </c>
    </row>
    <row r="1193" customFormat="false" ht="15" hidden="false" customHeight="false" outlineLevel="0" collapsed="false">
      <c r="A1193" s="65"/>
      <c r="B1193" s="63"/>
      <c r="C1193" s="70"/>
      <c r="D1193" s="66"/>
      <c r="E1193" s="16" t="str">
        <f aca="false">IF($C1193="","",IFERROR(INDEX(Mix_Desc,MATCH($C1193,Mix_Code,0)),"⚠ Unknown mix code"))</f>
        <v/>
      </c>
      <c r="F1193" s="67" t="str">
        <f aca="false">IF(OR($C1193="",$D1193=""),"",IFERROR($D1193*INDEX(Mix_Eff,MATCH($C1193,Mix_Code,0),1),""))</f>
        <v/>
      </c>
      <c r="G1193" s="67" t="str">
        <f aca="false">IF(OR($C1193="",$D1193=""),"",IFERROR($D1193*INDEX(Mix_Eff,MATCH($C1193,Mix_Code,0),2),""))</f>
        <v/>
      </c>
      <c r="H1193" s="67" t="str">
        <f aca="false">IF(OR($C1193="",$D1193=""),"",IFERROR($D1193*INDEX(Mix_Eff,MATCH($C1193,Mix_Code,0),3),""))</f>
        <v/>
      </c>
      <c r="I1193" s="67" t="str">
        <f aca="false">IF(OR($C1193="",$D1193=""),"",IFERROR($D1193*INDEX(Mix_Eff,MATCH($C1193,Mix_Code,0),4),""))</f>
        <v/>
      </c>
      <c r="J1193" s="67" t="str">
        <f aca="false">IF(OR($C1193="",$D1193=""),"",IFERROR($D1193*INDEX(Mix_Eff,MATCH($C1193,Mix_Code,0),5),""))</f>
        <v/>
      </c>
      <c r="K1193" s="63"/>
      <c r="L1193" s="16" t="str">
        <f aca="false">IF(AND($A1193="",$B1193="",$C1193="",$D1193=""),"",IF($A1193="","⚠ Date missing",IF($B1193="","⚠ Site missing",IF(ISNA(MATCH($C1193,Mix_Code,0)),"⚠ Unknown mix code",IF($D1193="","⚠ Enter m3 produced",IF(COUNTIF(CI_Site,$B1193)=0,"⚠ Site not set up in Current Inventory",IF($A1193&gt;AsOfDate,"Future date – not yet deducted","OK")))))))</f>
        <v/>
      </c>
    </row>
    <row r="1194" customFormat="false" ht="15" hidden="false" customHeight="false" outlineLevel="0" collapsed="false">
      <c r="A1194" s="65"/>
      <c r="B1194" s="63"/>
      <c r="C1194" s="70"/>
      <c r="D1194" s="66"/>
      <c r="E1194" s="16" t="str">
        <f aca="false">IF($C1194="","",IFERROR(INDEX(Mix_Desc,MATCH($C1194,Mix_Code,0)),"⚠ Unknown mix code"))</f>
        <v/>
      </c>
      <c r="F1194" s="67" t="str">
        <f aca="false">IF(OR($C1194="",$D1194=""),"",IFERROR($D1194*INDEX(Mix_Eff,MATCH($C1194,Mix_Code,0),1),""))</f>
        <v/>
      </c>
      <c r="G1194" s="67" t="str">
        <f aca="false">IF(OR($C1194="",$D1194=""),"",IFERROR($D1194*INDEX(Mix_Eff,MATCH($C1194,Mix_Code,0),2),""))</f>
        <v/>
      </c>
      <c r="H1194" s="67" t="str">
        <f aca="false">IF(OR($C1194="",$D1194=""),"",IFERROR($D1194*INDEX(Mix_Eff,MATCH($C1194,Mix_Code,0),3),""))</f>
        <v/>
      </c>
      <c r="I1194" s="67" t="str">
        <f aca="false">IF(OR($C1194="",$D1194=""),"",IFERROR($D1194*INDEX(Mix_Eff,MATCH($C1194,Mix_Code,0),4),""))</f>
        <v/>
      </c>
      <c r="J1194" s="67" t="str">
        <f aca="false">IF(OR($C1194="",$D1194=""),"",IFERROR($D1194*INDEX(Mix_Eff,MATCH($C1194,Mix_Code,0),5),""))</f>
        <v/>
      </c>
      <c r="K1194" s="63"/>
      <c r="L1194" s="16" t="str">
        <f aca="false">IF(AND($A1194="",$B1194="",$C1194="",$D1194=""),"",IF($A1194="","⚠ Date missing",IF($B1194="","⚠ Site missing",IF(ISNA(MATCH($C1194,Mix_Code,0)),"⚠ Unknown mix code",IF($D1194="","⚠ Enter m3 produced",IF(COUNTIF(CI_Site,$B1194)=0,"⚠ Site not set up in Current Inventory",IF($A1194&gt;AsOfDate,"Future date – not yet deducted","OK")))))))</f>
        <v/>
      </c>
    </row>
    <row r="1195" customFormat="false" ht="15" hidden="false" customHeight="false" outlineLevel="0" collapsed="false">
      <c r="A1195" s="65"/>
      <c r="B1195" s="63"/>
      <c r="C1195" s="70"/>
      <c r="D1195" s="66"/>
      <c r="E1195" s="16" t="str">
        <f aca="false">IF($C1195="","",IFERROR(INDEX(Mix_Desc,MATCH($C1195,Mix_Code,0)),"⚠ Unknown mix code"))</f>
        <v/>
      </c>
      <c r="F1195" s="67" t="str">
        <f aca="false">IF(OR($C1195="",$D1195=""),"",IFERROR($D1195*INDEX(Mix_Eff,MATCH($C1195,Mix_Code,0),1),""))</f>
        <v/>
      </c>
      <c r="G1195" s="67" t="str">
        <f aca="false">IF(OR($C1195="",$D1195=""),"",IFERROR($D1195*INDEX(Mix_Eff,MATCH($C1195,Mix_Code,0),2),""))</f>
        <v/>
      </c>
      <c r="H1195" s="67" t="str">
        <f aca="false">IF(OR($C1195="",$D1195=""),"",IFERROR($D1195*INDEX(Mix_Eff,MATCH($C1195,Mix_Code,0),3),""))</f>
        <v/>
      </c>
      <c r="I1195" s="67" t="str">
        <f aca="false">IF(OR($C1195="",$D1195=""),"",IFERROR($D1195*INDEX(Mix_Eff,MATCH($C1195,Mix_Code,0),4),""))</f>
        <v/>
      </c>
      <c r="J1195" s="67" t="str">
        <f aca="false">IF(OR($C1195="",$D1195=""),"",IFERROR($D1195*INDEX(Mix_Eff,MATCH($C1195,Mix_Code,0),5),""))</f>
        <v/>
      </c>
      <c r="K1195" s="63"/>
      <c r="L1195" s="16" t="str">
        <f aca="false">IF(AND($A1195="",$B1195="",$C1195="",$D1195=""),"",IF($A1195="","⚠ Date missing",IF($B1195="","⚠ Site missing",IF(ISNA(MATCH($C1195,Mix_Code,0)),"⚠ Unknown mix code",IF($D1195="","⚠ Enter m3 produced",IF(COUNTIF(CI_Site,$B1195)=0,"⚠ Site not set up in Current Inventory",IF($A1195&gt;AsOfDate,"Future date – not yet deducted","OK")))))))</f>
        <v/>
      </c>
    </row>
    <row r="1196" customFormat="false" ht="15" hidden="false" customHeight="false" outlineLevel="0" collapsed="false">
      <c r="A1196" s="65"/>
      <c r="B1196" s="63"/>
      <c r="C1196" s="70"/>
      <c r="D1196" s="66"/>
      <c r="E1196" s="16" t="str">
        <f aca="false">IF($C1196="","",IFERROR(INDEX(Mix_Desc,MATCH($C1196,Mix_Code,0)),"⚠ Unknown mix code"))</f>
        <v/>
      </c>
      <c r="F1196" s="67" t="str">
        <f aca="false">IF(OR($C1196="",$D1196=""),"",IFERROR($D1196*INDEX(Mix_Eff,MATCH($C1196,Mix_Code,0),1),""))</f>
        <v/>
      </c>
      <c r="G1196" s="67" t="str">
        <f aca="false">IF(OR($C1196="",$D1196=""),"",IFERROR($D1196*INDEX(Mix_Eff,MATCH($C1196,Mix_Code,0),2),""))</f>
        <v/>
      </c>
      <c r="H1196" s="67" t="str">
        <f aca="false">IF(OR($C1196="",$D1196=""),"",IFERROR($D1196*INDEX(Mix_Eff,MATCH($C1196,Mix_Code,0),3),""))</f>
        <v/>
      </c>
      <c r="I1196" s="67" t="str">
        <f aca="false">IF(OR($C1196="",$D1196=""),"",IFERROR($D1196*INDEX(Mix_Eff,MATCH($C1196,Mix_Code,0),4),""))</f>
        <v/>
      </c>
      <c r="J1196" s="67" t="str">
        <f aca="false">IF(OR($C1196="",$D1196=""),"",IFERROR($D1196*INDEX(Mix_Eff,MATCH($C1196,Mix_Code,0),5),""))</f>
        <v/>
      </c>
      <c r="K1196" s="63"/>
      <c r="L1196" s="16" t="str">
        <f aca="false">IF(AND($A1196="",$B1196="",$C1196="",$D1196=""),"",IF($A1196="","⚠ Date missing",IF($B1196="","⚠ Site missing",IF(ISNA(MATCH($C1196,Mix_Code,0)),"⚠ Unknown mix code",IF($D1196="","⚠ Enter m3 produced",IF(COUNTIF(CI_Site,$B1196)=0,"⚠ Site not set up in Current Inventory",IF($A1196&gt;AsOfDate,"Future date – not yet deducted","OK")))))))</f>
        <v/>
      </c>
    </row>
    <row r="1197" customFormat="false" ht="15" hidden="false" customHeight="false" outlineLevel="0" collapsed="false">
      <c r="A1197" s="65"/>
      <c r="B1197" s="63"/>
      <c r="C1197" s="70"/>
      <c r="D1197" s="66"/>
      <c r="E1197" s="16" t="str">
        <f aca="false">IF($C1197="","",IFERROR(INDEX(Mix_Desc,MATCH($C1197,Mix_Code,0)),"⚠ Unknown mix code"))</f>
        <v/>
      </c>
      <c r="F1197" s="67" t="str">
        <f aca="false">IF(OR($C1197="",$D1197=""),"",IFERROR($D1197*INDEX(Mix_Eff,MATCH($C1197,Mix_Code,0),1),""))</f>
        <v/>
      </c>
      <c r="G1197" s="67" t="str">
        <f aca="false">IF(OR($C1197="",$D1197=""),"",IFERROR($D1197*INDEX(Mix_Eff,MATCH($C1197,Mix_Code,0),2),""))</f>
        <v/>
      </c>
      <c r="H1197" s="67" t="str">
        <f aca="false">IF(OR($C1197="",$D1197=""),"",IFERROR($D1197*INDEX(Mix_Eff,MATCH($C1197,Mix_Code,0),3),""))</f>
        <v/>
      </c>
      <c r="I1197" s="67" t="str">
        <f aca="false">IF(OR($C1197="",$D1197=""),"",IFERROR($D1197*INDEX(Mix_Eff,MATCH($C1197,Mix_Code,0),4),""))</f>
        <v/>
      </c>
      <c r="J1197" s="67" t="str">
        <f aca="false">IF(OR($C1197="",$D1197=""),"",IFERROR($D1197*INDEX(Mix_Eff,MATCH($C1197,Mix_Code,0),5),""))</f>
        <v/>
      </c>
      <c r="K1197" s="63"/>
      <c r="L1197" s="16" t="str">
        <f aca="false">IF(AND($A1197="",$B1197="",$C1197="",$D1197=""),"",IF($A1197="","⚠ Date missing",IF($B1197="","⚠ Site missing",IF(ISNA(MATCH($C1197,Mix_Code,0)),"⚠ Unknown mix code",IF($D1197="","⚠ Enter m3 produced",IF(COUNTIF(CI_Site,$B1197)=0,"⚠ Site not set up in Current Inventory",IF($A1197&gt;AsOfDate,"Future date – not yet deducted","OK")))))))</f>
        <v/>
      </c>
    </row>
    <row r="1198" customFormat="false" ht="15" hidden="false" customHeight="false" outlineLevel="0" collapsed="false">
      <c r="A1198" s="65"/>
      <c r="B1198" s="63"/>
      <c r="C1198" s="70"/>
      <c r="D1198" s="66"/>
      <c r="E1198" s="16" t="str">
        <f aca="false">IF($C1198="","",IFERROR(INDEX(Mix_Desc,MATCH($C1198,Mix_Code,0)),"⚠ Unknown mix code"))</f>
        <v/>
      </c>
      <c r="F1198" s="67" t="str">
        <f aca="false">IF(OR($C1198="",$D1198=""),"",IFERROR($D1198*INDEX(Mix_Eff,MATCH($C1198,Mix_Code,0),1),""))</f>
        <v/>
      </c>
      <c r="G1198" s="67" t="str">
        <f aca="false">IF(OR($C1198="",$D1198=""),"",IFERROR($D1198*INDEX(Mix_Eff,MATCH($C1198,Mix_Code,0),2),""))</f>
        <v/>
      </c>
      <c r="H1198" s="67" t="str">
        <f aca="false">IF(OR($C1198="",$D1198=""),"",IFERROR($D1198*INDEX(Mix_Eff,MATCH($C1198,Mix_Code,0),3),""))</f>
        <v/>
      </c>
      <c r="I1198" s="67" t="str">
        <f aca="false">IF(OR($C1198="",$D1198=""),"",IFERROR($D1198*INDEX(Mix_Eff,MATCH($C1198,Mix_Code,0),4),""))</f>
        <v/>
      </c>
      <c r="J1198" s="67" t="str">
        <f aca="false">IF(OR($C1198="",$D1198=""),"",IFERROR($D1198*INDEX(Mix_Eff,MATCH($C1198,Mix_Code,0),5),""))</f>
        <v/>
      </c>
      <c r="K1198" s="63"/>
      <c r="L1198" s="16" t="str">
        <f aca="false">IF(AND($A1198="",$B1198="",$C1198="",$D1198=""),"",IF($A1198="","⚠ Date missing",IF($B1198="","⚠ Site missing",IF(ISNA(MATCH($C1198,Mix_Code,0)),"⚠ Unknown mix code",IF($D1198="","⚠ Enter m3 produced",IF(COUNTIF(CI_Site,$B1198)=0,"⚠ Site not set up in Current Inventory",IF($A1198&gt;AsOfDate,"Future date – not yet deducted","OK")))))))</f>
        <v/>
      </c>
    </row>
    <row r="1199" customFormat="false" ht="15" hidden="false" customHeight="false" outlineLevel="0" collapsed="false">
      <c r="A1199" s="65"/>
      <c r="B1199" s="63"/>
      <c r="C1199" s="70"/>
      <c r="D1199" s="66"/>
      <c r="E1199" s="16" t="str">
        <f aca="false">IF($C1199="","",IFERROR(INDEX(Mix_Desc,MATCH($C1199,Mix_Code,0)),"⚠ Unknown mix code"))</f>
        <v/>
      </c>
      <c r="F1199" s="67" t="str">
        <f aca="false">IF(OR($C1199="",$D1199=""),"",IFERROR($D1199*INDEX(Mix_Eff,MATCH($C1199,Mix_Code,0),1),""))</f>
        <v/>
      </c>
      <c r="G1199" s="67" t="str">
        <f aca="false">IF(OR($C1199="",$D1199=""),"",IFERROR($D1199*INDEX(Mix_Eff,MATCH($C1199,Mix_Code,0),2),""))</f>
        <v/>
      </c>
      <c r="H1199" s="67" t="str">
        <f aca="false">IF(OR($C1199="",$D1199=""),"",IFERROR($D1199*INDEX(Mix_Eff,MATCH($C1199,Mix_Code,0),3),""))</f>
        <v/>
      </c>
      <c r="I1199" s="67" t="str">
        <f aca="false">IF(OR($C1199="",$D1199=""),"",IFERROR($D1199*INDEX(Mix_Eff,MATCH($C1199,Mix_Code,0),4),""))</f>
        <v/>
      </c>
      <c r="J1199" s="67" t="str">
        <f aca="false">IF(OR($C1199="",$D1199=""),"",IFERROR($D1199*INDEX(Mix_Eff,MATCH($C1199,Mix_Code,0),5),""))</f>
        <v/>
      </c>
      <c r="K1199" s="63"/>
      <c r="L1199" s="16" t="str">
        <f aca="false">IF(AND($A1199="",$B1199="",$C1199="",$D1199=""),"",IF($A1199="","⚠ Date missing",IF($B1199="","⚠ Site missing",IF(ISNA(MATCH($C1199,Mix_Code,0)),"⚠ Unknown mix code",IF($D1199="","⚠ Enter m3 produced",IF(COUNTIF(CI_Site,$B1199)=0,"⚠ Site not set up in Current Inventory",IF($A1199&gt;AsOfDate,"Future date – not yet deducted","OK")))))))</f>
        <v/>
      </c>
    </row>
    <row r="1200" customFormat="false" ht="15" hidden="false" customHeight="false" outlineLevel="0" collapsed="false">
      <c r="A1200" s="65"/>
      <c r="B1200" s="63"/>
      <c r="C1200" s="70"/>
      <c r="D1200" s="66"/>
      <c r="E1200" s="16" t="str">
        <f aca="false">IF($C1200="","",IFERROR(INDEX(Mix_Desc,MATCH($C1200,Mix_Code,0)),"⚠ Unknown mix code"))</f>
        <v/>
      </c>
      <c r="F1200" s="67" t="str">
        <f aca="false">IF(OR($C1200="",$D1200=""),"",IFERROR($D1200*INDEX(Mix_Eff,MATCH($C1200,Mix_Code,0),1),""))</f>
        <v/>
      </c>
      <c r="G1200" s="67" t="str">
        <f aca="false">IF(OR($C1200="",$D1200=""),"",IFERROR($D1200*INDEX(Mix_Eff,MATCH($C1200,Mix_Code,0),2),""))</f>
        <v/>
      </c>
      <c r="H1200" s="67" t="str">
        <f aca="false">IF(OR($C1200="",$D1200=""),"",IFERROR($D1200*INDEX(Mix_Eff,MATCH($C1200,Mix_Code,0),3),""))</f>
        <v/>
      </c>
      <c r="I1200" s="67" t="str">
        <f aca="false">IF(OR($C1200="",$D1200=""),"",IFERROR($D1200*INDEX(Mix_Eff,MATCH($C1200,Mix_Code,0),4),""))</f>
        <v/>
      </c>
      <c r="J1200" s="67" t="str">
        <f aca="false">IF(OR($C1200="",$D1200=""),"",IFERROR($D1200*INDEX(Mix_Eff,MATCH($C1200,Mix_Code,0),5),""))</f>
        <v/>
      </c>
      <c r="K1200" s="63"/>
      <c r="L1200" s="16" t="str">
        <f aca="false">IF(AND($A1200="",$B1200="",$C1200="",$D1200=""),"",IF($A1200="","⚠ Date missing",IF($B1200="","⚠ Site missing",IF(ISNA(MATCH($C1200,Mix_Code,0)),"⚠ Unknown mix code",IF($D1200="","⚠ Enter m3 produced",IF(COUNTIF(CI_Site,$B1200)=0,"⚠ Site not set up in Current Inventory",IF($A1200&gt;AsOfDate,"Future date – not yet deducted","OK")))))))</f>
        <v/>
      </c>
    </row>
    <row r="1201" customFormat="false" ht="15" hidden="false" customHeight="false" outlineLevel="0" collapsed="false">
      <c r="A1201" s="65"/>
      <c r="B1201" s="63"/>
      <c r="C1201" s="70"/>
      <c r="D1201" s="66"/>
      <c r="E1201" s="16" t="str">
        <f aca="false">IF($C1201="","",IFERROR(INDEX(Mix_Desc,MATCH($C1201,Mix_Code,0)),"⚠ Unknown mix code"))</f>
        <v/>
      </c>
      <c r="F1201" s="67" t="str">
        <f aca="false">IF(OR($C1201="",$D1201=""),"",IFERROR($D1201*INDEX(Mix_Eff,MATCH($C1201,Mix_Code,0),1),""))</f>
        <v/>
      </c>
      <c r="G1201" s="67" t="str">
        <f aca="false">IF(OR($C1201="",$D1201=""),"",IFERROR($D1201*INDEX(Mix_Eff,MATCH($C1201,Mix_Code,0),2),""))</f>
        <v/>
      </c>
      <c r="H1201" s="67" t="str">
        <f aca="false">IF(OR($C1201="",$D1201=""),"",IFERROR($D1201*INDEX(Mix_Eff,MATCH($C1201,Mix_Code,0),3),""))</f>
        <v/>
      </c>
      <c r="I1201" s="67" t="str">
        <f aca="false">IF(OR($C1201="",$D1201=""),"",IFERROR($D1201*INDEX(Mix_Eff,MATCH($C1201,Mix_Code,0),4),""))</f>
        <v/>
      </c>
      <c r="J1201" s="67" t="str">
        <f aca="false">IF(OR($C1201="",$D1201=""),"",IFERROR($D1201*INDEX(Mix_Eff,MATCH($C1201,Mix_Code,0),5),""))</f>
        <v/>
      </c>
      <c r="K1201" s="63"/>
      <c r="L1201" s="16" t="str">
        <f aca="false">IF(AND($A1201="",$B1201="",$C1201="",$D1201=""),"",IF($A1201="","⚠ Date missing",IF($B1201="","⚠ Site missing",IF(ISNA(MATCH($C1201,Mix_Code,0)),"⚠ Unknown mix code",IF($D1201="","⚠ Enter m3 produced",IF(COUNTIF(CI_Site,$B1201)=0,"⚠ Site not set up in Current Inventory",IF($A1201&gt;AsOfDate,"Future date – not yet deducted","OK")))))))</f>
        <v/>
      </c>
    </row>
    <row r="1202" customFormat="false" ht="15" hidden="false" customHeight="false" outlineLevel="0" collapsed="false">
      <c r="A1202" s="65"/>
      <c r="B1202" s="63"/>
      <c r="C1202" s="70"/>
      <c r="D1202" s="66"/>
      <c r="E1202" s="16" t="str">
        <f aca="false">IF($C1202="","",IFERROR(INDEX(Mix_Desc,MATCH($C1202,Mix_Code,0)),"⚠ Unknown mix code"))</f>
        <v/>
      </c>
      <c r="F1202" s="67" t="str">
        <f aca="false">IF(OR($C1202="",$D1202=""),"",IFERROR($D1202*INDEX(Mix_Eff,MATCH($C1202,Mix_Code,0),1),""))</f>
        <v/>
      </c>
      <c r="G1202" s="67" t="str">
        <f aca="false">IF(OR($C1202="",$D1202=""),"",IFERROR($D1202*INDEX(Mix_Eff,MATCH($C1202,Mix_Code,0),2),""))</f>
        <v/>
      </c>
      <c r="H1202" s="67" t="str">
        <f aca="false">IF(OR($C1202="",$D1202=""),"",IFERROR($D1202*INDEX(Mix_Eff,MATCH($C1202,Mix_Code,0),3),""))</f>
        <v/>
      </c>
      <c r="I1202" s="67" t="str">
        <f aca="false">IF(OR($C1202="",$D1202=""),"",IFERROR($D1202*INDEX(Mix_Eff,MATCH($C1202,Mix_Code,0),4),""))</f>
        <v/>
      </c>
      <c r="J1202" s="67" t="str">
        <f aca="false">IF(OR($C1202="",$D1202=""),"",IFERROR($D1202*INDEX(Mix_Eff,MATCH($C1202,Mix_Code,0),5),""))</f>
        <v/>
      </c>
      <c r="K1202" s="63"/>
      <c r="L1202" s="16" t="str">
        <f aca="false">IF(AND($A1202="",$B1202="",$C1202="",$D1202=""),"",IF($A1202="","⚠ Date missing",IF($B1202="","⚠ Site missing",IF(ISNA(MATCH($C1202,Mix_Code,0)),"⚠ Unknown mix code",IF($D1202="","⚠ Enter m3 produced",IF(COUNTIF(CI_Site,$B1202)=0,"⚠ Site not set up in Current Inventory",IF($A1202&gt;AsOfDate,"Future date – not yet deducted","OK")))))))</f>
        <v/>
      </c>
    </row>
    <row r="1203" customFormat="false" ht="15" hidden="false" customHeight="false" outlineLevel="0" collapsed="false">
      <c r="A1203" s="65"/>
      <c r="B1203" s="63"/>
      <c r="C1203" s="70"/>
      <c r="D1203" s="66"/>
      <c r="E1203" s="16" t="str">
        <f aca="false">IF($C1203="","",IFERROR(INDEX(Mix_Desc,MATCH($C1203,Mix_Code,0)),"⚠ Unknown mix code"))</f>
        <v/>
      </c>
      <c r="F1203" s="67" t="str">
        <f aca="false">IF(OR($C1203="",$D1203=""),"",IFERROR($D1203*INDEX(Mix_Eff,MATCH($C1203,Mix_Code,0),1),""))</f>
        <v/>
      </c>
      <c r="G1203" s="67" t="str">
        <f aca="false">IF(OR($C1203="",$D1203=""),"",IFERROR($D1203*INDEX(Mix_Eff,MATCH($C1203,Mix_Code,0),2),""))</f>
        <v/>
      </c>
      <c r="H1203" s="67" t="str">
        <f aca="false">IF(OR($C1203="",$D1203=""),"",IFERROR($D1203*INDEX(Mix_Eff,MATCH($C1203,Mix_Code,0),3),""))</f>
        <v/>
      </c>
      <c r="I1203" s="67" t="str">
        <f aca="false">IF(OR($C1203="",$D1203=""),"",IFERROR($D1203*INDEX(Mix_Eff,MATCH($C1203,Mix_Code,0),4),""))</f>
        <v/>
      </c>
      <c r="J1203" s="67" t="str">
        <f aca="false">IF(OR($C1203="",$D1203=""),"",IFERROR($D1203*INDEX(Mix_Eff,MATCH($C1203,Mix_Code,0),5),""))</f>
        <v/>
      </c>
      <c r="K1203" s="63"/>
      <c r="L1203" s="16" t="str">
        <f aca="false">IF(AND($A1203="",$B1203="",$C1203="",$D1203=""),"",IF($A1203="","⚠ Date missing",IF($B1203="","⚠ Site missing",IF(ISNA(MATCH($C1203,Mix_Code,0)),"⚠ Unknown mix code",IF($D1203="","⚠ Enter m3 produced",IF(COUNTIF(CI_Site,$B1203)=0,"⚠ Site not set up in Current Inventory",IF($A1203&gt;AsOfDate,"Future date – not yet deducted","OK")))))))</f>
        <v/>
      </c>
    </row>
    <row r="1204" customFormat="false" ht="15" hidden="false" customHeight="false" outlineLevel="0" collapsed="false">
      <c r="A1204" s="65"/>
      <c r="B1204" s="63"/>
      <c r="C1204" s="70"/>
      <c r="D1204" s="66"/>
      <c r="E1204" s="16" t="str">
        <f aca="false">IF($C1204="","",IFERROR(INDEX(Mix_Desc,MATCH($C1204,Mix_Code,0)),"⚠ Unknown mix code"))</f>
        <v/>
      </c>
      <c r="F1204" s="67" t="str">
        <f aca="false">IF(OR($C1204="",$D1204=""),"",IFERROR($D1204*INDEX(Mix_Eff,MATCH($C1204,Mix_Code,0),1),""))</f>
        <v/>
      </c>
      <c r="G1204" s="67" t="str">
        <f aca="false">IF(OR($C1204="",$D1204=""),"",IFERROR($D1204*INDEX(Mix_Eff,MATCH($C1204,Mix_Code,0),2),""))</f>
        <v/>
      </c>
      <c r="H1204" s="67" t="str">
        <f aca="false">IF(OR($C1204="",$D1204=""),"",IFERROR($D1204*INDEX(Mix_Eff,MATCH($C1204,Mix_Code,0),3),""))</f>
        <v/>
      </c>
      <c r="I1204" s="67" t="str">
        <f aca="false">IF(OR($C1204="",$D1204=""),"",IFERROR($D1204*INDEX(Mix_Eff,MATCH($C1204,Mix_Code,0),4),""))</f>
        <v/>
      </c>
      <c r="J1204" s="67" t="str">
        <f aca="false">IF(OR($C1204="",$D1204=""),"",IFERROR($D1204*INDEX(Mix_Eff,MATCH($C1204,Mix_Code,0),5),""))</f>
        <v/>
      </c>
      <c r="K1204" s="63"/>
      <c r="L1204" s="16" t="str">
        <f aca="false">IF(AND($A1204="",$B1204="",$C1204="",$D1204=""),"",IF($A1204="","⚠ Date missing",IF($B1204="","⚠ Site missing",IF(ISNA(MATCH($C1204,Mix_Code,0)),"⚠ Unknown mix code",IF($D1204="","⚠ Enter m3 produced",IF(COUNTIF(CI_Site,$B1204)=0,"⚠ Site not set up in Current Inventory",IF($A1204&gt;AsOfDate,"Future date – not yet deducted","OK")))))))</f>
        <v/>
      </c>
    </row>
    <row r="1205" customFormat="false" ht="15" hidden="false" customHeight="false" outlineLevel="0" collapsed="false">
      <c r="A1205" s="65"/>
      <c r="B1205" s="63"/>
      <c r="C1205" s="70"/>
      <c r="D1205" s="66"/>
      <c r="E1205" s="16" t="str">
        <f aca="false">IF($C1205="","",IFERROR(INDEX(Mix_Desc,MATCH($C1205,Mix_Code,0)),"⚠ Unknown mix code"))</f>
        <v/>
      </c>
      <c r="F1205" s="67" t="str">
        <f aca="false">IF(OR($C1205="",$D1205=""),"",IFERROR($D1205*INDEX(Mix_Eff,MATCH($C1205,Mix_Code,0),1),""))</f>
        <v/>
      </c>
      <c r="G1205" s="67" t="str">
        <f aca="false">IF(OR($C1205="",$D1205=""),"",IFERROR($D1205*INDEX(Mix_Eff,MATCH($C1205,Mix_Code,0),2),""))</f>
        <v/>
      </c>
      <c r="H1205" s="67" t="str">
        <f aca="false">IF(OR($C1205="",$D1205=""),"",IFERROR($D1205*INDEX(Mix_Eff,MATCH($C1205,Mix_Code,0),3),""))</f>
        <v/>
      </c>
      <c r="I1205" s="67" t="str">
        <f aca="false">IF(OR($C1205="",$D1205=""),"",IFERROR($D1205*INDEX(Mix_Eff,MATCH($C1205,Mix_Code,0),4),""))</f>
        <v/>
      </c>
      <c r="J1205" s="67" t="str">
        <f aca="false">IF(OR($C1205="",$D1205=""),"",IFERROR($D1205*INDEX(Mix_Eff,MATCH($C1205,Mix_Code,0),5),""))</f>
        <v/>
      </c>
      <c r="K1205" s="63"/>
      <c r="L1205" s="16" t="str">
        <f aca="false">IF(AND($A1205="",$B1205="",$C1205="",$D1205=""),"",IF($A1205="","⚠ Date missing",IF($B1205="","⚠ Site missing",IF(ISNA(MATCH($C1205,Mix_Code,0)),"⚠ Unknown mix code",IF($D1205="","⚠ Enter m3 produced",IF(COUNTIF(CI_Site,$B1205)=0,"⚠ Site not set up in Current Inventory",IF($A1205&gt;AsOfDate,"Future date – not yet deducted","OK")))))))</f>
        <v/>
      </c>
    </row>
    <row r="1206" customFormat="false" ht="15" hidden="false" customHeight="false" outlineLevel="0" collapsed="false">
      <c r="A1206" s="65"/>
      <c r="B1206" s="63"/>
      <c r="C1206" s="70"/>
      <c r="D1206" s="66"/>
      <c r="E1206" s="16" t="str">
        <f aca="false">IF($C1206="","",IFERROR(INDEX(Mix_Desc,MATCH($C1206,Mix_Code,0)),"⚠ Unknown mix code"))</f>
        <v/>
      </c>
      <c r="F1206" s="67" t="str">
        <f aca="false">IF(OR($C1206="",$D1206=""),"",IFERROR($D1206*INDEX(Mix_Eff,MATCH($C1206,Mix_Code,0),1),""))</f>
        <v/>
      </c>
      <c r="G1206" s="67" t="str">
        <f aca="false">IF(OR($C1206="",$D1206=""),"",IFERROR($D1206*INDEX(Mix_Eff,MATCH($C1206,Mix_Code,0),2),""))</f>
        <v/>
      </c>
      <c r="H1206" s="67" t="str">
        <f aca="false">IF(OR($C1206="",$D1206=""),"",IFERROR($D1206*INDEX(Mix_Eff,MATCH($C1206,Mix_Code,0),3),""))</f>
        <v/>
      </c>
      <c r="I1206" s="67" t="str">
        <f aca="false">IF(OR($C1206="",$D1206=""),"",IFERROR($D1206*INDEX(Mix_Eff,MATCH($C1206,Mix_Code,0),4),""))</f>
        <v/>
      </c>
      <c r="J1206" s="67" t="str">
        <f aca="false">IF(OR($C1206="",$D1206=""),"",IFERROR($D1206*INDEX(Mix_Eff,MATCH($C1206,Mix_Code,0),5),""))</f>
        <v/>
      </c>
      <c r="K1206" s="63"/>
      <c r="L1206" s="16" t="str">
        <f aca="false">IF(AND($A1206="",$B1206="",$C1206="",$D1206=""),"",IF($A1206="","⚠ Date missing",IF($B1206="","⚠ Site missing",IF(ISNA(MATCH($C1206,Mix_Code,0)),"⚠ Unknown mix code",IF($D1206="","⚠ Enter m3 produced",IF(COUNTIF(CI_Site,$B1206)=0,"⚠ Site not set up in Current Inventory",IF($A1206&gt;AsOfDate,"Future date – not yet deducted","OK")))))))</f>
        <v/>
      </c>
    </row>
    <row r="1207" customFormat="false" ht="15" hidden="false" customHeight="false" outlineLevel="0" collapsed="false">
      <c r="A1207" s="65"/>
      <c r="B1207" s="63"/>
      <c r="C1207" s="70"/>
      <c r="D1207" s="66"/>
      <c r="E1207" s="16" t="str">
        <f aca="false">IF($C1207="","",IFERROR(INDEX(Mix_Desc,MATCH($C1207,Mix_Code,0)),"⚠ Unknown mix code"))</f>
        <v/>
      </c>
      <c r="F1207" s="67" t="str">
        <f aca="false">IF(OR($C1207="",$D1207=""),"",IFERROR($D1207*INDEX(Mix_Eff,MATCH($C1207,Mix_Code,0),1),""))</f>
        <v/>
      </c>
      <c r="G1207" s="67" t="str">
        <f aca="false">IF(OR($C1207="",$D1207=""),"",IFERROR($D1207*INDEX(Mix_Eff,MATCH($C1207,Mix_Code,0),2),""))</f>
        <v/>
      </c>
      <c r="H1207" s="67" t="str">
        <f aca="false">IF(OR($C1207="",$D1207=""),"",IFERROR($D1207*INDEX(Mix_Eff,MATCH($C1207,Mix_Code,0),3),""))</f>
        <v/>
      </c>
      <c r="I1207" s="67" t="str">
        <f aca="false">IF(OR($C1207="",$D1207=""),"",IFERROR($D1207*INDEX(Mix_Eff,MATCH($C1207,Mix_Code,0),4),""))</f>
        <v/>
      </c>
      <c r="J1207" s="67" t="str">
        <f aca="false">IF(OR($C1207="",$D1207=""),"",IFERROR($D1207*INDEX(Mix_Eff,MATCH($C1207,Mix_Code,0),5),""))</f>
        <v/>
      </c>
      <c r="K1207" s="63"/>
      <c r="L1207" s="16" t="str">
        <f aca="false">IF(AND($A1207="",$B1207="",$C1207="",$D1207=""),"",IF($A1207="","⚠ Date missing",IF($B1207="","⚠ Site missing",IF(ISNA(MATCH($C1207,Mix_Code,0)),"⚠ Unknown mix code",IF($D1207="","⚠ Enter m3 produced",IF(COUNTIF(CI_Site,$B1207)=0,"⚠ Site not set up in Current Inventory",IF($A1207&gt;AsOfDate,"Future date – not yet deducted","OK")))))))</f>
        <v/>
      </c>
    </row>
    <row r="1208" customFormat="false" ht="15" hidden="false" customHeight="false" outlineLevel="0" collapsed="false">
      <c r="A1208" s="65"/>
      <c r="B1208" s="63"/>
      <c r="C1208" s="70"/>
      <c r="D1208" s="66"/>
      <c r="E1208" s="16" t="str">
        <f aca="false">IF($C1208="","",IFERROR(INDEX(Mix_Desc,MATCH($C1208,Mix_Code,0)),"⚠ Unknown mix code"))</f>
        <v/>
      </c>
      <c r="F1208" s="67" t="str">
        <f aca="false">IF(OR($C1208="",$D1208=""),"",IFERROR($D1208*INDEX(Mix_Eff,MATCH($C1208,Mix_Code,0),1),""))</f>
        <v/>
      </c>
      <c r="G1208" s="67" t="str">
        <f aca="false">IF(OR($C1208="",$D1208=""),"",IFERROR($D1208*INDEX(Mix_Eff,MATCH($C1208,Mix_Code,0),2),""))</f>
        <v/>
      </c>
      <c r="H1208" s="67" t="str">
        <f aca="false">IF(OR($C1208="",$D1208=""),"",IFERROR($D1208*INDEX(Mix_Eff,MATCH($C1208,Mix_Code,0),3),""))</f>
        <v/>
      </c>
      <c r="I1208" s="67" t="str">
        <f aca="false">IF(OR($C1208="",$D1208=""),"",IFERROR($D1208*INDEX(Mix_Eff,MATCH($C1208,Mix_Code,0),4),""))</f>
        <v/>
      </c>
      <c r="J1208" s="67" t="str">
        <f aca="false">IF(OR($C1208="",$D1208=""),"",IFERROR($D1208*INDEX(Mix_Eff,MATCH($C1208,Mix_Code,0),5),""))</f>
        <v/>
      </c>
      <c r="K1208" s="63"/>
      <c r="L1208" s="16" t="str">
        <f aca="false">IF(AND($A1208="",$B1208="",$C1208="",$D1208=""),"",IF($A1208="","⚠ Date missing",IF($B1208="","⚠ Site missing",IF(ISNA(MATCH($C1208,Mix_Code,0)),"⚠ Unknown mix code",IF($D1208="","⚠ Enter m3 produced",IF(COUNTIF(CI_Site,$B1208)=0,"⚠ Site not set up in Current Inventory",IF($A1208&gt;AsOfDate,"Future date – not yet deducted","OK")))))))</f>
        <v/>
      </c>
    </row>
    <row r="1209" customFormat="false" ht="15" hidden="false" customHeight="false" outlineLevel="0" collapsed="false">
      <c r="A1209" s="65"/>
      <c r="B1209" s="63"/>
      <c r="C1209" s="70"/>
      <c r="D1209" s="66"/>
      <c r="E1209" s="16" t="str">
        <f aca="false">IF($C1209="","",IFERROR(INDEX(Mix_Desc,MATCH($C1209,Mix_Code,0)),"⚠ Unknown mix code"))</f>
        <v/>
      </c>
      <c r="F1209" s="67" t="str">
        <f aca="false">IF(OR($C1209="",$D1209=""),"",IFERROR($D1209*INDEX(Mix_Eff,MATCH($C1209,Mix_Code,0),1),""))</f>
        <v/>
      </c>
      <c r="G1209" s="67" t="str">
        <f aca="false">IF(OR($C1209="",$D1209=""),"",IFERROR($D1209*INDEX(Mix_Eff,MATCH($C1209,Mix_Code,0),2),""))</f>
        <v/>
      </c>
      <c r="H1209" s="67" t="str">
        <f aca="false">IF(OR($C1209="",$D1209=""),"",IFERROR($D1209*INDEX(Mix_Eff,MATCH($C1209,Mix_Code,0),3),""))</f>
        <v/>
      </c>
      <c r="I1209" s="67" t="str">
        <f aca="false">IF(OR($C1209="",$D1209=""),"",IFERROR($D1209*INDEX(Mix_Eff,MATCH($C1209,Mix_Code,0),4),""))</f>
        <v/>
      </c>
      <c r="J1209" s="67" t="str">
        <f aca="false">IF(OR($C1209="",$D1209=""),"",IFERROR($D1209*INDEX(Mix_Eff,MATCH($C1209,Mix_Code,0),5),""))</f>
        <v/>
      </c>
      <c r="K1209" s="63"/>
      <c r="L1209" s="16" t="str">
        <f aca="false">IF(AND($A1209="",$B1209="",$C1209="",$D1209=""),"",IF($A1209="","⚠ Date missing",IF($B1209="","⚠ Site missing",IF(ISNA(MATCH($C1209,Mix_Code,0)),"⚠ Unknown mix code",IF($D1209="","⚠ Enter m3 produced",IF(COUNTIF(CI_Site,$B1209)=0,"⚠ Site not set up in Current Inventory",IF($A1209&gt;AsOfDate,"Future date – not yet deducted","OK")))))))</f>
        <v/>
      </c>
    </row>
    <row r="1210" customFormat="false" ht="15" hidden="false" customHeight="false" outlineLevel="0" collapsed="false">
      <c r="A1210" s="65"/>
      <c r="B1210" s="63"/>
      <c r="C1210" s="70"/>
      <c r="D1210" s="66"/>
      <c r="E1210" s="16" t="str">
        <f aca="false">IF($C1210="","",IFERROR(INDEX(Mix_Desc,MATCH($C1210,Mix_Code,0)),"⚠ Unknown mix code"))</f>
        <v/>
      </c>
      <c r="F1210" s="67" t="str">
        <f aca="false">IF(OR($C1210="",$D1210=""),"",IFERROR($D1210*INDEX(Mix_Eff,MATCH($C1210,Mix_Code,0),1),""))</f>
        <v/>
      </c>
      <c r="G1210" s="67" t="str">
        <f aca="false">IF(OR($C1210="",$D1210=""),"",IFERROR($D1210*INDEX(Mix_Eff,MATCH($C1210,Mix_Code,0),2),""))</f>
        <v/>
      </c>
      <c r="H1210" s="67" t="str">
        <f aca="false">IF(OR($C1210="",$D1210=""),"",IFERROR($D1210*INDEX(Mix_Eff,MATCH($C1210,Mix_Code,0),3),""))</f>
        <v/>
      </c>
      <c r="I1210" s="67" t="str">
        <f aca="false">IF(OR($C1210="",$D1210=""),"",IFERROR($D1210*INDEX(Mix_Eff,MATCH($C1210,Mix_Code,0),4),""))</f>
        <v/>
      </c>
      <c r="J1210" s="67" t="str">
        <f aca="false">IF(OR($C1210="",$D1210=""),"",IFERROR($D1210*INDEX(Mix_Eff,MATCH($C1210,Mix_Code,0),5),""))</f>
        <v/>
      </c>
      <c r="K1210" s="63"/>
      <c r="L1210" s="16" t="str">
        <f aca="false">IF(AND($A1210="",$B1210="",$C1210="",$D1210=""),"",IF($A1210="","⚠ Date missing",IF($B1210="","⚠ Site missing",IF(ISNA(MATCH($C1210,Mix_Code,0)),"⚠ Unknown mix code",IF($D1210="","⚠ Enter m3 produced",IF(COUNTIF(CI_Site,$B1210)=0,"⚠ Site not set up in Current Inventory",IF($A1210&gt;AsOfDate,"Future date – not yet deducted","OK")))))))</f>
        <v/>
      </c>
    </row>
    <row r="1211" customFormat="false" ht="15" hidden="false" customHeight="false" outlineLevel="0" collapsed="false">
      <c r="A1211" s="65"/>
      <c r="B1211" s="63"/>
      <c r="C1211" s="70"/>
      <c r="D1211" s="66"/>
      <c r="E1211" s="16" t="str">
        <f aca="false">IF($C1211="","",IFERROR(INDEX(Mix_Desc,MATCH($C1211,Mix_Code,0)),"⚠ Unknown mix code"))</f>
        <v/>
      </c>
      <c r="F1211" s="67" t="str">
        <f aca="false">IF(OR($C1211="",$D1211=""),"",IFERROR($D1211*INDEX(Mix_Eff,MATCH($C1211,Mix_Code,0),1),""))</f>
        <v/>
      </c>
      <c r="G1211" s="67" t="str">
        <f aca="false">IF(OR($C1211="",$D1211=""),"",IFERROR($D1211*INDEX(Mix_Eff,MATCH($C1211,Mix_Code,0),2),""))</f>
        <v/>
      </c>
      <c r="H1211" s="67" t="str">
        <f aca="false">IF(OR($C1211="",$D1211=""),"",IFERROR($D1211*INDEX(Mix_Eff,MATCH($C1211,Mix_Code,0),3),""))</f>
        <v/>
      </c>
      <c r="I1211" s="67" t="str">
        <f aca="false">IF(OR($C1211="",$D1211=""),"",IFERROR($D1211*INDEX(Mix_Eff,MATCH($C1211,Mix_Code,0),4),""))</f>
        <v/>
      </c>
      <c r="J1211" s="67" t="str">
        <f aca="false">IF(OR($C1211="",$D1211=""),"",IFERROR($D1211*INDEX(Mix_Eff,MATCH($C1211,Mix_Code,0),5),""))</f>
        <v/>
      </c>
      <c r="K1211" s="63"/>
      <c r="L1211" s="16" t="str">
        <f aca="false">IF(AND($A1211="",$B1211="",$C1211="",$D1211=""),"",IF($A1211="","⚠ Date missing",IF($B1211="","⚠ Site missing",IF(ISNA(MATCH($C1211,Mix_Code,0)),"⚠ Unknown mix code",IF($D1211="","⚠ Enter m3 produced",IF(COUNTIF(CI_Site,$B1211)=0,"⚠ Site not set up in Current Inventory",IF($A1211&gt;AsOfDate,"Future date – not yet deducted","OK")))))))</f>
        <v/>
      </c>
    </row>
    <row r="1212" customFormat="false" ht="15" hidden="false" customHeight="false" outlineLevel="0" collapsed="false">
      <c r="A1212" s="65"/>
      <c r="B1212" s="63"/>
      <c r="C1212" s="70"/>
      <c r="D1212" s="66"/>
      <c r="E1212" s="16" t="str">
        <f aca="false">IF($C1212="","",IFERROR(INDEX(Mix_Desc,MATCH($C1212,Mix_Code,0)),"⚠ Unknown mix code"))</f>
        <v/>
      </c>
      <c r="F1212" s="67" t="str">
        <f aca="false">IF(OR($C1212="",$D1212=""),"",IFERROR($D1212*INDEX(Mix_Eff,MATCH($C1212,Mix_Code,0),1),""))</f>
        <v/>
      </c>
      <c r="G1212" s="67" t="str">
        <f aca="false">IF(OR($C1212="",$D1212=""),"",IFERROR($D1212*INDEX(Mix_Eff,MATCH($C1212,Mix_Code,0),2),""))</f>
        <v/>
      </c>
      <c r="H1212" s="67" t="str">
        <f aca="false">IF(OR($C1212="",$D1212=""),"",IFERROR($D1212*INDEX(Mix_Eff,MATCH($C1212,Mix_Code,0),3),""))</f>
        <v/>
      </c>
      <c r="I1212" s="67" t="str">
        <f aca="false">IF(OR($C1212="",$D1212=""),"",IFERROR($D1212*INDEX(Mix_Eff,MATCH($C1212,Mix_Code,0),4),""))</f>
        <v/>
      </c>
      <c r="J1212" s="67" t="str">
        <f aca="false">IF(OR($C1212="",$D1212=""),"",IFERROR($D1212*INDEX(Mix_Eff,MATCH($C1212,Mix_Code,0),5),""))</f>
        <v/>
      </c>
      <c r="K1212" s="63"/>
      <c r="L1212" s="16" t="str">
        <f aca="false">IF(AND($A1212="",$B1212="",$C1212="",$D1212=""),"",IF($A1212="","⚠ Date missing",IF($B1212="","⚠ Site missing",IF(ISNA(MATCH($C1212,Mix_Code,0)),"⚠ Unknown mix code",IF($D1212="","⚠ Enter m3 produced",IF(COUNTIF(CI_Site,$B1212)=0,"⚠ Site not set up in Current Inventory",IF($A1212&gt;AsOfDate,"Future date – not yet deducted","OK")))))))</f>
        <v/>
      </c>
    </row>
    <row r="1213" customFormat="false" ht="15" hidden="false" customHeight="false" outlineLevel="0" collapsed="false">
      <c r="A1213" s="65"/>
      <c r="B1213" s="63"/>
      <c r="C1213" s="70"/>
      <c r="D1213" s="66"/>
      <c r="E1213" s="16" t="str">
        <f aca="false">IF($C1213="","",IFERROR(INDEX(Mix_Desc,MATCH($C1213,Mix_Code,0)),"⚠ Unknown mix code"))</f>
        <v/>
      </c>
      <c r="F1213" s="67" t="str">
        <f aca="false">IF(OR($C1213="",$D1213=""),"",IFERROR($D1213*INDEX(Mix_Eff,MATCH($C1213,Mix_Code,0),1),""))</f>
        <v/>
      </c>
      <c r="G1213" s="67" t="str">
        <f aca="false">IF(OR($C1213="",$D1213=""),"",IFERROR($D1213*INDEX(Mix_Eff,MATCH($C1213,Mix_Code,0),2),""))</f>
        <v/>
      </c>
      <c r="H1213" s="67" t="str">
        <f aca="false">IF(OR($C1213="",$D1213=""),"",IFERROR($D1213*INDEX(Mix_Eff,MATCH($C1213,Mix_Code,0),3),""))</f>
        <v/>
      </c>
      <c r="I1213" s="67" t="str">
        <f aca="false">IF(OR($C1213="",$D1213=""),"",IFERROR($D1213*INDEX(Mix_Eff,MATCH($C1213,Mix_Code,0),4),""))</f>
        <v/>
      </c>
      <c r="J1213" s="67" t="str">
        <f aca="false">IF(OR($C1213="",$D1213=""),"",IFERROR($D1213*INDEX(Mix_Eff,MATCH($C1213,Mix_Code,0),5),""))</f>
        <v/>
      </c>
      <c r="K1213" s="63"/>
      <c r="L1213" s="16" t="str">
        <f aca="false">IF(AND($A1213="",$B1213="",$C1213="",$D1213=""),"",IF($A1213="","⚠ Date missing",IF($B1213="","⚠ Site missing",IF(ISNA(MATCH($C1213,Mix_Code,0)),"⚠ Unknown mix code",IF($D1213="","⚠ Enter m3 produced",IF(COUNTIF(CI_Site,$B1213)=0,"⚠ Site not set up in Current Inventory",IF($A1213&gt;AsOfDate,"Future date – not yet deducted","OK")))))))</f>
        <v/>
      </c>
    </row>
    <row r="1214" customFormat="false" ht="15" hidden="false" customHeight="false" outlineLevel="0" collapsed="false">
      <c r="A1214" s="65"/>
      <c r="B1214" s="63"/>
      <c r="C1214" s="70"/>
      <c r="D1214" s="66"/>
      <c r="E1214" s="16" t="str">
        <f aca="false">IF($C1214="","",IFERROR(INDEX(Mix_Desc,MATCH($C1214,Mix_Code,0)),"⚠ Unknown mix code"))</f>
        <v/>
      </c>
      <c r="F1214" s="67" t="str">
        <f aca="false">IF(OR($C1214="",$D1214=""),"",IFERROR($D1214*INDEX(Mix_Eff,MATCH($C1214,Mix_Code,0),1),""))</f>
        <v/>
      </c>
      <c r="G1214" s="67" t="str">
        <f aca="false">IF(OR($C1214="",$D1214=""),"",IFERROR($D1214*INDEX(Mix_Eff,MATCH($C1214,Mix_Code,0),2),""))</f>
        <v/>
      </c>
      <c r="H1214" s="67" t="str">
        <f aca="false">IF(OR($C1214="",$D1214=""),"",IFERROR($D1214*INDEX(Mix_Eff,MATCH($C1214,Mix_Code,0),3),""))</f>
        <v/>
      </c>
      <c r="I1214" s="67" t="str">
        <f aca="false">IF(OR($C1214="",$D1214=""),"",IFERROR($D1214*INDEX(Mix_Eff,MATCH($C1214,Mix_Code,0),4),""))</f>
        <v/>
      </c>
      <c r="J1214" s="67" t="str">
        <f aca="false">IF(OR($C1214="",$D1214=""),"",IFERROR($D1214*INDEX(Mix_Eff,MATCH($C1214,Mix_Code,0),5),""))</f>
        <v/>
      </c>
      <c r="K1214" s="63"/>
      <c r="L1214" s="16" t="str">
        <f aca="false">IF(AND($A1214="",$B1214="",$C1214="",$D1214=""),"",IF($A1214="","⚠ Date missing",IF($B1214="","⚠ Site missing",IF(ISNA(MATCH($C1214,Mix_Code,0)),"⚠ Unknown mix code",IF($D1214="","⚠ Enter m3 produced",IF(COUNTIF(CI_Site,$B1214)=0,"⚠ Site not set up in Current Inventory",IF($A1214&gt;AsOfDate,"Future date – not yet deducted","OK")))))))</f>
        <v/>
      </c>
    </row>
    <row r="1215" customFormat="false" ht="15" hidden="false" customHeight="false" outlineLevel="0" collapsed="false">
      <c r="A1215" s="65"/>
      <c r="B1215" s="63"/>
      <c r="C1215" s="70"/>
      <c r="D1215" s="66"/>
      <c r="E1215" s="16" t="str">
        <f aca="false">IF($C1215="","",IFERROR(INDEX(Mix_Desc,MATCH($C1215,Mix_Code,0)),"⚠ Unknown mix code"))</f>
        <v/>
      </c>
      <c r="F1215" s="67" t="str">
        <f aca="false">IF(OR($C1215="",$D1215=""),"",IFERROR($D1215*INDEX(Mix_Eff,MATCH($C1215,Mix_Code,0),1),""))</f>
        <v/>
      </c>
      <c r="G1215" s="67" t="str">
        <f aca="false">IF(OR($C1215="",$D1215=""),"",IFERROR($D1215*INDEX(Mix_Eff,MATCH($C1215,Mix_Code,0),2),""))</f>
        <v/>
      </c>
      <c r="H1215" s="67" t="str">
        <f aca="false">IF(OR($C1215="",$D1215=""),"",IFERROR($D1215*INDEX(Mix_Eff,MATCH($C1215,Mix_Code,0),3),""))</f>
        <v/>
      </c>
      <c r="I1215" s="67" t="str">
        <f aca="false">IF(OR($C1215="",$D1215=""),"",IFERROR($D1215*INDEX(Mix_Eff,MATCH($C1215,Mix_Code,0),4),""))</f>
        <v/>
      </c>
      <c r="J1215" s="67" t="str">
        <f aca="false">IF(OR($C1215="",$D1215=""),"",IFERROR($D1215*INDEX(Mix_Eff,MATCH($C1215,Mix_Code,0),5),""))</f>
        <v/>
      </c>
      <c r="K1215" s="63"/>
      <c r="L1215" s="16" t="str">
        <f aca="false">IF(AND($A1215="",$B1215="",$C1215="",$D1215=""),"",IF($A1215="","⚠ Date missing",IF($B1215="","⚠ Site missing",IF(ISNA(MATCH($C1215,Mix_Code,0)),"⚠ Unknown mix code",IF($D1215="","⚠ Enter m3 produced",IF(COUNTIF(CI_Site,$B1215)=0,"⚠ Site not set up in Current Inventory",IF($A1215&gt;AsOfDate,"Future date – not yet deducted","OK")))))))</f>
        <v/>
      </c>
    </row>
    <row r="1216" customFormat="false" ht="15" hidden="false" customHeight="false" outlineLevel="0" collapsed="false">
      <c r="A1216" s="65"/>
      <c r="B1216" s="63"/>
      <c r="C1216" s="70"/>
      <c r="D1216" s="66"/>
      <c r="E1216" s="16" t="str">
        <f aca="false">IF($C1216="","",IFERROR(INDEX(Mix_Desc,MATCH($C1216,Mix_Code,0)),"⚠ Unknown mix code"))</f>
        <v/>
      </c>
      <c r="F1216" s="67" t="str">
        <f aca="false">IF(OR($C1216="",$D1216=""),"",IFERROR($D1216*INDEX(Mix_Eff,MATCH($C1216,Mix_Code,0),1),""))</f>
        <v/>
      </c>
      <c r="G1216" s="67" t="str">
        <f aca="false">IF(OR($C1216="",$D1216=""),"",IFERROR($D1216*INDEX(Mix_Eff,MATCH($C1216,Mix_Code,0),2),""))</f>
        <v/>
      </c>
      <c r="H1216" s="67" t="str">
        <f aca="false">IF(OR($C1216="",$D1216=""),"",IFERROR($D1216*INDEX(Mix_Eff,MATCH($C1216,Mix_Code,0),3),""))</f>
        <v/>
      </c>
      <c r="I1216" s="67" t="str">
        <f aca="false">IF(OR($C1216="",$D1216=""),"",IFERROR($D1216*INDEX(Mix_Eff,MATCH($C1216,Mix_Code,0),4),""))</f>
        <v/>
      </c>
      <c r="J1216" s="67" t="str">
        <f aca="false">IF(OR($C1216="",$D1216=""),"",IFERROR($D1216*INDEX(Mix_Eff,MATCH($C1216,Mix_Code,0),5),""))</f>
        <v/>
      </c>
      <c r="K1216" s="63"/>
      <c r="L1216" s="16" t="str">
        <f aca="false">IF(AND($A1216="",$B1216="",$C1216="",$D1216=""),"",IF($A1216="","⚠ Date missing",IF($B1216="","⚠ Site missing",IF(ISNA(MATCH($C1216,Mix_Code,0)),"⚠ Unknown mix code",IF($D1216="","⚠ Enter m3 produced",IF(COUNTIF(CI_Site,$B1216)=0,"⚠ Site not set up in Current Inventory",IF($A1216&gt;AsOfDate,"Future date – not yet deducted","OK")))))))</f>
        <v/>
      </c>
    </row>
    <row r="1217" customFormat="false" ht="15" hidden="false" customHeight="false" outlineLevel="0" collapsed="false">
      <c r="A1217" s="65"/>
      <c r="B1217" s="63"/>
      <c r="C1217" s="70"/>
      <c r="D1217" s="66"/>
      <c r="E1217" s="16" t="str">
        <f aca="false">IF($C1217="","",IFERROR(INDEX(Mix_Desc,MATCH($C1217,Mix_Code,0)),"⚠ Unknown mix code"))</f>
        <v/>
      </c>
      <c r="F1217" s="67" t="str">
        <f aca="false">IF(OR($C1217="",$D1217=""),"",IFERROR($D1217*INDEX(Mix_Eff,MATCH($C1217,Mix_Code,0),1),""))</f>
        <v/>
      </c>
      <c r="G1217" s="67" t="str">
        <f aca="false">IF(OR($C1217="",$D1217=""),"",IFERROR($D1217*INDEX(Mix_Eff,MATCH($C1217,Mix_Code,0),2),""))</f>
        <v/>
      </c>
      <c r="H1217" s="67" t="str">
        <f aca="false">IF(OR($C1217="",$D1217=""),"",IFERROR($D1217*INDEX(Mix_Eff,MATCH($C1217,Mix_Code,0),3),""))</f>
        <v/>
      </c>
      <c r="I1217" s="67" t="str">
        <f aca="false">IF(OR($C1217="",$D1217=""),"",IFERROR($D1217*INDEX(Mix_Eff,MATCH($C1217,Mix_Code,0),4),""))</f>
        <v/>
      </c>
      <c r="J1217" s="67" t="str">
        <f aca="false">IF(OR($C1217="",$D1217=""),"",IFERROR($D1217*INDEX(Mix_Eff,MATCH($C1217,Mix_Code,0),5),""))</f>
        <v/>
      </c>
      <c r="K1217" s="63"/>
      <c r="L1217" s="16" t="str">
        <f aca="false">IF(AND($A1217="",$B1217="",$C1217="",$D1217=""),"",IF($A1217="","⚠ Date missing",IF($B1217="","⚠ Site missing",IF(ISNA(MATCH($C1217,Mix_Code,0)),"⚠ Unknown mix code",IF($D1217="","⚠ Enter m3 produced",IF(COUNTIF(CI_Site,$B1217)=0,"⚠ Site not set up in Current Inventory",IF($A1217&gt;AsOfDate,"Future date – not yet deducted","OK")))))))</f>
        <v/>
      </c>
    </row>
    <row r="1218" customFormat="false" ht="15" hidden="false" customHeight="false" outlineLevel="0" collapsed="false">
      <c r="A1218" s="65"/>
      <c r="B1218" s="63"/>
      <c r="C1218" s="70"/>
      <c r="D1218" s="66"/>
      <c r="E1218" s="16" t="str">
        <f aca="false">IF($C1218="","",IFERROR(INDEX(Mix_Desc,MATCH($C1218,Mix_Code,0)),"⚠ Unknown mix code"))</f>
        <v/>
      </c>
      <c r="F1218" s="67" t="str">
        <f aca="false">IF(OR($C1218="",$D1218=""),"",IFERROR($D1218*INDEX(Mix_Eff,MATCH($C1218,Mix_Code,0),1),""))</f>
        <v/>
      </c>
      <c r="G1218" s="67" t="str">
        <f aca="false">IF(OR($C1218="",$D1218=""),"",IFERROR($D1218*INDEX(Mix_Eff,MATCH($C1218,Mix_Code,0),2),""))</f>
        <v/>
      </c>
      <c r="H1218" s="67" t="str">
        <f aca="false">IF(OR($C1218="",$D1218=""),"",IFERROR($D1218*INDEX(Mix_Eff,MATCH($C1218,Mix_Code,0),3),""))</f>
        <v/>
      </c>
      <c r="I1218" s="67" t="str">
        <f aca="false">IF(OR($C1218="",$D1218=""),"",IFERROR($D1218*INDEX(Mix_Eff,MATCH($C1218,Mix_Code,0),4),""))</f>
        <v/>
      </c>
      <c r="J1218" s="67" t="str">
        <f aca="false">IF(OR($C1218="",$D1218=""),"",IFERROR($D1218*INDEX(Mix_Eff,MATCH($C1218,Mix_Code,0),5),""))</f>
        <v/>
      </c>
      <c r="K1218" s="63"/>
      <c r="L1218" s="16" t="str">
        <f aca="false">IF(AND($A1218="",$B1218="",$C1218="",$D1218=""),"",IF($A1218="","⚠ Date missing",IF($B1218="","⚠ Site missing",IF(ISNA(MATCH($C1218,Mix_Code,0)),"⚠ Unknown mix code",IF($D1218="","⚠ Enter m3 produced",IF(COUNTIF(CI_Site,$B1218)=0,"⚠ Site not set up in Current Inventory",IF($A1218&gt;AsOfDate,"Future date – not yet deducted","OK")))))))</f>
        <v/>
      </c>
    </row>
    <row r="1219" customFormat="false" ht="15" hidden="false" customHeight="false" outlineLevel="0" collapsed="false">
      <c r="A1219" s="65"/>
      <c r="B1219" s="63"/>
      <c r="C1219" s="70"/>
      <c r="D1219" s="66"/>
      <c r="E1219" s="16" t="str">
        <f aca="false">IF($C1219="","",IFERROR(INDEX(Mix_Desc,MATCH($C1219,Mix_Code,0)),"⚠ Unknown mix code"))</f>
        <v/>
      </c>
      <c r="F1219" s="67" t="str">
        <f aca="false">IF(OR($C1219="",$D1219=""),"",IFERROR($D1219*INDEX(Mix_Eff,MATCH($C1219,Mix_Code,0),1),""))</f>
        <v/>
      </c>
      <c r="G1219" s="67" t="str">
        <f aca="false">IF(OR($C1219="",$D1219=""),"",IFERROR($D1219*INDEX(Mix_Eff,MATCH($C1219,Mix_Code,0),2),""))</f>
        <v/>
      </c>
      <c r="H1219" s="67" t="str">
        <f aca="false">IF(OR($C1219="",$D1219=""),"",IFERROR($D1219*INDEX(Mix_Eff,MATCH($C1219,Mix_Code,0),3),""))</f>
        <v/>
      </c>
      <c r="I1219" s="67" t="str">
        <f aca="false">IF(OR($C1219="",$D1219=""),"",IFERROR($D1219*INDEX(Mix_Eff,MATCH($C1219,Mix_Code,0),4),""))</f>
        <v/>
      </c>
      <c r="J1219" s="67" t="str">
        <f aca="false">IF(OR($C1219="",$D1219=""),"",IFERROR($D1219*INDEX(Mix_Eff,MATCH($C1219,Mix_Code,0),5),""))</f>
        <v/>
      </c>
      <c r="K1219" s="63"/>
      <c r="L1219" s="16" t="str">
        <f aca="false">IF(AND($A1219="",$B1219="",$C1219="",$D1219=""),"",IF($A1219="","⚠ Date missing",IF($B1219="","⚠ Site missing",IF(ISNA(MATCH($C1219,Mix_Code,0)),"⚠ Unknown mix code",IF($D1219="","⚠ Enter m3 produced",IF(COUNTIF(CI_Site,$B1219)=0,"⚠ Site not set up in Current Inventory",IF($A1219&gt;AsOfDate,"Future date – not yet deducted","OK")))))))</f>
        <v/>
      </c>
    </row>
    <row r="1220" customFormat="false" ht="15" hidden="false" customHeight="false" outlineLevel="0" collapsed="false">
      <c r="A1220" s="65"/>
      <c r="B1220" s="63"/>
      <c r="C1220" s="70"/>
      <c r="D1220" s="66"/>
      <c r="E1220" s="16" t="str">
        <f aca="false">IF($C1220="","",IFERROR(INDEX(Mix_Desc,MATCH($C1220,Mix_Code,0)),"⚠ Unknown mix code"))</f>
        <v/>
      </c>
      <c r="F1220" s="67" t="str">
        <f aca="false">IF(OR($C1220="",$D1220=""),"",IFERROR($D1220*INDEX(Mix_Eff,MATCH($C1220,Mix_Code,0),1),""))</f>
        <v/>
      </c>
      <c r="G1220" s="67" t="str">
        <f aca="false">IF(OR($C1220="",$D1220=""),"",IFERROR($D1220*INDEX(Mix_Eff,MATCH($C1220,Mix_Code,0),2),""))</f>
        <v/>
      </c>
      <c r="H1220" s="67" t="str">
        <f aca="false">IF(OR($C1220="",$D1220=""),"",IFERROR($D1220*INDEX(Mix_Eff,MATCH($C1220,Mix_Code,0),3),""))</f>
        <v/>
      </c>
      <c r="I1220" s="67" t="str">
        <f aca="false">IF(OR($C1220="",$D1220=""),"",IFERROR($D1220*INDEX(Mix_Eff,MATCH($C1220,Mix_Code,0),4),""))</f>
        <v/>
      </c>
      <c r="J1220" s="67" t="str">
        <f aca="false">IF(OR($C1220="",$D1220=""),"",IFERROR($D1220*INDEX(Mix_Eff,MATCH($C1220,Mix_Code,0),5),""))</f>
        <v/>
      </c>
      <c r="K1220" s="63"/>
      <c r="L1220" s="16" t="str">
        <f aca="false">IF(AND($A1220="",$B1220="",$C1220="",$D1220=""),"",IF($A1220="","⚠ Date missing",IF($B1220="","⚠ Site missing",IF(ISNA(MATCH($C1220,Mix_Code,0)),"⚠ Unknown mix code",IF($D1220="","⚠ Enter m3 produced",IF(COUNTIF(CI_Site,$B1220)=0,"⚠ Site not set up in Current Inventory",IF($A1220&gt;AsOfDate,"Future date – not yet deducted","OK")))))))</f>
        <v/>
      </c>
    </row>
    <row r="1221" customFormat="false" ht="15" hidden="false" customHeight="false" outlineLevel="0" collapsed="false">
      <c r="A1221" s="65"/>
      <c r="B1221" s="63"/>
      <c r="C1221" s="70"/>
      <c r="D1221" s="66"/>
      <c r="E1221" s="16" t="str">
        <f aca="false">IF($C1221="","",IFERROR(INDEX(Mix_Desc,MATCH($C1221,Mix_Code,0)),"⚠ Unknown mix code"))</f>
        <v/>
      </c>
      <c r="F1221" s="67" t="str">
        <f aca="false">IF(OR($C1221="",$D1221=""),"",IFERROR($D1221*INDEX(Mix_Eff,MATCH($C1221,Mix_Code,0),1),""))</f>
        <v/>
      </c>
      <c r="G1221" s="67" t="str">
        <f aca="false">IF(OR($C1221="",$D1221=""),"",IFERROR($D1221*INDEX(Mix_Eff,MATCH($C1221,Mix_Code,0),2),""))</f>
        <v/>
      </c>
      <c r="H1221" s="67" t="str">
        <f aca="false">IF(OR($C1221="",$D1221=""),"",IFERROR($D1221*INDEX(Mix_Eff,MATCH($C1221,Mix_Code,0),3),""))</f>
        <v/>
      </c>
      <c r="I1221" s="67" t="str">
        <f aca="false">IF(OR($C1221="",$D1221=""),"",IFERROR($D1221*INDEX(Mix_Eff,MATCH($C1221,Mix_Code,0),4),""))</f>
        <v/>
      </c>
      <c r="J1221" s="67" t="str">
        <f aca="false">IF(OR($C1221="",$D1221=""),"",IFERROR($D1221*INDEX(Mix_Eff,MATCH($C1221,Mix_Code,0),5),""))</f>
        <v/>
      </c>
      <c r="K1221" s="63"/>
      <c r="L1221" s="16" t="str">
        <f aca="false">IF(AND($A1221="",$B1221="",$C1221="",$D1221=""),"",IF($A1221="","⚠ Date missing",IF($B1221="","⚠ Site missing",IF(ISNA(MATCH($C1221,Mix_Code,0)),"⚠ Unknown mix code",IF($D1221="","⚠ Enter m3 produced",IF(COUNTIF(CI_Site,$B1221)=0,"⚠ Site not set up in Current Inventory",IF($A1221&gt;AsOfDate,"Future date – not yet deducted","OK")))))))</f>
        <v/>
      </c>
    </row>
    <row r="1222" customFormat="false" ht="15" hidden="false" customHeight="false" outlineLevel="0" collapsed="false">
      <c r="A1222" s="65"/>
      <c r="B1222" s="63"/>
      <c r="C1222" s="70"/>
      <c r="D1222" s="66"/>
      <c r="E1222" s="16" t="str">
        <f aca="false">IF($C1222="","",IFERROR(INDEX(Mix_Desc,MATCH($C1222,Mix_Code,0)),"⚠ Unknown mix code"))</f>
        <v/>
      </c>
      <c r="F1222" s="67" t="str">
        <f aca="false">IF(OR($C1222="",$D1222=""),"",IFERROR($D1222*INDEX(Mix_Eff,MATCH($C1222,Mix_Code,0),1),""))</f>
        <v/>
      </c>
      <c r="G1222" s="67" t="str">
        <f aca="false">IF(OR($C1222="",$D1222=""),"",IFERROR($D1222*INDEX(Mix_Eff,MATCH($C1222,Mix_Code,0),2),""))</f>
        <v/>
      </c>
      <c r="H1222" s="67" t="str">
        <f aca="false">IF(OR($C1222="",$D1222=""),"",IFERROR($D1222*INDEX(Mix_Eff,MATCH($C1222,Mix_Code,0),3),""))</f>
        <v/>
      </c>
      <c r="I1222" s="67" t="str">
        <f aca="false">IF(OR($C1222="",$D1222=""),"",IFERROR($D1222*INDEX(Mix_Eff,MATCH($C1222,Mix_Code,0),4),""))</f>
        <v/>
      </c>
      <c r="J1222" s="67" t="str">
        <f aca="false">IF(OR($C1222="",$D1222=""),"",IFERROR($D1222*INDEX(Mix_Eff,MATCH($C1222,Mix_Code,0),5),""))</f>
        <v/>
      </c>
      <c r="K1222" s="63"/>
      <c r="L1222" s="16" t="str">
        <f aca="false">IF(AND($A1222="",$B1222="",$C1222="",$D1222=""),"",IF($A1222="","⚠ Date missing",IF($B1222="","⚠ Site missing",IF(ISNA(MATCH($C1222,Mix_Code,0)),"⚠ Unknown mix code",IF($D1222="","⚠ Enter m3 produced",IF(COUNTIF(CI_Site,$B1222)=0,"⚠ Site not set up in Current Inventory",IF($A1222&gt;AsOfDate,"Future date – not yet deducted","OK")))))))</f>
        <v/>
      </c>
    </row>
    <row r="1223" customFormat="false" ht="15" hidden="false" customHeight="false" outlineLevel="0" collapsed="false">
      <c r="A1223" s="65"/>
      <c r="B1223" s="63"/>
      <c r="C1223" s="70"/>
      <c r="D1223" s="66"/>
      <c r="E1223" s="16" t="str">
        <f aca="false">IF($C1223="","",IFERROR(INDEX(Mix_Desc,MATCH($C1223,Mix_Code,0)),"⚠ Unknown mix code"))</f>
        <v/>
      </c>
      <c r="F1223" s="67" t="str">
        <f aca="false">IF(OR($C1223="",$D1223=""),"",IFERROR($D1223*INDEX(Mix_Eff,MATCH($C1223,Mix_Code,0),1),""))</f>
        <v/>
      </c>
      <c r="G1223" s="67" t="str">
        <f aca="false">IF(OR($C1223="",$D1223=""),"",IFERROR($D1223*INDEX(Mix_Eff,MATCH($C1223,Mix_Code,0),2),""))</f>
        <v/>
      </c>
      <c r="H1223" s="67" t="str">
        <f aca="false">IF(OR($C1223="",$D1223=""),"",IFERROR($D1223*INDEX(Mix_Eff,MATCH($C1223,Mix_Code,0),3),""))</f>
        <v/>
      </c>
      <c r="I1223" s="67" t="str">
        <f aca="false">IF(OR($C1223="",$D1223=""),"",IFERROR($D1223*INDEX(Mix_Eff,MATCH($C1223,Mix_Code,0),4),""))</f>
        <v/>
      </c>
      <c r="J1223" s="67" t="str">
        <f aca="false">IF(OR($C1223="",$D1223=""),"",IFERROR($D1223*INDEX(Mix_Eff,MATCH($C1223,Mix_Code,0),5),""))</f>
        <v/>
      </c>
      <c r="K1223" s="63"/>
      <c r="L1223" s="16" t="str">
        <f aca="false">IF(AND($A1223="",$B1223="",$C1223="",$D1223=""),"",IF($A1223="","⚠ Date missing",IF($B1223="","⚠ Site missing",IF(ISNA(MATCH($C1223,Mix_Code,0)),"⚠ Unknown mix code",IF($D1223="","⚠ Enter m3 produced",IF(COUNTIF(CI_Site,$B1223)=0,"⚠ Site not set up in Current Inventory",IF($A1223&gt;AsOfDate,"Future date – not yet deducted","OK")))))))</f>
        <v/>
      </c>
    </row>
    <row r="1224" customFormat="false" ht="15" hidden="false" customHeight="false" outlineLevel="0" collapsed="false">
      <c r="A1224" s="65"/>
      <c r="B1224" s="63"/>
      <c r="C1224" s="70"/>
      <c r="D1224" s="66"/>
      <c r="E1224" s="16" t="str">
        <f aca="false">IF($C1224="","",IFERROR(INDEX(Mix_Desc,MATCH($C1224,Mix_Code,0)),"⚠ Unknown mix code"))</f>
        <v/>
      </c>
      <c r="F1224" s="67" t="str">
        <f aca="false">IF(OR($C1224="",$D1224=""),"",IFERROR($D1224*INDEX(Mix_Eff,MATCH($C1224,Mix_Code,0),1),""))</f>
        <v/>
      </c>
      <c r="G1224" s="67" t="str">
        <f aca="false">IF(OR($C1224="",$D1224=""),"",IFERROR($D1224*INDEX(Mix_Eff,MATCH($C1224,Mix_Code,0),2),""))</f>
        <v/>
      </c>
      <c r="H1224" s="67" t="str">
        <f aca="false">IF(OR($C1224="",$D1224=""),"",IFERROR($D1224*INDEX(Mix_Eff,MATCH($C1224,Mix_Code,0),3),""))</f>
        <v/>
      </c>
      <c r="I1224" s="67" t="str">
        <f aca="false">IF(OR($C1224="",$D1224=""),"",IFERROR($D1224*INDEX(Mix_Eff,MATCH($C1224,Mix_Code,0),4),""))</f>
        <v/>
      </c>
      <c r="J1224" s="67" t="str">
        <f aca="false">IF(OR($C1224="",$D1224=""),"",IFERROR($D1224*INDEX(Mix_Eff,MATCH($C1224,Mix_Code,0),5),""))</f>
        <v/>
      </c>
      <c r="K1224" s="63"/>
      <c r="L1224" s="16" t="str">
        <f aca="false">IF(AND($A1224="",$B1224="",$C1224="",$D1224=""),"",IF($A1224="","⚠ Date missing",IF($B1224="","⚠ Site missing",IF(ISNA(MATCH($C1224,Mix_Code,0)),"⚠ Unknown mix code",IF($D1224="","⚠ Enter m3 produced",IF(COUNTIF(CI_Site,$B1224)=0,"⚠ Site not set up in Current Inventory",IF($A1224&gt;AsOfDate,"Future date – not yet deducted","OK")))))))</f>
        <v/>
      </c>
    </row>
    <row r="1225" customFormat="false" ht="15" hidden="false" customHeight="false" outlineLevel="0" collapsed="false">
      <c r="A1225" s="65"/>
      <c r="B1225" s="63"/>
      <c r="C1225" s="70"/>
      <c r="D1225" s="66"/>
      <c r="E1225" s="16" t="str">
        <f aca="false">IF($C1225="","",IFERROR(INDEX(Mix_Desc,MATCH($C1225,Mix_Code,0)),"⚠ Unknown mix code"))</f>
        <v/>
      </c>
      <c r="F1225" s="67" t="str">
        <f aca="false">IF(OR($C1225="",$D1225=""),"",IFERROR($D1225*INDEX(Mix_Eff,MATCH($C1225,Mix_Code,0),1),""))</f>
        <v/>
      </c>
      <c r="G1225" s="67" t="str">
        <f aca="false">IF(OR($C1225="",$D1225=""),"",IFERROR($D1225*INDEX(Mix_Eff,MATCH($C1225,Mix_Code,0),2),""))</f>
        <v/>
      </c>
      <c r="H1225" s="67" t="str">
        <f aca="false">IF(OR($C1225="",$D1225=""),"",IFERROR($D1225*INDEX(Mix_Eff,MATCH($C1225,Mix_Code,0),3),""))</f>
        <v/>
      </c>
      <c r="I1225" s="67" t="str">
        <f aca="false">IF(OR($C1225="",$D1225=""),"",IFERROR($D1225*INDEX(Mix_Eff,MATCH($C1225,Mix_Code,0),4),""))</f>
        <v/>
      </c>
      <c r="J1225" s="67" t="str">
        <f aca="false">IF(OR($C1225="",$D1225=""),"",IFERROR($D1225*INDEX(Mix_Eff,MATCH($C1225,Mix_Code,0),5),""))</f>
        <v/>
      </c>
      <c r="K1225" s="63"/>
      <c r="L1225" s="16" t="str">
        <f aca="false">IF(AND($A1225="",$B1225="",$C1225="",$D1225=""),"",IF($A1225="","⚠ Date missing",IF($B1225="","⚠ Site missing",IF(ISNA(MATCH($C1225,Mix_Code,0)),"⚠ Unknown mix code",IF($D1225="","⚠ Enter m3 produced",IF(COUNTIF(CI_Site,$B1225)=0,"⚠ Site not set up in Current Inventory",IF($A1225&gt;AsOfDate,"Future date – not yet deducted","OK")))))))</f>
        <v/>
      </c>
    </row>
    <row r="1226" customFormat="false" ht="15" hidden="false" customHeight="false" outlineLevel="0" collapsed="false">
      <c r="A1226" s="65"/>
      <c r="B1226" s="63"/>
      <c r="C1226" s="70"/>
      <c r="D1226" s="66"/>
      <c r="E1226" s="16" t="str">
        <f aca="false">IF($C1226="","",IFERROR(INDEX(Mix_Desc,MATCH($C1226,Mix_Code,0)),"⚠ Unknown mix code"))</f>
        <v/>
      </c>
      <c r="F1226" s="67" t="str">
        <f aca="false">IF(OR($C1226="",$D1226=""),"",IFERROR($D1226*INDEX(Mix_Eff,MATCH($C1226,Mix_Code,0),1),""))</f>
        <v/>
      </c>
      <c r="G1226" s="67" t="str">
        <f aca="false">IF(OR($C1226="",$D1226=""),"",IFERROR($D1226*INDEX(Mix_Eff,MATCH($C1226,Mix_Code,0),2),""))</f>
        <v/>
      </c>
      <c r="H1226" s="67" t="str">
        <f aca="false">IF(OR($C1226="",$D1226=""),"",IFERROR($D1226*INDEX(Mix_Eff,MATCH($C1226,Mix_Code,0),3),""))</f>
        <v/>
      </c>
      <c r="I1226" s="67" t="str">
        <f aca="false">IF(OR($C1226="",$D1226=""),"",IFERROR($D1226*INDEX(Mix_Eff,MATCH($C1226,Mix_Code,0),4),""))</f>
        <v/>
      </c>
      <c r="J1226" s="67" t="str">
        <f aca="false">IF(OR($C1226="",$D1226=""),"",IFERROR($D1226*INDEX(Mix_Eff,MATCH($C1226,Mix_Code,0),5),""))</f>
        <v/>
      </c>
      <c r="K1226" s="63"/>
      <c r="L1226" s="16" t="str">
        <f aca="false">IF(AND($A1226="",$B1226="",$C1226="",$D1226=""),"",IF($A1226="","⚠ Date missing",IF($B1226="","⚠ Site missing",IF(ISNA(MATCH($C1226,Mix_Code,0)),"⚠ Unknown mix code",IF($D1226="","⚠ Enter m3 produced",IF(COUNTIF(CI_Site,$B1226)=0,"⚠ Site not set up in Current Inventory",IF($A1226&gt;AsOfDate,"Future date – not yet deducted","OK")))))))</f>
        <v/>
      </c>
    </row>
    <row r="1227" customFormat="false" ht="15" hidden="false" customHeight="false" outlineLevel="0" collapsed="false">
      <c r="A1227" s="65"/>
      <c r="B1227" s="63"/>
      <c r="C1227" s="70"/>
      <c r="D1227" s="66"/>
      <c r="E1227" s="16" t="str">
        <f aca="false">IF($C1227="","",IFERROR(INDEX(Mix_Desc,MATCH($C1227,Mix_Code,0)),"⚠ Unknown mix code"))</f>
        <v/>
      </c>
      <c r="F1227" s="67" t="str">
        <f aca="false">IF(OR($C1227="",$D1227=""),"",IFERROR($D1227*INDEX(Mix_Eff,MATCH($C1227,Mix_Code,0),1),""))</f>
        <v/>
      </c>
      <c r="G1227" s="67" t="str">
        <f aca="false">IF(OR($C1227="",$D1227=""),"",IFERROR($D1227*INDEX(Mix_Eff,MATCH($C1227,Mix_Code,0),2),""))</f>
        <v/>
      </c>
      <c r="H1227" s="67" t="str">
        <f aca="false">IF(OR($C1227="",$D1227=""),"",IFERROR($D1227*INDEX(Mix_Eff,MATCH($C1227,Mix_Code,0),3),""))</f>
        <v/>
      </c>
      <c r="I1227" s="67" t="str">
        <f aca="false">IF(OR($C1227="",$D1227=""),"",IFERROR($D1227*INDEX(Mix_Eff,MATCH($C1227,Mix_Code,0),4),""))</f>
        <v/>
      </c>
      <c r="J1227" s="67" t="str">
        <f aca="false">IF(OR($C1227="",$D1227=""),"",IFERROR($D1227*INDEX(Mix_Eff,MATCH($C1227,Mix_Code,0),5),""))</f>
        <v/>
      </c>
      <c r="K1227" s="63"/>
      <c r="L1227" s="16" t="str">
        <f aca="false">IF(AND($A1227="",$B1227="",$C1227="",$D1227=""),"",IF($A1227="","⚠ Date missing",IF($B1227="","⚠ Site missing",IF(ISNA(MATCH($C1227,Mix_Code,0)),"⚠ Unknown mix code",IF($D1227="","⚠ Enter m3 produced",IF(COUNTIF(CI_Site,$B1227)=0,"⚠ Site not set up in Current Inventory",IF($A1227&gt;AsOfDate,"Future date – not yet deducted","OK")))))))</f>
        <v/>
      </c>
    </row>
    <row r="1228" customFormat="false" ht="15" hidden="false" customHeight="false" outlineLevel="0" collapsed="false">
      <c r="A1228" s="65"/>
      <c r="B1228" s="63"/>
      <c r="C1228" s="70"/>
      <c r="D1228" s="66"/>
      <c r="E1228" s="16" t="str">
        <f aca="false">IF($C1228="","",IFERROR(INDEX(Mix_Desc,MATCH($C1228,Mix_Code,0)),"⚠ Unknown mix code"))</f>
        <v/>
      </c>
      <c r="F1228" s="67" t="str">
        <f aca="false">IF(OR($C1228="",$D1228=""),"",IFERROR($D1228*INDEX(Mix_Eff,MATCH($C1228,Mix_Code,0),1),""))</f>
        <v/>
      </c>
      <c r="G1228" s="67" t="str">
        <f aca="false">IF(OR($C1228="",$D1228=""),"",IFERROR($D1228*INDEX(Mix_Eff,MATCH($C1228,Mix_Code,0),2),""))</f>
        <v/>
      </c>
      <c r="H1228" s="67" t="str">
        <f aca="false">IF(OR($C1228="",$D1228=""),"",IFERROR($D1228*INDEX(Mix_Eff,MATCH($C1228,Mix_Code,0),3),""))</f>
        <v/>
      </c>
      <c r="I1228" s="67" t="str">
        <f aca="false">IF(OR($C1228="",$D1228=""),"",IFERROR($D1228*INDEX(Mix_Eff,MATCH($C1228,Mix_Code,0),4),""))</f>
        <v/>
      </c>
      <c r="J1228" s="67" t="str">
        <f aca="false">IF(OR($C1228="",$D1228=""),"",IFERROR($D1228*INDEX(Mix_Eff,MATCH($C1228,Mix_Code,0),5),""))</f>
        <v/>
      </c>
      <c r="K1228" s="63"/>
      <c r="L1228" s="16" t="str">
        <f aca="false">IF(AND($A1228="",$B1228="",$C1228="",$D1228=""),"",IF($A1228="","⚠ Date missing",IF($B1228="","⚠ Site missing",IF(ISNA(MATCH($C1228,Mix_Code,0)),"⚠ Unknown mix code",IF($D1228="","⚠ Enter m3 produced",IF(COUNTIF(CI_Site,$B1228)=0,"⚠ Site not set up in Current Inventory",IF($A1228&gt;AsOfDate,"Future date – not yet deducted","OK")))))))</f>
        <v/>
      </c>
    </row>
    <row r="1229" customFormat="false" ht="15" hidden="false" customHeight="false" outlineLevel="0" collapsed="false">
      <c r="A1229" s="65"/>
      <c r="B1229" s="63"/>
      <c r="C1229" s="70"/>
      <c r="D1229" s="66"/>
      <c r="E1229" s="16" t="str">
        <f aca="false">IF($C1229="","",IFERROR(INDEX(Mix_Desc,MATCH($C1229,Mix_Code,0)),"⚠ Unknown mix code"))</f>
        <v/>
      </c>
      <c r="F1229" s="67" t="str">
        <f aca="false">IF(OR($C1229="",$D1229=""),"",IFERROR($D1229*INDEX(Mix_Eff,MATCH($C1229,Mix_Code,0),1),""))</f>
        <v/>
      </c>
      <c r="G1229" s="67" t="str">
        <f aca="false">IF(OR($C1229="",$D1229=""),"",IFERROR($D1229*INDEX(Mix_Eff,MATCH($C1229,Mix_Code,0),2),""))</f>
        <v/>
      </c>
      <c r="H1229" s="67" t="str">
        <f aca="false">IF(OR($C1229="",$D1229=""),"",IFERROR($D1229*INDEX(Mix_Eff,MATCH($C1229,Mix_Code,0),3),""))</f>
        <v/>
      </c>
      <c r="I1229" s="67" t="str">
        <f aca="false">IF(OR($C1229="",$D1229=""),"",IFERROR($D1229*INDEX(Mix_Eff,MATCH($C1229,Mix_Code,0),4),""))</f>
        <v/>
      </c>
      <c r="J1229" s="67" t="str">
        <f aca="false">IF(OR($C1229="",$D1229=""),"",IFERROR($D1229*INDEX(Mix_Eff,MATCH($C1229,Mix_Code,0),5),""))</f>
        <v/>
      </c>
      <c r="K1229" s="63"/>
      <c r="L1229" s="16" t="str">
        <f aca="false">IF(AND($A1229="",$B1229="",$C1229="",$D1229=""),"",IF($A1229="","⚠ Date missing",IF($B1229="","⚠ Site missing",IF(ISNA(MATCH($C1229,Mix_Code,0)),"⚠ Unknown mix code",IF($D1229="","⚠ Enter m3 produced",IF(COUNTIF(CI_Site,$B1229)=0,"⚠ Site not set up in Current Inventory",IF($A1229&gt;AsOfDate,"Future date – not yet deducted","OK")))))))</f>
        <v/>
      </c>
    </row>
    <row r="1230" customFormat="false" ht="15" hidden="false" customHeight="false" outlineLevel="0" collapsed="false">
      <c r="A1230" s="65"/>
      <c r="B1230" s="63"/>
      <c r="C1230" s="70"/>
      <c r="D1230" s="66"/>
      <c r="E1230" s="16" t="str">
        <f aca="false">IF($C1230="","",IFERROR(INDEX(Mix_Desc,MATCH($C1230,Mix_Code,0)),"⚠ Unknown mix code"))</f>
        <v/>
      </c>
      <c r="F1230" s="67" t="str">
        <f aca="false">IF(OR($C1230="",$D1230=""),"",IFERROR($D1230*INDEX(Mix_Eff,MATCH($C1230,Mix_Code,0),1),""))</f>
        <v/>
      </c>
      <c r="G1230" s="67" t="str">
        <f aca="false">IF(OR($C1230="",$D1230=""),"",IFERROR($D1230*INDEX(Mix_Eff,MATCH($C1230,Mix_Code,0),2),""))</f>
        <v/>
      </c>
      <c r="H1230" s="67" t="str">
        <f aca="false">IF(OR($C1230="",$D1230=""),"",IFERROR($D1230*INDEX(Mix_Eff,MATCH($C1230,Mix_Code,0),3),""))</f>
        <v/>
      </c>
      <c r="I1230" s="67" t="str">
        <f aca="false">IF(OR($C1230="",$D1230=""),"",IFERROR($D1230*INDEX(Mix_Eff,MATCH($C1230,Mix_Code,0),4),""))</f>
        <v/>
      </c>
      <c r="J1230" s="67" t="str">
        <f aca="false">IF(OR($C1230="",$D1230=""),"",IFERROR($D1230*INDEX(Mix_Eff,MATCH($C1230,Mix_Code,0),5),""))</f>
        <v/>
      </c>
      <c r="K1230" s="63"/>
      <c r="L1230" s="16" t="str">
        <f aca="false">IF(AND($A1230="",$B1230="",$C1230="",$D1230=""),"",IF($A1230="","⚠ Date missing",IF($B1230="","⚠ Site missing",IF(ISNA(MATCH($C1230,Mix_Code,0)),"⚠ Unknown mix code",IF($D1230="","⚠ Enter m3 produced",IF(COUNTIF(CI_Site,$B1230)=0,"⚠ Site not set up in Current Inventory",IF($A1230&gt;AsOfDate,"Future date – not yet deducted","OK")))))))</f>
        <v/>
      </c>
    </row>
    <row r="1231" customFormat="false" ht="15" hidden="false" customHeight="false" outlineLevel="0" collapsed="false">
      <c r="A1231" s="65"/>
      <c r="B1231" s="63"/>
      <c r="C1231" s="70"/>
      <c r="D1231" s="66"/>
      <c r="E1231" s="16" t="str">
        <f aca="false">IF($C1231="","",IFERROR(INDEX(Mix_Desc,MATCH($C1231,Mix_Code,0)),"⚠ Unknown mix code"))</f>
        <v/>
      </c>
      <c r="F1231" s="67" t="str">
        <f aca="false">IF(OR($C1231="",$D1231=""),"",IFERROR($D1231*INDEX(Mix_Eff,MATCH($C1231,Mix_Code,0),1),""))</f>
        <v/>
      </c>
      <c r="G1231" s="67" t="str">
        <f aca="false">IF(OR($C1231="",$D1231=""),"",IFERROR($D1231*INDEX(Mix_Eff,MATCH($C1231,Mix_Code,0),2),""))</f>
        <v/>
      </c>
      <c r="H1231" s="67" t="str">
        <f aca="false">IF(OR($C1231="",$D1231=""),"",IFERROR($D1231*INDEX(Mix_Eff,MATCH($C1231,Mix_Code,0),3),""))</f>
        <v/>
      </c>
      <c r="I1231" s="67" t="str">
        <f aca="false">IF(OR($C1231="",$D1231=""),"",IFERROR($D1231*INDEX(Mix_Eff,MATCH($C1231,Mix_Code,0),4),""))</f>
        <v/>
      </c>
      <c r="J1231" s="67" t="str">
        <f aca="false">IF(OR($C1231="",$D1231=""),"",IFERROR($D1231*INDEX(Mix_Eff,MATCH($C1231,Mix_Code,0),5),""))</f>
        <v/>
      </c>
      <c r="K1231" s="63"/>
      <c r="L1231" s="16" t="str">
        <f aca="false">IF(AND($A1231="",$B1231="",$C1231="",$D1231=""),"",IF($A1231="","⚠ Date missing",IF($B1231="","⚠ Site missing",IF(ISNA(MATCH($C1231,Mix_Code,0)),"⚠ Unknown mix code",IF($D1231="","⚠ Enter m3 produced",IF(COUNTIF(CI_Site,$B1231)=0,"⚠ Site not set up in Current Inventory",IF($A1231&gt;AsOfDate,"Future date – not yet deducted","OK")))))))</f>
        <v/>
      </c>
    </row>
    <row r="1232" customFormat="false" ht="15" hidden="false" customHeight="false" outlineLevel="0" collapsed="false">
      <c r="A1232" s="65"/>
      <c r="B1232" s="63"/>
      <c r="C1232" s="70"/>
      <c r="D1232" s="66"/>
      <c r="E1232" s="16" t="str">
        <f aca="false">IF($C1232="","",IFERROR(INDEX(Mix_Desc,MATCH($C1232,Mix_Code,0)),"⚠ Unknown mix code"))</f>
        <v/>
      </c>
      <c r="F1232" s="67" t="str">
        <f aca="false">IF(OR($C1232="",$D1232=""),"",IFERROR($D1232*INDEX(Mix_Eff,MATCH($C1232,Mix_Code,0),1),""))</f>
        <v/>
      </c>
      <c r="G1232" s="67" t="str">
        <f aca="false">IF(OR($C1232="",$D1232=""),"",IFERROR($D1232*INDEX(Mix_Eff,MATCH($C1232,Mix_Code,0),2),""))</f>
        <v/>
      </c>
      <c r="H1232" s="67" t="str">
        <f aca="false">IF(OR($C1232="",$D1232=""),"",IFERROR($D1232*INDEX(Mix_Eff,MATCH($C1232,Mix_Code,0),3),""))</f>
        <v/>
      </c>
      <c r="I1232" s="67" t="str">
        <f aca="false">IF(OR($C1232="",$D1232=""),"",IFERROR($D1232*INDEX(Mix_Eff,MATCH($C1232,Mix_Code,0),4),""))</f>
        <v/>
      </c>
      <c r="J1232" s="67" t="str">
        <f aca="false">IF(OR($C1232="",$D1232=""),"",IFERROR($D1232*INDEX(Mix_Eff,MATCH($C1232,Mix_Code,0),5),""))</f>
        <v/>
      </c>
      <c r="K1232" s="63"/>
      <c r="L1232" s="16" t="str">
        <f aca="false">IF(AND($A1232="",$B1232="",$C1232="",$D1232=""),"",IF($A1232="","⚠ Date missing",IF($B1232="","⚠ Site missing",IF(ISNA(MATCH($C1232,Mix_Code,0)),"⚠ Unknown mix code",IF($D1232="","⚠ Enter m3 produced",IF(COUNTIF(CI_Site,$B1232)=0,"⚠ Site not set up in Current Inventory",IF($A1232&gt;AsOfDate,"Future date – not yet deducted","OK")))))))</f>
        <v/>
      </c>
    </row>
    <row r="1233" customFormat="false" ht="15" hidden="false" customHeight="false" outlineLevel="0" collapsed="false">
      <c r="A1233" s="65"/>
      <c r="B1233" s="63"/>
      <c r="C1233" s="70"/>
      <c r="D1233" s="66"/>
      <c r="E1233" s="16" t="str">
        <f aca="false">IF($C1233="","",IFERROR(INDEX(Mix_Desc,MATCH($C1233,Mix_Code,0)),"⚠ Unknown mix code"))</f>
        <v/>
      </c>
      <c r="F1233" s="67" t="str">
        <f aca="false">IF(OR($C1233="",$D1233=""),"",IFERROR($D1233*INDEX(Mix_Eff,MATCH($C1233,Mix_Code,0),1),""))</f>
        <v/>
      </c>
      <c r="G1233" s="67" t="str">
        <f aca="false">IF(OR($C1233="",$D1233=""),"",IFERROR($D1233*INDEX(Mix_Eff,MATCH($C1233,Mix_Code,0),2),""))</f>
        <v/>
      </c>
      <c r="H1233" s="67" t="str">
        <f aca="false">IF(OR($C1233="",$D1233=""),"",IFERROR($D1233*INDEX(Mix_Eff,MATCH($C1233,Mix_Code,0),3),""))</f>
        <v/>
      </c>
      <c r="I1233" s="67" t="str">
        <f aca="false">IF(OR($C1233="",$D1233=""),"",IFERROR($D1233*INDEX(Mix_Eff,MATCH($C1233,Mix_Code,0),4),""))</f>
        <v/>
      </c>
      <c r="J1233" s="67" t="str">
        <f aca="false">IF(OR($C1233="",$D1233=""),"",IFERROR($D1233*INDEX(Mix_Eff,MATCH($C1233,Mix_Code,0),5),""))</f>
        <v/>
      </c>
      <c r="K1233" s="63"/>
      <c r="L1233" s="16" t="str">
        <f aca="false">IF(AND($A1233="",$B1233="",$C1233="",$D1233=""),"",IF($A1233="","⚠ Date missing",IF($B1233="","⚠ Site missing",IF(ISNA(MATCH($C1233,Mix_Code,0)),"⚠ Unknown mix code",IF($D1233="","⚠ Enter m3 produced",IF(COUNTIF(CI_Site,$B1233)=0,"⚠ Site not set up in Current Inventory",IF($A1233&gt;AsOfDate,"Future date – not yet deducted","OK")))))))</f>
        <v/>
      </c>
    </row>
    <row r="1234" customFormat="false" ht="15" hidden="false" customHeight="false" outlineLevel="0" collapsed="false">
      <c r="A1234" s="65"/>
      <c r="B1234" s="63"/>
      <c r="C1234" s="70"/>
      <c r="D1234" s="66"/>
      <c r="E1234" s="16" t="str">
        <f aca="false">IF($C1234="","",IFERROR(INDEX(Mix_Desc,MATCH($C1234,Mix_Code,0)),"⚠ Unknown mix code"))</f>
        <v/>
      </c>
      <c r="F1234" s="67" t="str">
        <f aca="false">IF(OR($C1234="",$D1234=""),"",IFERROR($D1234*INDEX(Mix_Eff,MATCH($C1234,Mix_Code,0),1),""))</f>
        <v/>
      </c>
      <c r="G1234" s="67" t="str">
        <f aca="false">IF(OR($C1234="",$D1234=""),"",IFERROR($D1234*INDEX(Mix_Eff,MATCH($C1234,Mix_Code,0),2),""))</f>
        <v/>
      </c>
      <c r="H1234" s="67" t="str">
        <f aca="false">IF(OR($C1234="",$D1234=""),"",IFERROR($D1234*INDEX(Mix_Eff,MATCH($C1234,Mix_Code,0),3),""))</f>
        <v/>
      </c>
      <c r="I1234" s="67" t="str">
        <f aca="false">IF(OR($C1234="",$D1234=""),"",IFERROR($D1234*INDEX(Mix_Eff,MATCH($C1234,Mix_Code,0),4),""))</f>
        <v/>
      </c>
      <c r="J1234" s="67" t="str">
        <f aca="false">IF(OR($C1234="",$D1234=""),"",IFERROR($D1234*INDEX(Mix_Eff,MATCH($C1234,Mix_Code,0),5),""))</f>
        <v/>
      </c>
      <c r="K1234" s="63"/>
      <c r="L1234" s="16" t="str">
        <f aca="false">IF(AND($A1234="",$B1234="",$C1234="",$D1234=""),"",IF($A1234="","⚠ Date missing",IF($B1234="","⚠ Site missing",IF(ISNA(MATCH($C1234,Mix_Code,0)),"⚠ Unknown mix code",IF($D1234="","⚠ Enter m3 produced",IF(COUNTIF(CI_Site,$B1234)=0,"⚠ Site not set up in Current Inventory",IF($A1234&gt;AsOfDate,"Future date – not yet deducted","OK")))))))</f>
        <v/>
      </c>
    </row>
    <row r="1235" customFormat="false" ht="15" hidden="false" customHeight="false" outlineLevel="0" collapsed="false">
      <c r="A1235" s="65"/>
      <c r="B1235" s="63"/>
      <c r="C1235" s="70"/>
      <c r="D1235" s="66"/>
      <c r="E1235" s="16" t="str">
        <f aca="false">IF($C1235="","",IFERROR(INDEX(Mix_Desc,MATCH($C1235,Mix_Code,0)),"⚠ Unknown mix code"))</f>
        <v/>
      </c>
      <c r="F1235" s="67" t="str">
        <f aca="false">IF(OR($C1235="",$D1235=""),"",IFERROR($D1235*INDEX(Mix_Eff,MATCH($C1235,Mix_Code,0),1),""))</f>
        <v/>
      </c>
      <c r="G1235" s="67" t="str">
        <f aca="false">IF(OR($C1235="",$D1235=""),"",IFERROR($D1235*INDEX(Mix_Eff,MATCH($C1235,Mix_Code,0),2),""))</f>
        <v/>
      </c>
      <c r="H1235" s="67" t="str">
        <f aca="false">IF(OR($C1235="",$D1235=""),"",IFERROR($D1235*INDEX(Mix_Eff,MATCH($C1235,Mix_Code,0),3),""))</f>
        <v/>
      </c>
      <c r="I1235" s="67" t="str">
        <f aca="false">IF(OR($C1235="",$D1235=""),"",IFERROR($D1235*INDEX(Mix_Eff,MATCH($C1235,Mix_Code,0),4),""))</f>
        <v/>
      </c>
      <c r="J1235" s="67" t="str">
        <f aca="false">IF(OR($C1235="",$D1235=""),"",IFERROR($D1235*INDEX(Mix_Eff,MATCH($C1235,Mix_Code,0),5),""))</f>
        <v/>
      </c>
      <c r="K1235" s="63"/>
      <c r="L1235" s="16" t="str">
        <f aca="false">IF(AND($A1235="",$B1235="",$C1235="",$D1235=""),"",IF($A1235="","⚠ Date missing",IF($B1235="","⚠ Site missing",IF(ISNA(MATCH($C1235,Mix_Code,0)),"⚠ Unknown mix code",IF($D1235="","⚠ Enter m3 produced",IF(COUNTIF(CI_Site,$B1235)=0,"⚠ Site not set up in Current Inventory",IF($A1235&gt;AsOfDate,"Future date – not yet deducted","OK")))))))</f>
        <v/>
      </c>
    </row>
    <row r="1236" customFormat="false" ht="15" hidden="false" customHeight="false" outlineLevel="0" collapsed="false">
      <c r="A1236" s="65"/>
      <c r="B1236" s="63"/>
      <c r="C1236" s="70"/>
      <c r="D1236" s="66"/>
      <c r="E1236" s="16" t="str">
        <f aca="false">IF($C1236="","",IFERROR(INDEX(Mix_Desc,MATCH($C1236,Mix_Code,0)),"⚠ Unknown mix code"))</f>
        <v/>
      </c>
      <c r="F1236" s="67" t="str">
        <f aca="false">IF(OR($C1236="",$D1236=""),"",IFERROR($D1236*INDEX(Mix_Eff,MATCH($C1236,Mix_Code,0),1),""))</f>
        <v/>
      </c>
      <c r="G1236" s="67" t="str">
        <f aca="false">IF(OR($C1236="",$D1236=""),"",IFERROR($D1236*INDEX(Mix_Eff,MATCH($C1236,Mix_Code,0),2),""))</f>
        <v/>
      </c>
      <c r="H1236" s="67" t="str">
        <f aca="false">IF(OR($C1236="",$D1236=""),"",IFERROR($D1236*INDEX(Mix_Eff,MATCH($C1236,Mix_Code,0),3),""))</f>
        <v/>
      </c>
      <c r="I1236" s="67" t="str">
        <f aca="false">IF(OR($C1236="",$D1236=""),"",IFERROR($D1236*INDEX(Mix_Eff,MATCH($C1236,Mix_Code,0),4),""))</f>
        <v/>
      </c>
      <c r="J1236" s="67" t="str">
        <f aca="false">IF(OR($C1236="",$D1236=""),"",IFERROR($D1236*INDEX(Mix_Eff,MATCH($C1236,Mix_Code,0),5),""))</f>
        <v/>
      </c>
      <c r="K1236" s="63"/>
      <c r="L1236" s="16" t="str">
        <f aca="false">IF(AND($A1236="",$B1236="",$C1236="",$D1236=""),"",IF($A1236="","⚠ Date missing",IF($B1236="","⚠ Site missing",IF(ISNA(MATCH($C1236,Mix_Code,0)),"⚠ Unknown mix code",IF($D1236="","⚠ Enter m3 produced",IF(COUNTIF(CI_Site,$B1236)=0,"⚠ Site not set up in Current Inventory",IF($A1236&gt;AsOfDate,"Future date – not yet deducted","OK")))))))</f>
        <v/>
      </c>
    </row>
    <row r="1237" customFormat="false" ht="15" hidden="false" customHeight="false" outlineLevel="0" collapsed="false">
      <c r="A1237" s="65"/>
      <c r="B1237" s="63"/>
      <c r="C1237" s="70"/>
      <c r="D1237" s="66"/>
      <c r="E1237" s="16" t="str">
        <f aca="false">IF($C1237="","",IFERROR(INDEX(Mix_Desc,MATCH($C1237,Mix_Code,0)),"⚠ Unknown mix code"))</f>
        <v/>
      </c>
      <c r="F1237" s="67" t="str">
        <f aca="false">IF(OR($C1237="",$D1237=""),"",IFERROR($D1237*INDEX(Mix_Eff,MATCH($C1237,Mix_Code,0),1),""))</f>
        <v/>
      </c>
      <c r="G1237" s="67" t="str">
        <f aca="false">IF(OR($C1237="",$D1237=""),"",IFERROR($D1237*INDEX(Mix_Eff,MATCH($C1237,Mix_Code,0),2),""))</f>
        <v/>
      </c>
      <c r="H1237" s="67" t="str">
        <f aca="false">IF(OR($C1237="",$D1237=""),"",IFERROR($D1237*INDEX(Mix_Eff,MATCH($C1237,Mix_Code,0),3),""))</f>
        <v/>
      </c>
      <c r="I1237" s="67" t="str">
        <f aca="false">IF(OR($C1237="",$D1237=""),"",IFERROR($D1237*INDEX(Mix_Eff,MATCH($C1237,Mix_Code,0),4),""))</f>
        <v/>
      </c>
      <c r="J1237" s="67" t="str">
        <f aca="false">IF(OR($C1237="",$D1237=""),"",IFERROR($D1237*INDEX(Mix_Eff,MATCH($C1237,Mix_Code,0),5),""))</f>
        <v/>
      </c>
      <c r="K1237" s="63"/>
      <c r="L1237" s="16" t="str">
        <f aca="false">IF(AND($A1237="",$B1237="",$C1237="",$D1237=""),"",IF($A1237="","⚠ Date missing",IF($B1237="","⚠ Site missing",IF(ISNA(MATCH($C1237,Mix_Code,0)),"⚠ Unknown mix code",IF($D1237="","⚠ Enter m3 produced",IF(COUNTIF(CI_Site,$B1237)=0,"⚠ Site not set up in Current Inventory",IF($A1237&gt;AsOfDate,"Future date – not yet deducted","OK")))))))</f>
        <v/>
      </c>
    </row>
    <row r="1238" customFormat="false" ht="15" hidden="false" customHeight="false" outlineLevel="0" collapsed="false">
      <c r="A1238" s="65"/>
      <c r="B1238" s="63"/>
      <c r="C1238" s="70"/>
      <c r="D1238" s="66"/>
      <c r="E1238" s="16" t="str">
        <f aca="false">IF($C1238="","",IFERROR(INDEX(Mix_Desc,MATCH($C1238,Mix_Code,0)),"⚠ Unknown mix code"))</f>
        <v/>
      </c>
      <c r="F1238" s="67" t="str">
        <f aca="false">IF(OR($C1238="",$D1238=""),"",IFERROR($D1238*INDEX(Mix_Eff,MATCH($C1238,Mix_Code,0),1),""))</f>
        <v/>
      </c>
      <c r="G1238" s="67" t="str">
        <f aca="false">IF(OR($C1238="",$D1238=""),"",IFERROR($D1238*INDEX(Mix_Eff,MATCH($C1238,Mix_Code,0),2),""))</f>
        <v/>
      </c>
      <c r="H1238" s="67" t="str">
        <f aca="false">IF(OR($C1238="",$D1238=""),"",IFERROR($D1238*INDEX(Mix_Eff,MATCH($C1238,Mix_Code,0),3),""))</f>
        <v/>
      </c>
      <c r="I1238" s="67" t="str">
        <f aca="false">IF(OR($C1238="",$D1238=""),"",IFERROR($D1238*INDEX(Mix_Eff,MATCH($C1238,Mix_Code,0),4),""))</f>
        <v/>
      </c>
      <c r="J1238" s="67" t="str">
        <f aca="false">IF(OR($C1238="",$D1238=""),"",IFERROR($D1238*INDEX(Mix_Eff,MATCH($C1238,Mix_Code,0),5),""))</f>
        <v/>
      </c>
      <c r="K1238" s="63"/>
      <c r="L1238" s="16" t="str">
        <f aca="false">IF(AND($A1238="",$B1238="",$C1238="",$D1238=""),"",IF($A1238="","⚠ Date missing",IF($B1238="","⚠ Site missing",IF(ISNA(MATCH($C1238,Mix_Code,0)),"⚠ Unknown mix code",IF($D1238="","⚠ Enter m3 produced",IF(COUNTIF(CI_Site,$B1238)=0,"⚠ Site not set up in Current Inventory",IF($A1238&gt;AsOfDate,"Future date – not yet deducted","OK")))))))</f>
        <v/>
      </c>
    </row>
    <row r="1239" customFormat="false" ht="15" hidden="false" customHeight="false" outlineLevel="0" collapsed="false">
      <c r="A1239" s="65"/>
      <c r="B1239" s="63"/>
      <c r="C1239" s="70"/>
      <c r="D1239" s="66"/>
      <c r="E1239" s="16" t="str">
        <f aca="false">IF($C1239="","",IFERROR(INDEX(Mix_Desc,MATCH($C1239,Mix_Code,0)),"⚠ Unknown mix code"))</f>
        <v/>
      </c>
      <c r="F1239" s="67" t="str">
        <f aca="false">IF(OR($C1239="",$D1239=""),"",IFERROR($D1239*INDEX(Mix_Eff,MATCH($C1239,Mix_Code,0),1),""))</f>
        <v/>
      </c>
      <c r="G1239" s="67" t="str">
        <f aca="false">IF(OR($C1239="",$D1239=""),"",IFERROR($D1239*INDEX(Mix_Eff,MATCH($C1239,Mix_Code,0),2),""))</f>
        <v/>
      </c>
      <c r="H1239" s="67" t="str">
        <f aca="false">IF(OR($C1239="",$D1239=""),"",IFERROR($D1239*INDEX(Mix_Eff,MATCH($C1239,Mix_Code,0),3),""))</f>
        <v/>
      </c>
      <c r="I1239" s="67" t="str">
        <f aca="false">IF(OR($C1239="",$D1239=""),"",IFERROR($D1239*INDEX(Mix_Eff,MATCH($C1239,Mix_Code,0),4),""))</f>
        <v/>
      </c>
      <c r="J1239" s="67" t="str">
        <f aca="false">IF(OR($C1239="",$D1239=""),"",IFERROR($D1239*INDEX(Mix_Eff,MATCH($C1239,Mix_Code,0),5),""))</f>
        <v/>
      </c>
      <c r="K1239" s="63"/>
      <c r="L1239" s="16" t="str">
        <f aca="false">IF(AND($A1239="",$B1239="",$C1239="",$D1239=""),"",IF($A1239="","⚠ Date missing",IF($B1239="","⚠ Site missing",IF(ISNA(MATCH($C1239,Mix_Code,0)),"⚠ Unknown mix code",IF($D1239="","⚠ Enter m3 produced",IF(COUNTIF(CI_Site,$B1239)=0,"⚠ Site not set up in Current Inventory",IF($A1239&gt;AsOfDate,"Future date – not yet deducted","OK")))))))</f>
        <v/>
      </c>
    </row>
    <row r="1240" customFormat="false" ht="15" hidden="false" customHeight="false" outlineLevel="0" collapsed="false">
      <c r="A1240" s="65"/>
      <c r="B1240" s="63"/>
      <c r="C1240" s="70"/>
      <c r="D1240" s="66"/>
      <c r="E1240" s="16" t="str">
        <f aca="false">IF($C1240="","",IFERROR(INDEX(Mix_Desc,MATCH($C1240,Mix_Code,0)),"⚠ Unknown mix code"))</f>
        <v/>
      </c>
      <c r="F1240" s="67" t="str">
        <f aca="false">IF(OR($C1240="",$D1240=""),"",IFERROR($D1240*INDEX(Mix_Eff,MATCH($C1240,Mix_Code,0),1),""))</f>
        <v/>
      </c>
      <c r="G1240" s="67" t="str">
        <f aca="false">IF(OR($C1240="",$D1240=""),"",IFERROR($D1240*INDEX(Mix_Eff,MATCH($C1240,Mix_Code,0),2),""))</f>
        <v/>
      </c>
      <c r="H1240" s="67" t="str">
        <f aca="false">IF(OR($C1240="",$D1240=""),"",IFERROR($D1240*INDEX(Mix_Eff,MATCH($C1240,Mix_Code,0),3),""))</f>
        <v/>
      </c>
      <c r="I1240" s="67" t="str">
        <f aca="false">IF(OR($C1240="",$D1240=""),"",IFERROR($D1240*INDEX(Mix_Eff,MATCH($C1240,Mix_Code,0),4),""))</f>
        <v/>
      </c>
      <c r="J1240" s="67" t="str">
        <f aca="false">IF(OR($C1240="",$D1240=""),"",IFERROR($D1240*INDEX(Mix_Eff,MATCH($C1240,Mix_Code,0),5),""))</f>
        <v/>
      </c>
      <c r="K1240" s="63"/>
      <c r="L1240" s="16" t="str">
        <f aca="false">IF(AND($A1240="",$B1240="",$C1240="",$D1240=""),"",IF($A1240="","⚠ Date missing",IF($B1240="","⚠ Site missing",IF(ISNA(MATCH($C1240,Mix_Code,0)),"⚠ Unknown mix code",IF($D1240="","⚠ Enter m3 produced",IF(COUNTIF(CI_Site,$B1240)=0,"⚠ Site not set up in Current Inventory",IF($A1240&gt;AsOfDate,"Future date – not yet deducted","OK")))))))</f>
        <v/>
      </c>
    </row>
    <row r="1241" customFormat="false" ht="15" hidden="false" customHeight="false" outlineLevel="0" collapsed="false">
      <c r="A1241" s="65"/>
      <c r="B1241" s="63"/>
      <c r="C1241" s="70"/>
      <c r="D1241" s="66"/>
      <c r="E1241" s="16" t="str">
        <f aca="false">IF($C1241="","",IFERROR(INDEX(Mix_Desc,MATCH($C1241,Mix_Code,0)),"⚠ Unknown mix code"))</f>
        <v/>
      </c>
      <c r="F1241" s="67" t="str">
        <f aca="false">IF(OR($C1241="",$D1241=""),"",IFERROR($D1241*INDEX(Mix_Eff,MATCH($C1241,Mix_Code,0),1),""))</f>
        <v/>
      </c>
      <c r="G1241" s="67" t="str">
        <f aca="false">IF(OR($C1241="",$D1241=""),"",IFERROR($D1241*INDEX(Mix_Eff,MATCH($C1241,Mix_Code,0),2),""))</f>
        <v/>
      </c>
      <c r="H1241" s="67" t="str">
        <f aca="false">IF(OR($C1241="",$D1241=""),"",IFERROR($D1241*INDEX(Mix_Eff,MATCH($C1241,Mix_Code,0),3),""))</f>
        <v/>
      </c>
      <c r="I1241" s="67" t="str">
        <f aca="false">IF(OR($C1241="",$D1241=""),"",IFERROR($D1241*INDEX(Mix_Eff,MATCH($C1241,Mix_Code,0),4),""))</f>
        <v/>
      </c>
      <c r="J1241" s="67" t="str">
        <f aca="false">IF(OR($C1241="",$D1241=""),"",IFERROR($D1241*INDEX(Mix_Eff,MATCH($C1241,Mix_Code,0),5),""))</f>
        <v/>
      </c>
      <c r="K1241" s="63"/>
      <c r="L1241" s="16" t="str">
        <f aca="false">IF(AND($A1241="",$B1241="",$C1241="",$D1241=""),"",IF($A1241="","⚠ Date missing",IF($B1241="","⚠ Site missing",IF(ISNA(MATCH($C1241,Mix_Code,0)),"⚠ Unknown mix code",IF($D1241="","⚠ Enter m3 produced",IF(COUNTIF(CI_Site,$B1241)=0,"⚠ Site not set up in Current Inventory",IF($A1241&gt;AsOfDate,"Future date – not yet deducted","OK")))))))</f>
        <v/>
      </c>
    </row>
    <row r="1242" customFormat="false" ht="15" hidden="false" customHeight="false" outlineLevel="0" collapsed="false">
      <c r="A1242" s="65"/>
      <c r="B1242" s="63"/>
      <c r="C1242" s="70"/>
      <c r="D1242" s="66"/>
      <c r="E1242" s="16" t="str">
        <f aca="false">IF($C1242="","",IFERROR(INDEX(Mix_Desc,MATCH($C1242,Mix_Code,0)),"⚠ Unknown mix code"))</f>
        <v/>
      </c>
      <c r="F1242" s="67" t="str">
        <f aca="false">IF(OR($C1242="",$D1242=""),"",IFERROR($D1242*INDEX(Mix_Eff,MATCH($C1242,Mix_Code,0),1),""))</f>
        <v/>
      </c>
      <c r="G1242" s="67" t="str">
        <f aca="false">IF(OR($C1242="",$D1242=""),"",IFERROR($D1242*INDEX(Mix_Eff,MATCH($C1242,Mix_Code,0),2),""))</f>
        <v/>
      </c>
      <c r="H1242" s="67" t="str">
        <f aca="false">IF(OR($C1242="",$D1242=""),"",IFERROR($D1242*INDEX(Mix_Eff,MATCH($C1242,Mix_Code,0),3),""))</f>
        <v/>
      </c>
      <c r="I1242" s="67" t="str">
        <f aca="false">IF(OR($C1242="",$D1242=""),"",IFERROR($D1242*INDEX(Mix_Eff,MATCH($C1242,Mix_Code,0),4),""))</f>
        <v/>
      </c>
      <c r="J1242" s="67" t="str">
        <f aca="false">IF(OR($C1242="",$D1242=""),"",IFERROR($D1242*INDEX(Mix_Eff,MATCH($C1242,Mix_Code,0),5),""))</f>
        <v/>
      </c>
      <c r="K1242" s="63"/>
      <c r="L1242" s="16" t="str">
        <f aca="false">IF(AND($A1242="",$B1242="",$C1242="",$D1242=""),"",IF($A1242="","⚠ Date missing",IF($B1242="","⚠ Site missing",IF(ISNA(MATCH($C1242,Mix_Code,0)),"⚠ Unknown mix code",IF($D1242="","⚠ Enter m3 produced",IF(COUNTIF(CI_Site,$B1242)=0,"⚠ Site not set up in Current Inventory",IF($A1242&gt;AsOfDate,"Future date – not yet deducted","OK")))))))</f>
        <v/>
      </c>
    </row>
    <row r="1243" customFormat="false" ht="15" hidden="false" customHeight="false" outlineLevel="0" collapsed="false">
      <c r="A1243" s="65"/>
      <c r="B1243" s="63"/>
      <c r="C1243" s="70"/>
      <c r="D1243" s="66"/>
      <c r="E1243" s="16" t="str">
        <f aca="false">IF($C1243="","",IFERROR(INDEX(Mix_Desc,MATCH($C1243,Mix_Code,0)),"⚠ Unknown mix code"))</f>
        <v/>
      </c>
      <c r="F1243" s="67" t="str">
        <f aca="false">IF(OR($C1243="",$D1243=""),"",IFERROR($D1243*INDEX(Mix_Eff,MATCH($C1243,Mix_Code,0),1),""))</f>
        <v/>
      </c>
      <c r="G1243" s="67" t="str">
        <f aca="false">IF(OR($C1243="",$D1243=""),"",IFERROR($D1243*INDEX(Mix_Eff,MATCH($C1243,Mix_Code,0),2),""))</f>
        <v/>
      </c>
      <c r="H1243" s="67" t="str">
        <f aca="false">IF(OR($C1243="",$D1243=""),"",IFERROR($D1243*INDEX(Mix_Eff,MATCH($C1243,Mix_Code,0),3),""))</f>
        <v/>
      </c>
      <c r="I1243" s="67" t="str">
        <f aca="false">IF(OR($C1243="",$D1243=""),"",IFERROR($D1243*INDEX(Mix_Eff,MATCH($C1243,Mix_Code,0),4),""))</f>
        <v/>
      </c>
      <c r="J1243" s="67" t="str">
        <f aca="false">IF(OR($C1243="",$D1243=""),"",IFERROR($D1243*INDEX(Mix_Eff,MATCH($C1243,Mix_Code,0),5),""))</f>
        <v/>
      </c>
      <c r="K1243" s="63"/>
      <c r="L1243" s="16" t="str">
        <f aca="false">IF(AND($A1243="",$B1243="",$C1243="",$D1243=""),"",IF($A1243="","⚠ Date missing",IF($B1243="","⚠ Site missing",IF(ISNA(MATCH($C1243,Mix_Code,0)),"⚠ Unknown mix code",IF($D1243="","⚠ Enter m3 produced",IF(COUNTIF(CI_Site,$B1243)=0,"⚠ Site not set up in Current Inventory",IF($A1243&gt;AsOfDate,"Future date – not yet deducted","OK")))))))</f>
        <v/>
      </c>
    </row>
    <row r="1244" customFormat="false" ht="15" hidden="false" customHeight="false" outlineLevel="0" collapsed="false">
      <c r="A1244" s="65"/>
      <c r="B1244" s="63"/>
      <c r="C1244" s="70"/>
      <c r="D1244" s="66"/>
      <c r="E1244" s="16" t="str">
        <f aca="false">IF($C1244="","",IFERROR(INDEX(Mix_Desc,MATCH($C1244,Mix_Code,0)),"⚠ Unknown mix code"))</f>
        <v/>
      </c>
      <c r="F1244" s="67" t="str">
        <f aca="false">IF(OR($C1244="",$D1244=""),"",IFERROR($D1244*INDEX(Mix_Eff,MATCH($C1244,Mix_Code,0),1),""))</f>
        <v/>
      </c>
      <c r="G1244" s="67" t="str">
        <f aca="false">IF(OR($C1244="",$D1244=""),"",IFERROR($D1244*INDEX(Mix_Eff,MATCH($C1244,Mix_Code,0),2),""))</f>
        <v/>
      </c>
      <c r="H1244" s="67" t="str">
        <f aca="false">IF(OR($C1244="",$D1244=""),"",IFERROR($D1244*INDEX(Mix_Eff,MATCH($C1244,Mix_Code,0),3),""))</f>
        <v/>
      </c>
      <c r="I1244" s="67" t="str">
        <f aca="false">IF(OR($C1244="",$D1244=""),"",IFERROR($D1244*INDEX(Mix_Eff,MATCH($C1244,Mix_Code,0),4),""))</f>
        <v/>
      </c>
      <c r="J1244" s="67" t="str">
        <f aca="false">IF(OR($C1244="",$D1244=""),"",IFERROR($D1244*INDEX(Mix_Eff,MATCH($C1244,Mix_Code,0),5),""))</f>
        <v/>
      </c>
      <c r="K1244" s="63"/>
      <c r="L1244" s="16" t="str">
        <f aca="false">IF(AND($A1244="",$B1244="",$C1244="",$D1244=""),"",IF($A1244="","⚠ Date missing",IF($B1244="","⚠ Site missing",IF(ISNA(MATCH($C1244,Mix_Code,0)),"⚠ Unknown mix code",IF($D1244="","⚠ Enter m3 produced",IF(COUNTIF(CI_Site,$B1244)=0,"⚠ Site not set up in Current Inventory",IF($A1244&gt;AsOfDate,"Future date – not yet deducted","OK")))))))</f>
        <v/>
      </c>
    </row>
    <row r="1245" customFormat="false" ht="15" hidden="false" customHeight="false" outlineLevel="0" collapsed="false">
      <c r="A1245" s="65"/>
      <c r="B1245" s="63"/>
      <c r="C1245" s="70"/>
      <c r="D1245" s="66"/>
      <c r="E1245" s="16" t="str">
        <f aca="false">IF($C1245="","",IFERROR(INDEX(Mix_Desc,MATCH($C1245,Mix_Code,0)),"⚠ Unknown mix code"))</f>
        <v/>
      </c>
      <c r="F1245" s="67" t="str">
        <f aca="false">IF(OR($C1245="",$D1245=""),"",IFERROR($D1245*INDEX(Mix_Eff,MATCH($C1245,Mix_Code,0),1),""))</f>
        <v/>
      </c>
      <c r="G1245" s="67" t="str">
        <f aca="false">IF(OR($C1245="",$D1245=""),"",IFERROR($D1245*INDEX(Mix_Eff,MATCH($C1245,Mix_Code,0),2),""))</f>
        <v/>
      </c>
      <c r="H1245" s="67" t="str">
        <f aca="false">IF(OR($C1245="",$D1245=""),"",IFERROR($D1245*INDEX(Mix_Eff,MATCH($C1245,Mix_Code,0),3),""))</f>
        <v/>
      </c>
      <c r="I1245" s="67" t="str">
        <f aca="false">IF(OR($C1245="",$D1245=""),"",IFERROR($D1245*INDEX(Mix_Eff,MATCH($C1245,Mix_Code,0),4),""))</f>
        <v/>
      </c>
      <c r="J1245" s="67" t="str">
        <f aca="false">IF(OR($C1245="",$D1245=""),"",IFERROR($D1245*INDEX(Mix_Eff,MATCH($C1245,Mix_Code,0),5),""))</f>
        <v/>
      </c>
      <c r="K1245" s="63"/>
      <c r="L1245" s="16" t="str">
        <f aca="false">IF(AND($A1245="",$B1245="",$C1245="",$D1245=""),"",IF($A1245="","⚠ Date missing",IF($B1245="","⚠ Site missing",IF(ISNA(MATCH($C1245,Mix_Code,0)),"⚠ Unknown mix code",IF($D1245="","⚠ Enter m3 produced",IF(COUNTIF(CI_Site,$B1245)=0,"⚠ Site not set up in Current Inventory",IF($A1245&gt;AsOfDate,"Future date – not yet deducted","OK")))))))</f>
        <v/>
      </c>
    </row>
    <row r="1246" customFormat="false" ht="15" hidden="false" customHeight="false" outlineLevel="0" collapsed="false">
      <c r="A1246" s="65"/>
      <c r="B1246" s="63"/>
      <c r="C1246" s="70"/>
      <c r="D1246" s="66"/>
      <c r="E1246" s="16" t="str">
        <f aca="false">IF($C1246="","",IFERROR(INDEX(Mix_Desc,MATCH($C1246,Mix_Code,0)),"⚠ Unknown mix code"))</f>
        <v/>
      </c>
      <c r="F1246" s="67" t="str">
        <f aca="false">IF(OR($C1246="",$D1246=""),"",IFERROR($D1246*INDEX(Mix_Eff,MATCH($C1246,Mix_Code,0),1),""))</f>
        <v/>
      </c>
      <c r="G1246" s="67" t="str">
        <f aca="false">IF(OR($C1246="",$D1246=""),"",IFERROR($D1246*INDEX(Mix_Eff,MATCH($C1246,Mix_Code,0),2),""))</f>
        <v/>
      </c>
      <c r="H1246" s="67" t="str">
        <f aca="false">IF(OR($C1246="",$D1246=""),"",IFERROR($D1246*INDEX(Mix_Eff,MATCH($C1246,Mix_Code,0),3),""))</f>
        <v/>
      </c>
      <c r="I1246" s="67" t="str">
        <f aca="false">IF(OR($C1246="",$D1246=""),"",IFERROR($D1246*INDEX(Mix_Eff,MATCH($C1246,Mix_Code,0),4),""))</f>
        <v/>
      </c>
      <c r="J1246" s="67" t="str">
        <f aca="false">IF(OR($C1246="",$D1246=""),"",IFERROR($D1246*INDEX(Mix_Eff,MATCH($C1246,Mix_Code,0),5),""))</f>
        <v/>
      </c>
      <c r="K1246" s="63"/>
      <c r="L1246" s="16" t="str">
        <f aca="false">IF(AND($A1246="",$B1246="",$C1246="",$D1246=""),"",IF($A1246="","⚠ Date missing",IF($B1246="","⚠ Site missing",IF(ISNA(MATCH($C1246,Mix_Code,0)),"⚠ Unknown mix code",IF($D1246="","⚠ Enter m3 produced",IF(COUNTIF(CI_Site,$B1246)=0,"⚠ Site not set up in Current Inventory",IF($A1246&gt;AsOfDate,"Future date – not yet deducted","OK")))))))</f>
        <v/>
      </c>
    </row>
    <row r="1247" customFormat="false" ht="15" hidden="false" customHeight="false" outlineLevel="0" collapsed="false">
      <c r="A1247" s="65"/>
      <c r="B1247" s="63"/>
      <c r="C1247" s="70"/>
      <c r="D1247" s="66"/>
      <c r="E1247" s="16" t="str">
        <f aca="false">IF($C1247="","",IFERROR(INDEX(Mix_Desc,MATCH($C1247,Mix_Code,0)),"⚠ Unknown mix code"))</f>
        <v/>
      </c>
      <c r="F1247" s="67" t="str">
        <f aca="false">IF(OR($C1247="",$D1247=""),"",IFERROR($D1247*INDEX(Mix_Eff,MATCH($C1247,Mix_Code,0),1),""))</f>
        <v/>
      </c>
      <c r="G1247" s="67" t="str">
        <f aca="false">IF(OR($C1247="",$D1247=""),"",IFERROR($D1247*INDEX(Mix_Eff,MATCH($C1247,Mix_Code,0),2),""))</f>
        <v/>
      </c>
      <c r="H1247" s="67" t="str">
        <f aca="false">IF(OR($C1247="",$D1247=""),"",IFERROR($D1247*INDEX(Mix_Eff,MATCH($C1247,Mix_Code,0),3),""))</f>
        <v/>
      </c>
      <c r="I1247" s="67" t="str">
        <f aca="false">IF(OR($C1247="",$D1247=""),"",IFERROR($D1247*INDEX(Mix_Eff,MATCH($C1247,Mix_Code,0),4),""))</f>
        <v/>
      </c>
      <c r="J1247" s="67" t="str">
        <f aca="false">IF(OR($C1247="",$D1247=""),"",IFERROR($D1247*INDEX(Mix_Eff,MATCH($C1247,Mix_Code,0),5),""))</f>
        <v/>
      </c>
      <c r="K1247" s="63"/>
      <c r="L1247" s="16" t="str">
        <f aca="false">IF(AND($A1247="",$B1247="",$C1247="",$D1247=""),"",IF($A1247="","⚠ Date missing",IF($B1247="","⚠ Site missing",IF(ISNA(MATCH($C1247,Mix_Code,0)),"⚠ Unknown mix code",IF($D1247="","⚠ Enter m3 produced",IF(COUNTIF(CI_Site,$B1247)=0,"⚠ Site not set up in Current Inventory",IF($A1247&gt;AsOfDate,"Future date – not yet deducted","OK")))))))</f>
        <v/>
      </c>
    </row>
    <row r="1248" customFormat="false" ht="15" hidden="false" customHeight="false" outlineLevel="0" collapsed="false">
      <c r="A1248" s="65"/>
      <c r="B1248" s="63"/>
      <c r="C1248" s="70"/>
      <c r="D1248" s="66"/>
      <c r="E1248" s="16" t="str">
        <f aca="false">IF($C1248="","",IFERROR(INDEX(Mix_Desc,MATCH($C1248,Mix_Code,0)),"⚠ Unknown mix code"))</f>
        <v/>
      </c>
      <c r="F1248" s="67" t="str">
        <f aca="false">IF(OR($C1248="",$D1248=""),"",IFERROR($D1248*INDEX(Mix_Eff,MATCH($C1248,Mix_Code,0),1),""))</f>
        <v/>
      </c>
      <c r="G1248" s="67" t="str">
        <f aca="false">IF(OR($C1248="",$D1248=""),"",IFERROR($D1248*INDEX(Mix_Eff,MATCH($C1248,Mix_Code,0),2),""))</f>
        <v/>
      </c>
      <c r="H1248" s="67" t="str">
        <f aca="false">IF(OR($C1248="",$D1248=""),"",IFERROR($D1248*INDEX(Mix_Eff,MATCH($C1248,Mix_Code,0),3),""))</f>
        <v/>
      </c>
      <c r="I1248" s="67" t="str">
        <f aca="false">IF(OR($C1248="",$D1248=""),"",IFERROR($D1248*INDEX(Mix_Eff,MATCH($C1248,Mix_Code,0),4),""))</f>
        <v/>
      </c>
      <c r="J1248" s="67" t="str">
        <f aca="false">IF(OR($C1248="",$D1248=""),"",IFERROR($D1248*INDEX(Mix_Eff,MATCH($C1248,Mix_Code,0),5),""))</f>
        <v/>
      </c>
      <c r="K1248" s="63"/>
      <c r="L1248" s="16" t="str">
        <f aca="false">IF(AND($A1248="",$B1248="",$C1248="",$D1248=""),"",IF($A1248="","⚠ Date missing",IF($B1248="","⚠ Site missing",IF(ISNA(MATCH($C1248,Mix_Code,0)),"⚠ Unknown mix code",IF($D1248="","⚠ Enter m3 produced",IF(COUNTIF(CI_Site,$B1248)=0,"⚠ Site not set up in Current Inventory",IF($A1248&gt;AsOfDate,"Future date – not yet deducted","OK")))))))</f>
        <v/>
      </c>
    </row>
    <row r="1249" customFormat="false" ht="15" hidden="false" customHeight="false" outlineLevel="0" collapsed="false">
      <c r="A1249" s="65"/>
      <c r="B1249" s="63"/>
      <c r="C1249" s="70"/>
      <c r="D1249" s="66"/>
      <c r="E1249" s="16" t="str">
        <f aca="false">IF($C1249="","",IFERROR(INDEX(Mix_Desc,MATCH($C1249,Mix_Code,0)),"⚠ Unknown mix code"))</f>
        <v/>
      </c>
      <c r="F1249" s="67" t="str">
        <f aca="false">IF(OR($C1249="",$D1249=""),"",IFERROR($D1249*INDEX(Mix_Eff,MATCH($C1249,Mix_Code,0),1),""))</f>
        <v/>
      </c>
      <c r="G1249" s="67" t="str">
        <f aca="false">IF(OR($C1249="",$D1249=""),"",IFERROR($D1249*INDEX(Mix_Eff,MATCH($C1249,Mix_Code,0),2),""))</f>
        <v/>
      </c>
      <c r="H1249" s="67" t="str">
        <f aca="false">IF(OR($C1249="",$D1249=""),"",IFERROR($D1249*INDEX(Mix_Eff,MATCH($C1249,Mix_Code,0),3),""))</f>
        <v/>
      </c>
      <c r="I1249" s="67" t="str">
        <f aca="false">IF(OR($C1249="",$D1249=""),"",IFERROR($D1249*INDEX(Mix_Eff,MATCH($C1249,Mix_Code,0),4),""))</f>
        <v/>
      </c>
      <c r="J1249" s="67" t="str">
        <f aca="false">IF(OR($C1249="",$D1249=""),"",IFERROR($D1249*INDEX(Mix_Eff,MATCH($C1249,Mix_Code,0),5),""))</f>
        <v/>
      </c>
      <c r="K1249" s="63"/>
      <c r="L1249" s="16" t="str">
        <f aca="false">IF(AND($A1249="",$B1249="",$C1249="",$D1249=""),"",IF($A1249="","⚠ Date missing",IF($B1249="","⚠ Site missing",IF(ISNA(MATCH($C1249,Mix_Code,0)),"⚠ Unknown mix code",IF($D1249="","⚠ Enter m3 produced",IF(COUNTIF(CI_Site,$B1249)=0,"⚠ Site not set up in Current Inventory",IF($A1249&gt;AsOfDate,"Future date – not yet deducted","OK")))))))</f>
        <v/>
      </c>
    </row>
    <row r="1250" customFormat="false" ht="15" hidden="false" customHeight="false" outlineLevel="0" collapsed="false">
      <c r="A1250" s="65"/>
      <c r="B1250" s="63"/>
      <c r="C1250" s="70"/>
      <c r="D1250" s="66"/>
      <c r="E1250" s="16" t="str">
        <f aca="false">IF($C1250="","",IFERROR(INDEX(Mix_Desc,MATCH($C1250,Mix_Code,0)),"⚠ Unknown mix code"))</f>
        <v/>
      </c>
      <c r="F1250" s="67" t="str">
        <f aca="false">IF(OR($C1250="",$D1250=""),"",IFERROR($D1250*INDEX(Mix_Eff,MATCH($C1250,Mix_Code,0),1),""))</f>
        <v/>
      </c>
      <c r="G1250" s="67" t="str">
        <f aca="false">IF(OR($C1250="",$D1250=""),"",IFERROR($D1250*INDEX(Mix_Eff,MATCH($C1250,Mix_Code,0),2),""))</f>
        <v/>
      </c>
      <c r="H1250" s="67" t="str">
        <f aca="false">IF(OR($C1250="",$D1250=""),"",IFERROR($D1250*INDEX(Mix_Eff,MATCH($C1250,Mix_Code,0),3),""))</f>
        <v/>
      </c>
      <c r="I1250" s="67" t="str">
        <f aca="false">IF(OR($C1250="",$D1250=""),"",IFERROR($D1250*INDEX(Mix_Eff,MATCH($C1250,Mix_Code,0),4),""))</f>
        <v/>
      </c>
      <c r="J1250" s="67" t="str">
        <f aca="false">IF(OR($C1250="",$D1250=""),"",IFERROR($D1250*INDEX(Mix_Eff,MATCH($C1250,Mix_Code,0),5),""))</f>
        <v/>
      </c>
      <c r="K1250" s="63"/>
      <c r="L1250" s="16" t="str">
        <f aca="false">IF(AND($A1250="",$B1250="",$C1250="",$D1250=""),"",IF($A1250="","⚠ Date missing",IF($B1250="","⚠ Site missing",IF(ISNA(MATCH($C1250,Mix_Code,0)),"⚠ Unknown mix code",IF($D1250="","⚠ Enter m3 produced",IF(COUNTIF(CI_Site,$B1250)=0,"⚠ Site not set up in Current Inventory",IF($A1250&gt;AsOfDate,"Future date – not yet deducted","OK")))))))</f>
        <v/>
      </c>
    </row>
    <row r="1251" customFormat="false" ht="15" hidden="false" customHeight="false" outlineLevel="0" collapsed="false">
      <c r="A1251" s="65"/>
      <c r="B1251" s="63"/>
      <c r="C1251" s="70"/>
      <c r="D1251" s="66"/>
      <c r="E1251" s="16" t="str">
        <f aca="false">IF($C1251="","",IFERROR(INDEX(Mix_Desc,MATCH($C1251,Mix_Code,0)),"⚠ Unknown mix code"))</f>
        <v/>
      </c>
      <c r="F1251" s="67" t="str">
        <f aca="false">IF(OR($C1251="",$D1251=""),"",IFERROR($D1251*INDEX(Mix_Eff,MATCH($C1251,Mix_Code,0),1),""))</f>
        <v/>
      </c>
      <c r="G1251" s="67" t="str">
        <f aca="false">IF(OR($C1251="",$D1251=""),"",IFERROR($D1251*INDEX(Mix_Eff,MATCH($C1251,Mix_Code,0),2),""))</f>
        <v/>
      </c>
      <c r="H1251" s="67" t="str">
        <f aca="false">IF(OR($C1251="",$D1251=""),"",IFERROR($D1251*INDEX(Mix_Eff,MATCH($C1251,Mix_Code,0),3),""))</f>
        <v/>
      </c>
      <c r="I1251" s="67" t="str">
        <f aca="false">IF(OR($C1251="",$D1251=""),"",IFERROR($D1251*INDEX(Mix_Eff,MATCH($C1251,Mix_Code,0),4),""))</f>
        <v/>
      </c>
      <c r="J1251" s="67" t="str">
        <f aca="false">IF(OR($C1251="",$D1251=""),"",IFERROR($D1251*INDEX(Mix_Eff,MATCH($C1251,Mix_Code,0),5),""))</f>
        <v/>
      </c>
      <c r="K1251" s="63"/>
      <c r="L1251" s="16" t="str">
        <f aca="false">IF(AND($A1251="",$B1251="",$C1251="",$D1251=""),"",IF($A1251="","⚠ Date missing",IF($B1251="","⚠ Site missing",IF(ISNA(MATCH($C1251,Mix_Code,0)),"⚠ Unknown mix code",IF($D1251="","⚠ Enter m3 produced",IF(COUNTIF(CI_Site,$B1251)=0,"⚠ Site not set up in Current Inventory",IF($A1251&gt;AsOfDate,"Future date – not yet deducted","OK")))))))</f>
        <v/>
      </c>
    </row>
    <row r="1252" customFormat="false" ht="15" hidden="false" customHeight="false" outlineLevel="0" collapsed="false">
      <c r="A1252" s="65"/>
      <c r="B1252" s="63"/>
      <c r="C1252" s="70"/>
      <c r="D1252" s="66"/>
      <c r="E1252" s="16" t="str">
        <f aca="false">IF($C1252="","",IFERROR(INDEX(Mix_Desc,MATCH($C1252,Mix_Code,0)),"⚠ Unknown mix code"))</f>
        <v/>
      </c>
      <c r="F1252" s="67" t="str">
        <f aca="false">IF(OR($C1252="",$D1252=""),"",IFERROR($D1252*INDEX(Mix_Eff,MATCH($C1252,Mix_Code,0),1),""))</f>
        <v/>
      </c>
      <c r="G1252" s="67" t="str">
        <f aca="false">IF(OR($C1252="",$D1252=""),"",IFERROR($D1252*INDEX(Mix_Eff,MATCH($C1252,Mix_Code,0),2),""))</f>
        <v/>
      </c>
      <c r="H1252" s="67" t="str">
        <f aca="false">IF(OR($C1252="",$D1252=""),"",IFERROR($D1252*INDEX(Mix_Eff,MATCH($C1252,Mix_Code,0),3),""))</f>
        <v/>
      </c>
      <c r="I1252" s="67" t="str">
        <f aca="false">IF(OR($C1252="",$D1252=""),"",IFERROR($D1252*INDEX(Mix_Eff,MATCH($C1252,Mix_Code,0),4),""))</f>
        <v/>
      </c>
      <c r="J1252" s="67" t="str">
        <f aca="false">IF(OR($C1252="",$D1252=""),"",IFERROR($D1252*INDEX(Mix_Eff,MATCH($C1252,Mix_Code,0),5),""))</f>
        <v/>
      </c>
      <c r="K1252" s="63"/>
      <c r="L1252" s="16" t="str">
        <f aca="false">IF(AND($A1252="",$B1252="",$C1252="",$D1252=""),"",IF($A1252="","⚠ Date missing",IF($B1252="","⚠ Site missing",IF(ISNA(MATCH($C1252,Mix_Code,0)),"⚠ Unknown mix code",IF($D1252="","⚠ Enter m3 produced",IF(COUNTIF(CI_Site,$B1252)=0,"⚠ Site not set up in Current Inventory",IF($A1252&gt;AsOfDate,"Future date – not yet deducted","OK")))))))</f>
        <v/>
      </c>
    </row>
    <row r="1253" customFormat="false" ht="15" hidden="false" customHeight="false" outlineLevel="0" collapsed="false">
      <c r="A1253" s="65"/>
      <c r="B1253" s="63"/>
      <c r="C1253" s="70"/>
      <c r="D1253" s="66"/>
      <c r="E1253" s="16" t="str">
        <f aca="false">IF($C1253="","",IFERROR(INDEX(Mix_Desc,MATCH($C1253,Mix_Code,0)),"⚠ Unknown mix code"))</f>
        <v/>
      </c>
      <c r="F1253" s="67" t="str">
        <f aca="false">IF(OR($C1253="",$D1253=""),"",IFERROR($D1253*INDEX(Mix_Eff,MATCH($C1253,Mix_Code,0),1),""))</f>
        <v/>
      </c>
      <c r="G1253" s="67" t="str">
        <f aca="false">IF(OR($C1253="",$D1253=""),"",IFERROR($D1253*INDEX(Mix_Eff,MATCH($C1253,Mix_Code,0),2),""))</f>
        <v/>
      </c>
      <c r="H1253" s="67" t="str">
        <f aca="false">IF(OR($C1253="",$D1253=""),"",IFERROR($D1253*INDEX(Mix_Eff,MATCH($C1253,Mix_Code,0),3),""))</f>
        <v/>
      </c>
      <c r="I1253" s="67" t="str">
        <f aca="false">IF(OR($C1253="",$D1253=""),"",IFERROR($D1253*INDEX(Mix_Eff,MATCH($C1253,Mix_Code,0),4),""))</f>
        <v/>
      </c>
      <c r="J1253" s="67" t="str">
        <f aca="false">IF(OR($C1253="",$D1253=""),"",IFERROR($D1253*INDEX(Mix_Eff,MATCH($C1253,Mix_Code,0),5),""))</f>
        <v/>
      </c>
      <c r="K1253" s="63"/>
      <c r="L1253" s="16" t="str">
        <f aca="false">IF(AND($A1253="",$B1253="",$C1253="",$D1253=""),"",IF($A1253="","⚠ Date missing",IF($B1253="","⚠ Site missing",IF(ISNA(MATCH($C1253,Mix_Code,0)),"⚠ Unknown mix code",IF($D1253="","⚠ Enter m3 produced",IF(COUNTIF(CI_Site,$B1253)=0,"⚠ Site not set up in Current Inventory",IF($A1253&gt;AsOfDate,"Future date – not yet deducted","OK")))))))</f>
        <v/>
      </c>
    </row>
    <row r="1254" customFormat="false" ht="15" hidden="false" customHeight="false" outlineLevel="0" collapsed="false">
      <c r="A1254" s="65"/>
      <c r="B1254" s="63"/>
      <c r="C1254" s="70"/>
      <c r="D1254" s="66"/>
      <c r="E1254" s="16" t="str">
        <f aca="false">IF($C1254="","",IFERROR(INDEX(Mix_Desc,MATCH($C1254,Mix_Code,0)),"⚠ Unknown mix code"))</f>
        <v/>
      </c>
      <c r="F1254" s="67" t="str">
        <f aca="false">IF(OR($C1254="",$D1254=""),"",IFERROR($D1254*INDEX(Mix_Eff,MATCH($C1254,Mix_Code,0),1),""))</f>
        <v/>
      </c>
      <c r="G1254" s="67" t="str">
        <f aca="false">IF(OR($C1254="",$D1254=""),"",IFERROR($D1254*INDEX(Mix_Eff,MATCH($C1254,Mix_Code,0),2),""))</f>
        <v/>
      </c>
      <c r="H1254" s="67" t="str">
        <f aca="false">IF(OR($C1254="",$D1254=""),"",IFERROR($D1254*INDEX(Mix_Eff,MATCH($C1254,Mix_Code,0),3),""))</f>
        <v/>
      </c>
      <c r="I1254" s="67" t="str">
        <f aca="false">IF(OR($C1254="",$D1254=""),"",IFERROR($D1254*INDEX(Mix_Eff,MATCH($C1254,Mix_Code,0),4),""))</f>
        <v/>
      </c>
      <c r="J1254" s="67" t="str">
        <f aca="false">IF(OR($C1254="",$D1254=""),"",IFERROR($D1254*INDEX(Mix_Eff,MATCH($C1254,Mix_Code,0),5),""))</f>
        <v/>
      </c>
      <c r="K1254" s="63"/>
      <c r="L1254" s="16" t="str">
        <f aca="false">IF(AND($A1254="",$B1254="",$C1254="",$D1254=""),"",IF($A1254="","⚠ Date missing",IF($B1254="","⚠ Site missing",IF(ISNA(MATCH($C1254,Mix_Code,0)),"⚠ Unknown mix code",IF($D1254="","⚠ Enter m3 produced",IF(COUNTIF(CI_Site,$B1254)=0,"⚠ Site not set up in Current Inventory",IF($A1254&gt;AsOfDate,"Future date – not yet deducted","OK")))))))</f>
        <v/>
      </c>
    </row>
    <row r="1255" customFormat="false" ht="15" hidden="false" customHeight="false" outlineLevel="0" collapsed="false">
      <c r="A1255" s="65"/>
      <c r="B1255" s="63"/>
      <c r="C1255" s="70"/>
      <c r="D1255" s="66"/>
      <c r="E1255" s="16" t="str">
        <f aca="false">IF($C1255="","",IFERROR(INDEX(Mix_Desc,MATCH($C1255,Mix_Code,0)),"⚠ Unknown mix code"))</f>
        <v/>
      </c>
      <c r="F1255" s="67" t="str">
        <f aca="false">IF(OR($C1255="",$D1255=""),"",IFERROR($D1255*INDEX(Mix_Eff,MATCH($C1255,Mix_Code,0),1),""))</f>
        <v/>
      </c>
      <c r="G1255" s="67" t="str">
        <f aca="false">IF(OR($C1255="",$D1255=""),"",IFERROR($D1255*INDEX(Mix_Eff,MATCH($C1255,Mix_Code,0),2),""))</f>
        <v/>
      </c>
      <c r="H1255" s="67" t="str">
        <f aca="false">IF(OR($C1255="",$D1255=""),"",IFERROR($D1255*INDEX(Mix_Eff,MATCH($C1255,Mix_Code,0),3),""))</f>
        <v/>
      </c>
      <c r="I1255" s="67" t="str">
        <f aca="false">IF(OR($C1255="",$D1255=""),"",IFERROR($D1255*INDEX(Mix_Eff,MATCH($C1255,Mix_Code,0),4),""))</f>
        <v/>
      </c>
      <c r="J1255" s="67" t="str">
        <f aca="false">IF(OR($C1255="",$D1255=""),"",IFERROR($D1255*INDEX(Mix_Eff,MATCH($C1255,Mix_Code,0),5),""))</f>
        <v/>
      </c>
      <c r="K1255" s="63"/>
      <c r="L1255" s="16" t="str">
        <f aca="false">IF(AND($A1255="",$B1255="",$C1255="",$D1255=""),"",IF($A1255="","⚠ Date missing",IF($B1255="","⚠ Site missing",IF(ISNA(MATCH($C1255,Mix_Code,0)),"⚠ Unknown mix code",IF($D1255="","⚠ Enter m3 produced",IF(COUNTIF(CI_Site,$B1255)=0,"⚠ Site not set up in Current Inventory",IF($A1255&gt;AsOfDate,"Future date – not yet deducted","OK")))))))</f>
        <v/>
      </c>
    </row>
    <row r="1256" customFormat="false" ht="15" hidden="false" customHeight="false" outlineLevel="0" collapsed="false">
      <c r="A1256" s="65"/>
      <c r="B1256" s="63"/>
      <c r="C1256" s="70"/>
      <c r="D1256" s="66"/>
      <c r="E1256" s="16" t="str">
        <f aca="false">IF($C1256="","",IFERROR(INDEX(Mix_Desc,MATCH($C1256,Mix_Code,0)),"⚠ Unknown mix code"))</f>
        <v/>
      </c>
      <c r="F1256" s="67" t="str">
        <f aca="false">IF(OR($C1256="",$D1256=""),"",IFERROR($D1256*INDEX(Mix_Eff,MATCH($C1256,Mix_Code,0),1),""))</f>
        <v/>
      </c>
      <c r="G1256" s="67" t="str">
        <f aca="false">IF(OR($C1256="",$D1256=""),"",IFERROR($D1256*INDEX(Mix_Eff,MATCH($C1256,Mix_Code,0),2),""))</f>
        <v/>
      </c>
      <c r="H1256" s="67" t="str">
        <f aca="false">IF(OR($C1256="",$D1256=""),"",IFERROR($D1256*INDEX(Mix_Eff,MATCH($C1256,Mix_Code,0),3),""))</f>
        <v/>
      </c>
      <c r="I1256" s="67" t="str">
        <f aca="false">IF(OR($C1256="",$D1256=""),"",IFERROR($D1256*INDEX(Mix_Eff,MATCH($C1256,Mix_Code,0),4),""))</f>
        <v/>
      </c>
      <c r="J1256" s="67" t="str">
        <f aca="false">IF(OR($C1256="",$D1256=""),"",IFERROR($D1256*INDEX(Mix_Eff,MATCH($C1256,Mix_Code,0),5),""))</f>
        <v/>
      </c>
      <c r="K1256" s="63"/>
      <c r="L1256" s="16" t="str">
        <f aca="false">IF(AND($A1256="",$B1256="",$C1256="",$D1256=""),"",IF($A1256="","⚠ Date missing",IF($B1256="","⚠ Site missing",IF(ISNA(MATCH($C1256,Mix_Code,0)),"⚠ Unknown mix code",IF($D1256="","⚠ Enter m3 produced",IF(COUNTIF(CI_Site,$B1256)=0,"⚠ Site not set up in Current Inventory",IF($A1256&gt;AsOfDate,"Future date – not yet deducted","OK")))))))</f>
        <v/>
      </c>
    </row>
    <row r="1257" customFormat="false" ht="15" hidden="false" customHeight="false" outlineLevel="0" collapsed="false">
      <c r="A1257" s="65"/>
      <c r="B1257" s="63"/>
      <c r="C1257" s="70"/>
      <c r="D1257" s="66"/>
      <c r="E1257" s="16" t="str">
        <f aca="false">IF($C1257="","",IFERROR(INDEX(Mix_Desc,MATCH($C1257,Mix_Code,0)),"⚠ Unknown mix code"))</f>
        <v/>
      </c>
      <c r="F1257" s="67" t="str">
        <f aca="false">IF(OR($C1257="",$D1257=""),"",IFERROR($D1257*INDEX(Mix_Eff,MATCH($C1257,Mix_Code,0),1),""))</f>
        <v/>
      </c>
      <c r="G1257" s="67" t="str">
        <f aca="false">IF(OR($C1257="",$D1257=""),"",IFERROR($D1257*INDEX(Mix_Eff,MATCH($C1257,Mix_Code,0),2),""))</f>
        <v/>
      </c>
      <c r="H1257" s="67" t="str">
        <f aca="false">IF(OR($C1257="",$D1257=""),"",IFERROR($D1257*INDEX(Mix_Eff,MATCH($C1257,Mix_Code,0),3),""))</f>
        <v/>
      </c>
      <c r="I1257" s="67" t="str">
        <f aca="false">IF(OR($C1257="",$D1257=""),"",IFERROR($D1257*INDEX(Mix_Eff,MATCH($C1257,Mix_Code,0),4),""))</f>
        <v/>
      </c>
      <c r="J1257" s="67" t="str">
        <f aca="false">IF(OR($C1257="",$D1257=""),"",IFERROR($D1257*INDEX(Mix_Eff,MATCH($C1257,Mix_Code,0),5),""))</f>
        <v/>
      </c>
      <c r="K1257" s="63"/>
      <c r="L1257" s="16" t="str">
        <f aca="false">IF(AND($A1257="",$B1257="",$C1257="",$D1257=""),"",IF($A1257="","⚠ Date missing",IF($B1257="","⚠ Site missing",IF(ISNA(MATCH($C1257,Mix_Code,0)),"⚠ Unknown mix code",IF($D1257="","⚠ Enter m3 produced",IF(COUNTIF(CI_Site,$B1257)=0,"⚠ Site not set up in Current Inventory",IF($A1257&gt;AsOfDate,"Future date – not yet deducted","OK")))))))</f>
        <v/>
      </c>
    </row>
    <row r="1258" customFormat="false" ht="15" hidden="false" customHeight="false" outlineLevel="0" collapsed="false">
      <c r="A1258" s="65"/>
      <c r="B1258" s="63"/>
      <c r="C1258" s="70"/>
      <c r="D1258" s="66"/>
      <c r="E1258" s="16" t="str">
        <f aca="false">IF($C1258="","",IFERROR(INDEX(Mix_Desc,MATCH($C1258,Mix_Code,0)),"⚠ Unknown mix code"))</f>
        <v/>
      </c>
      <c r="F1258" s="67" t="str">
        <f aca="false">IF(OR($C1258="",$D1258=""),"",IFERROR($D1258*INDEX(Mix_Eff,MATCH($C1258,Mix_Code,0),1),""))</f>
        <v/>
      </c>
      <c r="G1258" s="67" t="str">
        <f aca="false">IF(OR($C1258="",$D1258=""),"",IFERROR($D1258*INDEX(Mix_Eff,MATCH($C1258,Mix_Code,0),2),""))</f>
        <v/>
      </c>
      <c r="H1258" s="67" t="str">
        <f aca="false">IF(OR($C1258="",$D1258=""),"",IFERROR($D1258*INDEX(Mix_Eff,MATCH($C1258,Mix_Code,0),3),""))</f>
        <v/>
      </c>
      <c r="I1258" s="67" t="str">
        <f aca="false">IF(OR($C1258="",$D1258=""),"",IFERROR($D1258*INDEX(Mix_Eff,MATCH($C1258,Mix_Code,0),4),""))</f>
        <v/>
      </c>
      <c r="J1258" s="67" t="str">
        <f aca="false">IF(OR($C1258="",$D1258=""),"",IFERROR($D1258*INDEX(Mix_Eff,MATCH($C1258,Mix_Code,0),5),""))</f>
        <v/>
      </c>
      <c r="K1258" s="63"/>
      <c r="L1258" s="16" t="str">
        <f aca="false">IF(AND($A1258="",$B1258="",$C1258="",$D1258=""),"",IF($A1258="","⚠ Date missing",IF($B1258="","⚠ Site missing",IF(ISNA(MATCH($C1258,Mix_Code,0)),"⚠ Unknown mix code",IF($D1258="","⚠ Enter m3 produced",IF(COUNTIF(CI_Site,$B1258)=0,"⚠ Site not set up in Current Inventory",IF($A1258&gt;AsOfDate,"Future date – not yet deducted","OK")))))))</f>
        <v/>
      </c>
    </row>
    <row r="1259" customFormat="false" ht="15" hidden="false" customHeight="false" outlineLevel="0" collapsed="false">
      <c r="A1259" s="65"/>
      <c r="B1259" s="63"/>
      <c r="C1259" s="70"/>
      <c r="D1259" s="66"/>
      <c r="E1259" s="16" t="str">
        <f aca="false">IF($C1259="","",IFERROR(INDEX(Mix_Desc,MATCH($C1259,Mix_Code,0)),"⚠ Unknown mix code"))</f>
        <v/>
      </c>
      <c r="F1259" s="67" t="str">
        <f aca="false">IF(OR($C1259="",$D1259=""),"",IFERROR($D1259*INDEX(Mix_Eff,MATCH($C1259,Mix_Code,0),1),""))</f>
        <v/>
      </c>
      <c r="G1259" s="67" t="str">
        <f aca="false">IF(OR($C1259="",$D1259=""),"",IFERROR($D1259*INDEX(Mix_Eff,MATCH($C1259,Mix_Code,0),2),""))</f>
        <v/>
      </c>
      <c r="H1259" s="67" t="str">
        <f aca="false">IF(OR($C1259="",$D1259=""),"",IFERROR($D1259*INDEX(Mix_Eff,MATCH($C1259,Mix_Code,0),3),""))</f>
        <v/>
      </c>
      <c r="I1259" s="67" t="str">
        <f aca="false">IF(OR($C1259="",$D1259=""),"",IFERROR($D1259*INDEX(Mix_Eff,MATCH($C1259,Mix_Code,0),4),""))</f>
        <v/>
      </c>
      <c r="J1259" s="67" t="str">
        <f aca="false">IF(OR($C1259="",$D1259=""),"",IFERROR($D1259*INDEX(Mix_Eff,MATCH($C1259,Mix_Code,0),5),""))</f>
        <v/>
      </c>
      <c r="K1259" s="63"/>
      <c r="L1259" s="16" t="str">
        <f aca="false">IF(AND($A1259="",$B1259="",$C1259="",$D1259=""),"",IF($A1259="","⚠ Date missing",IF($B1259="","⚠ Site missing",IF(ISNA(MATCH($C1259,Mix_Code,0)),"⚠ Unknown mix code",IF($D1259="","⚠ Enter m3 produced",IF(COUNTIF(CI_Site,$B1259)=0,"⚠ Site not set up in Current Inventory",IF($A1259&gt;AsOfDate,"Future date – not yet deducted","OK")))))))</f>
        <v/>
      </c>
    </row>
    <row r="1260" customFormat="false" ht="15" hidden="false" customHeight="false" outlineLevel="0" collapsed="false">
      <c r="A1260" s="65"/>
      <c r="B1260" s="63"/>
      <c r="C1260" s="70"/>
      <c r="D1260" s="66"/>
      <c r="E1260" s="16" t="str">
        <f aca="false">IF($C1260="","",IFERROR(INDEX(Mix_Desc,MATCH($C1260,Mix_Code,0)),"⚠ Unknown mix code"))</f>
        <v/>
      </c>
      <c r="F1260" s="67" t="str">
        <f aca="false">IF(OR($C1260="",$D1260=""),"",IFERROR($D1260*INDEX(Mix_Eff,MATCH($C1260,Mix_Code,0),1),""))</f>
        <v/>
      </c>
      <c r="G1260" s="67" t="str">
        <f aca="false">IF(OR($C1260="",$D1260=""),"",IFERROR($D1260*INDEX(Mix_Eff,MATCH($C1260,Mix_Code,0),2),""))</f>
        <v/>
      </c>
      <c r="H1260" s="67" t="str">
        <f aca="false">IF(OR($C1260="",$D1260=""),"",IFERROR($D1260*INDEX(Mix_Eff,MATCH($C1260,Mix_Code,0),3),""))</f>
        <v/>
      </c>
      <c r="I1260" s="67" t="str">
        <f aca="false">IF(OR($C1260="",$D1260=""),"",IFERROR($D1260*INDEX(Mix_Eff,MATCH($C1260,Mix_Code,0),4),""))</f>
        <v/>
      </c>
      <c r="J1260" s="67" t="str">
        <f aca="false">IF(OR($C1260="",$D1260=""),"",IFERROR($D1260*INDEX(Mix_Eff,MATCH($C1260,Mix_Code,0),5),""))</f>
        <v/>
      </c>
      <c r="K1260" s="63"/>
      <c r="L1260" s="16" t="str">
        <f aca="false">IF(AND($A1260="",$B1260="",$C1260="",$D1260=""),"",IF($A1260="","⚠ Date missing",IF($B1260="","⚠ Site missing",IF(ISNA(MATCH($C1260,Mix_Code,0)),"⚠ Unknown mix code",IF($D1260="","⚠ Enter m3 produced",IF(COUNTIF(CI_Site,$B1260)=0,"⚠ Site not set up in Current Inventory",IF($A1260&gt;AsOfDate,"Future date – not yet deducted","OK")))))))</f>
        <v/>
      </c>
    </row>
    <row r="1261" customFormat="false" ht="15" hidden="false" customHeight="false" outlineLevel="0" collapsed="false">
      <c r="A1261" s="65"/>
      <c r="B1261" s="63"/>
      <c r="C1261" s="70"/>
      <c r="D1261" s="66"/>
      <c r="E1261" s="16" t="str">
        <f aca="false">IF($C1261="","",IFERROR(INDEX(Mix_Desc,MATCH($C1261,Mix_Code,0)),"⚠ Unknown mix code"))</f>
        <v/>
      </c>
      <c r="F1261" s="67" t="str">
        <f aca="false">IF(OR($C1261="",$D1261=""),"",IFERROR($D1261*INDEX(Mix_Eff,MATCH($C1261,Mix_Code,0),1),""))</f>
        <v/>
      </c>
      <c r="G1261" s="67" t="str">
        <f aca="false">IF(OR($C1261="",$D1261=""),"",IFERROR($D1261*INDEX(Mix_Eff,MATCH($C1261,Mix_Code,0),2),""))</f>
        <v/>
      </c>
      <c r="H1261" s="67" t="str">
        <f aca="false">IF(OR($C1261="",$D1261=""),"",IFERROR($D1261*INDEX(Mix_Eff,MATCH($C1261,Mix_Code,0),3),""))</f>
        <v/>
      </c>
      <c r="I1261" s="67" t="str">
        <f aca="false">IF(OR($C1261="",$D1261=""),"",IFERROR($D1261*INDEX(Mix_Eff,MATCH($C1261,Mix_Code,0),4),""))</f>
        <v/>
      </c>
      <c r="J1261" s="67" t="str">
        <f aca="false">IF(OR($C1261="",$D1261=""),"",IFERROR($D1261*INDEX(Mix_Eff,MATCH($C1261,Mix_Code,0),5),""))</f>
        <v/>
      </c>
      <c r="K1261" s="63"/>
      <c r="L1261" s="16" t="str">
        <f aca="false">IF(AND($A1261="",$B1261="",$C1261="",$D1261=""),"",IF($A1261="","⚠ Date missing",IF($B1261="","⚠ Site missing",IF(ISNA(MATCH($C1261,Mix_Code,0)),"⚠ Unknown mix code",IF($D1261="","⚠ Enter m3 produced",IF(COUNTIF(CI_Site,$B1261)=0,"⚠ Site not set up in Current Inventory",IF($A1261&gt;AsOfDate,"Future date – not yet deducted","OK")))))))</f>
        <v/>
      </c>
    </row>
    <row r="1262" customFormat="false" ht="15" hidden="false" customHeight="false" outlineLevel="0" collapsed="false">
      <c r="A1262" s="65"/>
      <c r="B1262" s="63"/>
      <c r="C1262" s="70"/>
      <c r="D1262" s="66"/>
      <c r="E1262" s="16" t="str">
        <f aca="false">IF($C1262="","",IFERROR(INDEX(Mix_Desc,MATCH($C1262,Mix_Code,0)),"⚠ Unknown mix code"))</f>
        <v/>
      </c>
      <c r="F1262" s="67" t="str">
        <f aca="false">IF(OR($C1262="",$D1262=""),"",IFERROR($D1262*INDEX(Mix_Eff,MATCH($C1262,Mix_Code,0),1),""))</f>
        <v/>
      </c>
      <c r="G1262" s="67" t="str">
        <f aca="false">IF(OR($C1262="",$D1262=""),"",IFERROR($D1262*INDEX(Mix_Eff,MATCH($C1262,Mix_Code,0),2),""))</f>
        <v/>
      </c>
      <c r="H1262" s="67" t="str">
        <f aca="false">IF(OR($C1262="",$D1262=""),"",IFERROR($D1262*INDEX(Mix_Eff,MATCH($C1262,Mix_Code,0),3),""))</f>
        <v/>
      </c>
      <c r="I1262" s="67" t="str">
        <f aca="false">IF(OR($C1262="",$D1262=""),"",IFERROR($D1262*INDEX(Mix_Eff,MATCH($C1262,Mix_Code,0),4),""))</f>
        <v/>
      </c>
      <c r="J1262" s="67" t="str">
        <f aca="false">IF(OR($C1262="",$D1262=""),"",IFERROR($D1262*INDEX(Mix_Eff,MATCH($C1262,Mix_Code,0),5),""))</f>
        <v/>
      </c>
      <c r="K1262" s="63"/>
      <c r="L1262" s="16" t="str">
        <f aca="false">IF(AND($A1262="",$B1262="",$C1262="",$D1262=""),"",IF($A1262="","⚠ Date missing",IF($B1262="","⚠ Site missing",IF(ISNA(MATCH($C1262,Mix_Code,0)),"⚠ Unknown mix code",IF($D1262="","⚠ Enter m3 produced",IF(COUNTIF(CI_Site,$B1262)=0,"⚠ Site not set up in Current Inventory",IF($A1262&gt;AsOfDate,"Future date – not yet deducted","OK")))))))</f>
        <v/>
      </c>
    </row>
    <row r="1263" customFormat="false" ht="15" hidden="false" customHeight="false" outlineLevel="0" collapsed="false">
      <c r="A1263" s="65"/>
      <c r="B1263" s="63"/>
      <c r="C1263" s="70"/>
      <c r="D1263" s="66"/>
      <c r="E1263" s="16" t="str">
        <f aca="false">IF($C1263="","",IFERROR(INDEX(Mix_Desc,MATCH($C1263,Mix_Code,0)),"⚠ Unknown mix code"))</f>
        <v/>
      </c>
      <c r="F1263" s="67" t="str">
        <f aca="false">IF(OR($C1263="",$D1263=""),"",IFERROR($D1263*INDEX(Mix_Eff,MATCH($C1263,Mix_Code,0),1),""))</f>
        <v/>
      </c>
      <c r="G1263" s="67" t="str">
        <f aca="false">IF(OR($C1263="",$D1263=""),"",IFERROR($D1263*INDEX(Mix_Eff,MATCH($C1263,Mix_Code,0),2),""))</f>
        <v/>
      </c>
      <c r="H1263" s="67" t="str">
        <f aca="false">IF(OR($C1263="",$D1263=""),"",IFERROR($D1263*INDEX(Mix_Eff,MATCH($C1263,Mix_Code,0),3),""))</f>
        <v/>
      </c>
      <c r="I1263" s="67" t="str">
        <f aca="false">IF(OR($C1263="",$D1263=""),"",IFERROR($D1263*INDEX(Mix_Eff,MATCH($C1263,Mix_Code,0),4),""))</f>
        <v/>
      </c>
      <c r="J1263" s="67" t="str">
        <f aca="false">IF(OR($C1263="",$D1263=""),"",IFERROR($D1263*INDEX(Mix_Eff,MATCH($C1263,Mix_Code,0),5),""))</f>
        <v/>
      </c>
      <c r="K1263" s="63"/>
      <c r="L1263" s="16" t="str">
        <f aca="false">IF(AND($A1263="",$B1263="",$C1263="",$D1263=""),"",IF($A1263="","⚠ Date missing",IF($B1263="","⚠ Site missing",IF(ISNA(MATCH($C1263,Mix_Code,0)),"⚠ Unknown mix code",IF($D1263="","⚠ Enter m3 produced",IF(COUNTIF(CI_Site,$B1263)=0,"⚠ Site not set up in Current Inventory",IF($A1263&gt;AsOfDate,"Future date – not yet deducted","OK")))))))</f>
        <v/>
      </c>
    </row>
    <row r="1264" customFormat="false" ht="15" hidden="false" customHeight="false" outlineLevel="0" collapsed="false">
      <c r="A1264" s="65"/>
      <c r="B1264" s="63"/>
      <c r="C1264" s="70"/>
      <c r="D1264" s="66"/>
      <c r="E1264" s="16" t="str">
        <f aca="false">IF($C1264="","",IFERROR(INDEX(Mix_Desc,MATCH($C1264,Mix_Code,0)),"⚠ Unknown mix code"))</f>
        <v/>
      </c>
      <c r="F1264" s="67" t="str">
        <f aca="false">IF(OR($C1264="",$D1264=""),"",IFERROR($D1264*INDEX(Mix_Eff,MATCH($C1264,Mix_Code,0),1),""))</f>
        <v/>
      </c>
      <c r="G1264" s="67" t="str">
        <f aca="false">IF(OR($C1264="",$D1264=""),"",IFERROR($D1264*INDEX(Mix_Eff,MATCH($C1264,Mix_Code,0),2),""))</f>
        <v/>
      </c>
      <c r="H1264" s="67" t="str">
        <f aca="false">IF(OR($C1264="",$D1264=""),"",IFERROR($D1264*INDEX(Mix_Eff,MATCH($C1264,Mix_Code,0),3),""))</f>
        <v/>
      </c>
      <c r="I1264" s="67" t="str">
        <f aca="false">IF(OR($C1264="",$D1264=""),"",IFERROR($D1264*INDEX(Mix_Eff,MATCH($C1264,Mix_Code,0),4),""))</f>
        <v/>
      </c>
      <c r="J1264" s="67" t="str">
        <f aca="false">IF(OR($C1264="",$D1264=""),"",IFERROR($D1264*INDEX(Mix_Eff,MATCH($C1264,Mix_Code,0),5),""))</f>
        <v/>
      </c>
      <c r="K1264" s="63"/>
      <c r="L1264" s="16" t="str">
        <f aca="false">IF(AND($A1264="",$B1264="",$C1264="",$D1264=""),"",IF($A1264="","⚠ Date missing",IF($B1264="","⚠ Site missing",IF(ISNA(MATCH($C1264,Mix_Code,0)),"⚠ Unknown mix code",IF($D1264="","⚠ Enter m3 produced",IF(COUNTIF(CI_Site,$B1264)=0,"⚠ Site not set up in Current Inventory",IF($A1264&gt;AsOfDate,"Future date – not yet deducted","OK")))))))</f>
        <v/>
      </c>
    </row>
    <row r="1265" customFormat="false" ht="15" hidden="false" customHeight="false" outlineLevel="0" collapsed="false">
      <c r="A1265" s="65"/>
      <c r="B1265" s="63"/>
      <c r="C1265" s="70"/>
      <c r="D1265" s="66"/>
      <c r="E1265" s="16" t="str">
        <f aca="false">IF($C1265="","",IFERROR(INDEX(Mix_Desc,MATCH($C1265,Mix_Code,0)),"⚠ Unknown mix code"))</f>
        <v/>
      </c>
      <c r="F1265" s="67" t="str">
        <f aca="false">IF(OR($C1265="",$D1265=""),"",IFERROR($D1265*INDEX(Mix_Eff,MATCH($C1265,Mix_Code,0),1),""))</f>
        <v/>
      </c>
      <c r="G1265" s="67" t="str">
        <f aca="false">IF(OR($C1265="",$D1265=""),"",IFERROR($D1265*INDEX(Mix_Eff,MATCH($C1265,Mix_Code,0),2),""))</f>
        <v/>
      </c>
      <c r="H1265" s="67" t="str">
        <f aca="false">IF(OR($C1265="",$D1265=""),"",IFERROR($D1265*INDEX(Mix_Eff,MATCH($C1265,Mix_Code,0),3),""))</f>
        <v/>
      </c>
      <c r="I1265" s="67" t="str">
        <f aca="false">IF(OR($C1265="",$D1265=""),"",IFERROR($D1265*INDEX(Mix_Eff,MATCH($C1265,Mix_Code,0),4),""))</f>
        <v/>
      </c>
      <c r="J1265" s="67" t="str">
        <f aca="false">IF(OR($C1265="",$D1265=""),"",IFERROR($D1265*INDEX(Mix_Eff,MATCH($C1265,Mix_Code,0),5),""))</f>
        <v/>
      </c>
      <c r="K1265" s="63"/>
      <c r="L1265" s="16" t="str">
        <f aca="false">IF(AND($A1265="",$B1265="",$C1265="",$D1265=""),"",IF($A1265="","⚠ Date missing",IF($B1265="","⚠ Site missing",IF(ISNA(MATCH($C1265,Mix_Code,0)),"⚠ Unknown mix code",IF($D1265="","⚠ Enter m3 produced",IF(COUNTIF(CI_Site,$B1265)=0,"⚠ Site not set up in Current Inventory",IF($A1265&gt;AsOfDate,"Future date – not yet deducted","OK")))))))</f>
        <v/>
      </c>
    </row>
    <row r="1266" customFormat="false" ht="15" hidden="false" customHeight="false" outlineLevel="0" collapsed="false">
      <c r="A1266" s="65"/>
      <c r="B1266" s="63"/>
      <c r="C1266" s="70"/>
      <c r="D1266" s="66"/>
      <c r="E1266" s="16" t="str">
        <f aca="false">IF($C1266="","",IFERROR(INDEX(Mix_Desc,MATCH($C1266,Mix_Code,0)),"⚠ Unknown mix code"))</f>
        <v/>
      </c>
      <c r="F1266" s="67" t="str">
        <f aca="false">IF(OR($C1266="",$D1266=""),"",IFERROR($D1266*INDEX(Mix_Eff,MATCH($C1266,Mix_Code,0),1),""))</f>
        <v/>
      </c>
      <c r="G1266" s="67" t="str">
        <f aca="false">IF(OR($C1266="",$D1266=""),"",IFERROR($D1266*INDEX(Mix_Eff,MATCH($C1266,Mix_Code,0),2),""))</f>
        <v/>
      </c>
      <c r="H1266" s="67" t="str">
        <f aca="false">IF(OR($C1266="",$D1266=""),"",IFERROR($D1266*INDEX(Mix_Eff,MATCH($C1266,Mix_Code,0),3),""))</f>
        <v/>
      </c>
      <c r="I1266" s="67" t="str">
        <f aca="false">IF(OR($C1266="",$D1266=""),"",IFERROR($D1266*INDEX(Mix_Eff,MATCH($C1266,Mix_Code,0),4),""))</f>
        <v/>
      </c>
      <c r="J1266" s="67" t="str">
        <f aca="false">IF(OR($C1266="",$D1266=""),"",IFERROR($D1266*INDEX(Mix_Eff,MATCH($C1266,Mix_Code,0),5),""))</f>
        <v/>
      </c>
      <c r="K1266" s="63"/>
      <c r="L1266" s="16" t="str">
        <f aca="false">IF(AND($A1266="",$B1266="",$C1266="",$D1266=""),"",IF($A1266="","⚠ Date missing",IF($B1266="","⚠ Site missing",IF(ISNA(MATCH($C1266,Mix_Code,0)),"⚠ Unknown mix code",IF($D1266="","⚠ Enter m3 produced",IF(COUNTIF(CI_Site,$B1266)=0,"⚠ Site not set up in Current Inventory",IF($A1266&gt;AsOfDate,"Future date – not yet deducted","OK")))))))</f>
        <v/>
      </c>
    </row>
    <row r="1267" customFormat="false" ht="15" hidden="false" customHeight="false" outlineLevel="0" collapsed="false">
      <c r="A1267" s="65"/>
      <c r="B1267" s="63"/>
      <c r="C1267" s="70"/>
      <c r="D1267" s="66"/>
      <c r="E1267" s="16" t="str">
        <f aca="false">IF($C1267="","",IFERROR(INDEX(Mix_Desc,MATCH($C1267,Mix_Code,0)),"⚠ Unknown mix code"))</f>
        <v/>
      </c>
      <c r="F1267" s="67" t="str">
        <f aca="false">IF(OR($C1267="",$D1267=""),"",IFERROR($D1267*INDEX(Mix_Eff,MATCH($C1267,Mix_Code,0),1),""))</f>
        <v/>
      </c>
      <c r="G1267" s="67" t="str">
        <f aca="false">IF(OR($C1267="",$D1267=""),"",IFERROR($D1267*INDEX(Mix_Eff,MATCH($C1267,Mix_Code,0),2),""))</f>
        <v/>
      </c>
      <c r="H1267" s="67" t="str">
        <f aca="false">IF(OR($C1267="",$D1267=""),"",IFERROR($D1267*INDEX(Mix_Eff,MATCH($C1267,Mix_Code,0),3),""))</f>
        <v/>
      </c>
      <c r="I1267" s="67" t="str">
        <f aca="false">IF(OR($C1267="",$D1267=""),"",IFERROR($D1267*INDEX(Mix_Eff,MATCH($C1267,Mix_Code,0),4),""))</f>
        <v/>
      </c>
      <c r="J1267" s="67" t="str">
        <f aca="false">IF(OR($C1267="",$D1267=""),"",IFERROR($D1267*INDEX(Mix_Eff,MATCH($C1267,Mix_Code,0),5),""))</f>
        <v/>
      </c>
      <c r="K1267" s="63"/>
      <c r="L1267" s="16" t="str">
        <f aca="false">IF(AND($A1267="",$B1267="",$C1267="",$D1267=""),"",IF($A1267="","⚠ Date missing",IF($B1267="","⚠ Site missing",IF(ISNA(MATCH($C1267,Mix_Code,0)),"⚠ Unknown mix code",IF($D1267="","⚠ Enter m3 produced",IF(COUNTIF(CI_Site,$B1267)=0,"⚠ Site not set up in Current Inventory",IF($A1267&gt;AsOfDate,"Future date – not yet deducted","OK")))))))</f>
        <v/>
      </c>
    </row>
    <row r="1268" customFormat="false" ht="15" hidden="false" customHeight="false" outlineLevel="0" collapsed="false">
      <c r="A1268" s="65"/>
      <c r="B1268" s="63"/>
      <c r="C1268" s="70"/>
      <c r="D1268" s="66"/>
      <c r="E1268" s="16" t="str">
        <f aca="false">IF($C1268="","",IFERROR(INDEX(Mix_Desc,MATCH($C1268,Mix_Code,0)),"⚠ Unknown mix code"))</f>
        <v/>
      </c>
      <c r="F1268" s="67" t="str">
        <f aca="false">IF(OR($C1268="",$D1268=""),"",IFERROR($D1268*INDEX(Mix_Eff,MATCH($C1268,Mix_Code,0),1),""))</f>
        <v/>
      </c>
      <c r="G1268" s="67" t="str">
        <f aca="false">IF(OR($C1268="",$D1268=""),"",IFERROR($D1268*INDEX(Mix_Eff,MATCH($C1268,Mix_Code,0),2),""))</f>
        <v/>
      </c>
      <c r="H1268" s="67" t="str">
        <f aca="false">IF(OR($C1268="",$D1268=""),"",IFERROR($D1268*INDEX(Mix_Eff,MATCH($C1268,Mix_Code,0),3),""))</f>
        <v/>
      </c>
      <c r="I1268" s="67" t="str">
        <f aca="false">IF(OR($C1268="",$D1268=""),"",IFERROR($D1268*INDEX(Mix_Eff,MATCH($C1268,Mix_Code,0),4),""))</f>
        <v/>
      </c>
      <c r="J1268" s="67" t="str">
        <f aca="false">IF(OR($C1268="",$D1268=""),"",IFERROR($D1268*INDEX(Mix_Eff,MATCH($C1268,Mix_Code,0),5),""))</f>
        <v/>
      </c>
      <c r="K1268" s="63"/>
      <c r="L1268" s="16" t="str">
        <f aca="false">IF(AND($A1268="",$B1268="",$C1268="",$D1268=""),"",IF($A1268="","⚠ Date missing",IF($B1268="","⚠ Site missing",IF(ISNA(MATCH($C1268,Mix_Code,0)),"⚠ Unknown mix code",IF($D1268="","⚠ Enter m3 produced",IF(COUNTIF(CI_Site,$B1268)=0,"⚠ Site not set up in Current Inventory",IF($A1268&gt;AsOfDate,"Future date – not yet deducted","OK")))))))</f>
        <v/>
      </c>
    </row>
    <row r="1269" customFormat="false" ht="15" hidden="false" customHeight="false" outlineLevel="0" collapsed="false">
      <c r="A1269" s="65"/>
      <c r="B1269" s="63"/>
      <c r="C1269" s="70"/>
      <c r="D1269" s="66"/>
      <c r="E1269" s="16" t="str">
        <f aca="false">IF($C1269="","",IFERROR(INDEX(Mix_Desc,MATCH($C1269,Mix_Code,0)),"⚠ Unknown mix code"))</f>
        <v/>
      </c>
      <c r="F1269" s="67" t="str">
        <f aca="false">IF(OR($C1269="",$D1269=""),"",IFERROR($D1269*INDEX(Mix_Eff,MATCH($C1269,Mix_Code,0),1),""))</f>
        <v/>
      </c>
      <c r="G1269" s="67" t="str">
        <f aca="false">IF(OR($C1269="",$D1269=""),"",IFERROR($D1269*INDEX(Mix_Eff,MATCH($C1269,Mix_Code,0),2),""))</f>
        <v/>
      </c>
      <c r="H1269" s="67" t="str">
        <f aca="false">IF(OR($C1269="",$D1269=""),"",IFERROR($D1269*INDEX(Mix_Eff,MATCH($C1269,Mix_Code,0),3),""))</f>
        <v/>
      </c>
      <c r="I1269" s="67" t="str">
        <f aca="false">IF(OR($C1269="",$D1269=""),"",IFERROR($D1269*INDEX(Mix_Eff,MATCH($C1269,Mix_Code,0),4),""))</f>
        <v/>
      </c>
      <c r="J1269" s="67" t="str">
        <f aca="false">IF(OR($C1269="",$D1269=""),"",IFERROR($D1269*INDEX(Mix_Eff,MATCH($C1269,Mix_Code,0),5),""))</f>
        <v/>
      </c>
      <c r="K1269" s="63"/>
      <c r="L1269" s="16" t="str">
        <f aca="false">IF(AND($A1269="",$B1269="",$C1269="",$D1269=""),"",IF($A1269="","⚠ Date missing",IF($B1269="","⚠ Site missing",IF(ISNA(MATCH($C1269,Mix_Code,0)),"⚠ Unknown mix code",IF($D1269="","⚠ Enter m3 produced",IF(COUNTIF(CI_Site,$B1269)=0,"⚠ Site not set up in Current Inventory",IF($A1269&gt;AsOfDate,"Future date – not yet deducted","OK")))))))</f>
        <v/>
      </c>
    </row>
    <row r="1270" customFormat="false" ht="15" hidden="false" customHeight="false" outlineLevel="0" collapsed="false">
      <c r="A1270" s="65"/>
      <c r="B1270" s="63"/>
      <c r="C1270" s="70"/>
      <c r="D1270" s="66"/>
      <c r="E1270" s="16" t="str">
        <f aca="false">IF($C1270="","",IFERROR(INDEX(Mix_Desc,MATCH($C1270,Mix_Code,0)),"⚠ Unknown mix code"))</f>
        <v/>
      </c>
      <c r="F1270" s="67" t="str">
        <f aca="false">IF(OR($C1270="",$D1270=""),"",IFERROR($D1270*INDEX(Mix_Eff,MATCH($C1270,Mix_Code,0),1),""))</f>
        <v/>
      </c>
      <c r="G1270" s="67" t="str">
        <f aca="false">IF(OR($C1270="",$D1270=""),"",IFERROR($D1270*INDEX(Mix_Eff,MATCH($C1270,Mix_Code,0),2),""))</f>
        <v/>
      </c>
      <c r="H1270" s="67" t="str">
        <f aca="false">IF(OR($C1270="",$D1270=""),"",IFERROR($D1270*INDEX(Mix_Eff,MATCH($C1270,Mix_Code,0),3),""))</f>
        <v/>
      </c>
      <c r="I1270" s="67" t="str">
        <f aca="false">IF(OR($C1270="",$D1270=""),"",IFERROR($D1270*INDEX(Mix_Eff,MATCH($C1270,Mix_Code,0),4),""))</f>
        <v/>
      </c>
      <c r="J1270" s="67" t="str">
        <f aca="false">IF(OR($C1270="",$D1270=""),"",IFERROR($D1270*INDEX(Mix_Eff,MATCH($C1270,Mix_Code,0),5),""))</f>
        <v/>
      </c>
      <c r="K1270" s="63"/>
      <c r="L1270" s="16" t="str">
        <f aca="false">IF(AND($A1270="",$B1270="",$C1270="",$D1270=""),"",IF($A1270="","⚠ Date missing",IF($B1270="","⚠ Site missing",IF(ISNA(MATCH($C1270,Mix_Code,0)),"⚠ Unknown mix code",IF($D1270="","⚠ Enter m3 produced",IF(COUNTIF(CI_Site,$B1270)=0,"⚠ Site not set up in Current Inventory",IF($A1270&gt;AsOfDate,"Future date – not yet deducted","OK")))))))</f>
        <v/>
      </c>
    </row>
    <row r="1271" customFormat="false" ht="15" hidden="false" customHeight="false" outlineLevel="0" collapsed="false">
      <c r="A1271" s="65"/>
      <c r="B1271" s="63"/>
      <c r="C1271" s="70"/>
      <c r="D1271" s="66"/>
      <c r="E1271" s="16" t="str">
        <f aca="false">IF($C1271="","",IFERROR(INDEX(Mix_Desc,MATCH($C1271,Mix_Code,0)),"⚠ Unknown mix code"))</f>
        <v/>
      </c>
      <c r="F1271" s="67" t="str">
        <f aca="false">IF(OR($C1271="",$D1271=""),"",IFERROR($D1271*INDEX(Mix_Eff,MATCH($C1271,Mix_Code,0),1),""))</f>
        <v/>
      </c>
      <c r="G1271" s="67" t="str">
        <f aca="false">IF(OR($C1271="",$D1271=""),"",IFERROR($D1271*INDEX(Mix_Eff,MATCH($C1271,Mix_Code,0),2),""))</f>
        <v/>
      </c>
      <c r="H1271" s="67" t="str">
        <f aca="false">IF(OR($C1271="",$D1271=""),"",IFERROR($D1271*INDEX(Mix_Eff,MATCH($C1271,Mix_Code,0),3),""))</f>
        <v/>
      </c>
      <c r="I1271" s="67" t="str">
        <f aca="false">IF(OR($C1271="",$D1271=""),"",IFERROR($D1271*INDEX(Mix_Eff,MATCH($C1271,Mix_Code,0),4),""))</f>
        <v/>
      </c>
      <c r="J1271" s="67" t="str">
        <f aca="false">IF(OR($C1271="",$D1271=""),"",IFERROR($D1271*INDEX(Mix_Eff,MATCH($C1271,Mix_Code,0),5),""))</f>
        <v/>
      </c>
      <c r="K1271" s="63"/>
      <c r="L1271" s="16" t="str">
        <f aca="false">IF(AND($A1271="",$B1271="",$C1271="",$D1271=""),"",IF($A1271="","⚠ Date missing",IF($B1271="","⚠ Site missing",IF(ISNA(MATCH($C1271,Mix_Code,0)),"⚠ Unknown mix code",IF($D1271="","⚠ Enter m3 produced",IF(COUNTIF(CI_Site,$B1271)=0,"⚠ Site not set up in Current Inventory",IF($A1271&gt;AsOfDate,"Future date – not yet deducted","OK")))))))</f>
        <v/>
      </c>
    </row>
    <row r="1272" customFormat="false" ht="15" hidden="false" customHeight="false" outlineLevel="0" collapsed="false">
      <c r="A1272" s="65"/>
      <c r="B1272" s="63"/>
      <c r="C1272" s="70"/>
      <c r="D1272" s="66"/>
      <c r="E1272" s="16" t="str">
        <f aca="false">IF($C1272="","",IFERROR(INDEX(Mix_Desc,MATCH($C1272,Mix_Code,0)),"⚠ Unknown mix code"))</f>
        <v/>
      </c>
      <c r="F1272" s="67" t="str">
        <f aca="false">IF(OR($C1272="",$D1272=""),"",IFERROR($D1272*INDEX(Mix_Eff,MATCH($C1272,Mix_Code,0),1),""))</f>
        <v/>
      </c>
      <c r="G1272" s="67" t="str">
        <f aca="false">IF(OR($C1272="",$D1272=""),"",IFERROR($D1272*INDEX(Mix_Eff,MATCH($C1272,Mix_Code,0),2),""))</f>
        <v/>
      </c>
      <c r="H1272" s="67" t="str">
        <f aca="false">IF(OR($C1272="",$D1272=""),"",IFERROR($D1272*INDEX(Mix_Eff,MATCH($C1272,Mix_Code,0),3),""))</f>
        <v/>
      </c>
      <c r="I1272" s="67" t="str">
        <f aca="false">IF(OR($C1272="",$D1272=""),"",IFERROR($D1272*INDEX(Mix_Eff,MATCH($C1272,Mix_Code,0),4),""))</f>
        <v/>
      </c>
      <c r="J1272" s="67" t="str">
        <f aca="false">IF(OR($C1272="",$D1272=""),"",IFERROR($D1272*INDEX(Mix_Eff,MATCH($C1272,Mix_Code,0),5),""))</f>
        <v/>
      </c>
      <c r="K1272" s="63"/>
      <c r="L1272" s="16" t="str">
        <f aca="false">IF(AND($A1272="",$B1272="",$C1272="",$D1272=""),"",IF($A1272="","⚠ Date missing",IF($B1272="","⚠ Site missing",IF(ISNA(MATCH($C1272,Mix_Code,0)),"⚠ Unknown mix code",IF($D1272="","⚠ Enter m3 produced",IF(COUNTIF(CI_Site,$B1272)=0,"⚠ Site not set up in Current Inventory",IF($A1272&gt;AsOfDate,"Future date – not yet deducted","OK")))))))</f>
        <v/>
      </c>
    </row>
    <row r="1273" customFormat="false" ht="15" hidden="false" customHeight="false" outlineLevel="0" collapsed="false">
      <c r="A1273" s="65"/>
      <c r="B1273" s="63"/>
      <c r="C1273" s="70"/>
      <c r="D1273" s="66"/>
      <c r="E1273" s="16" t="str">
        <f aca="false">IF($C1273="","",IFERROR(INDEX(Mix_Desc,MATCH($C1273,Mix_Code,0)),"⚠ Unknown mix code"))</f>
        <v/>
      </c>
      <c r="F1273" s="67" t="str">
        <f aca="false">IF(OR($C1273="",$D1273=""),"",IFERROR($D1273*INDEX(Mix_Eff,MATCH($C1273,Mix_Code,0),1),""))</f>
        <v/>
      </c>
      <c r="G1273" s="67" t="str">
        <f aca="false">IF(OR($C1273="",$D1273=""),"",IFERROR($D1273*INDEX(Mix_Eff,MATCH($C1273,Mix_Code,0),2),""))</f>
        <v/>
      </c>
      <c r="H1273" s="67" t="str">
        <f aca="false">IF(OR($C1273="",$D1273=""),"",IFERROR($D1273*INDEX(Mix_Eff,MATCH($C1273,Mix_Code,0),3),""))</f>
        <v/>
      </c>
      <c r="I1273" s="67" t="str">
        <f aca="false">IF(OR($C1273="",$D1273=""),"",IFERROR($D1273*INDEX(Mix_Eff,MATCH($C1273,Mix_Code,0),4),""))</f>
        <v/>
      </c>
      <c r="J1273" s="67" t="str">
        <f aca="false">IF(OR($C1273="",$D1273=""),"",IFERROR($D1273*INDEX(Mix_Eff,MATCH($C1273,Mix_Code,0),5),""))</f>
        <v/>
      </c>
      <c r="K1273" s="63"/>
      <c r="L1273" s="16" t="str">
        <f aca="false">IF(AND($A1273="",$B1273="",$C1273="",$D1273=""),"",IF($A1273="","⚠ Date missing",IF($B1273="","⚠ Site missing",IF(ISNA(MATCH($C1273,Mix_Code,0)),"⚠ Unknown mix code",IF($D1273="","⚠ Enter m3 produced",IF(COUNTIF(CI_Site,$B1273)=0,"⚠ Site not set up in Current Inventory",IF($A1273&gt;AsOfDate,"Future date – not yet deducted","OK")))))))</f>
        <v/>
      </c>
    </row>
    <row r="1274" customFormat="false" ht="15" hidden="false" customHeight="false" outlineLevel="0" collapsed="false">
      <c r="A1274" s="65"/>
      <c r="B1274" s="63"/>
      <c r="C1274" s="70"/>
      <c r="D1274" s="66"/>
      <c r="E1274" s="16" t="str">
        <f aca="false">IF($C1274="","",IFERROR(INDEX(Mix_Desc,MATCH($C1274,Mix_Code,0)),"⚠ Unknown mix code"))</f>
        <v/>
      </c>
      <c r="F1274" s="67" t="str">
        <f aca="false">IF(OR($C1274="",$D1274=""),"",IFERROR($D1274*INDEX(Mix_Eff,MATCH($C1274,Mix_Code,0),1),""))</f>
        <v/>
      </c>
      <c r="G1274" s="67" t="str">
        <f aca="false">IF(OR($C1274="",$D1274=""),"",IFERROR($D1274*INDEX(Mix_Eff,MATCH($C1274,Mix_Code,0),2),""))</f>
        <v/>
      </c>
      <c r="H1274" s="67" t="str">
        <f aca="false">IF(OR($C1274="",$D1274=""),"",IFERROR($D1274*INDEX(Mix_Eff,MATCH($C1274,Mix_Code,0),3),""))</f>
        <v/>
      </c>
      <c r="I1274" s="67" t="str">
        <f aca="false">IF(OR($C1274="",$D1274=""),"",IFERROR($D1274*INDEX(Mix_Eff,MATCH($C1274,Mix_Code,0),4),""))</f>
        <v/>
      </c>
      <c r="J1274" s="67" t="str">
        <f aca="false">IF(OR($C1274="",$D1274=""),"",IFERROR($D1274*INDEX(Mix_Eff,MATCH($C1274,Mix_Code,0),5),""))</f>
        <v/>
      </c>
      <c r="K1274" s="63"/>
      <c r="L1274" s="16" t="str">
        <f aca="false">IF(AND($A1274="",$B1274="",$C1274="",$D1274=""),"",IF($A1274="","⚠ Date missing",IF($B1274="","⚠ Site missing",IF(ISNA(MATCH($C1274,Mix_Code,0)),"⚠ Unknown mix code",IF($D1274="","⚠ Enter m3 produced",IF(COUNTIF(CI_Site,$B1274)=0,"⚠ Site not set up in Current Inventory",IF($A1274&gt;AsOfDate,"Future date – not yet deducted","OK")))))))</f>
        <v/>
      </c>
    </row>
    <row r="1275" customFormat="false" ht="15" hidden="false" customHeight="false" outlineLevel="0" collapsed="false">
      <c r="A1275" s="65"/>
      <c r="B1275" s="63"/>
      <c r="C1275" s="70"/>
      <c r="D1275" s="66"/>
      <c r="E1275" s="16" t="str">
        <f aca="false">IF($C1275="","",IFERROR(INDEX(Mix_Desc,MATCH($C1275,Mix_Code,0)),"⚠ Unknown mix code"))</f>
        <v/>
      </c>
      <c r="F1275" s="67" t="str">
        <f aca="false">IF(OR($C1275="",$D1275=""),"",IFERROR($D1275*INDEX(Mix_Eff,MATCH($C1275,Mix_Code,0),1),""))</f>
        <v/>
      </c>
      <c r="G1275" s="67" t="str">
        <f aca="false">IF(OR($C1275="",$D1275=""),"",IFERROR($D1275*INDEX(Mix_Eff,MATCH($C1275,Mix_Code,0),2),""))</f>
        <v/>
      </c>
      <c r="H1275" s="67" t="str">
        <f aca="false">IF(OR($C1275="",$D1275=""),"",IFERROR($D1275*INDEX(Mix_Eff,MATCH($C1275,Mix_Code,0),3),""))</f>
        <v/>
      </c>
      <c r="I1275" s="67" t="str">
        <f aca="false">IF(OR($C1275="",$D1275=""),"",IFERROR($D1275*INDEX(Mix_Eff,MATCH($C1275,Mix_Code,0),4),""))</f>
        <v/>
      </c>
      <c r="J1275" s="67" t="str">
        <f aca="false">IF(OR($C1275="",$D1275=""),"",IFERROR($D1275*INDEX(Mix_Eff,MATCH($C1275,Mix_Code,0),5),""))</f>
        <v/>
      </c>
      <c r="K1275" s="63"/>
      <c r="L1275" s="16" t="str">
        <f aca="false">IF(AND($A1275="",$B1275="",$C1275="",$D1275=""),"",IF($A1275="","⚠ Date missing",IF($B1275="","⚠ Site missing",IF(ISNA(MATCH($C1275,Mix_Code,0)),"⚠ Unknown mix code",IF($D1275="","⚠ Enter m3 produced",IF(COUNTIF(CI_Site,$B1275)=0,"⚠ Site not set up in Current Inventory",IF($A1275&gt;AsOfDate,"Future date – not yet deducted","OK")))))))</f>
        <v/>
      </c>
    </row>
    <row r="1276" customFormat="false" ht="15" hidden="false" customHeight="false" outlineLevel="0" collapsed="false">
      <c r="A1276" s="65"/>
      <c r="B1276" s="63"/>
      <c r="C1276" s="70"/>
      <c r="D1276" s="66"/>
      <c r="E1276" s="16" t="str">
        <f aca="false">IF($C1276="","",IFERROR(INDEX(Mix_Desc,MATCH($C1276,Mix_Code,0)),"⚠ Unknown mix code"))</f>
        <v/>
      </c>
      <c r="F1276" s="67" t="str">
        <f aca="false">IF(OR($C1276="",$D1276=""),"",IFERROR($D1276*INDEX(Mix_Eff,MATCH($C1276,Mix_Code,0),1),""))</f>
        <v/>
      </c>
      <c r="G1276" s="67" t="str">
        <f aca="false">IF(OR($C1276="",$D1276=""),"",IFERROR($D1276*INDEX(Mix_Eff,MATCH($C1276,Mix_Code,0),2),""))</f>
        <v/>
      </c>
      <c r="H1276" s="67" t="str">
        <f aca="false">IF(OR($C1276="",$D1276=""),"",IFERROR($D1276*INDEX(Mix_Eff,MATCH($C1276,Mix_Code,0),3),""))</f>
        <v/>
      </c>
      <c r="I1276" s="67" t="str">
        <f aca="false">IF(OR($C1276="",$D1276=""),"",IFERROR($D1276*INDEX(Mix_Eff,MATCH($C1276,Mix_Code,0),4),""))</f>
        <v/>
      </c>
      <c r="J1276" s="67" t="str">
        <f aca="false">IF(OR($C1276="",$D1276=""),"",IFERROR($D1276*INDEX(Mix_Eff,MATCH($C1276,Mix_Code,0),5),""))</f>
        <v/>
      </c>
      <c r="K1276" s="63"/>
      <c r="L1276" s="16" t="str">
        <f aca="false">IF(AND($A1276="",$B1276="",$C1276="",$D1276=""),"",IF($A1276="","⚠ Date missing",IF($B1276="","⚠ Site missing",IF(ISNA(MATCH($C1276,Mix_Code,0)),"⚠ Unknown mix code",IF($D1276="","⚠ Enter m3 produced",IF(COUNTIF(CI_Site,$B1276)=0,"⚠ Site not set up in Current Inventory",IF($A1276&gt;AsOfDate,"Future date – not yet deducted","OK")))))))</f>
        <v/>
      </c>
    </row>
    <row r="1277" customFormat="false" ht="15" hidden="false" customHeight="false" outlineLevel="0" collapsed="false">
      <c r="A1277" s="65"/>
      <c r="B1277" s="63"/>
      <c r="C1277" s="70"/>
      <c r="D1277" s="66"/>
      <c r="E1277" s="16" t="str">
        <f aca="false">IF($C1277="","",IFERROR(INDEX(Mix_Desc,MATCH($C1277,Mix_Code,0)),"⚠ Unknown mix code"))</f>
        <v/>
      </c>
      <c r="F1277" s="67" t="str">
        <f aca="false">IF(OR($C1277="",$D1277=""),"",IFERROR($D1277*INDEX(Mix_Eff,MATCH($C1277,Mix_Code,0),1),""))</f>
        <v/>
      </c>
      <c r="G1277" s="67" t="str">
        <f aca="false">IF(OR($C1277="",$D1277=""),"",IFERROR($D1277*INDEX(Mix_Eff,MATCH($C1277,Mix_Code,0),2),""))</f>
        <v/>
      </c>
      <c r="H1277" s="67" t="str">
        <f aca="false">IF(OR($C1277="",$D1277=""),"",IFERROR($D1277*INDEX(Mix_Eff,MATCH($C1277,Mix_Code,0),3),""))</f>
        <v/>
      </c>
      <c r="I1277" s="67" t="str">
        <f aca="false">IF(OR($C1277="",$D1277=""),"",IFERROR($D1277*INDEX(Mix_Eff,MATCH($C1277,Mix_Code,0),4),""))</f>
        <v/>
      </c>
      <c r="J1277" s="67" t="str">
        <f aca="false">IF(OR($C1277="",$D1277=""),"",IFERROR($D1277*INDEX(Mix_Eff,MATCH($C1277,Mix_Code,0),5),""))</f>
        <v/>
      </c>
      <c r="K1277" s="63"/>
      <c r="L1277" s="16" t="str">
        <f aca="false">IF(AND($A1277="",$B1277="",$C1277="",$D1277=""),"",IF($A1277="","⚠ Date missing",IF($B1277="","⚠ Site missing",IF(ISNA(MATCH($C1277,Mix_Code,0)),"⚠ Unknown mix code",IF($D1277="","⚠ Enter m3 produced",IF(COUNTIF(CI_Site,$B1277)=0,"⚠ Site not set up in Current Inventory",IF($A1277&gt;AsOfDate,"Future date – not yet deducted","OK")))))))</f>
        <v/>
      </c>
    </row>
    <row r="1278" customFormat="false" ht="15" hidden="false" customHeight="false" outlineLevel="0" collapsed="false">
      <c r="A1278" s="65"/>
      <c r="B1278" s="63"/>
      <c r="C1278" s="70"/>
      <c r="D1278" s="66"/>
      <c r="E1278" s="16" t="str">
        <f aca="false">IF($C1278="","",IFERROR(INDEX(Mix_Desc,MATCH($C1278,Mix_Code,0)),"⚠ Unknown mix code"))</f>
        <v/>
      </c>
      <c r="F1278" s="67" t="str">
        <f aca="false">IF(OR($C1278="",$D1278=""),"",IFERROR($D1278*INDEX(Mix_Eff,MATCH($C1278,Mix_Code,0),1),""))</f>
        <v/>
      </c>
      <c r="G1278" s="67" t="str">
        <f aca="false">IF(OR($C1278="",$D1278=""),"",IFERROR($D1278*INDEX(Mix_Eff,MATCH($C1278,Mix_Code,0),2),""))</f>
        <v/>
      </c>
      <c r="H1278" s="67" t="str">
        <f aca="false">IF(OR($C1278="",$D1278=""),"",IFERROR($D1278*INDEX(Mix_Eff,MATCH($C1278,Mix_Code,0),3),""))</f>
        <v/>
      </c>
      <c r="I1278" s="67" t="str">
        <f aca="false">IF(OR($C1278="",$D1278=""),"",IFERROR($D1278*INDEX(Mix_Eff,MATCH($C1278,Mix_Code,0),4),""))</f>
        <v/>
      </c>
      <c r="J1278" s="67" t="str">
        <f aca="false">IF(OR($C1278="",$D1278=""),"",IFERROR($D1278*INDEX(Mix_Eff,MATCH($C1278,Mix_Code,0),5),""))</f>
        <v/>
      </c>
      <c r="K1278" s="63"/>
      <c r="L1278" s="16" t="str">
        <f aca="false">IF(AND($A1278="",$B1278="",$C1278="",$D1278=""),"",IF($A1278="","⚠ Date missing",IF($B1278="","⚠ Site missing",IF(ISNA(MATCH($C1278,Mix_Code,0)),"⚠ Unknown mix code",IF($D1278="","⚠ Enter m3 produced",IF(COUNTIF(CI_Site,$B1278)=0,"⚠ Site not set up in Current Inventory",IF($A1278&gt;AsOfDate,"Future date – not yet deducted","OK")))))))</f>
        <v/>
      </c>
    </row>
    <row r="1279" customFormat="false" ht="15" hidden="false" customHeight="false" outlineLevel="0" collapsed="false">
      <c r="A1279" s="65"/>
      <c r="B1279" s="63"/>
      <c r="C1279" s="70"/>
      <c r="D1279" s="66"/>
      <c r="E1279" s="16" t="str">
        <f aca="false">IF($C1279="","",IFERROR(INDEX(Mix_Desc,MATCH($C1279,Mix_Code,0)),"⚠ Unknown mix code"))</f>
        <v/>
      </c>
      <c r="F1279" s="67" t="str">
        <f aca="false">IF(OR($C1279="",$D1279=""),"",IFERROR($D1279*INDEX(Mix_Eff,MATCH($C1279,Mix_Code,0),1),""))</f>
        <v/>
      </c>
      <c r="G1279" s="67" t="str">
        <f aca="false">IF(OR($C1279="",$D1279=""),"",IFERROR($D1279*INDEX(Mix_Eff,MATCH($C1279,Mix_Code,0),2),""))</f>
        <v/>
      </c>
      <c r="H1279" s="67" t="str">
        <f aca="false">IF(OR($C1279="",$D1279=""),"",IFERROR($D1279*INDEX(Mix_Eff,MATCH($C1279,Mix_Code,0),3),""))</f>
        <v/>
      </c>
      <c r="I1279" s="67" t="str">
        <f aca="false">IF(OR($C1279="",$D1279=""),"",IFERROR($D1279*INDEX(Mix_Eff,MATCH($C1279,Mix_Code,0),4),""))</f>
        <v/>
      </c>
      <c r="J1279" s="67" t="str">
        <f aca="false">IF(OR($C1279="",$D1279=""),"",IFERROR($D1279*INDEX(Mix_Eff,MATCH($C1279,Mix_Code,0),5),""))</f>
        <v/>
      </c>
      <c r="K1279" s="63"/>
      <c r="L1279" s="16" t="str">
        <f aca="false">IF(AND($A1279="",$B1279="",$C1279="",$D1279=""),"",IF($A1279="","⚠ Date missing",IF($B1279="","⚠ Site missing",IF(ISNA(MATCH($C1279,Mix_Code,0)),"⚠ Unknown mix code",IF($D1279="","⚠ Enter m3 produced",IF(COUNTIF(CI_Site,$B1279)=0,"⚠ Site not set up in Current Inventory",IF($A1279&gt;AsOfDate,"Future date – not yet deducted","OK")))))))</f>
        <v/>
      </c>
    </row>
    <row r="1280" customFormat="false" ht="15" hidden="false" customHeight="false" outlineLevel="0" collapsed="false">
      <c r="A1280" s="65"/>
      <c r="B1280" s="63"/>
      <c r="C1280" s="70"/>
      <c r="D1280" s="66"/>
      <c r="E1280" s="16" t="str">
        <f aca="false">IF($C1280="","",IFERROR(INDEX(Mix_Desc,MATCH($C1280,Mix_Code,0)),"⚠ Unknown mix code"))</f>
        <v/>
      </c>
      <c r="F1280" s="67" t="str">
        <f aca="false">IF(OR($C1280="",$D1280=""),"",IFERROR($D1280*INDEX(Mix_Eff,MATCH($C1280,Mix_Code,0),1),""))</f>
        <v/>
      </c>
      <c r="G1280" s="67" t="str">
        <f aca="false">IF(OR($C1280="",$D1280=""),"",IFERROR($D1280*INDEX(Mix_Eff,MATCH($C1280,Mix_Code,0),2),""))</f>
        <v/>
      </c>
      <c r="H1280" s="67" t="str">
        <f aca="false">IF(OR($C1280="",$D1280=""),"",IFERROR($D1280*INDEX(Mix_Eff,MATCH($C1280,Mix_Code,0),3),""))</f>
        <v/>
      </c>
      <c r="I1280" s="67" t="str">
        <f aca="false">IF(OR($C1280="",$D1280=""),"",IFERROR($D1280*INDEX(Mix_Eff,MATCH($C1280,Mix_Code,0),4),""))</f>
        <v/>
      </c>
      <c r="J1280" s="67" t="str">
        <f aca="false">IF(OR($C1280="",$D1280=""),"",IFERROR($D1280*INDEX(Mix_Eff,MATCH($C1280,Mix_Code,0),5),""))</f>
        <v/>
      </c>
      <c r="K1280" s="63"/>
      <c r="L1280" s="16" t="str">
        <f aca="false">IF(AND($A1280="",$B1280="",$C1280="",$D1280=""),"",IF($A1280="","⚠ Date missing",IF($B1280="","⚠ Site missing",IF(ISNA(MATCH($C1280,Mix_Code,0)),"⚠ Unknown mix code",IF($D1280="","⚠ Enter m3 produced",IF(COUNTIF(CI_Site,$B1280)=0,"⚠ Site not set up in Current Inventory",IF($A1280&gt;AsOfDate,"Future date – not yet deducted","OK")))))))</f>
        <v/>
      </c>
    </row>
    <row r="1281" customFormat="false" ht="15" hidden="false" customHeight="false" outlineLevel="0" collapsed="false">
      <c r="A1281" s="65"/>
      <c r="B1281" s="63"/>
      <c r="C1281" s="70"/>
      <c r="D1281" s="66"/>
      <c r="E1281" s="16" t="str">
        <f aca="false">IF($C1281="","",IFERROR(INDEX(Mix_Desc,MATCH($C1281,Mix_Code,0)),"⚠ Unknown mix code"))</f>
        <v/>
      </c>
      <c r="F1281" s="67" t="str">
        <f aca="false">IF(OR($C1281="",$D1281=""),"",IFERROR($D1281*INDEX(Mix_Eff,MATCH($C1281,Mix_Code,0),1),""))</f>
        <v/>
      </c>
      <c r="G1281" s="67" t="str">
        <f aca="false">IF(OR($C1281="",$D1281=""),"",IFERROR($D1281*INDEX(Mix_Eff,MATCH($C1281,Mix_Code,0),2),""))</f>
        <v/>
      </c>
      <c r="H1281" s="67" t="str">
        <f aca="false">IF(OR($C1281="",$D1281=""),"",IFERROR($D1281*INDEX(Mix_Eff,MATCH($C1281,Mix_Code,0),3),""))</f>
        <v/>
      </c>
      <c r="I1281" s="67" t="str">
        <f aca="false">IF(OR($C1281="",$D1281=""),"",IFERROR($D1281*INDEX(Mix_Eff,MATCH($C1281,Mix_Code,0),4),""))</f>
        <v/>
      </c>
      <c r="J1281" s="67" t="str">
        <f aca="false">IF(OR($C1281="",$D1281=""),"",IFERROR($D1281*INDEX(Mix_Eff,MATCH($C1281,Mix_Code,0),5),""))</f>
        <v/>
      </c>
      <c r="K1281" s="63"/>
      <c r="L1281" s="16" t="str">
        <f aca="false">IF(AND($A1281="",$B1281="",$C1281="",$D1281=""),"",IF($A1281="","⚠ Date missing",IF($B1281="","⚠ Site missing",IF(ISNA(MATCH($C1281,Mix_Code,0)),"⚠ Unknown mix code",IF($D1281="","⚠ Enter m3 produced",IF(COUNTIF(CI_Site,$B1281)=0,"⚠ Site not set up in Current Inventory",IF($A1281&gt;AsOfDate,"Future date – not yet deducted","OK")))))))</f>
        <v/>
      </c>
    </row>
    <row r="1282" customFormat="false" ht="15" hidden="false" customHeight="false" outlineLevel="0" collapsed="false">
      <c r="A1282" s="65"/>
      <c r="B1282" s="63"/>
      <c r="C1282" s="70"/>
      <c r="D1282" s="66"/>
      <c r="E1282" s="16" t="str">
        <f aca="false">IF($C1282="","",IFERROR(INDEX(Mix_Desc,MATCH($C1282,Mix_Code,0)),"⚠ Unknown mix code"))</f>
        <v/>
      </c>
      <c r="F1282" s="67" t="str">
        <f aca="false">IF(OR($C1282="",$D1282=""),"",IFERROR($D1282*INDEX(Mix_Eff,MATCH($C1282,Mix_Code,0),1),""))</f>
        <v/>
      </c>
      <c r="G1282" s="67" t="str">
        <f aca="false">IF(OR($C1282="",$D1282=""),"",IFERROR($D1282*INDEX(Mix_Eff,MATCH($C1282,Mix_Code,0),2),""))</f>
        <v/>
      </c>
      <c r="H1282" s="67" t="str">
        <f aca="false">IF(OR($C1282="",$D1282=""),"",IFERROR($D1282*INDEX(Mix_Eff,MATCH($C1282,Mix_Code,0),3),""))</f>
        <v/>
      </c>
      <c r="I1282" s="67" t="str">
        <f aca="false">IF(OR($C1282="",$D1282=""),"",IFERROR($D1282*INDEX(Mix_Eff,MATCH($C1282,Mix_Code,0),4),""))</f>
        <v/>
      </c>
      <c r="J1282" s="67" t="str">
        <f aca="false">IF(OR($C1282="",$D1282=""),"",IFERROR($D1282*INDEX(Mix_Eff,MATCH($C1282,Mix_Code,0),5),""))</f>
        <v/>
      </c>
      <c r="K1282" s="63"/>
      <c r="L1282" s="16" t="str">
        <f aca="false">IF(AND($A1282="",$B1282="",$C1282="",$D1282=""),"",IF($A1282="","⚠ Date missing",IF($B1282="","⚠ Site missing",IF(ISNA(MATCH($C1282,Mix_Code,0)),"⚠ Unknown mix code",IF($D1282="","⚠ Enter m3 produced",IF(COUNTIF(CI_Site,$B1282)=0,"⚠ Site not set up in Current Inventory",IF($A1282&gt;AsOfDate,"Future date – not yet deducted","OK")))))))</f>
        <v/>
      </c>
    </row>
    <row r="1283" customFormat="false" ht="15" hidden="false" customHeight="false" outlineLevel="0" collapsed="false">
      <c r="A1283" s="65"/>
      <c r="B1283" s="63"/>
      <c r="C1283" s="70"/>
      <c r="D1283" s="66"/>
      <c r="E1283" s="16" t="str">
        <f aca="false">IF($C1283="","",IFERROR(INDEX(Mix_Desc,MATCH($C1283,Mix_Code,0)),"⚠ Unknown mix code"))</f>
        <v/>
      </c>
      <c r="F1283" s="67" t="str">
        <f aca="false">IF(OR($C1283="",$D1283=""),"",IFERROR($D1283*INDEX(Mix_Eff,MATCH($C1283,Mix_Code,0),1),""))</f>
        <v/>
      </c>
      <c r="G1283" s="67" t="str">
        <f aca="false">IF(OR($C1283="",$D1283=""),"",IFERROR($D1283*INDEX(Mix_Eff,MATCH($C1283,Mix_Code,0),2),""))</f>
        <v/>
      </c>
      <c r="H1283" s="67" t="str">
        <f aca="false">IF(OR($C1283="",$D1283=""),"",IFERROR($D1283*INDEX(Mix_Eff,MATCH($C1283,Mix_Code,0),3),""))</f>
        <v/>
      </c>
      <c r="I1283" s="67" t="str">
        <f aca="false">IF(OR($C1283="",$D1283=""),"",IFERROR($D1283*INDEX(Mix_Eff,MATCH($C1283,Mix_Code,0),4),""))</f>
        <v/>
      </c>
      <c r="J1283" s="67" t="str">
        <f aca="false">IF(OR($C1283="",$D1283=""),"",IFERROR($D1283*INDEX(Mix_Eff,MATCH($C1283,Mix_Code,0),5),""))</f>
        <v/>
      </c>
      <c r="K1283" s="63"/>
      <c r="L1283" s="16" t="str">
        <f aca="false">IF(AND($A1283="",$B1283="",$C1283="",$D1283=""),"",IF($A1283="","⚠ Date missing",IF($B1283="","⚠ Site missing",IF(ISNA(MATCH($C1283,Mix_Code,0)),"⚠ Unknown mix code",IF($D1283="","⚠ Enter m3 produced",IF(COUNTIF(CI_Site,$B1283)=0,"⚠ Site not set up in Current Inventory",IF($A1283&gt;AsOfDate,"Future date – not yet deducted","OK")))))))</f>
        <v/>
      </c>
    </row>
    <row r="1284" customFormat="false" ht="15" hidden="false" customHeight="false" outlineLevel="0" collapsed="false">
      <c r="A1284" s="65"/>
      <c r="B1284" s="63"/>
      <c r="C1284" s="70"/>
      <c r="D1284" s="66"/>
      <c r="E1284" s="16" t="str">
        <f aca="false">IF($C1284="","",IFERROR(INDEX(Mix_Desc,MATCH($C1284,Mix_Code,0)),"⚠ Unknown mix code"))</f>
        <v/>
      </c>
      <c r="F1284" s="67" t="str">
        <f aca="false">IF(OR($C1284="",$D1284=""),"",IFERROR($D1284*INDEX(Mix_Eff,MATCH($C1284,Mix_Code,0),1),""))</f>
        <v/>
      </c>
      <c r="G1284" s="67" t="str">
        <f aca="false">IF(OR($C1284="",$D1284=""),"",IFERROR($D1284*INDEX(Mix_Eff,MATCH($C1284,Mix_Code,0),2),""))</f>
        <v/>
      </c>
      <c r="H1284" s="67" t="str">
        <f aca="false">IF(OR($C1284="",$D1284=""),"",IFERROR($D1284*INDEX(Mix_Eff,MATCH($C1284,Mix_Code,0),3),""))</f>
        <v/>
      </c>
      <c r="I1284" s="67" t="str">
        <f aca="false">IF(OR($C1284="",$D1284=""),"",IFERROR($D1284*INDEX(Mix_Eff,MATCH($C1284,Mix_Code,0),4),""))</f>
        <v/>
      </c>
      <c r="J1284" s="67" t="str">
        <f aca="false">IF(OR($C1284="",$D1284=""),"",IFERROR($D1284*INDEX(Mix_Eff,MATCH($C1284,Mix_Code,0),5),""))</f>
        <v/>
      </c>
      <c r="K1284" s="63"/>
      <c r="L1284" s="16" t="str">
        <f aca="false">IF(AND($A1284="",$B1284="",$C1284="",$D1284=""),"",IF($A1284="","⚠ Date missing",IF($B1284="","⚠ Site missing",IF(ISNA(MATCH($C1284,Mix_Code,0)),"⚠ Unknown mix code",IF($D1284="","⚠ Enter m3 produced",IF(COUNTIF(CI_Site,$B1284)=0,"⚠ Site not set up in Current Inventory",IF($A1284&gt;AsOfDate,"Future date – not yet deducted","OK")))))))</f>
        <v/>
      </c>
    </row>
    <row r="1285" customFormat="false" ht="15" hidden="false" customHeight="false" outlineLevel="0" collapsed="false">
      <c r="A1285" s="65"/>
      <c r="B1285" s="63"/>
      <c r="C1285" s="70"/>
      <c r="D1285" s="66"/>
      <c r="E1285" s="16" t="str">
        <f aca="false">IF($C1285="","",IFERROR(INDEX(Mix_Desc,MATCH($C1285,Mix_Code,0)),"⚠ Unknown mix code"))</f>
        <v/>
      </c>
      <c r="F1285" s="67" t="str">
        <f aca="false">IF(OR($C1285="",$D1285=""),"",IFERROR($D1285*INDEX(Mix_Eff,MATCH($C1285,Mix_Code,0),1),""))</f>
        <v/>
      </c>
      <c r="G1285" s="67" t="str">
        <f aca="false">IF(OR($C1285="",$D1285=""),"",IFERROR($D1285*INDEX(Mix_Eff,MATCH($C1285,Mix_Code,0),2),""))</f>
        <v/>
      </c>
      <c r="H1285" s="67" t="str">
        <f aca="false">IF(OR($C1285="",$D1285=""),"",IFERROR($D1285*INDEX(Mix_Eff,MATCH($C1285,Mix_Code,0),3),""))</f>
        <v/>
      </c>
      <c r="I1285" s="67" t="str">
        <f aca="false">IF(OR($C1285="",$D1285=""),"",IFERROR($D1285*INDEX(Mix_Eff,MATCH($C1285,Mix_Code,0),4),""))</f>
        <v/>
      </c>
      <c r="J1285" s="67" t="str">
        <f aca="false">IF(OR($C1285="",$D1285=""),"",IFERROR($D1285*INDEX(Mix_Eff,MATCH($C1285,Mix_Code,0),5),""))</f>
        <v/>
      </c>
      <c r="K1285" s="63"/>
      <c r="L1285" s="16" t="str">
        <f aca="false">IF(AND($A1285="",$B1285="",$C1285="",$D1285=""),"",IF($A1285="","⚠ Date missing",IF($B1285="","⚠ Site missing",IF(ISNA(MATCH($C1285,Mix_Code,0)),"⚠ Unknown mix code",IF($D1285="","⚠ Enter m3 produced",IF(COUNTIF(CI_Site,$B1285)=0,"⚠ Site not set up in Current Inventory",IF($A1285&gt;AsOfDate,"Future date – not yet deducted","OK")))))))</f>
        <v/>
      </c>
    </row>
    <row r="1286" customFormat="false" ht="15" hidden="false" customHeight="false" outlineLevel="0" collapsed="false">
      <c r="A1286" s="65"/>
      <c r="B1286" s="63"/>
      <c r="C1286" s="70"/>
      <c r="D1286" s="66"/>
      <c r="E1286" s="16" t="str">
        <f aca="false">IF($C1286="","",IFERROR(INDEX(Mix_Desc,MATCH($C1286,Mix_Code,0)),"⚠ Unknown mix code"))</f>
        <v/>
      </c>
      <c r="F1286" s="67" t="str">
        <f aca="false">IF(OR($C1286="",$D1286=""),"",IFERROR($D1286*INDEX(Mix_Eff,MATCH($C1286,Mix_Code,0),1),""))</f>
        <v/>
      </c>
      <c r="G1286" s="67" t="str">
        <f aca="false">IF(OR($C1286="",$D1286=""),"",IFERROR($D1286*INDEX(Mix_Eff,MATCH($C1286,Mix_Code,0),2),""))</f>
        <v/>
      </c>
      <c r="H1286" s="67" t="str">
        <f aca="false">IF(OR($C1286="",$D1286=""),"",IFERROR($D1286*INDEX(Mix_Eff,MATCH($C1286,Mix_Code,0),3),""))</f>
        <v/>
      </c>
      <c r="I1286" s="67" t="str">
        <f aca="false">IF(OR($C1286="",$D1286=""),"",IFERROR($D1286*INDEX(Mix_Eff,MATCH($C1286,Mix_Code,0),4),""))</f>
        <v/>
      </c>
      <c r="J1286" s="67" t="str">
        <f aca="false">IF(OR($C1286="",$D1286=""),"",IFERROR($D1286*INDEX(Mix_Eff,MATCH($C1286,Mix_Code,0),5),""))</f>
        <v/>
      </c>
      <c r="K1286" s="63"/>
      <c r="L1286" s="16" t="str">
        <f aca="false">IF(AND($A1286="",$B1286="",$C1286="",$D1286=""),"",IF($A1286="","⚠ Date missing",IF($B1286="","⚠ Site missing",IF(ISNA(MATCH($C1286,Mix_Code,0)),"⚠ Unknown mix code",IF($D1286="","⚠ Enter m3 produced",IF(COUNTIF(CI_Site,$B1286)=0,"⚠ Site not set up in Current Inventory",IF($A1286&gt;AsOfDate,"Future date – not yet deducted","OK")))))))</f>
        <v/>
      </c>
    </row>
    <row r="1287" customFormat="false" ht="15" hidden="false" customHeight="false" outlineLevel="0" collapsed="false">
      <c r="A1287" s="65"/>
      <c r="B1287" s="63"/>
      <c r="C1287" s="70"/>
      <c r="D1287" s="66"/>
      <c r="E1287" s="16" t="str">
        <f aca="false">IF($C1287="","",IFERROR(INDEX(Mix_Desc,MATCH($C1287,Mix_Code,0)),"⚠ Unknown mix code"))</f>
        <v/>
      </c>
      <c r="F1287" s="67" t="str">
        <f aca="false">IF(OR($C1287="",$D1287=""),"",IFERROR($D1287*INDEX(Mix_Eff,MATCH($C1287,Mix_Code,0),1),""))</f>
        <v/>
      </c>
      <c r="G1287" s="67" t="str">
        <f aca="false">IF(OR($C1287="",$D1287=""),"",IFERROR($D1287*INDEX(Mix_Eff,MATCH($C1287,Mix_Code,0),2),""))</f>
        <v/>
      </c>
      <c r="H1287" s="67" t="str">
        <f aca="false">IF(OR($C1287="",$D1287=""),"",IFERROR($D1287*INDEX(Mix_Eff,MATCH($C1287,Mix_Code,0),3),""))</f>
        <v/>
      </c>
      <c r="I1287" s="67" t="str">
        <f aca="false">IF(OR($C1287="",$D1287=""),"",IFERROR($D1287*INDEX(Mix_Eff,MATCH($C1287,Mix_Code,0),4),""))</f>
        <v/>
      </c>
      <c r="J1287" s="67" t="str">
        <f aca="false">IF(OR($C1287="",$D1287=""),"",IFERROR($D1287*INDEX(Mix_Eff,MATCH($C1287,Mix_Code,0),5),""))</f>
        <v/>
      </c>
      <c r="K1287" s="63"/>
      <c r="L1287" s="16" t="str">
        <f aca="false">IF(AND($A1287="",$B1287="",$C1287="",$D1287=""),"",IF($A1287="","⚠ Date missing",IF($B1287="","⚠ Site missing",IF(ISNA(MATCH($C1287,Mix_Code,0)),"⚠ Unknown mix code",IF($D1287="","⚠ Enter m3 produced",IF(COUNTIF(CI_Site,$B1287)=0,"⚠ Site not set up in Current Inventory",IF($A1287&gt;AsOfDate,"Future date – not yet deducted","OK")))))))</f>
        <v/>
      </c>
    </row>
    <row r="1288" customFormat="false" ht="15" hidden="false" customHeight="false" outlineLevel="0" collapsed="false">
      <c r="A1288" s="65"/>
      <c r="B1288" s="63"/>
      <c r="C1288" s="70"/>
      <c r="D1288" s="66"/>
      <c r="E1288" s="16" t="str">
        <f aca="false">IF($C1288="","",IFERROR(INDEX(Mix_Desc,MATCH($C1288,Mix_Code,0)),"⚠ Unknown mix code"))</f>
        <v/>
      </c>
      <c r="F1288" s="67" t="str">
        <f aca="false">IF(OR($C1288="",$D1288=""),"",IFERROR($D1288*INDEX(Mix_Eff,MATCH($C1288,Mix_Code,0),1),""))</f>
        <v/>
      </c>
      <c r="G1288" s="67" t="str">
        <f aca="false">IF(OR($C1288="",$D1288=""),"",IFERROR($D1288*INDEX(Mix_Eff,MATCH($C1288,Mix_Code,0),2),""))</f>
        <v/>
      </c>
      <c r="H1288" s="67" t="str">
        <f aca="false">IF(OR($C1288="",$D1288=""),"",IFERROR($D1288*INDEX(Mix_Eff,MATCH($C1288,Mix_Code,0),3),""))</f>
        <v/>
      </c>
      <c r="I1288" s="67" t="str">
        <f aca="false">IF(OR($C1288="",$D1288=""),"",IFERROR($D1288*INDEX(Mix_Eff,MATCH($C1288,Mix_Code,0),4),""))</f>
        <v/>
      </c>
      <c r="J1288" s="67" t="str">
        <f aca="false">IF(OR($C1288="",$D1288=""),"",IFERROR($D1288*INDEX(Mix_Eff,MATCH($C1288,Mix_Code,0),5),""))</f>
        <v/>
      </c>
      <c r="K1288" s="63"/>
      <c r="L1288" s="16" t="str">
        <f aca="false">IF(AND($A1288="",$B1288="",$C1288="",$D1288=""),"",IF($A1288="","⚠ Date missing",IF($B1288="","⚠ Site missing",IF(ISNA(MATCH($C1288,Mix_Code,0)),"⚠ Unknown mix code",IF($D1288="","⚠ Enter m3 produced",IF(COUNTIF(CI_Site,$B1288)=0,"⚠ Site not set up in Current Inventory",IF($A1288&gt;AsOfDate,"Future date – not yet deducted","OK")))))))</f>
        <v/>
      </c>
    </row>
    <row r="1289" customFormat="false" ht="15" hidden="false" customHeight="false" outlineLevel="0" collapsed="false">
      <c r="A1289" s="65"/>
      <c r="B1289" s="63"/>
      <c r="C1289" s="70"/>
      <c r="D1289" s="66"/>
      <c r="E1289" s="16" t="str">
        <f aca="false">IF($C1289="","",IFERROR(INDEX(Mix_Desc,MATCH($C1289,Mix_Code,0)),"⚠ Unknown mix code"))</f>
        <v/>
      </c>
      <c r="F1289" s="67" t="str">
        <f aca="false">IF(OR($C1289="",$D1289=""),"",IFERROR($D1289*INDEX(Mix_Eff,MATCH($C1289,Mix_Code,0),1),""))</f>
        <v/>
      </c>
      <c r="G1289" s="67" t="str">
        <f aca="false">IF(OR($C1289="",$D1289=""),"",IFERROR($D1289*INDEX(Mix_Eff,MATCH($C1289,Mix_Code,0),2),""))</f>
        <v/>
      </c>
      <c r="H1289" s="67" t="str">
        <f aca="false">IF(OR($C1289="",$D1289=""),"",IFERROR($D1289*INDEX(Mix_Eff,MATCH($C1289,Mix_Code,0),3),""))</f>
        <v/>
      </c>
      <c r="I1289" s="67" t="str">
        <f aca="false">IF(OR($C1289="",$D1289=""),"",IFERROR($D1289*INDEX(Mix_Eff,MATCH($C1289,Mix_Code,0),4),""))</f>
        <v/>
      </c>
      <c r="J1289" s="67" t="str">
        <f aca="false">IF(OR($C1289="",$D1289=""),"",IFERROR($D1289*INDEX(Mix_Eff,MATCH($C1289,Mix_Code,0),5),""))</f>
        <v/>
      </c>
      <c r="K1289" s="63"/>
      <c r="L1289" s="16" t="str">
        <f aca="false">IF(AND($A1289="",$B1289="",$C1289="",$D1289=""),"",IF($A1289="","⚠ Date missing",IF($B1289="","⚠ Site missing",IF(ISNA(MATCH($C1289,Mix_Code,0)),"⚠ Unknown mix code",IF($D1289="","⚠ Enter m3 produced",IF(COUNTIF(CI_Site,$B1289)=0,"⚠ Site not set up in Current Inventory",IF($A1289&gt;AsOfDate,"Future date – not yet deducted","OK")))))))</f>
        <v/>
      </c>
    </row>
    <row r="1290" customFormat="false" ht="15" hidden="false" customHeight="false" outlineLevel="0" collapsed="false">
      <c r="A1290" s="65"/>
      <c r="B1290" s="63"/>
      <c r="C1290" s="70"/>
      <c r="D1290" s="66"/>
      <c r="E1290" s="16" t="str">
        <f aca="false">IF($C1290="","",IFERROR(INDEX(Mix_Desc,MATCH($C1290,Mix_Code,0)),"⚠ Unknown mix code"))</f>
        <v/>
      </c>
      <c r="F1290" s="67" t="str">
        <f aca="false">IF(OR($C1290="",$D1290=""),"",IFERROR($D1290*INDEX(Mix_Eff,MATCH($C1290,Mix_Code,0),1),""))</f>
        <v/>
      </c>
      <c r="G1290" s="67" t="str">
        <f aca="false">IF(OR($C1290="",$D1290=""),"",IFERROR($D1290*INDEX(Mix_Eff,MATCH($C1290,Mix_Code,0),2),""))</f>
        <v/>
      </c>
      <c r="H1290" s="67" t="str">
        <f aca="false">IF(OR($C1290="",$D1290=""),"",IFERROR($D1290*INDEX(Mix_Eff,MATCH($C1290,Mix_Code,0),3),""))</f>
        <v/>
      </c>
      <c r="I1290" s="67" t="str">
        <f aca="false">IF(OR($C1290="",$D1290=""),"",IFERROR($D1290*INDEX(Mix_Eff,MATCH($C1290,Mix_Code,0),4),""))</f>
        <v/>
      </c>
      <c r="J1290" s="67" t="str">
        <f aca="false">IF(OR($C1290="",$D1290=""),"",IFERROR($D1290*INDEX(Mix_Eff,MATCH($C1290,Mix_Code,0),5),""))</f>
        <v/>
      </c>
      <c r="K1290" s="63"/>
      <c r="L1290" s="16" t="str">
        <f aca="false">IF(AND($A1290="",$B1290="",$C1290="",$D1290=""),"",IF($A1290="","⚠ Date missing",IF($B1290="","⚠ Site missing",IF(ISNA(MATCH($C1290,Mix_Code,0)),"⚠ Unknown mix code",IF($D1290="","⚠ Enter m3 produced",IF(COUNTIF(CI_Site,$B1290)=0,"⚠ Site not set up in Current Inventory",IF($A1290&gt;AsOfDate,"Future date – not yet deducted","OK")))))))</f>
        <v/>
      </c>
    </row>
    <row r="1291" customFormat="false" ht="15" hidden="false" customHeight="false" outlineLevel="0" collapsed="false">
      <c r="A1291" s="65"/>
      <c r="B1291" s="63"/>
      <c r="C1291" s="70"/>
      <c r="D1291" s="66"/>
      <c r="E1291" s="16" t="str">
        <f aca="false">IF($C1291="","",IFERROR(INDEX(Mix_Desc,MATCH($C1291,Mix_Code,0)),"⚠ Unknown mix code"))</f>
        <v/>
      </c>
      <c r="F1291" s="67" t="str">
        <f aca="false">IF(OR($C1291="",$D1291=""),"",IFERROR($D1291*INDEX(Mix_Eff,MATCH($C1291,Mix_Code,0),1),""))</f>
        <v/>
      </c>
      <c r="G1291" s="67" t="str">
        <f aca="false">IF(OR($C1291="",$D1291=""),"",IFERROR($D1291*INDEX(Mix_Eff,MATCH($C1291,Mix_Code,0),2),""))</f>
        <v/>
      </c>
      <c r="H1291" s="67" t="str">
        <f aca="false">IF(OR($C1291="",$D1291=""),"",IFERROR($D1291*INDEX(Mix_Eff,MATCH($C1291,Mix_Code,0),3),""))</f>
        <v/>
      </c>
      <c r="I1291" s="67" t="str">
        <f aca="false">IF(OR($C1291="",$D1291=""),"",IFERROR($D1291*INDEX(Mix_Eff,MATCH($C1291,Mix_Code,0),4),""))</f>
        <v/>
      </c>
      <c r="J1291" s="67" t="str">
        <f aca="false">IF(OR($C1291="",$D1291=""),"",IFERROR($D1291*INDEX(Mix_Eff,MATCH($C1291,Mix_Code,0),5),""))</f>
        <v/>
      </c>
      <c r="K1291" s="63"/>
      <c r="L1291" s="16" t="str">
        <f aca="false">IF(AND($A1291="",$B1291="",$C1291="",$D1291=""),"",IF($A1291="","⚠ Date missing",IF($B1291="","⚠ Site missing",IF(ISNA(MATCH($C1291,Mix_Code,0)),"⚠ Unknown mix code",IF($D1291="","⚠ Enter m3 produced",IF(COUNTIF(CI_Site,$B1291)=0,"⚠ Site not set up in Current Inventory",IF($A1291&gt;AsOfDate,"Future date – not yet deducted","OK")))))))</f>
        <v/>
      </c>
    </row>
    <row r="1292" customFormat="false" ht="15" hidden="false" customHeight="false" outlineLevel="0" collapsed="false">
      <c r="A1292" s="65"/>
      <c r="B1292" s="63"/>
      <c r="C1292" s="70"/>
      <c r="D1292" s="66"/>
      <c r="E1292" s="16" t="str">
        <f aca="false">IF($C1292="","",IFERROR(INDEX(Mix_Desc,MATCH($C1292,Mix_Code,0)),"⚠ Unknown mix code"))</f>
        <v/>
      </c>
      <c r="F1292" s="67" t="str">
        <f aca="false">IF(OR($C1292="",$D1292=""),"",IFERROR($D1292*INDEX(Mix_Eff,MATCH($C1292,Mix_Code,0),1),""))</f>
        <v/>
      </c>
      <c r="G1292" s="67" t="str">
        <f aca="false">IF(OR($C1292="",$D1292=""),"",IFERROR($D1292*INDEX(Mix_Eff,MATCH($C1292,Mix_Code,0),2),""))</f>
        <v/>
      </c>
      <c r="H1292" s="67" t="str">
        <f aca="false">IF(OR($C1292="",$D1292=""),"",IFERROR($D1292*INDEX(Mix_Eff,MATCH($C1292,Mix_Code,0),3),""))</f>
        <v/>
      </c>
      <c r="I1292" s="67" t="str">
        <f aca="false">IF(OR($C1292="",$D1292=""),"",IFERROR($D1292*INDEX(Mix_Eff,MATCH($C1292,Mix_Code,0),4),""))</f>
        <v/>
      </c>
      <c r="J1292" s="67" t="str">
        <f aca="false">IF(OR($C1292="",$D1292=""),"",IFERROR($D1292*INDEX(Mix_Eff,MATCH($C1292,Mix_Code,0),5),""))</f>
        <v/>
      </c>
      <c r="K1292" s="63"/>
      <c r="L1292" s="16" t="str">
        <f aca="false">IF(AND($A1292="",$B1292="",$C1292="",$D1292=""),"",IF($A1292="","⚠ Date missing",IF($B1292="","⚠ Site missing",IF(ISNA(MATCH($C1292,Mix_Code,0)),"⚠ Unknown mix code",IF($D1292="","⚠ Enter m3 produced",IF(COUNTIF(CI_Site,$B1292)=0,"⚠ Site not set up in Current Inventory",IF($A1292&gt;AsOfDate,"Future date – not yet deducted","OK")))))))</f>
        <v/>
      </c>
    </row>
    <row r="1293" customFormat="false" ht="15" hidden="false" customHeight="false" outlineLevel="0" collapsed="false">
      <c r="A1293" s="65"/>
      <c r="B1293" s="63"/>
      <c r="C1293" s="70"/>
      <c r="D1293" s="66"/>
      <c r="E1293" s="16" t="str">
        <f aca="false">IF($C1293="","",IFERROR(INDEX(Mix_Desc,MATCH($C1293,Mix_Code,0)),"⚠ Unknown mix code"))</f>
        <v/>
      </c>
      <c r="F1293" s="67" t="str">
        <f aca="false">IF(OR($C1293="",$D1293=""),"",IFERROR($D1293*INDEX(Mix_Eff,MATCH($C1293,Mix_Code,0),1),""))</f>
        <v/>
      </c>
      <c r="G1293" s="67" t="str">
        <f aca="false">IF(OR($C1293="",$D1293=""),"",IFERROR($D1293*INDEX(Mix_Eff,MATCH($C1293,Mix_Code,0),2),""))</f>
        <v/>
      </c>
      <c r="H1293" s="67" t="str">
        <f aca="false">IF(OR($C1293="",$D1293=""),"",IFERROR($D1293*INDEX(Mix_Eff,MATCH($C1293,Mix_Code,0),3),""))</f>
        <v/>
      </c>
      <c r="I1293" s="67" t="str">
        <f aca="false">IF(OR($C1293="",$D1293=""),"",IFERROR($D1293*INDEX(Mix_Eff,MATCH($C1293,Mix_Code,0),4),""))</f>
        <v/>
      </c>
      <c r="J1293" s="67" t="str">
        <f aca="false">IF(OR($C1293="",$D1293=""),"",IFERROR($D1293*INDEX(Mix_Eff,MATCH($C1293,Mix_Code,0),5),""))</f>
        <v/>
      </c>
      <c r="K1293" s="63"/>
      <c r="L1293" s="16" t="str">
        <f aca="false">IF(AND($A1293="",$B1293="",$C1293="",$D1293=""),"",IF($A1293="","⚠ Date missing",IF($B1293="","⚠ Site missing",IF(ISNA(MATCH($C1293,Mix_Code,0)),"⚠ Unknown mix code",IF($D1293="","⚠ Enter m3 produced",IF(COUNTIF(CI_Site,$B1293)=0,"⚠ Site not set up in Current Inventory",IF($A1293&gt;AsOfDate,"Future date – not yet deducted","OK")))))))</f>
        <v/>
      </c>
    </row>
    <row r="1294" customFormat="false" ht="15" hidden="false" customHeight="false" outlineLevel="0" collapsed="false">
      <c r="A1294" s="65"/>
      <c r="B1294" s="63"/>
      <c r="C1294" s="70"/>
      <c r="D1294" s="66"/>
      <c r="E1294" s="16" t="str">
        <f aca="false">IF($C1294="","",IFERROR(INDEX(Mix_Desc,MATCH($C1294,Mix_Code,0)),"⚠ Unknown mix code"))</f>
        <v/>
      </c>
      <c r="F1294" s="67" t="str">
        <f aca="false">IF(OR($C1294="",$D1294=""),"",IFERROR($D1294*INDEX(Mix_Eff,MATCH($C1294,Mix_Code,0),1),""))</f>
        <v/>
      </c>
      <c r="G1294" s="67" t="str">
        <f aca="false">IF(OR($C1294="",$D1294=""),"",IFERROR($D1294*INDEX(Mix_Eff,MATCH($C1294,Mix_Code,0),2),""))</f>
        <v/>
      </c>
      <c r="H1294" s="67" t="str">
        <f aca="false">IF(OR($C1294="",$D1294=""),"",IFERROR($D1294*INDEX(Mix_Eff,MATCH($C1294,Mix_Code,0),3),""))</f>
        <v/>
      </c>
      <c r="I1294" s="67" t="str">
        <f aca="false">IF(OR($C1294="",$D1294=""),"",IFERROR($D1294*INDEX(Mix_Eff,MATCH($C1294,Mix_Code,0),4),""))</f>
        <v/>
      </c>
      <c r="J1294" s="67" t="str">
        <f aca="false">IF(OR($C1294="",$D1294=""),"",IFERROR($D1294*INDEX(Mix_Eff,MATCH($C1294,Mix_Code,0),5),""))</f>
        <v/>
      </c>
      <c r="K1294" s="63"/>
      <c r="L1294" s="16" t="str">
        <f aca="false">IF(AND($A1294="",$B1294="",$C1294="",$D1294=""),"",IF($A1294="","⚠ Date missing",IF($B1294="","⚠ Site missing",IF(ISNA(MATCH($C1294,Mix_Code,0)),"⚠ Unknown mix code",IF($D1294="","⚠ Enter m3 produced",IF(COUNTIF(CI_Site,$B1294)=0,"⚠ Site not set up in Current Inventory",IF($A1294&gt;AsOfDate,"Future date – not yet deducted","OK")))))))</f>
        <v/>
      </c>
    </row>
    <row r="1295" customFormat="false" ht="15" hidden="false" customHeight="false" outlineLevel="0" collapsed="false">
      <c r="A1295" s="65"/>
      <c r="B1295" s="63"/>
      <c r="C1295" s="70"/>
      <c r="D1295" s="66"/>
      <c r="E1295" s="16" t="str">
        <f aca="false">IF($C1295="","",IFERROR(INDEX(Mix_Desc,MATCH($C1295,Mix_Code,0)),"⚠ Unknown mix code"))</f>
        <v/>
      </c>
      <c r="F1295" s="67" t="str">
        <f aca="false">IF(OR($C1295="",$D1295=""),"",IFERROR($D1295*INDEX(Mix_Eff,MATCH($C1295,Mix_Code,0),1),""))</f>
        <v/>
      </c>
      <c r="G1295" s="67" t="str">
        <f aca="false">IF(OR($C1295="",$D1295=""),"",IFERROR($D1295*INDEX(Mix_Eff,MATCH($C1295,Mix_Code,0),2),""))</f>
        <v/>
      </c>
      <c r="H1295" s="67" t="str">
        <f aca="false">IF(OR($C1295="",$D1295=""),"",IFERROR($D1295*INDEX(Mix_Eff,MATCH($C1295,Mix_Code,0),3),""))</f>
        <v/>
      </c>
      <c r="I1295" s="67" t="str">
        <f aca="false">IF(OR($C1295="",$D1295=""),"",IFERROR($D1295*INDEX(Mix_Eff,MATCH($C1295,Mix_Code,0),4),""))</f>
        <v/>
      </c>
      <c r="J1295" s="67" t="str">
        <f aca="false">IF(OR($C1295="",$D1295=""),"",IFERROR($D1295*INDEX(Mix_Eff,MATCH($C1295,Mix_Code,0),5),""))</f>
        <v/>
      </c>
      <c r="K1295" s="63"/>
      <c r="L1295" s="16" t="str">
        <f aca="false">IF(AND($A1295="",$B1295="",$C1295="",$D1295=""),"",IF($A1295="","⚠ Date missing",IF($B1295="","⚠ Site missing",IF(ISNA(MATCH($C1295,Mix_Code,0)),"⚠ Unknown mix code",IF($D1295="","⚠ Enter m3 produced",IF(COUNTIF(CI_Site,$B1295)=0,"⚠ Site not set up in Current Inventory",IF($A1295&gt;AsOfDate,"Future date – not yet deducted","OK")))))))</f>
        <v/>
      </c>
    </row>
    <row r="1296" customFormat="false" ht="15" hidden="false" customHeight="false" outlineLevel="0" collapsed="false">
      <c r="A1296" s="65"/>
      <c r="B1296" s="63"/>
      <c r="C1296" s="70"/>
      <c r="D1296" s="66"/>
      <c r="E1296" s="16" t="str">
        <f aca="false">IF($C1296="","",IFERROR(INDEX(Mix_Desc,MATCH($C1296,Mix_Code,0)),"⚠ Unknown mix code"))</f>
        <v/>
      </c>
      <c r="F1296" s="67" t="str">
        <f aca="false">IF(OR($C1296="",$D1296=""),"",IFERROR($D1296*INDEX(Mix_Eff,MATCH($C1296,Mix_Code,0),1),""))</f>
        <v/>
      </c>
      <c r="G1296" s="67" t="str">
        <f aca="false">IF(OR($C1296="",$D1296=""),"",IFERROR($D1296*INDEX(Mix_Eff,MATCH($C1296,Mix_Code,0),2),""))</f>
        <v/>
      </c>
      <c r="H1296" s="67" t="str">
        <f aca="false">IF(OR($C1296="",$D1296=""),"",IFERROR($D1296*INDEX(Mix_Eff,MATCH($C1296,Mix_Code,0),3),""))</f>
        <v/>
      </c>
      <c r="I1296" s="67" t="str">
        <f aca="false">IF(OR($C1296="",$D1296=""),"",IFERROR($D1296*INDEX(Mix_Eff,MATCH($C1296,Mix_Code,0),4),""))</f>
        <v/>
      </c>
      <c r="J1296" s="67" t="str">
        <f aca="false">IF(OR($C1296="",$D1296=""),"",IFERROR($D1296*INDEX(Mix_Eff,MATCH($C1296,Mix_Code,0),5),""))</f>
        <v/>
      </c>
      <c r="K1296" s="63"/>
      <c r="L1296" s="16" t="str">
        <f aca="false">IF(AND($A1296="",$B1296="",$C1296="",$D1296=""),"",IF($A1296="","⚠ Date missing",IF($B1296="","⚠ Site missing",IF(ISNA(MATCH($C1296,Mix_Code,0)),"⚠ Unknown mix code",IF($D1296="","⚠ Enter m3 produced",IF(COUNTIF(CI_Site,$B1296)=0,"⚠ Site not set up in Current Inventory",IF($A1296&gt;AsOfDate,"Future date – not yet deducted","OK")))))))</f>
        <v/>
      </c>
    </row>
    <row r="1297" customFormat="false" ht="15" hidden="false" customHeight="false" outlineLevel="0" collapsed="false">
      <c r="A1297" s="65"/>
      <c r="B1297" s="63"/>
      <c r="C1297" s="70"/>
      <c r="D1297" s="66"/>
      <c r="E1297" s="16" t="str">
        <f aca="false">IF($C1297="","",IFERROR(INDEX(Mix_Desc,MATCH($C1297,Mix_Code,0)),"⚠ Unknown mix code"))</f>
        <v/>
      </c>
      <c r="F1297" s="67" t="str">
        <f aca="false">IF(OR($C1297="",$D1297=""),"",IFERROR($D1297*INDEX(Mix_Eff,MATCH($C1297,Mix_Code,0),1),""))</f>
        <v/>
      </c>
      <c r="G1297" s="67" t="str">
        <f aca="false">IF(OR($C1297="",$D1297=""),"",IFERROR($D1297*INDEX(Mix_Eff,MATCH($C1297,Mix_Code,0),2),""))</f>
        <v/>
      </c>
      <c r="H1297" s="67" t="str">
        <f aca="false">IF(OR($C1297="",$D1297=""),"",IFERROR($D1297*INDEX(Mix_Eff,MATCH($C1297,Mix_Code,0),3),""))</f>
        <v/>
      </c>
      <c r="I1297" s="67" t="str">
        <f aca="false">IF(OR($C1297="",$D1297=""),"",IFERROR($D1297*INDEX(Mix_Eff,MATCH($C1297,Mix_Code,0),4),""))</f>
        <v/>
      </c>
      <c r="J1297" s="67" t="str">
        <f aca="false">IF(OR($C1297="",$D1297=""),"",IFERROR($D1297*INDEX(Mix_Eff,MATCH($C1297,Mix_Code,0),5),""))</f>
        <v/>
      </c>
      <c r="K1297" s="63"/>
      <c r="L1297" s="16" t="str">
        <f aca="false">IF(AND($A1297="",$B1297="",$C1297="",$D1297=""),"",IF($A1297="","⚠ Date missing",IF($B1297="","⚠ Site missing",IF(ISNA(MATCH($C1297,Mix_Code,0)),"⚠ Unknown mix code",IF($D1297="","⚠ Enter m3 produced",IF(COUNTIF(CI_Site,$B1297)=0,"⚠ Site not set up in Current Inventory",IF($A1297&gt;AsOfDate,"Future date – not yet deducted","OK")))))))</f>
        <v/>
      </c>
    </row>
    <row r="1298" customFormat="false" ht="15" hidden="false" customHeight="false" outlineLevel="0" collapsed="false">
      <c r="A1298" s="65"/>
      <c r="B1298" s="63"/>
      <c r="C1298" s="70"/>
      <c r="D1298" s="66"/>
      <c r="E1298" s="16" t="str">
        <f aca="false">IF($C1298="","",IFERROR(INDEX(Mix_Desc,MATCH($C1298,Mix_Code,0)),"⚠ Unknown mix code"))</f>
        <v/>
      </c>
      <c r="F1298" s="67" t="str">
        <f aca="false">IF(OR($C1298="",$D1298=""),"",IFERROR($D1298*INDEX(Mix_Eff,MATCH($C1298,Mix_Code,0),1),""))</f>
        <v/>
      </c>
      <c r="G1298" s="67" t="str">
        <f aca="false">IF(OR($C1298="",$D1298=""),"",IFERROR($D1298*INDEX(Mix_Eff,MATCH($C1298,Mix_Code,0),2),""))</f>
        <v/>
      </c>
      <c r="H1298" s="67" t="str">
        <f aca="false">IF(OR($C1298="",$D1298=""),"",IFERROR($D1298*INDEX(Mix_Eff,MATCH($C1298,Mix_Code,0),3),""))</f>
        <v/>
      </c>
      <c r="I1298" s="67" t="str">
        <f aca="false">IF(OR($C1298="",$D1298=""),"",IFERROR($D1298*INDEX(Mix_Eff,MATCH($C1298,Mix_Code,0),4),""))</f>
        <v/>
      </c>
      <c r="J1298" s="67" t="str">
        <f aca="false">IF(OR($C1298="",$D1298=""),"",IFERROR($D1298*INDEX(Mix_Eff,MATCH($C1298,Mix_Code,0),5),""))</f>
        <v/>
      </c>
      <c r="K1298" s="63"/>
      <c r="L1298" s="16" t="str">
        <f aca="false">IF(AND($A1298="",$B1298="",$C1298="",$D1298=""),"",IF($A1298="","⚠ Date missing",IF($B1298="","⚠ Site missing",IF(ISNA(MATCH($C1298,Mix_Code,0)),"⚠ Unknown mix code",IF($D1298="","⚠ Enter m3 produced",IF(COUNTIF(CI_Site,$B1298)=0,"⚠ Site not set up in Current Inventory",IF($A1298&gt;AsOfDate,"Future date – not yet deducted","OK")))))))</f>
        <v/>
      </c>
    </row>
    <row r="1299" customFormat="false" ht="15" hidden="false" customHeight="false" outlineLevel="0" collapsed="false">
      <c r="A1299" s="65"/>
      <c r="B1299" s="63"/>
      <c r="C1299" s="70"/>
      <c r="D1299" s="66"/>
      <c r="E1299" s="16" t="str">
        <f aca="false">IF($C1299="","",IFERROR(INDEX(Mix_Desc,MATCH($C1299,Mix_Code,0)),"⚠ Unknown mix code"))</f>
        <v/>
      </c>
      <c r="F1299" s="67" t="str">
        <f aca="false">IF(OR($C1299="",$D1299=""),"",IFERROR($D1299*INDEX(Mix_Eff,MATCH($C1299,Mix_Code,0),1),""))</f>
        <v/>
      </c>
      <c r="G1299" s="67" t="str">
        <f aca="false">IF(OR($C1299="",$D1299=""),"",IFERROR($D1299*INDEX(Mix_Eff,MATCH($C1299,Mix_Code,0),2),""))</f>
        <v/>
      </c>
      <c r="H1299" s="67" t="str">
        <f aca="false">IF(OR($C1299="",$D1299=""),"",IFERROR($D1299*INDEX(Mix_Eff,MATCH($C1299,Mix_Code,0),3),""))</f>
        <v/>
      </c>
      <c r="I1299" s="67" t="str">
        <f aca="false">IF(OR($C1299="",$D1299=""),"",IFERROR($D1299*INDEX(Mix_Eff,MATCH($C1299,Mix_Code,0),4),""))</f>
        <v/>
      </c>
      <c r="J1299" s="67" t="str">
        <f aca="false">IF(OR($C1299="",$D1299=""),"",IFERROR($D1299*INDEX(Mix_Eff,MATCH($C1299,Mix_Code,0),5),""))</f>
        <v/>
      </c>
      <c r="K1299" s="63"/>
      <c r="L1299" s="16" t="str">
        <f aca="false">IF(AND($A1299="",$B1299="",$C1299="",$D1299=""),"",IF($A1299="","⚠ Date missing",IF($B1299="","⚠ Site missing",IF(ISNA(MATCH($C1299,Mix_Code,0)),"⚠ Unknown mix code",IF($D1299="","⚠ Enter m3 produced",IF(COUNTIF(CI_Site,$B1299)=0,"⚠ Site not set up in Current Inventory",IF($A1299&gt;AsOfDate,"Future date – not yet deducted","OK")))))))</f>
        <v/>
      </c>
    </row>
    <row r="1300" customFormat="false" ht="15" hidden="false" customHeight="false" outlineLevel="0" collapsed="false">
      <c r="A1300" s="65"/>
      <c r="B1300" s="63"/>
      <c r="C1300" s="70"/>
      <c r="D1300" s="66"/>
      <c r="E1300" s="16" t="str">
        <f aca="false">IF($C1300="","",IFERROR(INDEX(Mix_Desc,MATCH($C1300,Mix_Code,0)),"⚠ Unknown mix code"))</f>
        <v/>
      </c>
      <c r="F1300" s="67" t="str">
        <f aca="false">IF(OR($C1300="",$D1300=""),"",IFERROR($D1300*INDEX(Mix_Eff,MATCH($C1300,Mix_Code,0),1),""))</f>
        <v/>
      </c>
      <c r="G1300" s="67" t="str">
        <f aca="false">IF(OR($C1300="",$D1300=""),"",IFERROR($D1300*INDEX(Mix_Eff,MATCH($C1300,Mix_Code,0),2),""))</f>
        <v/>
      </c>
      <c r="H1300" s="67" t="str">
        <f aca="false">IF(OR($C1300="",$D1300=""),"",IFERROR($D1300*INDEX(Mix_Eff,MATCH($C1300,Mix_Code,0),3),""))</f>
        <v/>
      </c>
      <c r="I1300" s="67" t="str">
        <f aca="false">IF(OR($C1300="",$D1300=""),"",IFERROR($D1300*INDEX(Mix_Eff,MATCH($C1300,Mix_Code,0),4),""))</f>
        <v/>
      </c>
      <c r="J1300" s="67" t="str">
        <f aca="false">IF(OR($C1300="",$D1300=""),"",IFERROR($D1300*INDEX(Mix_Eff,MATCH($C1300,Mix_Code,0),5),""))</f>
        <v/>
      </c>
      <c r="K1300" s="63"/>
      <c r="L1300" s="16" t="str">
        <f aca="false">IF(AND($A1300="",$B1300="",$C1300="",$D1300=""),"",IF($A1300="","⚠ Date missing",IF($B1300="","⚠ Site missing",IF(ISNA(MATCH($C1300,Mix_Code,0)),"⚠ Unknown mix code",IF($D1300="","⚠ Enter m3 produced",IF(COUNTIF(CI_Site,$B1300)=0,"⚠ Site not set up in Current Inventory",IF($A1300&gt;AsOfDate,"Future date – not yet deducted","OK")))))))</f>
        <v/>
      </c>
    </row>
    <row r="1301" customFormat="false" ht="15" hidden="false" customHeight="false" outlineLevel="0" collapsed="false">
      <c r="A1301" s="65"/>
      <c r="B1301" s="63"/>
      <c r="C1301" s="70"/>
      <c r="D1301" s="66"/>
      <c r="E1301" s="16" t="str">
        <f aca="false">IF($C1301="","",IFERROR(INDEX(Mix_Desc,MATCH($C1301,Mix_Code,0)),"⚠ Unknown mix code"))</f>
        <v/>
      </c>
      <c r="F1301" s="67" t="str">
        <f aca="false">IF(OR($C1301="",$D1301=""),"",IFERROR($D1301*INDEX(Mix_Eff,MATCH($C1301,Mix_Code,0),1),""))</f>
        <v/>
      </c>
      <c r="G1301" s="67" t="str">
        <f aca="false">IF(OR($C1301="",$D1301=""),"",IFERROR($D1301*INDEX(Mix_Eff,MATCH($C1301,Mix_Code,0),2),""))</f>
        <v/>
      </c>
      <c r="H1301" s="67" t="str">
        <f aca="false">IF(OR($C1301="",$D1301=""),"",IFERROR($D1301*INDEX(Mix_Eff,MATCH($C1301,Mix_Code,0),3),""))</f>
        <v/>
      </c>
      <c r="I1301" s="67" t="str">
        <f aca="false">IF(OR($C1301="",$D1301=""),"",IFERROR($D1301*INDEX(Mix_Eff,MATCH($C1301,Mix_Code,0),4),""))</f>
        <v/>
      </c>
      <c r="J1301" s="67" t="str">
        <f aca="false">IF(OR($C1301="",$D1301=""),"",IFERROR($D1301*INDEX(Mix_Eff,MATCH($C1301,Mix_Code,0),5),""))</f>
        <v/>
      </c>
      <c r="K1301" s="63"/>
      <c r="L1301" s="16" t="str">
        <f aca="false">IF(AND($A1301="",$B1301="",$C1301="",$D1301=""),"",IF($A1301="","⚠ Date missing",IF($B1301="","⚠ Site missing",IF(ISNA(MATCH($C1301,Mix_Code,0)),"⚠ Unknown mix code",IF($D1301="","⚠ Enter m3 produced",IF(COUNTIF(CI_Site,$B1301)=0,"⚠ Site not set up in Current Inventory",IF($A1301&gt;AsOfDate,"Future date – not yet deducted","OK")))))))</f>
        <v/>
      </c>
    </row>
    <row r="1302" customFormat="false" ht="15" hidden="false" customHeight="false" outlineLevel="0" collapsed="false">
      <c r="A1302" s="65"/>
      <c r="B1302" s="63"/>
      <c r="C1302" s="70"/>
      <c r="D1302" s="66"/>
      <c r="E1302" s="16" t="str">
        <f aca="false">IF($C1302="","",IFERROR(INDEX(Mix_Desc,MATCH($C1302,Mix_Code,0)),"⚠ Unknown mix code"))</f>
        <v/>
      </c>
      <c r="F1302" s="67" t="str">
        <f aca="false">IF(OR($C1302="",$D1302=""),"",IFERROR($D1302*INDEX(Mix_Eff,MATCH($C1302,Mix_Code,0),1),""))</f>
        <v/>
      </c>
      <c r="G1302" s="67" t="str">
        <f aca="false">IF(OR($C1302="",$D1302=""),"",IFERROR($D1302*INDEX(Mix_Eff,MATCH($C1302,Mix_Code,0),2),""))</f>
        <v/>
      </c>
      <c r="H1302" s="67" t="str">
        <f aca="false">IF(OR($C1302="",$D1302=""),"",IFERROR($D1302*INDEX(Mix_Eff,MATCH($C1302,Mix_Code,0),3),""))</f>
        <v/>
      </c>
      <c r="I1302" s="67" t="str">
        <f aca="false">IF(OR($C1302="",$D1302=""),"",IFERROR($D1302*INDEX(Mix_Eff,MATCH($C1302,Mix_Code,0),4),""))</f>
        <v/>
      </c>
      <c r="J1302" s="67" t="str">
        <f aca="false">IF(OR($C1302="",$D1302=""),"",IFERROR($D1302*INDEX(Mix_Eff,MATCH($C1302,Mix_Code,0),5),""))</f>
        <v/>
      </c>
      <c r="K1302" s="63"/>
      <c r="L1302" s="16" t="str">
        <f aca="false">IF(AND($A1302="",$B1302="",$C1302="",$D1302=""),"",IF($A1302="","⚠ Date missing",IF($B1302="","⚠ Site missing",IF(ISNA(MATCH($C1302,Mix_Code,0)),"⚠ Unknown mix code",IF($D1302="","⚠ Enter m3 produced",IF(COUNTIF(CI_Site,$B1302)=0,"⚠ Site not set up in Current Inventory",IF($A1302&gt;AsOfDate,"Future date – not yet deducted","OK")))))))</f>
        <v/>
      </c>
    </row>
    <row r="1303" customFormat="false" ht="15" hidden="false" customHeight="false" outlineLevel="0" collapsed="false">
      <c r="A1303" s="65"/>
      <c r="B1303" s="63"/>
      <c r="C1303" s="70"/>
      <c r="D1303" s="66"/>
      <c r="E1303" s="16" t="str">
        <f aca="false">IF($C1303="","",IFERROR(INDEX(Mix_Desc,MATCH($C1303,Mix_Code,0)),"⚠ Unknown mix code"))</f>
        <v/>
      </c>
      <c r="F1303" s="67" t="str">
        <f aca="false">IF(OR($C1303="",$D1303=""),"",IFERROR($D1303*INDEX(Mix_Eff,MATCH($C1303,Mix_Code,0),1),""))</f>
        <v/>
      </c>
      <c r="G1303" s="67" t="str">
        <f aca="false">IF(OR($C1303="",$D1303=""),"",IFERROR($D1303*INDEX(Mix_Eff,MATCH($C1303,Mix_Code,0),2),""))</f>
        <v/>
      </c>
      <c r="H1303" s="67" t="str">
        <f aca="false">IF(OR($C1303="",$D1303=""),"",IFERROR($D1303*INDEX(Mix_Eff,MATCH($C1303,Mix_Code,0),3),""))</f>
        <v/>
      </c>
      <c r="I1303" s="67" t="str">
        <f aca="false">IF(OR($C1303="",$D1303=""),"",IFERROR($D1303*INDEX(Mix_Eff,MATCH($C1303,Mix_Code,0),4),""))</f>
        <v/>
      </c>
      <c r="J1303" s="67" t="str">
        <f aca="false">IF(OR($C1303="",$D1303=""),"",IFERROR($D1303*INDEX(Mix_Eff,MATCH($C1303,Mix_Code,0),5),""))</f>
        <v/>
      </c>
      <c r="K1303" s="63"/>
      <c r="L1303" s="16" t="str">
        <f aca="false">IF(AND($A1303="",$B1303="",$C1303="",$D1303=""),"",IF($A1303="","⚠ Date missing",IF($B1303="","⚠ Site missing",IF(ISNA(MATCH($C1303,Mix_Code,0)),"⚠ Unknown mix code",IF($D1303="","⚠ Enter m3 produced",IF(COUNTIF(CI_Site,$B1303)=0,"⚠ Site not set up in Current Inventory",IF($A1303&gt;AsOfDate,"Future date – not yet deducted","OK")))))))</f>
        <v/>
      </c>
    </row>
    <row r="1304" customFormat="false" ht="15" hidden="false" customHeight="false" outlineLevel="0" collapsed="false">
      <c r="A1304" s="65"/>
      <c r="B1304" s="63"/>
      <c r="C1304" s="70"/>
      <c r="D1304" s="66"/>
      <c r="E1304" s="16" t="str">
        <f aca="false">IF($C1304="","",IFERROR(INDEX(Mix_Desc,MATCH($C1304,Mix_Code,0)),"⚠ Unknown mix code"))</f>
        <v/>
      </c>
      <c r="F1304" s="67" t="str">
        <f aca="false">IF(OR($C1304="",$D1304=""),"",IFERROR($D1304*INDEX(Mix_Eff,MATCH($C1304,Mix_Code,0),1),""))</f>
        <v/>
      </c>
      <c r="G1304" s="67" t="str">
        <f aca="false">IF(OR($C1304="",$D1304=""),"",IFERROR($D1304*INDEX(Mix_Eff,MATCH($C1304,Mix_Code,0),2),""))</f>
        <v/>
      </c>
      <c r="H1304" s="67" t="str">
        <f aca="false">IF(OR($C1304="",$D1304=""),"",IFERROR($D1304*INDEX(Mix_Eff,MATCH($C1304,Mix_Code,0),3),""))</f>
        <v/>
      </c>
      <c r="I1304" s="67" t="str">
        <f aca="false">IF(OR($C1304="",$D1304=""),"",IFERROR($D1304*INDEX(Mix_Eff,MATCH($C1304,Mix_Code,0),4),""))</f>
        <v/>
      </c>
      <c r="J1304" s="67" t="str">
        <f aca="false">IF(OR($C1304="",$D1304=""),"",IFERROR($D1304*INDEX(Mix_Eff,MATCH($C1304,Mix_Code,0),5),""))</f>
        <v/>
      </c>
      <c r="K1304" s="63"/>
      <c r="L1304" s="16" t="str">
        <f aca="false">IF(AND($A1304="",$B1304="",$C1304="",$D1304=""),"",IF($A1304="","⚠ Date missing",IF($B1304="","⚠ Site missing",IF(ISNA(MATCH($C1304,Mix_Code,0)),"⚠ Unknown mix code",IF($D1304="","⚠ Enter m3 produced",IF(COUNTIF(CI_Site,$B1304)=0,"⚠ Site not set up in Current Inventory",IF($A1304&gt;AsOfDate,"Future date – not yet deducted","OK")))))))</f>
        <v/>
      </c>
    </row>
    <row r="1305" customFormat="false" ht="15" hidden="false" customHeight="false" outlineLevel="0" collapsed="false">
      <c r="A1305" s="65"/>
      <c r="B1305" s="63"/>
      <c r="C1305" s="70"/>
      <c r="D1305" s="66"/>
      <c r="E1305" s="16" t="str">
        <f aca="false">IF($C1305="","",IFERROR(INDEX(Mix_Desc,MATCH($C1305,Mix_Code,0)),"⚠ Unknown mix code"))</f>
        <v/>
      </c>
      <c r="F1305" s="67" t="str">
        <f aca="false">IF(OR($C1305="",$D1305=""),"",IFERROR($D1305*INDEX(Mix_Eff,MATCH($C1305,Mix_Code,0),1),""))</f>
        <v/>
      </c>
      <c r="G1305" s="67" t="str">
        <f aca="false">IF(OR($C1305="",$D1305=""),"",IFERROR($D1305*INDEX(Mix_Eff,MATCH($C1305,Mix_Code,0),2),""))</f>
        <v/>
      </c>
      <c r="H1305" s="67" t="str">
        <f aca="false">IF(OR($C1305="",$D1305=""),"",IFERROR($D1305*INDEX(Mix_Eff,MATCH($C1305,Mix_Code,0),3),""))</f>
        <v/>
      </c>
      <c r="I1305" s="67" t="str">
        <f aca="false">IF(OR($C1305="",$D1305=""),"",IFERROR($D1305*INDEX(Mix_Eff,MATCH($C1305,Mix_Code,0),4),""))</f>
        <v/>
      </c>
      <c r="J1305" s="67" t="str">
        <f aca="false">IF(OR($C1305="",$D1305=""),"",IFERROR($D1305*INDEX(Mix_Eff,MATCH($C1305,Mix_Code,0),5),""))</f>
        <v/>
      </c>
      <c r="K1305" s="63"/>
      <c r="L1305" s="16" t="str">
        <f aca="false">IF(AND($A1305="",$B1305="",$C1305="",$D1305=""),"",IF($A1305="","⚠ Date missing",IF($B1305="","⚠ Site missing",IF(ISNA(MATCH($C1305,Mix_Code,0)),"⚠ Unknown mix code",IF($D1305="","⚠ Enter m3 produced",IF(COUNTIF(CI_Site,$B1305)=0,"⚠ Site not set up in Current Inventory",IF($A1305&gt;AsOfDate,"Future date – not yet deducted","OK")))))))</f>
        <v/>
      </c>
    </row>
    <row r="1306" customFormat="false" ht="15" hidden="false" customHeight="false" outlineLevel="0" collapsed="false">
      <c r="A1306" s="65"/>
      <c r="B1306" s="63"/>
      <c r="C1306" s="70"/>
      <c r="D1306" s="66"/>
      <c r="E1306" s="16" t="str">
        <f aca="false">IF($C1306="","",IFERROR(INDEX(Mix_Desc,MATCH($C1306,Mix_Code,0)),"⚠ Unknown mix code"))</f>
        <v/>
      </c>
      <c r="F1306" s="67" t="str">
        <f aca="false">IF(OR($C1306="",$D1306=""),"",IFERROR($D1306*INDEX(Mix_Eff,MATCH($C1306,Mix_Code,0),1),""))</f>
        <v/>
      </c>
      <c r="G1306" s="67" t="str">
        <f aca="false">IF(OR($C1306="",$D1306=""),"",IFERROR($D1306*INDEX(Mix_Eff,MATCH($C1306,Mix_Code,0),2),""))</f>
        <v/>
      </c>
      <c r="H1306" s="67" t="str">
        <f aca="false">IF(OR($C1306="",$D1306=""),"",IFERROR($D1306*INDEX(Mix_Eff,MATCH($C1306,Mix_Code,0),3),""))</f>
        <v/>
      </c>
      <c r="I1306" s="67" t="str">
        <f aca="false">IF(OR($C1306="",$D1306=""),"",IFERROR($D1306*INDEX(Mix_Eff,MATCH($C1306,Mix_Code,0),4),""))</f>
        <v/>
      </c>
      <c r="J1306" s="67" t="str">
        <f aca="false">IF(OR($C1306="",$D1306=""),"",IFERROR($D1306*INDEX(Mix_Eff,MATCH($C1306,Mix_Code,0),5),""))</f>
        <v/>
      </c>
      <c r="K1306" s="63"/>
      <c r="L1306" s="16" t="str">
        <f aca="false">IF(AND($A1306="",$B1306="",$C1306="",$D1306=""),"",IF($A1306="","⚠ Date missing",IF($B1306="","⚠ Site missing",IF(ISNA(MATCH($C1306,Mix_Code,0)),"⚠ Unknown mix code",IF($D1306="","⚠ Enter m3 produced",IF(COUNTIF(CI_Site,$B1306)=0,"⚠ Site not set up in Current Inventory",IF($A1306&gt;AsOfDate,"Future date – not yet deducted","OK")))))))</f>
        <v/>
      </c>
    </row>
    <row r="1307" customFormat="false" ht="15" hidden="false" customHeight="false" outlineLevel="0" collapsed="false">
      <c r="A1307" s="65"/>
      <c r="B1307" s="63"/>
      <c r="C1307" s="70"/>
      <c r="D1307" s="66"/>
      <c r="E1307" s="16" t="str">
        <f aca="false">IF($C1307="","",IFERROR(INDEX(Mix_Desc,MATCH($C1307,Mix_Code,0)),"⚠ Unknown mix code"))</f>
        <v/>
      </c>
      <c r="F1307" s="67" t="str">
        <f aca="false">IF(OR($C1307="",$D1307=""),"",IFERROR($D1307*INDEX(Mix_Eff,MATCH($C1307,Mix_Code,0),1),""))</f>
        <v/>
      </c>
      <c r="G1307" s="67" t="str">
        <f aca="false">IF(OR($C1307="",$D1307=""),"",IFERROR($D1307*INDEX(Mix_Eff,MATCH($C1307,Mix_Code,0),2),""))</f>
        <v/>
      </c>
      <c r="H1307" s="67" t="str">
        <f aca="false">IF(OR($C1307="",$D1307=""),"",IFERROR($D1307*INDEX(Mix_Eff,MATCH($C1307,Mix_Code,0),3),""))</f>
        <v/>
      </c>
      <c r="I1307" s="67" t="str">
        <f aca="false">IF(OR($C1307="",$D1307=""),"",IFERROR($D1307*INDEX(Mix_Eff,MATCH($C1307,Mix_Code,0),4),""))</f>
        <v/>
      </c>
      <c r="J1307" s="67" t="str">
        <f aca="false">IF(OR($C1307="",$D1307=""),"",IFERROR($D1307*INDEX(Mix_Eff,MATCH($C1307,Mix_Code,0),5),""))</f>
        <v/>
      </c>
      <c r="K1307" s="63"/>
      <c r="L1307" s="16" t="str">
        <f aca="false">IF(AND($A1307="",$B1307="",$C1307="",$D1307=""),"",IF($A1307="","⚠ Date missing",IF($B1307="","⚠ Site missing",IF(ISNA(MATCH($C1307,Mix_Code,0)),"⚠ Unknown mix code",IF($D1307="","⚠ Enter m3 produced",IF(COUNTIF(CI_Site,$B1307)=0,"⚠ Site not set up in Current Inventory",IF($A1307&gt;AsOfDate,"Future date – not yet deducted","OK")))))))</f>
        <v/>
      </c>
    </row>
    <row r="1308" customFormat="false" ht="15" hidden="false" customHeight="false" outlineLevel="0" collapsed="false">
      <c r="A1308" s="65"/>
      <c r="B1308" s="63"/>
      <c r="C1308" s="70"/>
      <c r="D1308" s="66"/>
      <c r="E1308" s="16" t="str">
        <f aca="false">IF($C1308="","",IFERROR(INDEX(Mix_Desc,MATCH($C1308,Mix_Code,0)),"⚠ Unknown mix code"))</f>
        <v/>
      </c>
      <c r="F1308" s="67" t="str">
        <f aca="false">IF(OR($C1308="",$D1308=""),"",IFERROR($D1308*INDEX(Mix_Eff,MATCH($C1308,Mix_Code,0),1),""))</f>
        <v/>
      </c>
      <c r="G1308" s="67" t="str">
        <f aca="false">IF(OR($C1308="",$D1308=""),"",IFERROR($D1308*INDEX(Mix_Eff,MATCH($C1308,Mix_Code,0),2),""))</f>
        <v/>
      </c>
      <c r="H1308" s="67" t="str">
        <f aca="false">IF(OR($C1308="",$D1308=""),"",IFERROR($D1308*INDEX(Mix_Eff,MATCH($C1308,Mix_Code,0),3),""))</f>
        <v/>
      </c>
      <c r="I1308" s="67" t="str">
        <f aca="false">IF(OR($C1308="",$D1308=""),"",IFERROR($D1308*INDEX(Mix_Eff,MATCH($C1308,Mix_Code,0),4),""))</f>
        <v/>
      </c>
      <c r="J1308" s="67" t="str">
        <f aca="false">IF(OR($C1308="",$D1308=""),"",IFERROR($D1308*INDEX(Mix_Eff,MATCH($C1308,Mix_Code,0),5),""))</f>
        <v/>
      </c>
      <c r="K1308" s="63"/>
      <c r="L1308" s="16" t="str">
        <f aca="false">IF(AND($A1308="",$B1308="",$C1308="",$D1308=""),"",IF($A1308="","⚠ Date missing",IF($B1308="","⚠ Site missing",IF(ISNA(MATCH($C1308,Mix_Code,0)),"⚠ Unknown mix code",IF($D1308="","⚠ Enter m3 produced",IF(COUNTIF(CI_Site,$B1308)=0,"⚠ Site not set up in Current Inventory",IF($A1308&gt;AsOfDate,"Future date – not yet deducted","OK")))))))</f>
        <v/>
      </c>
    </row>
    <row r="1309" customFormat="false" ht="15" hidden="false" customHeight="false" outlineLevel="0" collapsed="false">
      <c r="A1309" s="65"/>
      <c r="B1309" s="63"/>
      <c r="C1309" s="70"/>
      <c r="D1309" s="66"/>
      <c r="E1309" s="16" t="str">
        <f aca="false">IF($C1309="","",IFERROR(INDEX(Mix_Desc,MATCH($C1309,Mix_Code,0)),"⚠ Unknown mix code"))</f>
        <v/>
      </c>
      <c r="F1309" s="67" t="str">
        <f aca="false">IF(OR($C1309="",$D1309=""),"",IFERROR($D1309*INDEX(Mix_Eff,MATCH($C1309,Mix_Code,0),1),""))</f>
        <v/>
      </c>
      <c r="G1309" s="67" t="str">
        <f aca="false">IF(OR($C1309="",$D1309=""),"",IFERROR($D1309*INDEX(Mix_Eff,MATCH($C1309,Mix_Code,0),2),""))</f>
        <v/>
      </c>
      <c r="H1309" s="67" t="str">
        <f aca="false">IF(OR($C1309="",$D1309=""),"",IFERROR($D1309*INDEX(Mix_Eff,MATCH($C1309,Mix_Code,0),3),""))</f>
        <v/>
      </c>
      <c r="I1309" s="67" t="str">
        <f aca="false">IF(OR($C1309="",$D1309=""),"",IFERROR($D1309*INDEX(Mix_Eff,MATCH($C1309,Mix_Code,0),4),""))</f>
        <v/>
      </c>
      <c r="J1309" s="67" t="str">
        <f aca="false">IF(OR($C1309="",$D1309=""),"",IFERROR($D1309*INDEX(Mix_Eff,MATCH($C1309,Mix_Code,0),5),""))</f>
        <v/>
      </c>
      <c r="K1309" s="63"/>
      <c r="L1309" s="16" t="str">
        <f aca="false">IF(AND($A1309="",$B1309="",$C1309="",$D1309=""),"",IF($A1309="","⚠ Date missing",IF($B1309="","⚠ Site missing",IF(ISNA(MATCH($C1309,Mix_Code,0)),"⚠ Unknown mix code",IF($D1309="","⚠ Enter m3 produced",IF(COUNTIF(CI_Site,$B1309)=0,"⚠ Site not set up in Current Inventory",IF($A1309&gt;AsOfDate,"Future date – not yet deducted","OK")))))))</f>
        <v/>
      </c>
    </row>
    <row r="1310" customFormat="false" ht="15" hidden="false" customHeight="false" outlineLevel="0" collapsed="false">
      <c r="A1310" s="65"/>
      <c r="B1310" s="63"/>
      <c r="C1310" s="70"/>
      <c r="D1310" s="66"/>
      <c r="E1310" s="16" t="str">
        <f aca="false">IF($C1310="","",IFERROR(INDEX(Mix_Desc,MATCH($C1310,Mix_Code,0)),"⚠ Unknown mix code"))</f>
        <v/>
      </c>
      <c r="F1310" s="67" t="str">
        <f aca="false">IF(OR($C1310="",$D1310=""),"",IFERROR($D1310*INDEX(Mix_Eff,MATCH($C1310,Mix_Code,0),1),""))</f>
        <v/>
      </c>
      <c r="G1310" s="67" t="str">
        <f aca="false">IF(OR($C1310="",$D1310=""),"",IFERROR($D1310*INDEX(Mix_Eff,MATCH($C1310,Mix_Code,0),2),""))</f>
        <v/>
      </c>
      <c r="H1310" s="67" t="str">
        <f aca="false">IF(OR($C1310="",$D1310=""),"",IFERROR($D1310*INDEX(Mix_Eff,MATCH($C1310,Mix_Code,0),3),""))</f>
        <v/>
      </c>
      <c r="I1310" s="67" t="str">
        <f aca="false">IF(OR($C1310="",$D1310=""),"",IFERROR($D1310*INDEX(Mix_Eff,MATCH($C1310,Mix_Code,0),4),""))</f>
        <v/>
      </c>
      <c r="J1310" s="67" t="str">
        <f aca="false">IF(OR($C1310="",$D1310=""),"",IFERROR($D1310*INDEX(Mix_Eff,MATCH($C1310,Mix_Code,0),5),""))</f>
        <v/>
      </c>
      <c r="K1310" s="63"/>
      <c r="L1310" s="16" t="str">
        <f aca="false">IF(AND($A1310="",$B1310="",$C1310="",$D1310=""),"",IF($A1310="","⚠ Date missing",IF($B1310="","⚠ Site missing",IF(ISNA(MATCH($C1310,Mix_Code,0)),"⚠ Unknown mix code",IF($D1310="","⚠ Enter m3 produced",IF(COUNTIF(CI_Site,$B1310)=0,"⚠ Site not set up in Current Inventory",IF($A1310&gt;AsOfDate,"Future date – not yet deducted","OK")))))))</f>
        <v/>
      </c>
    </row>
    <row r="1311" customFormat="false" ht="15" hidden="false" customHeight="false" outlineLevel="0" collapsed="false">
      <c r="A1311" s="65"/>
      <c r="B1311" s="63"/>
      <c r="C1311" s="70"/>
      <c r="D1311" s="66"/>
      <c r="E1311" s="16" t="str">
        <f aca="false">IF($C1311="","",IFERROR(INDEX(Mix_Desc,MATCH($C1311,Mix_Code,0)),"⚠ Unknown mix code"))</f>
        <v/>
      </c>
      <c r="F1311" s="67" t="str">
        <f aca="false">IF(OR($C1311="",$D1311=""),"",IFERROR($D1311*INDEX(Mix_Eff,MATCH($C1311,Mix_Code,0),1),""))</f>
        <v/>
      </c>
      <c r="G1311" s="67" t="str">
        <f aca="false">IF(OR($C1311="",$D1311=""),"",IFERROR($D1311*INDEX(Mix_Eff,MATCH($C1311,Mix_Code,0),2),""))</f>
        <v/>
      </c>
      <c r="H1311" s="67" t="str">
        <f aca="false">IF(OR($C1311="",$D1311=""),"",IFERROR($D1311*INDEX(Mix_Eff,MATCH($C1311,Mix_Code,0),3),""))</f>
        <v/>
      </c>
      <c r="I1311" s="67" t="str">
        <f aca="false">IF(OR($C1311="",$D1311=""),"",IFERROR($D1311*INDEX(Mix_Eff,MATCH($C1311,Mix_Code,0),4),""))</f>
        <v/>
      </c>
      <c r="J1311" s="67" t="str">
        <f aca="false">IF(OR($C1311="",$D1311=""),"",IFERROR($D1311*INDEX(Mix_Eff,MATCH($C1311,Mix_Code,0),5),""))</f>
        <v/>
      </c>
      <c r="K1311" s="63"/>
      <c r="L1311" s="16" t="str">
        <f aca="false">IF(AND($A1311="",$B1311="",$C1311="",$D1311=""),"",IF($A1311="","⚠ Date missing",IF($B1311="","⚠ Site missing",IF(ISNA(MATCH($C1311,Mix_Code,0)),"⚠ Unknown mix code",IF($D1311="","⚠ Enter m3 produced",IF(COUNTIF(CI_Site,$B1311)=0,"⚠ Site not set up in Current Inventory",IF($A1311&gt;AsOfDate,"Future date – not yet deducted","OK")))))))</f>
        <v/>
      </c>
    </row>
    <row r="1312" customFormat="false" ht="15" hidden="false" customHeight="false" outlineLevel="0" collapsed="false">
      <c r="A1312" s="65"/>
      <c r="B1312" s="63"/>
      <c r="C1312" s="70"/>
      <c r="D1312" s="66"/>
      <c r="E1312" s="16" t="str">
        <f aca="false">IF($C1312="","",IFERROR(INDEX(Mix_Desc,MATCH($C1312,Mix_Code,0)),"⚠ Unknown mix code"))</f>
        <v/>
      </c>
      <c r="F1312" s="67" t="str">
        <f aca="false">IF(OR($C1312="",$D1312=""),"",IFERROR($D1312*INDEX(Mix_Eff,MATCH($C1312,Mix_Code,0),1),""))</f>
        <v/>
      </c>
      <c r="G1312" s="67" t="str">
        <f aca="false">IF(OR($C1312="",$D1312=""),"",IFERROR($D1312*INDEX(Mix_Eff,MATCH($C1312,Mix_Code,0),2),""))</f>
        <v/>
      </c>
      <c r="H1312" s="67" t="str">
        <f aca="false">IF(OR($C1312="",$D1312=""),"",IFERROR($D1312*INDEX(Mix_Eff,MATCH($C1312,Mix_Code,0),3),""))</f>
        <v/>
      </c>
      <c r="I1312" s="67" t="str">
        <f aca="false">IF(OR($C1312="",$D1312=""),"",IFERROR($D1312*INDEX(Mix_Eff,MATCH($C1312,Mix_Code,0),4),""))</f>
        <v/>
      </c>
      <c r="J1312" s="67" t="str">
        <f aca="false">IF(OR($C1312="",$D1312=""),"",IFERROR($D1312*INDEX(Mix_Eff,MATCH($C1312,Mix_Code,0),5),""))</f>
        <v/>
      </c>
      <c r="K1312" s="63"/>
      <c r="L1312" s="16" t="str">
        <f aca="false">IF(AND($A1312="",$B1312="",$C1312="",$D1312=""),"",IF($A1312="","⚠ Date missing",IF($B1312="","⚠ Site missing",IF(ISNA(MATCH($C1312,Mix_Code,0)),"⚠ Unknown mix code",IF($D1312="","⚠ Enter m3 produced",IF(COUNTIF(CI_Site,$B1312)=0,"⚠ Site not set up in Current Inventory",IF($A1312&gt;AsOfDate,"Future date – not yet deducted","OK")))))))</f>
        <v/>
      </c>
    </row>
    <row r="1313" customFormat="false" ht="15" hidden="false" customHeight="false" outlineLevel="0" collapsed="false">
      <c r="A1313" s="65"/>
      <c r="B1313" s="63"/>
      <c r="C1313" s="70"/>
      <c r="D1313" s="66"/>
      <c r="E1313" s="16" t="str">
        <f aca="false">IF($C1313="","",IFERROR(INDEX(Mix_Desc,MATCH($C1313,Mix_Code,0)),"⚠ Unknown mix code"))</f>
        <v/>
      </c>
      <c r="F1313" s="67" t="str">
        <f aca="false">IF(OR($C1313="",$D1313=""),"",IFERROR($D1313*INDEX(Mix_Eff,MATCH($C1313,Mix_Code,0),1),""))</f>
        <v/>
      </c>
      <c r="G1313" s="67" t="str">
        <f aca="false">IF(OR($C1313="",$D1313=""),"",IFERROR($D1313*INDEX(Mix_Eff,MATCH($C1313,Mix_Code,0),2),""))</f>
        <v/>
      </c>
      <c r="H1313" s="67" t="str">
        <f aca="false">IF(OR($C1313="",$D1313=""),"",IFERROR($D1313*INDEX(Mix_Eff,MATCH($C1313,Mix_Code,0),3),""))</f>
        <v/>
      </c>
      <c r="I1313" s="67" t="str">
        <f aca="false">IF(OR($C1313="",$D1313=""),"",IFERROR($D1313*INDEX(Mix_Eff,MATCH($C1313,Mix_Code,0),4),""))</f>
        <v/>
      </c>
      <c r="J1313" s="67" t="str">
        <f aca="false">IF(OR($C1313="",$D1313=""),"",IFERROR($D1313*INDEX(Mix_Eff,MATCH($C1313,Mix_Code,0),5),""))</f>
        <v/>
      </c>
      <c r="K1313" s="63"/>
      <c r="L1313" s="16" t="str">
        <f aca="false">IF(AND($A1313="",$B1313="",$C1313="",$D1313=""),"",IF($A1313="","⚠ Date missing",IF($B1313="","⚠ Site missing",IF(ISNA(MATCH($C1313,Mix_Code,0)),"⚠ Unknown mix code",IF($D1313="","⚠ Enter m3 produced",IF(COUNTIF(CI_Site,$B1313)=0,"⚠ Site not set up in Current Inventory",IF($A1313&gt;AsOfDate,"Future date – not yet deducted","OK")))))))</f>
        <v/>
      </c>
    </row>
    <row r="1314" customFormat="false" ht="15" hidden="false" customHeight="false" outlineLevel="0" collapsed="false">
      <c r="A1314" s="65"/>
      <c r="B1314" s="63"/>
      <c r="C1314" s="70"/>
      <c r="D1314" s="66"/>
      <c r="E1314" s="16" t="str">
        <f aca="false">IF($C1314="","",IFERROR(INDEX(Mix_Desc,MATCH($C1314,Mix_Code,0)),"⚠ Unknown mix code"))</f>
        <v/>
      </c>
      <c r="F1314" s="67" t="str">
        <f aca="false">IF(OR($C1314="",$D1314=""),"",IFERROR($D1314*INDEX(Mix_Eff,MATCH($C1314,Mix_Code,0),1),""))</f>
        <v/>
      </c>
      <c r="G1314" s="67" t="str">
        <f aca="false">IF(OR($C1314="",$D1314=""),"",IFERROR($D1314*INDEX(Mix_Eff,MATCH($C1314,Mix_Code,0),2),""))</f>
        <v/>
      </c>
      <c r="H1314" s="67" t="str">
        <f aca="false">IF(OR($C1314="",$D1314=""),"",IFERROR($D1314*INDEX(Mix_Eff,MATCH($C1314,Mix_Code,0),3),""))</f>
        <v/>
      </c>
      <c r="I1314" s="67" t="str">
        <f aca="false">IF(OR($C1314="",$D1314=""),"",IFERROR($D1314*INDEX(Mix_Eff,MATCH($C1314,Mix_Code,0),4),""))</f>
        <v/>
      </c>
      <c r="J1314" s="67" t="str">
        <f aca="false">IF(OR($C1314="",$D1314=""),"",IFERROR($D1314*INDEX(Mix_Eff,MATCH($C1314,Mix_Code,0),5),""))</f>
        <v/>
      </c>
      <c r="K1314" s="63"/>
      <c r="L1314" s="16" t="str">
        <f aca="false">IF(AND($A1314="",$B1314="",$C1314="",$D1314=""),"",IF($A1314="","⚠ Date missing",IF($B1314="","⚠ Site missing",IF(ISNA(MATCH($C1314,Mix_Code,0)),"⚠ Unknown mix code",IF($D1314="","⚠ Enter m3 produced",IF(COUNTIF(CI_Site,$B1314)=0,"⚠ Site not set up in Current Inventory",IF($A1314&gt;AsOfDate,"Future date – not yet deducted","OK")))))))</f>
        <v/>
      </c>
    </row>
    <row r="1315" customFormat="false" ht="15" hidden="false" customHeight="false" outlineLevel="0" collapsed="false">
      <c r="A1315" s="65"/>
      <c r="B1315" s="63"/>
      <c r="C1315" s="70"/>
      <c r="D1315" s="66"/>
      <c r="E1315" s="16" t="str">
        <f aca="false">IF($C1315="","",IFERROR(INDEX(Mix_Desc,MATCH($C1315,Mix_Code,0)),"⚠ Unknown mix code"))</f>
        <v/>
      </c>
      <c r="F1315" s="67" t="str">
        <f aca="false">IF(OR($C1315="",$D1315=""),"",IFERROR($D1315*INDEX(Mix_Eff,MATCH($C1315,Mix_Code,0),1),""))</f>
        <v/>
      </c>
      <c r="G1315" s="67" t="str">
        <f aca="false">IF(OR($C1315="",$D1315=""),"",IFERROR($D1315*INDEX(Mix_Eff,MATCH($C1315,Mix_Code,0),2),""))</f>
        <v/>
      </c>
      <c r="H1315" s="67" t="str">
        <f aca="false">IF(OR($C1315="",$D1315=""),"",IFERROR($D1315*INDEX(Mix_Eff,MATCH($C1315,Mix_Code,0),3),""))</f>
        <v/>
      </c>
      <c r="I1315" s="67" t="str">
        <f aca="false">IF(OR($C1315="",$D1315=""),"",IFERROR($D1315*INDEX(Mix_Eff,MATCH($C1315,Mix_Code,0),4),""))</f>
        <v/>
      </c>
      <c r="J1315" s="67" t="str">
        <f aca="false">IF(OR($C1315="",$D1315=""),"",IFERROR($D1315*INDEX(Mix_Eff,MATCH($C1315,Mix_Code,0),5),""))</f>
        <v/>
      </c>
      <c r="K1315" s="63"/>
      <c r="L1315" s="16" t="str">
        <f aca="false">IF(AND($A1315="",$B1315="",$C1315="",$D1315=""),"",IF($A1315="","⚠ Date missing",IF($B1315="","⚠ Site missing",IF(ISNA(MATCH($C1315,Mix_Code,0)),"⚠ Unknown mix code",IF($D1315="","⚠ Enter m3 produced",IF(COUNTIF(CI_Site,$B1315)=0,"⚠ Site not set up in Current Inventory",IF($A1315&gt;AsOfDate,"Future date – not yet deducted","OK")))))))</f>
        <v/>
      </c>
    </row>
    <row r="1316" customFormat="false" ht="15" hidden="false" customHeight="false" outlineLevel="0" collapsed="false">
      <c r="A1316" s="65"/>
      <c r="B1316" s="63"/>
      <c r="C1316" s="70"/>
      <c r="D1316" s="66"/>
      <c r="E1316" s="16" t="str">
        <f aca="false">IF($C1316="","",IFERROR(INDEX(Mix_Desc,MATCH($C1316,Mix_Code,0)),"⚠ Unknown mix code"))</f>
        <v/>
      </c>
      <c r="F1316" s="67" t="str">
        <f aca="false">IF(OR($C1316="",$D1316=""),"",IFERROR($D1316*INDEX(Mix_Eff,MATCH($C1316,Mix_Code,0),1),""))</f>
        <v/>
      </c>
      <c r="G1316" s="67" t="str">
        <f aca="false">IF(OR($C1316="",$D1316=""),"",IFERROR($D1316*INDEX(Mix_Eff,MATCH($C1316,Mix_Code,0),2),""))</f>
        <v/>
      </c>
      <c r="H1316" s="67" t="str">
        <f aca="false">IF(OR($C1316="",$D1316=""),"",IFERROR($D1316*INDEX(Mix_Eff,MATCH($C1316,Mix_Code,0),3),""))</f>
        <v/>
      </c>
      <c r="I1316" s="67" t="str">
        <f aca="false">IF(OR($C1316="",$D1316=""),"",IFERROR($D1316*INDEX(Mix_Eff,MATCH($C1316,Mix_Code,0),4),""))</f>
        <v/>
      </c>
      <c r="J1316" s="67" t="str">
        <f aca="false">IF(OR($C1316="",$D1316=""),"",IFERROR($D1316*INDEX(Mix_Eff,MATCH($C1316,Mix_Code,0),5),""))</f>
        <v/>
      </c>
      <c r="K1316" s="63"/>
      <c r="L1316" s="16" t="str">
        <f aca="false">IF(AND($A1316="",$B1316="",$C1316="",$D1316=""),"",IF($A1316="","⚠ Date missing",IF($B1316="","⚠ Site missing",IF(ISNA(MATCH($C1316,Mix_Code,0)),"⚠ Unknown mix code",IF($D1316="","⚠ Enter m3 produced",IF(COUNTIF(CI_Site,$B1316)=0,"⚠ Site not set up in Current Inventory",IF($A1316&gt;AsOfDate,"Future date – not yet deducted","OK")))))))</f>
        <v/>
      </c>
    </row>
    <row r="1317" customFormat="false" ht="15" hidden="false" customHeight="false" outlineLevel="0" collapsed="false">
      <c r="A1317" s="65"/>
      <c r="B1317" s="63"/>
      <c r="C1317" s="70"/>
      <c r="D1317" s="66"/>
      <c r="E1317" s="16" t="str">
        <f aca="false">IF($C1317="","",IFERROR(INDEX(Mix_Desc,MATCH($C1317,Mix_Code,0)),"⚠ Unknown mix code"))</f>
        <v/>
      </c>
      <c r="F1317" s="67" t="str">
        <f aca="false">IF(OR($C1317="",$D1317=""),"",IFERROR($D1317*INDEX(Mix_Eff,MATCH($C1317,Mix_Code,0),1),""))</f>
        <v/>
      </c>
      <c r="G1317" s="67" t="str">
        <f aca="false">IF(OR($C1317="",$D1317=""),"",IFERROR($D1317*INDEX(Mix_Eff,MATCH($C1317,Mix_Code,0),2),""))</f>
        <v/>
      </c>
      <c r="H1317" s="67" t="str">
        <f aca="false">IF(OR($C1317="",$D1317=""),"",IFERROR($D1317*INDEX(Mix_Eff,MATCH($C1317,Mix_Code,0),3),""))</f>
        <v/>
      </c>
      <c r="I1317" s="67" t="str">
        <f aca="false">IF(OR($C1317="",$D1317=""),"",IFERROR($D1317*INDEX(Mix_Eff,MATCH($C1317,Mix_Code,0),4),""))</f>
        <v/>
      </c>
      <c r="J1317" s="67" t="str">
        <f aca="false">IF(OR($C1317="",$D1317=""),"",IFERROR($D1317*INDEX(Mix_Eff,MATCH($C1317,Mix_Code,0),5),""))</f>
        <v/>
      </c>
      <c r="K1317" s="63"/>
      <c r="L1317" s="16" t="str">
        <f aca="false">IF(AND($A1317="",$B1317="",$C1317="",$D1317=""),"",IF($A1317="","⚠ Date missing",IF($B1317="","⚠ Site missing",IF(ISNA(MATCH($C1317,Mix_Code,0)),"⚠ Unknown mix code",IF($D1317="","⚠ Enter m3 produced",IF(COUNTIF(CI_Site,$B1317)=0,"⚠ Site not set up in Current Inventory",IF($A1317&gt;AsOfDate,"Future date – not yet deducted","OK")))))))</f>
        <v/>
      </c>
    </row>
    <row r="1318" customFormat="false" ht="15" hidden="false" customHeight="false" outlineLevel="0" collapsed="false">
      <c r="A1318" s="65"/>
      <c r="B1318" s="63"/>
      <c r="C1318" s="70"/>
      <c r="D1318" s="66"/>
      <c r="E1318" s="16" t="str">
        <f aca="false">IF($C1318="","",IFERROR(INDEX(Mix_Desc,MATCH($C1318,Mix_Code,0)),"⚠ Unknown mix code"))</f>
        <v/>
      </c>
      <c r="F1318" s="67" t="str">
        <f aca="false">IF(OR($C1318="",$D1318=""),"",IFERROR($D1318*INDEX(Mix_Eff,MATCH($C1318,Mix_Code,0),1),""))</f>
        <v/>
      </c>
      <c r="G1318" s="67" t="str">
        <f aca="false">IF(OR($C1318="",$D1318=""),"",IFERROR($D1318*INDEX(Mix_Eff,MATCH($C1318,Mix_Code,0),2),""))</f>
        <v/>
      </c>
      <c r="H1318" s="67" t="str">
        <f aca="false">IF(OR($C1318="",$D1318=""),"",IFERROR($D1318*INDEX(Mix_Eff,MATCH($C1318,Mix_Code,0),3),""))</f>
        <v/>
      </c>
      <c r="I1318" s="67" t="str">
        <f aca="false">IF(OR($C1318="",$D1318=""),"",IFERROR($D1318*INDEX(Mix_Eff,MATCH($C1318,Mix_Code,0),4),""))</f>
        <v/>
      </c>
      <c r="J1318" s="67" t="str">
        <f aca="false">IF(OR($C1318="",$D1318=""),"",IFERROR($D1318*INDEX(Mix_Eff,MATCH($C1318,Mix_Code,0),5),""))</f>
        <v/>
      </c>
      <c r="K1318" s="63"/>
      <c r="L1318" s="16" t="str">
        <f aca="false">IF(AND($A1318="",$B1318="",$C1318="",$D1318=""),"",IF($A1318="","⚠ Date missing",IF($B1318="","⚠ Site missing",IF(ISNA(MATCH($C1318,Mix_Code,0)),"⚠ Unknown mix code",IF($D1318="","⚠ Enter m3 produced",IF(COUNTIF(CI_Site,$B1318)=0,"⚠ Site not set up in Current Inventory",IF($A1318&gt;AsOfDate,"Future date – not yet deducted","OK")))))))</f>
        <v/>
      </c>
    </row>
    <row r="1319" customFormat="false" ht="15" hidden="false" customHeight="false" outlineLevel="0" collapsed="false">
      <c r="A1319" s="65"/>
      <c r="B1319" s="63"/>
      <c r="C1319" s="70"/>
      <c r="D1319" s="66"/>
      <c r="E1319" s="16" t="str">
        <f aca="false">IF($C1319="","",IFERROR(INDEX(Mix_Desc,MATCH($C1319,Mix_Code,0)),"⚠ Unknown mix code"))</f>
        <v/>
      </c>
      <c r="F1319" s="67" t="str">
        <f aca="false">IF(OR($C1319="",$D1319=""),"",IFERROR($D1319*INDEX(Mix_Eff,MATCH($C1319,Mix_Code,0),1),""))</f>
        <v/>
      </c>
      <c r="G1319" s="67" t="str">
        <f aca="false">IF(OR($C1319="",$D1319=""),"",IFERROR($D1319*INDEX(Mix_Eff,MATCH($C1319,Mix_Code,0),2),""))</f>
        <v/>
      </c>
      <c r="H1319" s="67" t="str">
        <f aca="false">IF(OR($C1319="",$D1319=""),"",IFERROR($D1319*INDEX(Mix_Eff,MATCH($C1319,Mix_Code,0),3),""))</f>
        <v/>
      </c>
      <c r="I1319" s="67" t="str">
        <f aca="false">IF(OR($C1319="",$D1319=""),"",IFERROR($D1319*INDEX(Mix_Eff,MATCH($C1319,Mix_Code,0),4),""))</f>
        <v/>
      </c>
      <c r="J1319" s="67" t="str">
        <f aca="false">IF(OR($C1319="",$D1319=""),"",IFERROR($D1319*INDEX(Mix_Eff,MATCH($C1319,Mix_Code,0),5),""))</f>
        <v/>
      </c>
      <c r="K1319" s="63"/>
      <c r="L1319" s="16" t="str">
        <f aca="false">IF(AND($A1319="",$B1319="",$C1319="",$D1319=""),"",IF($A1319="","⚠ Date missing",IF($B1319="","⚠ Site missing",IF(ISNA(MATCH($C1319,Mix_Code,0)),"⚠ Unknown mix code",IF($D1319="","⚠ Enter m3 produced",IF(COUNTIF(CI_Site,$B1319)=0,"⚠ Site not set up in Current Inventory",IF($A1319&gt;AsOfDate,"Future date – not yet deducted","OK")))))))</f>
        <v/>
      </c>
    </row>
    <row r="1320" customFormat="false" ht="15" hidden="false" customHeight="false" outlineLevel="0" collapsed="false">
      <c r="A1320" s="65"/>
      <c r="B1320" s="63"/>
      <c r="C1320" s="70"/>
      <c r="D1320" s="66"/>
      <c r="E1320" s="16" t="str">
        <f aca="false">IF($C1320="","",IFERROR(INDEX(Mix_Desc,MATCH($C1320,Mix_Code,0)),"⚠ Unknown mix code"))</f>
        <v/>
      </c>
      <c r="F1320" s="67" t="str">
        <f aca="false">IF(OR($C1320="",$D1320=""),"",IFERROR($D1320*INDEX(Mix_Eff,MATCH($C1320,Mix_Code,0),1),""))</f>
        <v/>
      </c>
      <c r="G1320" s="67" t="str">
        <f aca="false">IF(OR($C1320="",$D1320=""),"",IFERROR($D1320*INDEX(Mix_Eff,MATCH($C1320,Mix_Code,0),2),""))</f>
        <v/>
      </c>
      <c r="H1320" s="67" t="str">
        <f aca="false">IF(OR($C1320="",$D1320=""),"",IFERROR($D1320*INDEX(Mix_Eff,MATCH($C1320,Mix_Code,0),3),""))</f>
        <v/>
      </c>
      <c r="I1320" s="67" t="str">
        <f aca="false">IF(OR($C1320="",$D1320=""),"",IFERROR($D1320*INDEX(Mix_Eff,MATCH($C1320,Mix_Code,0),4),""))</f>
        <v/>
      </c>
      <c r="J1320" s="67" t="str">
        <f aca="false">IF(OR($C1320="",$D1320=""),"",IFERROR($D1320*INDEX(Mix_Eff,MATCH($C1320,Mix_Code,0),5),""))</f>
        <v/>
      </c>
      <c r="K1320" s="63"/>
      <c r="L1320" s="16" t="str">
        <f aca="false">IF(AND($A1320="",$B1320="",$C1320="",$D1320=""),"",IF($A1320="","⚠ Date missing",IF($B1320="","⚠ Site missing",IF(ISNA(MATCH($C1320,Mix_Code,0)),"⚠ Unknown mix code",IF($D1320="","⚠ Enter m3 produced",IF(COUNTIF(CI_Site,$B1320)=0,"⚠ Site not set up in Current Inventory",IF($A1320&gt;AsOfDate,"Future date – not yet deducted","OK")))))))</f>
        <v/>
      </c>
    </row>
    <row r="1321" customFormat="false" ht="15" hidden="false" customHeight="false" outlineLevel="0" collapsed="false">
      <c r="A1321" s="65"/>
      <c r="B1321" s="63"/>
      <c r="C1321" s="70"/>
      <c r="D1321" s="66"/>
      <c r="E1321" s="16" t="str">
        <f aca="false">IF($C1321="","",IFERROR(INDEX(Mix_Desc,MATCH($C1321,Mix_Code,0)),"⚠ Unknown mix code"))</f>
        <v/>
      </c>
      <c r="F1321" s="67" t="str">
        <f aca="false">IF(OR($C1321="",$D1321=""),"",IFERROR($D1321*INDEX(Mix_Eff,MATCH($C1321,Mix_Code,0),1),""))</f>
        <v/>
      </c>
      <c r="G1321" s="67" t="str">
        <f aca="false">IF(OR($C1321="",$D1321=""),"",IFERROR($D1321*INDEX(Mix_Eff,MATCH($C1321,Mix_Code,0),2),""))</f>
        <v/>
      </c>
      <c r="H1321" s="67" t="str">
        <f aca="false">IF(OR($C1321="",$D1321=""),"",IFERROR($D1321*INDEX(Mix_Eff,MATCH($C1321,Mix_Code,0),3),""))</f>
        <v/>
      </c>
      <c r="I1321" s="67" t="str">
        <f aca="false">IF(OR($C1321="",$D1321=""),"",IFERROR($D1321*INDEX(Mix_Eff,MATCH($C1321,Mix_Code,0),4),""))</f>
        <v/>
      </c>
      <c r="J1321" s="67" t="str">
        <f aca="false">IF(OR($C1321="",$D1321=""),"",IFERROR($D1321*INDEX(Mix_Eff,MATCH($C1321,Mix_Code,0),5),""))</f>
        <v/>
      </c>
      <c r="K1321" s="63"/>
      <c r="L1321" s="16" t="str">
        <f aca="false">IF(AND($A1321="",$B1321="",$C1321="",$D1321=""),"",IF($A1321="","⚠ Date missing",IF($B1321="","⚠ Site missing",IF(ISNA(MATCH($C1321,Mix_Code,0)),"⚠ Unknown mix code",IF($D1321="","⚠ Enter m3 produced",IF(COUNTIF(CI_Site,$B1321)=0,"⚠ Site not set up in Current Inventory",IF($A1321&gt;AsOfDate,"Future date – not yet deducted","OK")))))))</f>
        <v/>
      </c>
    </row>
    <row r="1322" customFormat="false" ht="15" hidden="false" customHeight="false" outlineLevel="0" collapsed="false">
      <c r="A1322" s="65"/>
      <c r="B1322" s="63"/>
      <c r="C1322" s="70"/>
      <c r="D1322" s="66"/>
      <c r="E1322" s="16" t="str">
        <f aca="false">IF($C1322="","",IFERROR(INDEX(Mix_Desc,MATCH($C1322,Mix_Code,0)),"⚠ Unknown mix code"))</f>
        <v/>
      </c>
      <c r="F1322" s="67" t="str">
        <f aca="false">IF(OR($C1322="",$D1322=""),"",IFERROR($D1322*INDEX(Mix_Eff,MATCH($C1322,Mix_Code,0),1),""))</f>
        <v/>
      </c>
      <c r="G1322" s="67" t="str">
        <f aca="false">IF(OR($C1322="",$D1322=""),"",IFERROR($D1322*INDEX(Mix_Eff,MATCH($C1322,Mix_Code,0),2),""))</f>
        <v/>
      </c>
      <c r="H1322" s="67" t="str">
        <f aca="false">IF(OR($C1322="",$D1322=""),"",IFERROR($D1322*INDEX(Mix_Eff,MATCH($C1322,Mix_Code,0),3),""))</f>
        <v/>
      </c>
      <c r="I1322" s="67" t="str">
        <f aca="false">IF(OR($C1322="",$D1322=""),"",IFERROR($D1322*INDEX(Mix_Eff,MATCH($C1322,Mix_Code,0),4),""))</f>
        <v/>
      </c>
      <c r="J1322" s="67" t="str">
        <f aca="false">IF(OR($C1322="",$D1322=""),"",IFERROR($D1322*INDEX(Mix_Eff,MATCH($C1322,Mix_Code,0),5),""))</f>
        <v/>
      </c>
      <c r="K1322" s="63"/>
      <c r="L1322" s="16" t="str">
        <f aca="false">IF(AND($A1322="",$B1322="",$C1322="",$D1322=""),"",IF($A1322="","⚠ Date missing",IF($B1322="","⚠ Site missing",IF(ISNA(MATCH($C1322,Mix_Code,0)),"⚠ Unknown mix code",IF($D1322="","⚠ Enter m3 produced",IF(COUNTIF(CI_Site,$B1322)=0,"⚠ Site not set up in Current Inventory",IF($A1322&gt;AsOfDate,"Future date – not yet deducted","OK")))))))</f>
        <v/>
      </c>
    </row>
    <row r="1323" customFormat="false" ht="15" hidden="false" customHeight="false" outlineLevel="0" collapsed="false">
      <c r="A1323" s="65"/>
      <c r="B1323" s="63"/>
      <c r="C1323" s="70"/>
      <c r="D1323" s="66"/>
      <c r="E1323" s="16" t="str">
        <f aca="false">IF($C1323="","",IFERROR(INDEX(Mix_Desc,MATCH($C1323,Mix_Code,0)),"⚠ Unknown mix code"))</f>
        <v/>
      </c>
      <c r="F1323" s="67" t="str">
        <f aca="false">IF(OR($C1323="",$D1323=""),"",IFERROR($D1323*INDEX(Mix_Eff,MATCH($C1323,Mix_Code,0),1),""))</f>
        <v/>
      </c>
      <c r="G1323" s="67" t="str">
        <f aca="false">IF(OR($C1323="",$D1323=""),"",IFERROR($D1323*INDEX(Mix_Eff,MATCH($C1323,Mix_Code,0),2),""))</f>
        <v/>
      </c>
      <c r="H1323" s="67" t="str">
        <f aca="false">IF(OR($C1323="",$D1323=""),"",IFERROR($D1323*INDEX(Mix_Eff,MATCH($C1323,Mix_Code,0),3),""))</f>
        <v/>
      </c>
      <c r="I1323" s="67" t="str">
        <f aca="false">IF(OR($C1323="",$D1323=""),"",IFERROR($D1323*INDEX(Mix_Eff,MATCH($C1323,Mix_Code,0),4),""))</f>
        <v/>
      </c>
      <c r="J1323" s="67" t="str">
        <f aca="false">IF(OR($C1323="",$D1323=""),"",IFERROR($D1323*INDEX(Mix_Eff,MATCH($C1323,Mix_Code,0),5),""))</f>
        <v/>
      </c>
      <c r="K1323" s="63"/>
      <c r="L1323" s="16" t="str">
        <f aca="false">IF(AND($A1323="",$B1323="",$C1323="",$D1323=""),"",IF($A1323="","⚠ Date missing",IF($B1323="","⚠ Site missing",IF(ISNA(MATCH($C1323,Mix_Code,0)),"⚠ Unknown mix code",IF($D1323="","⚠ Enter m3 produced",IF(COUNTIF(CI_Site,$B1323)=0,"⚠ Site not set up in Current Inventory",IF($A1323&gt;AsOfDate,"Future date – not yet deducted","OK")))))))</f>
        <v/>
      </c>
    </row>
    <row r="1324" customFormat="false" ht="15" hidden="false" customHeight="false" outlineLevel="0" collapsed="false">
      <c r="A1324" s="65"/>
      <c r="B1324" s="63"/>
      <c r="C1324" s="70"/>
      <c r="D1324" s="66"/>
      <c r="E1324" s="16" t="str">
        <f aca="false">IF($C1324="","",IFERROR(INDEX(Mix_Desc,MATCH($C1324,Mix_Code,0)),"⚠ Unknown mix code"))</f>
        <v/>
      </c>
      <c r="F1324" s="67" t="str">
        <f aca="false">IF(OR($C1324="",$D1324=""),"",IFERROR($D1324*INDEX(Mix_Eff,MATCH($C1324,Mix_Code,0),1),""))</f>
        <v/>
      </c>
      <c r="G1324" s="67" t="str">
        <f aca="false">IF(OR($C1324="",$D1324=""),"",IFERROR($D1324*INDEX(Mix_Eff,MATCH($C1324,Mix_Code,0),2),""))</f>
        <v/>
      </c>
      <c r="H1324" s="67" t="str">
        <f aca="false">IF(OR($C1324="",$D1324=""),"",IFERROR($D1324*INDEX(Mix_Eff,MATCH($C1324,Mix_Code,0),3),""))</f>
        <v/>
      </c>
      <c r="I1324" s="67" t="str">
        <f aca="false">IF(OR($C1324="",$D1324=""),"",IFERROR($D1324*INDEX(Mix_Eff,MATCH($C1324,Mix_Code,0),4),""))</f>
        <v/>
      </c>
      <c r="J1324" s="67" t="str">
        <f aca="false">IF(OR($C1324="",$D1324=""),"",IFERROR($D1324*INDEX(Mix_Eff,MATCH($C1324,Mix_Code,0),5),""))</f>
        <v/>
      </c>
      <c r="K1324" s="63"/>
      <c r="L1324" s="16" t="str">
        <f aca="false">IF(AND($A1324="",$B1324="",$C1324="",$D1324=""),"",IF($A1324="","⚠ Date missing",IF($B1324="","⚠ Site missing",IF(ISNA(MATCH($C1324,Mix_Code,0)),"⚠ Unknown mix code",IF($D1324="","⚠ Enter m3 produced",IF(COUNTIF(CI_Site,$B1324)=0,"⚠ Site not set up in Current Inventory",IF($A1324&gt;AsOfDate,"Future date – not yet deducted","OK")))))))</f>
        <v/>
      </c>
    </row>
    <row r="1325" customFormat="false" ht="15" hidden="false" customHeight="false" outlineLevel="0" collapsed="false">
      <c r="A1325" s="65"/>
      <c r="B1325" s="63"/>
      <c r="C1325" s="70"/>
      <c r="D1325" s="66"/>
      <c r="E1325" s="16" t="str">
        <f aca="false">IF($C1325="","",IFERROR(INDEX(Mix_Desc,MATCH($C1325,Mix_Code,0)),"⚠ Unknown mix code"))</f>
        <v/>
      </c>
      <c r="F1325" s="67" t="str">
        <f aca="false">IF(OR($C1325="",$D1325=""),"",IFERROR($D1325*INDEX(Mix_Eff,MATCH($C1325,Mix_Code,0),1),""))</f>
        <v/>
      </c>
      <c r="G1325" s="67" t="str">
        <f aca="false">IF(OR($C1325="",$D1325=""),"",IFERROR($D1325*INDEX(Mix_Eff,MATCH($C1325,Mix_Code,0),2),""))</f>
        <v/>
      </c>
      <c r="H1325" s="67" t="str">
        <f aca="false">IF(OR($C1325="",$D1325=""),"",IFERROR($D1325*INDEX(Mix_Eff,MATCH($C1325,Mix_Code,0),3),""))</f>
        <v/>
      </c>
      <c r="I1325" s="67" t="str">
        <f aca="false">IF(OR($C1325="",$D1325=""),"",IFERROR($D1325*INDEX(Mix_Eff,MATCH($C1325,Mix_Code,0),4),""))</f>
        <v/>
      </c>
      <c r="J1325" s="67" t="str">
        <f aca="false">IF(OR($C1325="",$D1325=""),"",IFERROR($D1325*INDEX(Mix_Eff,MATCH($C1325,Mix_Code,0),5),""))</f>
        <v/>
      </c>
      <c r="K1325" s="63"/>
      <c r="L1325" s="16" t="str">
        <f aca="false">IF(AND($A1325="",$B1325="",$C1325="",$D1325=""),"",IF($A1325="","⚠ Date missing",IF($B1325="","⚠ Site missing",IF(ISNA(MATCH($C1325,Mix_Code,0)),"⚠ Unknown mix code",IF($D1325="","⚠ Enter m3 produced",IF(COUNTIF(CI_Site,$B1325)=0,"⚠ Site not set up in Current Inventory",IF($A1325&gt;AsOfDate,"Future date – not yet deducted","OK")))))))</f>
        <v/>
      </c>
    </row>
    <row r="1326" customFormat="false" ht="15" hidden="false" customHeight="false" outlineLevel="0" collapsed="false">
      <c r="A1326" s="65"/>
      <c r="B1326" s="63"/>
      <c r="C1326" s="70"/>
      <c r="D1326" s="66"/>
      <c r="E1326" s="16" t="str">
        <f aca="false">IF($C1326="","",IFERROR(INDEX(Mix_Desc,MATCH($C1326,Mix_Code,0)),"⚠ Unknown mix code"))</f>
        <v/>
      </c>
      <c r="F1326" s="67" t="str">
        <f aca="false">IF(OR($C1326="",$D1326=""),"",IFERROR($D1326*INDEX(Mix_Eff,MATCH($C1326,Mix_Code,0),1),""))</f>
        <v/>
      </c>
      <c r="G1326" s="67" t="str">
        <f aca="false">IF(OR($C1326="",$D1326=""),"",IFERROR($D1326*INDEX(Mix_Eff,MATCH($C1326,Mix_Code,0),2),""))</f>
        <v/>
      </c>
      <c r="H1326" s="67" t="str">
        <f aca="false">IF(OR($C1326="",$D1326=""),"",IFERROR($D1326*INDEX(Mix_Eff,MATCH($C1326,Mix_Code,0),3),""))</f>
        <v/>
      </c>
      <c r="I1326" s="67" t="str">
        <f aca="false">IF(OR($C1326="",$D1326=""),"",IFERROR($D1326*INDEX(Mix_Eff,MATCH($C1326,Mix_Code,0),4),""))</f>
        <v/>
      </c>
      <c r="J1326" s="67" t="str">
        <f aca="false">IF(OR($C1326="",$D1326=""),"",IFERROR($D1326*INDEX(Mix_Eff,MATCH($C1326,Mix_Code,0),5),""))</f>
        <v/>
      </c>
      <c r="K1326" s="63"/>
      <c r="L1326" s="16" t="str">
        <f aca="false">IF(AND($A1326="",$B1326="",$C1326="",$D1326=""),"",IF($A1326="","⚠ Date missing",IF($B1326="","⚠ Site missing",IF(ISNA(MATCH($C1326,Mix_Code,0)),"⚠ Unknown mix code",IF($D1326="","⚠ Enter m3 produced",IF(COUNTIF(CI_Site,$B1326)=0,"⚠ Site not set up in Current Inventory",IF($A1326&gt;AsOfDate,"Future date – not yet deducted","OK")))))))</f>
        <v/>
      </c>
    </row>
    <row r="1327" customFormat="false" ht="15" hidden="false" customHeight="false" outlineLevel="0" collapsed="false">
      <c r="A1327" s="65"/>
      <c r="B1327" s="63"/>
      <c r="C1327" s="70"/>
      <c r="D1327" s="66"/>
      <c r="E1327" s="16" t="str">
        <f aca="false">IF($C1327="","",IFERROR(INDEX(Mix_Desc,MATCH($C1327,Mix_Code,0)),"⚠ Unknown mix code"))</f>
        <v/>
      </c>
      <c r="F1327" s="67" t="str">
        <f aca="false">IF(OR($C1327="",$D1327=""),"",IFERROR($D1327*INDEX(Mix_Eff,MATCH($C1327,Mix_Code,0),1),""))</f>
        <v/>
      </c>
      <c r="G1327" s="67" t="str">
        <f aca="false">IF(OR($C1327="",$D1327=""),"",IFERROR($D1327*INDEX(Mix_Eff,MATCH($C1327,Mix_Code,0),2),""))</f>
        <v/>
      </c>
      <c r="H1327" s="67" t="str">
        <f aca="false">IF(OR($C1327="",$D1327=""),"",IFERROR($D1327*INDEX(Mix_Eff,MATCH($C1327,Mix_Code,0),3),""))</f>
        <v/>
      </c>
      <c r="I1327" s="67" t="str">
        <f aca="false">IF(OR($C1327="",$D1327=""),"",IFERROR($D1327*INDEX(Mix_Eff,MATCH($C1327,Mix_Code,0),4),""))</f>
        <v/>
      </c>
      <c r="J1327" s="67" t="str">
        <f aca="false">IF(OR($C1327="",$D1327=""),"",IFERROR($D1327*INDEX(Mix_Eff,MATCH($C1327,Mix_Code,0),5),""))</f>
        <v/>
      </c>
      <c r="K1327" s="63"/>
      <c r="L1327" s="16" t="str">
        <f aca="false">IF(AND($A1327="",$B1327="",$C1327="",$D1327=""),"",IF($A1327="","⚠ Date missing",IF($B1327="","⚠ Site missing",IF(ISNA(MATCH($C1327,Mix_Code,0)),"⚠ Unknown mix code",IF($D1327="","⚠ Enter m3 produced",IF(COUNTIF(CI_Site,$B1327)=0,"⚠ Site not set up in Current Inventory",IF($A1327&gt;AsOfDate,"Future date – not yet deducted","OK")))))))</f>
        <v/>
      </c>
    </row>
    <row r="1328" customFormat="false" ht="15" hidden="false" customHeight="false" outlineLevel="0" collapsed="false">
      <c r="A1328" s="65"/>
      <c r="B1328" s="63"/>
      <c r="C1328" s="70"/>
      <c r="D1328" s="66"/>
      <c r="E1328" s="16" t="str">
        <f aca="false">IF($C1328="","",IFERROR(INDEX(Mix_Desc,MATCH($C1328,Mix_Code,0)),"⚠ Unknown mix code"))</f>
        <v/>
      </c>
      <c r="F1328" s="67" t="str">
        <f aca="false">IF(OR($C1328="",$D1328=""),"",IFERROR($D1328*INDEX(Mix_Eff,MATCH($C1328,Mix_Code,0),1),""))</f>
        <v/>
      </c>
      <c r="G1328" s="67" t="str">
        <f aca="false">IF(OR($C1328="",$D1328=""),"",IFERROR($D1328*INDEX(Mix_Eff,MATCH($C1328,Mix_Code,0),2),""))</f>
        <v/>
      </c>
      <c r="H1328" s="67" t="str">
        <f aca="false">IF(OR($C1328="",$D1328=""),"",IFERROR($D1328*INDEX(Mix_Eff,MATCH($C1328,Mix_Code,0),3),""))</f>
        <v/>
      </c>
      <c r="I1328" s="67" t="str">
        <f aca="false">IF(OR($C1328="",$D1328=""),"",IFERROR($D1328*INDEX(Mix_Eff,MATCH($C1328,Mix_Code,0),4),""))</f>
        <v/>
      </c>
      <c r="J1328" s="67" t="str">
        <f aca="false">IF(OR($C1328="",$D1328=""),"",IFERROR($D1328*INDEX(Mix_Eff,MATCH($C1328,Mix_Code,0),5),""))</f>
        <v/>
      </c>
      <c r="K1328" s="63"/>
      <c r="L1328" s="16" t="str">
        <f aca="false">IF(AND($A1328="",$B1328="",$C1328="",$D1328=""),"",IF($A1328="","⚠ Date missing",IF($B1328="","⚠ Site missing",IF(ISNA(MATCH($C1328,Mix_Code,0)),"⚠ Unknown mix code",IF($D1328="","⚠ Enter m3 produced",IF(COUNTIF(CI_Site,$B1328)=0,"⚠ Site not set up in Current Inventory",IF($A1328&gt;AsOfDate,"Future date – not yet deducted","OK")))))))</f>
        <v/>
      </c>
    </row>
    <row r="1329" customFormat="false" ht="15" hidden="false" customHeight="false" outlineLevel="0" collapsed="false">
      <c r="A1329" s="65"/>
      <c r="B1329" s="63"/>
      <c r="C1329" s="70"/>
      <c r="D1329" s="66"/>
      <c r="E1329" s="16" t="str">
        <f aca="false">IF($C1329="","",IFERROR(INDEX(Mix_Desc,MATCH($C1329,Mix_Code,0)),"⚠ Unknown mix code"))</f>
        <v/>
      </c>
      <c r="F1329" s="67" t="str">
        <f aca="false">IF(OR($C1329="",$D1329=""),"",IFERROR($D1329*INDEX(Mix_Eff,MATCH($C1329,Mix_Code,0),1),""))</f>
        <v/>
      </c>
      <c r="G1329" s="67" t="str">
        <f aca="false">IF(OR($C1329="",$D1329=""),"",IFERROR($D1329*INDEX(Mix_Eff,MATCH($C1329,Mix_Code,0),2),""))</f>
        <v/>
      </c>
      <c r="H1329" s="67" t="str">
        <f aca="false">IF(OR($C1329="",$D1329=""),"",IFERROR($D1329*INDEX(Mix_Eff,MATCH($C1329,Mix_Code,0),3),""))</f>
        <v/>
      </c>
      <c r="I1329" s="67" t="str">
        <f aca="false">IF(OR($C1329="",$D1329=""),"",IFERROR($D1329*INDEX(Mix_Eff,MATCH($C1329,Mix_Code,0),4),""))</f>
        <v/>
      </c>
      <c r="J1329" s="67" t="str">
        <f aca="false">IF(OR($C1329="",$D1329=""),"",IFERROR($D1329*INDEX(Mix_Eff,MATCH($C1329,Mix_Code,0),5),""))</f>
        <v/>
      </c>
      <c r="K1329" s="63"/>
      <c r="L1329" s="16" t="str">
        <f aca="false">IF(AND($A1329="",$B1329="",$C1329="",$D1329=""),"",IF($A1329="","⚠ Date missing",IF($B1329="","⚠ Site missing",IF(ISNA(MATCH($C1329,Mix_Code,0)),"⚠ Unknown mix code",IF($D1329="","⚠ Enter m3 produced",IF(COUNTIF(CI_Site,$B1329)=0,"⚠ Site not set up in Current Inventory",IF($A1329&gt;AsOfDate,"Future date – not yet deducted","OK")))))))</f>
        <v/>
      </c>
    </row>
    <row r="1330" customFormat="false" ht="15" hidden="false" customHeight="false" outlineLevel="0" collapsed="false">
      <c r="A1330" s="65"/>
      <c r="B1330" s="63"/>
      <c r="C1330" s="70"/>
      <c r="D1330" s="66"/>
      <c r="E1330" s="16" t="str">
        <f aca="false">IF($C1330="","",IFERROR(INDEX(Mix_Desc,MATCH($C1330,Mix_Code,0)),"⚠ Unknown mix code"))</f>
        <v/>
      </c>
      <c r="F1330" s="67" t="str">
        <f aca="false">IF(OR($C1330="",$D1330=""),"",IFERROR($D1330*INDEX(Mix_Eff,MATCH($C1330,Mix_Code,0),1),""))</f>
        <v/>
      </c>
      <c r="G1330" s="67" t="str">
        <f aca="false">IF(OR($C1330="",$D1330=""),"",IFERROR($D1330*INDEX(Mix_Eff,MATCH($C1330,Mix_Code,0),2),""))</f>
        <v/>
      </c>
      <c r="H1330" s="67" t="str">
        <f aca="false">IF(OR($C1330="",$D1330=""),"",IFERROR($D1330*INDEX(Mix_Eff,MATCH($C1330,Mix_Code,0),3),""))</f>
        <v/>
      </c>
      <c r="I1330" s="67" t="str">
        <f aca="false">IF(OR($C1330="",$D1330=""),"",IFERROR($D1330*INDEX(Mix_Eff,MATCH($C1330,Mix_Code,0),4),""))</f>
        <v/>
      </c>
      <c r="J1330" s="67" t="str">
        <f aca="false">IF(OR($C1330="",$D1330=""),"",IFERROR($D1330*INDEX(Mix_Eff,MATCH($C1330,Mix_Code,0),5),""))</f>
        <v/>
      </c>
      <c r="K1330" s="63"/>
      <c r="L1330" s="16" t="str">
        <f aca="false">IF(AND($A1330="",$B1330="",$C1330="",$D1330=""),"",IF($A1330="","⚠ Date missing",IF($B1330="","⚠ Site missing",IF(ISNA(MATCH($C1330,Mix_Code,0)),"⚠ Unknown mix code",IF($D1330="","⚠ Enter m3 produced",IF(COUNTIF(CI_Site,$B1330)=0,"⚠ Site not set up in Current Inventory",IF($A1330&gt;AsOfDate,"Future date – not yet deducted","OK")))))))</f>
        <v/>
      </c>
    </row>
    <row r="1331" customFormat="false" ht="15" hidden="false" customHeight="false" outlineLevel="0" collapsed="false">
      <c r="A1331" s="65"/>
      <c r="B1331" s="63"/>
      <c r="C1331" s="70"/>
      <c r="D1331" s="66"/>
      <c r="E1331" s="16" t="str">
        <f aca="false">IF($C1331="","",IFERROR(INDEX(Mix_Desc,MATCH($C1331,Mix_Code,0)),"⚠ Unknown mix code"))</f>
        <v/>
      </c>
      <c r="F1331" s="67" t="str">
        <f aca="false">IF(OR($C1331="",$D1331=""),"",IFERROR($D1331*INDEX(Mix_Eff,MATCH($C1331,Mix_Code,0),1),""))</f>
        <v/>
      </c>
      <c r="G1331" s="67" t="str">
        <f aca="false">IF(OR($C1331="",$D1331=""),"",IFERROR($D1331*INDEX(Mix_Eff,MATCH($C1331,Mix_Code,0),2),""))</f>
        <v/>
      </c>
      <c r="H1331" s="67" t="str">
        <f aca="false">IF(OR($C1331="",$D1331=""),"",IFERROR($D1331*INDEX(Mix_Eff,MATCH($C1331,Mix_Code,0),3),""))</f>
        <v/>
      </c>
      <c r="I1331" s="67" t="str">
        <f aca="false">IF(OR($C1331="",$D1331=""),"",IFERROR($D1331*INDEX(Mix_Eff,MATCH($C1331,Mix_Code,0),4),""))</f>
        <v/>
      </c>
      <c r="J1331" s="67" t="str">
        <f aca="false">IF(OR($C1331="",$D1331=""),"",IFERROR($D1331*INDEX(Mix_Eff,MATCH($C1331,Mix_Code,0),5),""))</f>
        <v/>
      </c>
      <c r="K1331" s="63"/>
      <c r="L1331" s="16" t="str">
        <f aca="false">IF(AND($A1331="",$B1331="",$C1331="",$D1331=""),"",IF($A1331="","⚠ Date missing",IF($B1331="","⚠ Site missing",IF(ISNA(MATCH($C1331,Mix_Code,0)),"⚠ Unknown mix code",IF($D1331="","⚠ Enter m3 produced",IF(COUNTIF(CI_Site,$B1331)=0,"⚠ Site not set up in Current Inventory",IF($A1331&gt;AsOfDate,"Future date – not yet deducted","OK")))))))</f>
        <v/>
      </c>
    </row>
    <row r="1332" customFormat="false" ht="15" hidden="false" customHeight="false" outlineLevel="0" collapsed="false">
      <c r="A1332" s="65"/>
      <c r="B1332" s="63"/>
      <c r="C1332" s="70"/>
      <c r="D1332" s="66"/>
      <c r="E1332" s="16" t="str">
        <f aca="false">IF($C1332="","",IFERROR(INDEX(Mix_Desc,MATCH($C1332,Mix_Code,0)),"⚠ Unknown mix code"))</f>
        <v/>
      </c>
      <c r="F1332" s="67" t="str">
        <f aca="false">IF(OR($C1332="",$D1332=""),"",IFERROR($D1332*INDEX(Mix_Eff,MATCH($C1332,Mix_Code,0),1),""))</f>
        <v/>
      </c>
      <c r="G1332" s="67" t="str">
        <f aca="false">IF(OR($C1332="",$D1332=""),"",IFERROR($D1332*INDEX(Mix_Eff,MATCH($C1332,Mix_Code,0),2),""))</f>
        <v/>
      </c>
      <c r="H1332" s="67" t="str">
        <f aca="false">IF(OR($C1332="",$D1332=""),"",IFERROR($D1332*INDEX(Mix_Eff,MATCH($C1332,Mix_Code,0),3),""))</f>
        <v/>
      </c>
      <c r="I1332" s="67" t="str">
        <f aca="false">IF(OR($C1332="",$D1332=""),"",IFERROR($D1332*INDEX(Mix_Eff,MATCH($C1332,Mix_Code,0),4),""))</f>
        <v/>
      </c>
      <c r="J1332" s="67" t="str">
        <f aca="false">IF(OR($C1332="",$D1332=""),"",IFERROR($D1332*INDEX(Mix_Eff,MATCH($C1332,Mix_Code,0),5),""))</f>
        <v/>
      </c>
      <c r="K1332" s="63"/>
      <c r="L1332" s="16" t="str">
        <f aca="false">IF(AND($A1332="",$B1332="",$C1332="",$D1332=""),"",IF($A1332="","⚠ Date missing",IF($B1332="","⚠ Site missing",IF(ISNA(MATCH($C1332,Mix_Code,0)),"⚠ Unknown mix code",IF($D1332="","⚠ Enter m3 produced",IF(COUNTIF(CI_Site,$B1332)=0,"⚠ Site not set up in Current Inventory",IF($A1332&gt;AsOfDate,"Future date – not yet deducted","OK")))))))</f>
        <v/>
      </c>
    </row>
    <row r="1333" customFormat="false" ht="15" hidden="false" customHeight="false" outlineLevel="0" collapsed="false">
      <c r="A1333" s="65"/>
      <c r="B1333" s="63"/>
      <c r="C1333" s="70"/>
      <c r="D1333" s="66"/>
      <c r="E1333" s="16" t="str">
        <f aca="false">IF($C1333="","",IFERROR(INDEX(Mix_Desc,MATCH($C1333,Mix_Code,0)),"⚠ Unknown mix code"))</f>
        <v/>
      </c>
      <c r="F1333" s="67" t="str">
        <f aca="false">IF(OR($C1333="",$D1333=""),"",IFERROR($D1333*INDEX(Mix_Eff,MATCH($C1333,Mix_Code,0),1),""))</f>
        <v/>
      </c>
      <c r="G1333" s="67" t="str">
        <f aca="false">IF(OR($C1333="",$D1333=""),"",IFERROR($D1333*INDEX(Mix_Eff,MATCH($C1333,Mix_Code,0),2),""))</f>
        <v/>
      </c>
      <c r="H1333" s="67" t="str">
        <f aca="false">IF(OR($C1333="",$D1333=""),"",IFERROR($D1333*INDEX(Mix_Eff,MATCH($C1333,Mix_Code,0),3),""))</f>
        <v/>
      </c>
      <c r="I1333" s="67" t="str">
        <f aca="false">IF(OR($C1333="",$D1333=""),"",IFERROR($D1333*INDEX(Mix_Eff,MATCH($C1333,Mix_Code,0),4),""))</f>
        <v/>
      </c>
      <c r="J1333" s="67" t="str">
        <f aca="false">IF(OR($C1333="",$D1333=""),"",IFERROR($D1333*INDEX(Mix_Eff,MATCH($C1333,Mix_Code,0),5),""))</f>
        <v/>
      </c>
      <c r="K1333" s="63"/>
      <c r="L1333" s="16" t="str">
        <f aca="false">IF(AND($A1333="",$B1333="",$C1333="",$D1333=""),"",IF($A1333="","⚠ Date missing",IF($B1333="","⚠ Site missing",IF(ISNA(MATCH($C1333,Mix_Code,0)),"⚠ Unknown mix code",IF($D1333="","⚠ Enter m3 produced",IF(COUNTIF(CI_Site,$B1333)=0,"⚠ Site not set up in Current Inventory",IF($A1333&gt;AsOfDate,"Future date – not yet deducted","OK")))))))</f>
        <v/>
      </c>
    </row>
    <row r="1334" customFormat="false" ht="15" hidden="false" customHeight="false" outlineLevel="0" collapsed="false">
      <c r="A1334" s="65"/>
      <c r="B1334" s="63"/>
      <c r="C1334" s="70"/>
      <c r="D1334" s="66"/>
      <c r="E1334" s="16" t="str">
        <f aca="false">IF($C1334="","",IFERROR(INDEX(Mix_Desc,MATCH($C1334,Mix_Code,0)),"⚠ Unknown mix code"))</f>
        <v/>
      </c>
      <c r="F1334" s="67" t="str">
        <f aca="false">IF(OR($C1334="",$D1334=""),"",IFERROR($D1334*INDEX(Mix_Eff,MATCH($C1334,Mix_Code,0),1),""))</f>
        <v/>
      </c>
      <c r="G1334" s="67" t="str">
        <f aca="false">IF(OR($C1334="",$D1334=""),"",IFERROR($D1334*INDEX(Mix_Eff,MATCH($C1334,Mix_Code,0),2),""))</f>
        <v/>
      </c>
      <c r="H1334" s="67" t="str">
        <f aca="false">IF(OR($C1334="",$D1334=""),"",IFERROR($D1334*INDEX(Mix_Eff,MATCH($C1334,Mix_Code,0),3),""))</f>
        <v/>
      </c>
      <c r="I1334" s="67" t="str">
        <f aca="false">IF(OR($C1334="",$D1334=""),"",IFERROR($D1334*INDEX(Mix_Eff,MATCH($C1334,Mix_Code,0),4),""))</f>
        <v/>
      </c>
      <c r="J1334" s="67" t="str">
        <f aca="false">IF(OR($C1334="",$D1334=""),"",IFERROR($D1334*INDEX(Mix_Eff,MATCH($C1334,Mix_Code,0),5),""))</f>
        <v/>
      </c>
      <c r="K1334" s="63"/>
      <c r="L1334" s="16" t="str">
        <f aca="false">IF(AND($A1334="",$B1334="",$C1334="",$D1334=""),"",IF($A1334="","⚠ Date missing",IF($B1334="","⚠ Site missing",IF(ISNA(MATCH($C1334,Mix_Code,0)),"⚠ Unknown mix code",IF($D1334="","⚠ Enter m3 produced",IF(COUNTIF(CI_Site,$B1334)=0,"⚠ Site not set up in Current Inventory",IF($A1334&gt;AsOfDate,"Future date – not yet deducted","OK")))))))</f>
        <v/>
      </c>
    </row>
    <row r="1335" customFormat="false" ht="15" hidden="false" customHeight="false" outlineLevel="0" collapsed="false">
      <c r="A1335" s="65"/>
      <c r="B1335" s="63"/>
      <c r="C1335" s="70"/>
      <c r="D1335" s="66"/>
      <c r="E1335" s="16" t="str">
        <f aca="false">IF($C1335="","",IFERROR(INDEX(Mix_Desc,MATCH($C1335,Mix_Code,0)),"⚠ Unknown mix code"))</f>
        <v/>
      </c>
      <c r="F1335" s="67" t="str">
        <f aca="false">IF(OR($C1335="",$D1335=""),"",IFERROR($D1335*INDEX(Mix_Eff,MATCH($C1335,Mix_Code,0),1),""))</f>
        <v/>
      </c>
      <c r="G1335" s="67" t="str">
        <f aca="false">IF(OR($C1335="",$D1335=""),"",IFERROR($D1335*INDEX(Mix_Eff,MATCH($C1335,Mix_Code,0),2),""))</f>
        <v/>
      </c>
      <c r="H1335" s="67" t="str">
        <f aca="false">IF(OR($C1335="",$D1335=""),"",IFERROR($D1335*INDEX(Mix_Eff,MATCH($C1335,Mix_Code,0),3),""))</f>
        <v/>
      </c>
      <c r="I1335" s="67" t="str">
        <f aca="false">IF(OR($C1335="",$D1335=""),"",IFERROR($D1335*INDEX(Mix_Eff,MATCH($C1335,Mix_Code,0),4),""))</f>
        <v/>
      </c>
      <c r="J1335" s="67" t="str">
        <f aca="false">IF(OR($C1335="",$D1335=""),"",IFERROR($D1335*INDEX(Mix_Eff,MATCH($C1335,Mix_Code,0),5),""))</f>
        <v/>
      </c>
      <c r="K1335" s="63"/>
      <c r="L1335" s="16" t="str">
        <f aca="false">IF(AND($A1335="",$B1335="",$C1335="",$D1335=""),"",IF($A1335="","⚠ Date missing",IF($B1335="","⚠ Site missing",IF(ISNA(MATCH($C1335,Mix_Code,0)),"⚠ Unknown mix code",IF($D1335="","⚠ Enter m3 produced",IF(COUNTIF(CI_Site,$B1335)=0,"⚠ Site not set up in Current Inventory",IF($A1335&gt;AsOfDate,"Future date – not yet deducted","OK")))))))</f>
        <v/>
      </c>
    </row>
    <row r="1336" customFormat="false" ht="15" hidden="false" customHeight="false" outlineLevel="0" collapsed="false">
      <c r="A1336" s="65"/>
      <c r="B1336" s="63"/>
      <c r="C1336" s="70"/>
      <c r="D1336" s="66"/>
      <c r="E1336" s="16" t="str">
        <f aca="false">IF($C1336="","",IFERROR(INDEX(Mix_Desc,MATCH($C1336,Mix_Code,0)),"⚠ Unknown mix code"))</f>
        <v/>
      </c>
      <c r="F1336" s="67" t="str">
        <f aca="false">IF(OR($C1336="",$D1336=""),"",IFERROR($D1336*INDEX(Mix_Eff,MATCH($C1336,Mix_Code,0),1),""))</f>
        <v/>
      </c>
      <c r="G1336" s="67" t="str">
        <f aca="false">IF(OR($C1336="",$D1336=""),"",IFERROR($D1336*INDEX(Mix_Eff,MATCH($C1336,Mix_Code,0),2),""))</f>
        <v/>
      </c>
      <c r="H1336" s="67" t="str">
        <f aca="false">IF(OR($C1336="",$D1336=""),"",IFERROR($D1336*INDEX(Mix_Eff,MATCH($C1336,Mix_Code,0),3),""))</f>
        <v/>
      </c>
      <c r="I1336" s="67" t="str">
        <f aca="false">IF(OR($C1336="",$D1336=""),"",IFERROR($D1336*INDEX(Mix_Eff,MATCH($C1336,Mix_Code,0),4),""))</f>
        <v/>
      </c>
      <c r="J1336" s="67" t="str">
        <f aca="false">IF(OR($C1336="",$D1336=""),"",IFERROR($D1336*INDEX(Mix_Eff,MATCH($C1336,Mix_Code,0),5),""))</f>
        <v/>
      </c>
      <c r="K1336" s="63"/>
      <c r="L1336" s="16" t="str">
        <f aca="false">IF(AND($A1336="",$B1336="",$C1336="",$D1336=""),"",IF($A1336="","⚠ Date missing",IF($B1336="","⚠ Site missing",IF(ISNA(MATCH($C1336,Mix_Code,0)),"⚠ Unknown mix code",IF($D1336="","⚠ Enter m3 produced",IF(COUNTIF(CI_Site,$B1336)=0,"⚠ Site not set up in Current Inventory",IF($A1336&gt;AsOfDate,"Future date – not yet deducted","OK")))))))</f>
        <v/>
      </c>
    </row>
    <row r="1337" customFormat="false" ht="15" hidden="false" customHeight="false" outlineLevel="0" collapsed="false">
      <c r="A1337" s="65"/>
      <c r="B1337" s="63"/>
      <c r="C1337" s="70"/>
      <c r="D1337" s="66"/>
      <c r="E1337" s="16" t="str">
        <f aca="false">IF($C1337="","",IFERROR(INDEX(Mix_Desc,MATCH($C1337,Mix_Code,0)),"⚠ Unknown mix code"))</f>
        <v/>
      </c>
      <c r="F1337" s="67" t="str">
        <f aca="false">IF(OR($C1337="",$D1337=""),"",IFERROR($D1337*INDEX(Mix_Eff,MATCH($C1337,Mix_Code,0),1),""))</f>
        <v/>
      </c>
      <c r="G1337" s="67" t="str">
        <f aca="false">IF(OR($C1337="",$D1337=""),"",IFERROR($D1337*INDEX(Mix_Eff,MATCH($C1337,Mix_Code,0),2),""))</f>
        <v/>
      </c>
      <c r="H1337" s="67" t="str">
        <f aca="false">IF(OR($C1337="",$D1337=""),"",IFERROR($D1337*INDEX(Mix_Eff,MATCH($C1337,Mix_Code,0),3),""))</f>
        <v/>
      </c>
      <c r="I1337" s="67" t="str">
        <f aca="false">IF(OR($C1337="",$D1337=""),"",IFERROR($D1337*INDEX(Mix_Eff,MATCH($C1337,Mix_Code,0),4),""))</f>
        <v/>
      </c>
      <c r="J1337" s="67" t="str">
        <f aca="false">IF(OR($C1337="",$D1337=""),"",IFERROR($D1337*INDEX(Mix_Eff,MATCH($C1337,Mix_Code,0),5),""))</f>
        <v/>
      </c>
      <c r="K1337" s="63"/>
      <c r="L1337" s="16" t="str">
        <f aca="false">IF(AND($A1337="",$B1337="",$C1337="",$D1337=""),"",IF($A1337="","⚠ Date missing",IF($B1337="","⚠ Site missing",IF(ISNA(MATCH($C1337,Mix_Code,0)),"⚠ Unknown mix code",IF($D1337="","⚠ Enter m3 produced",IF(COUNTIF(CI_Site,$B1337)=0,"⚠ Site not set up in Current Inventory",IF($A1337&gt;AsOfDate,"Future date – not yet deducted","OK")))))))</f>
        <v/>
      </c>
    </row>
    <row r="1338" customFormat="false" ht="15" hidden="false" customHeight="false" outlineLevel="0" collapsed="false">
      <c r="A1338" s="65"/>
      <c r="B1338" s="63"/>
      <c r="C1338" s="70"/>
      <c r="D1338" s="66"/>
      <c r="E1338" s="16" t="str">
        <f aca="false">IF($C1338="","",IFERROR(INDEX(Mix_Desc,MATCH($C1338,Mix_Code,0)),"⚠ Unknown mix code"))</f>
        <v/>
      </c>
      <c r="F1338" s="67" t="str">
        <f aca="false">IF(OR($C1338="",$D1338=""),"",IFERROR($D1338*INDEX(Mix_Eff,MATCH($C1338,Mix_Code,0),1),""))</f>
        <v/>
      </c>
      <c r="G1338" s="67" t="str">
        <f aca="false">IF(OR($C1338="",$D1338=""),"",IFERROR($D1338*INDEX(Mix_Eff,MATCH($C1338,Mix_Code,0),2),""))</f>
        <v/>
      </c>
      <c r="H1338" s="67" t="str">
        <f aca="false">IF(OR($C1338="",$D1338=""),"",IFERROR($D1338*INDEX(Mix_Eff,MATCH($C1338,Mix_Code,0),3),""))</f>
        <v/>
      </c>
      <c r="I1338" s="67" t="str">
        <f aca="false">IF(OR($C1338="",$D1338=""),"",IFERROR($D1338*INDEX(Mix_Eff,MATCH($C1338,Mix_Code,0),4),""))</f>
        <v/>
      </c>
      <c r="J1338" s="67" t="str">
        <f aca="false">IF(OR($C1338="",$D1338=""),"",IFERROR($D1338*INDEX(Mix_Eff,MATCH($C1338,Mix_Code,0),5),""))</f>
        <v/>
      </c>
      <c r="K1338" s="63"/>
      <c r="L1338" s="16" t="str">
        <f aca="false">IF(AND($A1338="",$B1338="",$C1338="",$D1338=""),"",IF($A1338="","⚠ Date missing",IF($B1338="","⚠ Site missing",IF(ISNA(MATCH($C1338,Mix_Code,0)),"⚠ Unknown mix code",IF($D1338="","⚠ Enter m3 produced",IF(COUNTIF(CI_Site,$B1338)=0,"⚠ Site not set up in Current Inventory",IF($A1338&gt;AsOfDate,"Future date – not yet deducted","OK")))))))</f>
        <v/>
      </c>
    </row>
    <row r="1339" customFormat="false" ht="15" hidden="false" customHeight="false" outlineLevel="0" collapsed="false">
      <c r="A1339" s="65"/>
      <c r="B1339" s="63"/>
      <c r="C1339" s="70"/>
      <c r="D1339" s="66"/>
      <c r="E1339" s="16" t="str">
        <f aca="false">IF($C1339="","",IFERROR(INDEX(Mix_Desc,MATCH($C1339,Mix_Code,0)),"⚠ Unknown mix code"))</f>
        <v/>
      </c>
      <c r="F1339" s="67" t="str">
        <f aca="false">IF(OR($C1339="",$D1339=""),"",IFERROR($D1339*INDEX(Mix_Eff,MATCH($C1339,Mix_Code,0),1),""))</f>
        <v/>
      </c>
      <c r="G1339" s="67" t="str">
        <f aca="false">IF(OR($C1339="",$D1339=""),"",IFERROR($D1339*INDEX(Mix_Eff,MATCH($C1339,Mix_Code,0),2),""))</f>
        <v/>
      </c>
      <c r="H1339" s="67" t="str">
        <f aca="false">IF(OR($C1339="",$D1339=""),"",IFERROR($D1339*INDEX(Mix_Eff,MATCH($C1339,Mix_Code,0),3),""))</f>
        <v/>
      </c>
      <c r="I1339" s="67" t="str">
        <f aca="false">IF(OR($C1339="",$D1339=""),"",IFERROR($D1339*INDEX(Mix_Eff,MATCH($C1339,Mix_Code,0),4),""))</f>
        <v/>
      </c>
      <c r="J1339" s="67" t="str">
        <f aca="false">IF(OR($C1339="",$D1339=""),"",IFERROR($D1339*INDEX(Mix_Eff,MATCH($C1339,Mix_Code,0),5),""))</f>
        <v/>
      </c>
      <c r="K1339" s="63"/>
      <c r="L1339" s="16" t="str">
        <f aca="false">IF(AND($A1339="",$B1339="",$C1339="",$D1339=""),"",IF($A1339="","⚠ Date missing",IF($B1339="","⚠ Site missing",IF(ISNA(MATCH($C1339,Mix_Code,0)),"⚠ Unknown mix code",IF($D1339="","⚠ Enter m3 produced",IF(COUNTIF(CI_Site,$B1339)=0,"⚠ Site not set up in Current Inventory",IF($A1339&gt;AsOfDate,"Future date – not yet deducted","OK")))))))</f>
        <v/>
      </c>
    </row>
    <row r="1340" customFormat="false" ht="15" hidden="false" customHeight="false" outlineLevel="0" collapsed="false">
      <c r="A1340" s="65"/>
      <c r="B1340" s="63"/>
      <c r="C1340" s="70"/>
      <c r="D1340" s="66"/>
      <c r="E1340" s="16" t="str">
        <f aca="false">IF($C1340="","",IFERROR(INDEX(Mix_Desc,MATCH($C1340,Mix_Code,0)),"⚠ Unknown mix code"))</f>
        <v/>
      </c>
      <c r="F1340" s="67" t="str">
        <f aca="false">IF(OR($C1340="",$D1340=""),"",IFERROR($D1340*INDEX(Mix_Eff,MATCH($C1340,Mix_Code,0),1),""))</f>
        <v/>
      </c>
      <c r="G1340" s="67" t="str">
        <f aca="false">IF(OR($C1340="",$D1340=""),"",IFERROR($D1340*INDEX(Mix_Eff,MATCH($C1340,Mix_Code,0),2),""))</f>
        <v/>
      </c>
      <c r="H1340" s="67" t="str">
        <f aca="false">IF(OR($C1340="",$D1340=""),"",IFERROR($D1340*INDEX(Mix_Eff,MATCH($C1340,Mix_Code,0),3),""))</f>
        <v/>
      </c>
      <c r="I1340" s="67" t="str">
        <f aca="false">IF(OR($C1340="",$D1340=""),"",IFERROR($D1340*INDEX(Mix_Eff,MATCH($C1340,Mix_Code,0),4),""))</f>
        <v/>
      </c>
      <c r="J1340" s="67" t="str">
        <f aca="false">IF(OR($C1340="",$D1340=""),"",IFERROR($D1340*INDEX(Mix_Eff,MATCH($C1340,Mix_Code,0),5),""))</f>
        <v/>
      </c>
      <c r="K1340" s="63"/>
      <c r="L1340" s="16" t="str">
        <f aca="false">IF(AND($A1340="",$B1340="",$C1340="",$D1340=""),"",IF($A1340="","⚠ Date missing",IF($B1340="","⚠ Site missing",IF(ISNA(MATCH($C1340,Mix_Code,0)),"⚠ Unknown mix code",IF($D1340="","⚠ Enter m3 produced",IF(COUNTIF(CI_Site,$B1340)=0,"⚠ Site not set up in Current Inventory",IF($A1340&gt;AsOfDate,"Future date – not yet deducted","OK")))))))</f>
        <v/>
      </c>
    </row>
    <row r="1341" customFormat="false" ht="15" hidden="false" customHeight="false" outlineLevel="0" collapsed="false">
      <c r="A1341" s="65"/>
      <c r="B1341" s="63"/>
      <c r="C1341" s="70"/>
      <c r="D1341" s="66"/>
      <c r="E1341" s="16" t="str">
        <f aca="false">IF($C1341="","",IFERROR(INDEX(Mix_Desc,MATCH($C1341,Mix_Code,0)),"⚠ Unknown mix code"))</f>
        <v/>
      </c>
      <c r="F1341" s="67" t="str">
        <f aca="false">IF(OR($C1341="",$D1341=""),"",IFERROR($D1341*INDEX(Mix_Eff,MATCH($C1341,Mix_Code,0),1),""))</f>
        <v/>
      </c>
      <c r="G1341" s="67" t="str">
        <f aca="false">IF(OR($C1341="",$D1341=""),"",IFERROR($D1341*INDEX(Mix_Eff,MATCH($C1341,Mix_Code,0),2),""))</f>
        <v/>
      </c>
      <c r="H1341" s="67" t="str">
        <f aca="false">IF(OR($C1341="",$D1341=""),"",IFERROR($D1341*INDEX(Mix_Eff,MATCH($C1341,Mix_Code,0),3),""))</f>
        <v/>
      </c>
      <c r="I1341" s="67" t="str">
        <f aca="false">IF(OR($C1341="",$D1341=""),"",IFERROR($D1341*INDEX(Mix_Eff,MATCH($C1341,Mix_Code,0),4),""))</f>
        <v/>
      </c>
      <c r="J1341" s="67" t="str">
        <f aca="false">IF(OR($C1341="",$D1341=""),"",IFERROR($D1341*INDEX(Mix_Eff,MATCH($C1341,Mix_Code,0),5),""))</f>
        <v/>
      </c>
      <c r="K1341" s="63"/>
      <c r="L1341" s="16" t="str">
        <f aca="false">IF(AND($A1341="",$B1341="",$C1341="",$D1341=""),"",IF($A1341="","⚠ Date missing",IF($B1341="","⚠ Site missing",IF(ISNA(MATCH($C1341,Mix_Code,0)),"⚠ Unknown mix code",IF($D1341="","⚠ Enter m3 produced",IF(COUNTIF(CI_Site,$B1341)=0,"⚠ Site not set up in Current Inventory",IF($A1341&gt;AsOfDate,"Future date – not yet deducted","OK")))))))</f>
        <v/>
      </c>
    </row>
    <row r="1342" customFormat="false" ht="15" hidden="false" customHeight="false" outlineLevel="0" collapsed="false">
      <c r="A1342" s="65"/>
      <c r="B1342" s="63"/>
      <c r="C1342" s="70"/>
      <c r="D1342" s="66"/>
      <c r="E1342" s="16" t="str">
        <f aca="false">IF($C1342="","",IFERROR(INDEX(Mix_Desc,MATCH($C1342,Mix_Code,0)),"⚠ Unknown mix code"))</f>
        <v/>
      </c>
      <c r="F1342" s="67" t="str">
        <f aca="false">IF(OR($C1342="",$D1342=""),"",IFERROR($D1342*INDEX(Mix_Eff,MATCH($C1342,Mix_Code,0),1),""))</f>
        <v/>
      </c>
      <c r="G1342" s="67" t="str">
        <f aca="false">IF(OR($C1342="",$D1342=""),"",IFERROR($D1342*INDEX(Mix_Eff,MATCH($C1342,Mix_Code,0),2),""))</f>
        <v/>
      </c>
      <c r="H1342" s="67" t="str">
        <f aca="false">IF(OR($C1342="",$D1342=""),"",IFERROR($D1342*INDEX(Mix_Eff,MATCH($C1342,Mix_Code,0),3),""))</f>
        <v/>
      </c>
      <c r="I1342" s="67" t="str">
        <f aca="false">IF(OR($C1342="",$D1342=""),"",IFERROR($D1342*INDEX(Mix_Eff,MATCH($C1342,Mix_Code,0),4),""))</f>
        <v/>
      </c>
      <c r="J1342" s="67" t="str">
        <f aca="false">IF(OR($C1342="",$D1342=""),"",IFERROR($D1342*INDEX(Mix_Eff,MATCH($C1342,Mix_Code,0),5),""))</f>
        <v/>
      </c>
      <c r="K1342" s="63"/>
      <c r="L1342" s="16" t="str">
        <f aca="false">IF(AND($A1342="",$B1342="",$C1342="",$D1342=""),"",IF($A1342="","⚠ Date missing",IF($B1342="","⚠ Site missing",IF(ISNA(MATCH($C1342,Mix_Code,0)),"⚠ Unknown mix code",IF($D1342="","⚠ Enter m3 produced",IF(COUNTIF(CI_Site,$B1342)=0,"⚠ Site not set up in Current Inventory",IF($A1342&gt;AsOfDate,"Future date – not yet deducted","OK")))))))</f>
        <v/>
      </c>
    </row>
    <row r="1343" customFormat="false" ht="15" hidden="false" customHeight="false" outlineLevel="0" collapsed="false">
      <c r="A1343" s="65"/>
      <c r="B1343" s="63"/>
      <c r="C1343" s="70"/>
      <c r="D1343" s="66"/>
      <c r="E1343" s="16" t="str">
        <f aca="false">IF($C1343="","",IFERROR(INDEX(Mix_Desc,MATCH($C1343,Mix_Code,0)),"⚠ Unknown mix code"))</f>
        <v/>
      </c>
      <c r="F1343" s="67" t="str">
        <f aca="false">IF(OR($C1343="",$D1343=""),"",IFERROR($D1343*INDEX(Mix_Eff,MATCH($C1343,Mix_Code,0),1),""))</f>
        <v/>
      </c>
      <c r="G1343" s="67" t="str">
        <f aca="false">IF(OR($C1343="",$D1343=""),"",IFERROR($D1343*INDEX(Mix_Eff,MATCH($C1343,Mix_Code,0),2),""))</f>
        <v/>
      </c>
      <c r="H1343" s="67" t="str">
        <f aca="false">IF(OR($C1343="",$D1343=""),"",IFERROR($D1343*INDEX(Mix_Eff,MATCH($C1343,Mix_Code,0),3),""))</f>
        <v/>
      </c>
      <c r="I1343" s="67" t="str">
        <f aca="false">IF(OR($C1343="",$D1343=""),"",IFERROR($D1343*INDEX(Mix_Eff,MATCH($C1343,Mix_Code,0),4),""))</f>
        <v/>
      </c>
      <c r="J1343" s="67" t="str">
        <f aca="false">IF(OR($C1343="",$D1343=""),"",IFERROR($D1343*INDEX(Mix_Eff,MATCH($C1343,Mix_Code,0),5),""))</f>
        <v/>
      </c>
      <c r="K1343" s="63"/>
      <c r="L1343" s="16" t="str">
        <f aca="false">IF(AND($A1343="",$B1343="",$C1343="",$D1343=""),"",IF($A1343="","⚠ Date missing",IF($B1343="","⚠ Site missing",IF(ISNA(MATCH($C1343,Mix_Code,0)),"⚠ Unknown mix code",IF($D1343="","⚠ Enter m3 produced",IF(COUNTIF(CI_Site,$B1343)=0,"⚠ Site not set up in Current Inventory",IF($A1343&gt;AsOfDate,"Future date – not yet deducted","OK")))))))</f>
        <v/>
      </c>
    </row>
    <row r="1344" customFormat="false" ht="15" hidden="false" customHeight="false" outlineLevel="0" collapsed="false">
      <c r="A1344" s="65"/>
      <c r="B1344" s="63"/>
      <c r="C1344" s="70"/>
      <c r="D1344" s="66"/>
      <c r="E1344" s="16" t="str">
        <f aca="false">IF($C1344="","",IFERROR(INDEX(Mix_Desc,MATCH($C1344,Mix_Code,0)),"⚠ Unknown mix code"))</f>
        <v/>
      </c>
      <c r="F1344" s="67" t="str">
        <f aca="false">IF(OR($C1344="",$D1344=""),"",IFERROR($D1344*INDEX(Mix_Eff,MATCH($C1344,Mix_Code,0),1),""))</f>
        <v/>
      </c>
      <c r="G1344" s="67" t="str">
        <f aca="false">IF(OR($C1344="",$D1344=""),"",IFERROR($D1344*INDEX(Mix_Eff,MATCH($C1344,Mix_Code,0),2),""))</f>
        <v/>
      </c>
      <c r="H1344" s="67" t="str">
        <f aca="false">IF(OR($C1344="",$D1344=""),"",IFERROR($D1344*INDEX(Mix_Eff,MATCH($C1344,Mix_Code,0),3),""))</f>
        <v/>
      </c>
      <c r="I1344" s="67" t="str">
        <f aca="false">IF(OR($C1344="",$D1344=""),"",IFERROR($D1344*INDEX(Mix_Eff,MATCH($C1344,Mix_Code,0),4),""))</f>
        <v/>
      </c>
      <c r="J1344" s="67" t="str">
        <f aca="false">IF(OR($C1344="",$D1344=""),"",IFERROR($D1344*INDEX(Mix_Eff,MATCH($C1344,Mix_Code,0),5),""))</f>
        <v/>
      </c>
      <c r="K1344" s="63"/>
      <c r="L1344" s="16" t="str">
        <f aca="false">IF(AND($A1344="",$B1344="",$C1344="",$D1344=""),"",IF($A1344="","⚠ Date missing",IF($B1344="","⚠ Site missing",IF(ISNA(MATCH($C1344,Mix_Code,0)),"⚠ Unknown mix code",IF($D1344="","⚠ Enter m3 produced",IF(COUNTIF(CI_Site,$B1344)=0,"⚠ Site not set up in Current Inventory",IF($A1344&gt;AsOfDate,"Future date – not yet deducted","OK")))))))</f>
        <v/>
      </c>
    </row>
    <row r="1345" customFormat="false" ht="15" hidden="false" customHeight="false" outlineLevel="0" collapsed="false">
      <c r="A1345" s="65"/>
      <c r="B1345" s="63"/>
      <c r="C1345" s="70"/>
      <c r="D1345" s="66"/>
      <c r="E1345" s="16" t="str">
        <f aca="false">IF($C1345="","",IFERROR(INDEX(Mix_Desc,MATCH($C1345,Mix_Code,0)),"⚠ Unknown mix code"))</f>
        <v/>
      </c>
      <c r="F1345" s="67" t="str">
        <f aca="false">IF(OR($C1345="",$D1345=""),"",IFERROR($D1345*INDEX(Mix_Eff,MATCH($C1345,Mix_Code,0),1),""))</f>
        <v/>
      </c>
      <c r="G1345" s="67" t="str">
        <f aca="false">IF(OR($C1345="",$D1345=""),"",IFERROR($D1345*INDEX(Mix_Eff,MATCH($C1345,Mix_Code,0),2),""))</f>
        <v/>
      </c>
      <c r="H1345" s="67" t="str">
        <f aca="false">IF(OR($C1345="",$D1345=""),"",IFERROR($D1345*INDEX(Mix_Eff,MATCH($C1345,Mix_Code,0),3),""))</f>
        <v/>
      </c>
      <c r="I1345" s="67" t="str">
        <f aca="false">IF(OR($C1345="",$D1345=""),"",IFERROR($D1345*INDEX(Mix_Eff,MATCH($C1345,Mix_Code,0),4),""))</f>
        <v/>
      </c>
      <c r="J1345" s="67" t="str">
        <f aca="false">IF(OR($C1345="",$D1345=""),"",IFERROR($D1345*INDEX(Mix_Eff,MATCH($C1345,Mix_Code,0),5),""))</f>
        <v/>
      </c>
      <c r="K1345" s="63"/>
      <c r="L1345" s="16" t="str">
        <f aca="false">IF(AND($A1345="",$B1345="",$C1345="",$D1345=""),"",IF($A1345="","⚠ Date missing",IF($B1345="","⚠ Site missing",IF(ISNA(MATCH($C1345,Mix_Code,0)),"⚠ Unknown mix code",IF($D1345="","⚠ Enter m3 produced",IF(COUNTIF(CI_Site,$B1345)=0,"⚠ Site not set up in Current Inventory",IF($A1345&gt;AsOfDate,"Future date – not yet deducted","OK")))))))</f>
        <v/>
      </c>
    </row>
    <row r="1346" customFormat="false" ht="15" hidden="false" customHeight="false" outlineLevel="0" collapsed="false">
      <c r="A1346" s="65"/>
      <c r="B1346" s="63"/>
      <c r="C1346" s="70"/>
      <c r="D1346" s="66"/>
      <c r="E1346" s="16" t="str">
        <f aca="false">IF($C1346="","",IFERROR(INDEX(Mix_Desc,MATCH($C1346,Mix_Code,0)),"⚠ Unknown mix code"))</f>
        <v/>
      </c>
      <c r="F1346" s="67" t="str">
        <f aca="false">IF(OR($C1346="",$D1346=""),"",IFERROR($D1346*INDEX(Mix_Eff,MATCH($C1346,Mix_Code,0),1),""))</f>
        <v/>
      </c>
      <c r="G1346" s="67" t="str">
        <f aca="false">IF(OR($C1346="",$D1346=""),"",IFERROR($D1346*INDEX(Mix_Eff,MATCH($C1346,Mix_Code,0),2),""))</f>
        <v/>
      </c>
      <c r="H1346" s="67" t="str">
        <f aca="false">IF(OR($C1346="",$D1346=""),"",IFERROR($D1346*INDEX(Mix_Eff,MATCH($C1346,Mix_Code,0),3),""))</f>
        <v/>
      </c>
      <c r="I1346" s="67" t="str">
        <f aca="false">IF(OR($C1346="",$D1346=""),"",IFERROR($D1346*INDEX(Mix_Eff,MATCH($C1346,Mix_Code,0),4),""))</f>
        <v/>
      </c>
      <c r="J1346" s="67" t="str">
        <f aca="false">IF(OR($C1346="",$D1346=""),"",IFERROR($D1346*INDEX(Mix_Eff,MATCH($C1346,Mix_Code,0),5),""))</f>
        <v/>
      </c>
      <c r="K1346" s="63"/>
      <c r="L1346" s="16" t="str">
        <f aca="false">IF(AND($A1346="",$B1346="",$C1346="",$D1346=""),"",IF($A1346="","⚠ Date missing",IF($B1346="","⚠ Site missing",IF(ISNA(MATCH($C1346,Mix_Code,0)),"⚠ Unknown mix code",IF($D1346="","⚠ Enter m3 produced",IF(COUNTIF(CI_Site,$B1346)=0,"⚠ Site not set up in Current Inventory",IF($A1346&gt;AsOfDate,"Future date – not yet deducted","OK")))))))</f>
        <v/>
      </c>
    </row>
    <row r="1347" customFormat="false" ht="15" hidden="false" customHeight="false" outlineLevel="0" collapsed="false">
      <c r="A1347" s="65"/>
      <c r="B1347" s="63"/>
      <c r="C1347" s="70"/>
      <c r="D1347" s="66"/>
      <c r="E1347" s="16" t="str">
        <f aca="false">IF($C1347="","",IFERROR(INDEX(Mix_Desc,MATCH($C1347,Mix_Code,0)),"⚠ Unknown mix code"))</f>
        <v/>
      </c>
      <c r="F1347" s="67" t="str">
        <f aca="false">IF(OR($C1347="",$D1347=""),"",IFERROR($D1347*INDEX(Mix_Eff,MATCH($C1347,Mix_Code,0),1),""))</f>
        <v/>
      </c>
      <c r="G1347" s="67" t="str">
        <f aca="false">IF(OR($C1347="",$D1347=""),"",IFERROR($D1347*INDEX(Mix_Eff,MATCH($C1347,Mix_Code,0),2),""))</f>
        <v/>
      </c>
      <c r="H1347" s="67" t="str">
        <f aca="false">IF(OR($C1347="",$D1347=""),"",IFERROR($D1347*INDEX(Mix_Eff,MATCH($C1347,Mix_Code,0),3),""))</f>
        <v/>
      </c>
      <c r="I1347" s="67" t="str">
        <f aca="false">IF(OR($C1347="",$D1347=""),"",IFERROR($D1347*INDEX(Mix_Eff,MATCH($C1347,Mix_Code,0),4),""))</f>
        <v/>
      </c>
      <c r="J1347" s="67" t="str">
        <f aca="false">IF(OR($C1347="",$D1347=""),"",IFERROR($D1347*INDEX(Mix_Eff,MATCH($C1347,Mix_Code,0),5),""))</f>
        <v/>
      </c>
      <c r="K1347" s="63"/>
      <c r="L1347" s="16" t="str">
        <f aca="false">IF(AND($A1347="",$B1347="",$C1347="",$D1347=""),"",IF($A1347="","⚠ Date missing",IF($B1347="","⚠ Site missing",IF(ISNA(MATCH($C1347,Mix_Code,0)),"⚠ Unknown mix code",IF($D1347="","⚠ Enter m3 produced",IF(COUNTIF(CI_Site,$B1347)=0,"⚠ Site not set up in Current Inventory",IF($A1347&gt;AsOfDate,"Future date – not yet deducted","OK")))))))</f>
        <v/>
      </c>
    </row>
    <row r="1348" customFormat="false" ht="15" hidden="false" customHeight="false" outlineLevel="0" collapsed="false">
      <c r="A1348" s="65"/>
      <c r="B1348" s="63"/>
      <c r="C1348" s="70"/>
      <c r="D1348" s="66"/>
      <c r="E1348" s="16" t="str">
        <f aca="false">IF($C1348="","",IFERROR(INDEX(Mix_Desc,MATCH($C1348,Mix_Code,0)),"⚠ Unknown mix code"))</f>
        <v/>
      </c>
      <c r="F1348" s="67" t="str">
        <f aca="false">IF(OR($C1348="",$D1348=""),"",IFERROR($D1348*INDEX(Mix_Eff,MATCH($C1348,Mix_Code,0),1),""))</f>
        <v/>
      </c>
      <c r="G1348" s="67" t="str">
        <f aca="false">IF(OR($C1348="",$D1348=""),"",IFERROR($D1348*INDEX(Mix_Eff,MATCH($C1348,Mix_Code,0),2),""))</f>
        <v/>
      </c>
      <c r="H1348" s="67" t="str">
        <f aca="false">IF(OR($C1348="",$D1348=""),"",IFERROR($D1348*INDEX(Mix_Eff,MATCH($C1348,Mix_Code,0),3),""))</f>
        <v/>
      </c>
      <c r="I1348" s="67" t="str">
        <f aca="false">IF(OR($C1348="",$D1348=""),"",IFERROR($D1348*INDEX(Mix_Eff,MATCH($C1348,Mix_Code,0),4),""))</f>
        <v/>
      </c>
      <c r="J1348" s="67" t="str">
        <f aca="false">IF(OR($C1348="",$D1348=""),"",IFERROR($D1348*INDEX(Mix_Eff,MATCH($C1348,Mix_Code,0),5),""))</f>
        <v/>
      </c>
      <c r="K1348" s="63"/>
      <c r="L1348" s="16" t="str">
        <f aca="false">IF(AND($A1348="",$B1348="",$C1348="",$D1348=""),"",IF($A1348="","⚠ Date missing",IF($B1348="","⚠ Site missing",IF(ISNA(MATCH($C1348,Mix_Code,0)),"⚠ Unknown mix code",IF($D1348="","⚠ Enter m3 produced",IF(COUNTIF(CI_Site,$B1348)=0,"⚠ Site not set up in Current Inventory",IF($A1348&gt;AsOfDate,"Future date – not yet deducted","OK")))))))</f>
        <v/>
      </c>
    </row>
    <row r="1349" customFormat="false" ht="15" hidden="false" customHeight="false" outlineLevel="0" collapsed="false">
      <c r="A1349" s="65"/>
      <c r="B1349" s="63"/>
      <c r="C1349" s="70"/>
      <c r="D1349" s="66"/>
      <c r="E1349" s="16" t="str">
        <f aca="false">IF($C1349="","",IFERROR(INDEX(Mix_Desc,MATCH($C1349,Mix_Code,0)),"⚠ Unknown mix code"))</f>
        <v/>
      </c>
      <c r="F1349" s="67" t="str">
        <f aca="false">IF(OR($C1349="",$D1349=""),"",IFERROR($D1349*INDEX(Mix_Eff,MATCH($C1349,Mix_Code,0),1),""))</f>
        <v/>
      </c>
      <c r="G1349" s="67" t="str">
        <f aca="false">IF(OR($C1349="",$D1349=""),"",IFERROR($D1349*INDEX(Mix_Eff,MATCH($C1349,Mix_Code,0),2),""))</f>
        <v/>
      </c>
      <c r="H1349" s="67" t="str">
        <f aca="false">IF(OR($C1349="",$D1349=""),"",IFERROR($D1349*INDEX(Mix_Eff,MATCH($C1349,Mix_Code,0),3),""))</f>
        <v/>
      </c>
      <c r="I1349" s="67" t="str">
        <f aca="false">IF(OR($C1349="",$D1349=""),"",IFERROR($D1349*INDEX(Mix_Eff,MATCH($C1349,Mix_Code,0),4),""))</f>
        <v/>
      </c>
      <c r="J1349" s="67" t="str">
        <f aca="false">IF(OR($C1349="",$D1349=""),"",IFERROR($D1349*INDEX(Mix_Eff,MATCH($C1349,Mix_Code,0),5),""))</f>
        <v/>
      </c>
      <c r="K1349" s="63"/>
      <c r="L1349" s="16" t="str">
        <f aca="false">IF(AND($A1349="",$B1349="",$C1349="",$D1349=""),"",IF($A1349="","⚠ Date missing",IF($B1349="","⚠ Site missing",IF(ISNA(MATCH($C1349,Mix_Code,0)),"⚠ Unknown mix code",IF($D1349="","⚠ Enter m3 produced",IF(COUNTIF(CI_Site,$B1349)=0,"⚠ Site not set up in Current Inventory",IF($A1349&gt;AsOfDate,"Future date – not yet deducted","OK")))))))</f>
        <v/>
      </c>
    </row>
    <row r="1350" customFormat="false" ht="15" hidden="false" customHeight="false" outlineLevel="0" collapsed="false">
      <c r="A1350" s="65"/>
      <c r="B1350" s="63"/>
      <c r="C1350" s="70"/>
      <c r="D1350" s="66"/>
      <c r="E1350" s="16" t="str">
        <f aca="false">IF($C1350="","",IFERROR(INDEX(Mix_Desc,MATCH($C1350,Mix_Code,0)),"⚠ Unknown mix code"))</f>
        <v/>
      </c>
      <c r="F1350" s="67" t="str">
        <f aca="false">IF(OR($C1350="",$D1350=""),"",IFERROR($D1350*INDEX(Mix_Eff,MATCH($C1350,Mix_Code,0),1),""))</f>
        <v/>
      </c>
      <c r="G1350" s="67" t="str">
        <f aca="false">IF(OR($C1350="",$D1350=""),"",IFERROR($D1350*INDEX(Mix_Eff,MATCH($C1350,Mix_Code,0),2),""))</f>
        <v/>
      </c>
      <c r="H1350" s="67" t="str">
        <f aca="false">IF(OR($C1350="",$D1350=""),"",IFERROR($D1350*INDEX(Mix_Eff,MATCH($C1350,Mix_Code,0),3),""))</f>
        <v/>
      </c>
      <c r="I1350" s="67" t="str">
        <f aca="false">IF(OR($C1350="",$D1350=""),"",IFERROR($D1350*INDEX(Mix_Eff,MATCH($C1350,Mix_Code,0),4),""))</f>
        <v/>
      </c>
      <c r="J1350" s="67" t="str">
        <f aca="false">IF(OR($C1350="",$D1350=""),"",IFERROR($D1350*INDEX(Mix_Eff,MATCH($C1350,Mix_Code,0),5),""))</f>
        <v/>
      </c>
      <c r="K1350" s="63"/>
      <c r="L1350" s="16" t="str">
        <f aca="false">IF(AND($A1350="",$B1350="",$C1350="",$D1350=""),"",IF($A1350="","⚠ Date missing",IF($B1350="","⚠ Site missing",IF(ISNA(MATCH($C1350,Mix_Code,0)),"⚠ Unknown mix code",IF($D1350="","⚠ Enter m3 produced",IF(COUNTIF(CI_Site,$B1350)=0,"⚠ Site not set up in Current Inventory",IF($A1350&gt;AsOfDate,"Future date – not yet deducted","OK")))))))</f>
        <v/>
      </c>
    </row>
    <row r="1351" customFormat="false" ht="15" hidden="false" customHeight="false" outlineLevel="0" collapsed="false">
      <c r="A1351" s="65"/>
      <c r="B1351" s="63"/>
      <c r="C1351" s="70"/>
      <c r="D1351" s="66"/>
      <c r="E1351" s="16" t="str">
        <f aca="false">IF($C1351="","",IFERROR(INDEX(Mix_Desc,MATCH($C1351,Mix_Code,0)),"⚠ Unknown mix code"))</f>
        <v/>
      </c>
      <c r="F1351" s="67" t="str">
        <f aca="false">IF(OR($C1351="",$D1351=""),"",IFERROR($D1351*INDEX(Mix_Eff,MATCH($C1351,Mix_Code,0),1),""))</f>
        <v/>
      </c>
      <c r="G1351" s="67" t="str">
        <f aca="false">IF(OR($C1351="",$D1351=""),"",IFERROR($D1351*INDEX(Mix_Eff,MATCH($C1351,Mix_Code,0),2),""))</f>
        <v/>
      </c>
      <c r="H1351" s="67" t="str">
        <f aca="false">IF(OR($C1351="",$D1351=""),"",IFERROR($D1351*INDEX(Mix_Eff,MATCH($C1351,Mix_Code,0),3),""))</f>
        <v/>
      </c>
      <c r="I1351" s="67" t="str">
        <f aca="false">IF(OR($C1351="",$D1351=""),"",IFERROR($D1351*INDEX(Mix_Eff,MATCH($C1351,Mix_Code,0),4),""))</f>
        <v/>
      </c>
      <c r="J1351" s="67" t="str">
        <f aca="false">IF(OR($C1351="",$D1351=""),"",IFERROR($D1351*INDEX(Mix_Eff,MATCH($C1351,Mix_Code,0),5),""))</f>
        <v/>
      </c>
      <c r="K1351" s="63"/>
      <c r="L1351" s="16" t="str">
        <f aca="false">IF(AND($A1351="",$B1351="",$C1351="",$D1351=""),"",IF($A1351="","⚠ Date missing",IF($B1351="","⚠ Site missing",IF(ISNA(MATCH($C1351,Mix_Code,0)),"⚠ Unknown mix code",IF($D1351="","⚠ Enter m3 produced",IF(COUNTIF(CI_Site,$B1351)=0,"⚠ Site not set up in Current Inventory",IF($A1351&gt;AsOfDate,"Future date – not yet deducted","OK")))))))</f>
        <v/>
      </c>
    </row>
    <row r="1352" customFormat="false" ht="15" hidden="false" customHeight="false" outlineLevel="0" collapsed="false">
      <c r="A1352" s="65"/>
      <c r="B1352" s="63"/>
      <c r="C1352" s="70"/>
      <c r="D1352" s="66"/>
      <c r="E1352" s="16" t="str">
        <f aca="false">IF($C1352="","",IFERROR(INDEX(Mix_Desc,MATCH($C1352,Mix_Code,0)),"⚠ Unknown mix code"))</f>
        <v/>
      </c>
      <c r="F1352" s="67" t="str">
        <f aca="false">IF(OR($C1352="",$D1352=""),"",IFERROR($D1352*INDEX(Mix_Eff,MATCH($C1352,Mix_Code,0),1),""))</f>
        <v/>
      </c>
      <c r="G1352" s="67" t="str">
        <f aca="false">IF(OR($C1352="",$D1352=""),"",IFERROR($D1352*INDEX(Mix_Eff,MATCH($C1352,Mix_Code,0),2),""))</f>
        <v/>
      </c>
      <c r="H1352" s="67" t="str">
        <f aca="false">IF(OR($C1352="",$D1352=""),"",IFERROR($D1352*INDEX(Mix_Eff,MATCH($C1352,Mix_Code,0),3),""))</f>
        <v/>
      </c>
      <c r="I1352" s="67" t="str">
        <f aca="false">IF(OR($C1352="",$D1352=""),"",IFERROR($D1352*INDEX(Mix_Eff,MATCH($C1352,Mix_Code,0),4),""))</f>
        <v/>
      </c>
      <c r="J1352" s="67" t="str">
        <f aca="false">IF(OR($C1352="",$D1352=""),"",IFERROR($D1352*INDEX(Mix_Eff,MATCH($C1352,Mix_Code,0),5),""))</f>
        <v/>
      </c>
      <c r="K1352" s="63"/>
      <c r="L1352" s="16" t="str">
        <f aca="false">IF(AND($A1352="",$B1352="",$C1352="",$D1352=""),"",IF($A1352="","⚠ Date missing",IF($B1352="","⚠ Site missing",IF(ISNA(MATCH($C1352,Mix_Code,0)),"⚠ Unknown mix code",IF($D1352="","⚠ Enter m3 produced",IF(COUNTIF(CI_Site,$B1352)=0,"⚠ Site not set up in Current Inventory",IF($A1352&gt;AsOfDate,"Future date – not yet deducted","OK")))))))</f>
        <v/>
      </c>
    </row>
    <row r="1353" customFormat="false" ht="15" hidden="false" customHeight="false" outlineLevel="0" collapsed="false">
      <c r="A1353" s="65"/>
      <c r="B1353" s="63"/>
      <c r="C1353" s="70"/>
      <c r="D1353" s="66"/>
      <c r="E1353" s="16" t="str">
        <f aca="false">IF($C1353="","",IFERROR(INDEX(Mix_Desc,MATCH($C1353,Mix_Code,0)),"⚠ Unknown mix code"))</f>
        <v/>
      </c>
      <c r="F1353" s="67" t="str">
        <f aca="false">IF(OR($C1353="",$D1353=""),"",IFERROR($D1353*INDEX(Mix_Eff,MATCH($C1353,Mix_Code,0),1),""))</f>
        <v/>
      </c>
      <c r="G1353" s="67" t="str">
        <f aca="false">IF(OR($C1353="",$D1353=""),"",IFERROR($D1353*INDEX(Mix_Eff,MATCH($C1353,Mix_Code,0),2),""))</f>
        <v/>
      </c>
      <c r="H1353" s="67" t="str">
        <f aca="false">IF(OR($C1353="",$D1353=""),"",IFERROR($D1353*INDEX(Mix_Eff,MATCH($C1353,Mix_Code,0),3),""))</f>
        <v/>
      </c>
      <c r="I1353" s="67" t="str">
        <f aca="false">IF(OR($C1353="",$D1353=""),"",IFERROR($D1353*INDEX(Mix_Eff,MATCH($C1353,Mix_Code,0),4),""))</f>
        <v/>
      </c>
      <c r="J1353" s="67" t="str">
        <f aca="false">IF(OR($C1353="",$D1353=""),"",IFERROR($D1353*INDEX(Mix_Eff,MATCH($C1353,Mix_Code,0),5),""))</f>
        <v/>
      </c>
      <c r="K1353" s="63"/>
      <c r="L1353" s="16" t="str">
        <f aca="false">IF(AND($A1353="",$B1353="",$C1353="",$D1353=""),"",IF($A1353="","⚠ Date missing",IF($B1353="","⚠ Site missing",IF(ISNA(MATCH($C1353,Mix_Code,0)),"⚠ Unknown mix code",IF($D1353="","⚠ Enter m3 produced",IF(COUNTIF(CI_Site,$B1353)=0,"⚠ Site not set up in Current Inventory",IF($A1353&gt;AsOfDate,"Future date – not yet deducted","OK")))))))</f>
        <v/>
      </c>
    </row>
    <row r="1354" customFormat="false" ht="15" hidden="false" customHeight="false" outlineLevel="0" collapsed="false">
      <c r="A1354" s="65"/>
      <c r="B1354" s="63"/>
      <c r="C1354" s="70"/>
      <c r="D1354" s="66"/>
      <c r="E1354" s="16" t="str">
        <f aca="false">IF($C1354="","",IFERROR(INDEX(Mix_Desc,MATCH($C1354,Mix_Code,0)),"⚠ Unknown mix code"))</f>
        <v/>
      </c>
      <c r="F1354" s="67" t="str">
        <f aca="false">IF(OR($C1354="",$D1354=""),"",IFERROR($D1354*INDEX(Mix_Eff,MATCH($C1354,Mix_Code,0),1),""))</f>
        <v/>
      </c>
      <c r="G1354" s="67" t="str">
        <f aca="false">IF(OR($C1354="",$D1354=""),"",IFERROR($D1354*INDEX(Mix_Eff,MATCH($C1354,Mix_Code,0),2),""))</f>
        <v/>
      </c>
      <c r="H1354" s="67" t="str">
        <f aca="false">IF(OR($C1354="",$D1354=""),"",IFERROR($D1354*INDEX(Mix_Eff,MATCH($C1354,Mix_Code,0),3),""))</f>
        <v/>
      </c>
      <c r="I1354" s="67" t="str">
        <f aca="false">IF(OR($C1354="",$D1354=""),"",IFERROR($D1354*INDEX(Mix_Eff,MATCH($C1354,Mix_Code,0),4),""))</f>
        <v/>
      </c>
      <c r="J1354" s="67" t="str">
        <f aca="false">IF(OR($C1354="",$D1354=""),"",IFERROR($D1354*INDEX(Mix_Eff,MATCH($C1354,Mix_Code,0),5),""))</f>
        <v/>
      </c>
      <c r="K1354" s="63"/>
      <c r="L1354" s="16" t="str">
        <f aca="false">IF(AND($A1354="",$B1354="",$C1354="",$D1354=""),"",IF($A1354="","⚠ Date missing",IF($B1354="","⚠ Site missing",IF(ISNA(MATCH($C1354,Mix_Code,0)),"⚠ Unknown mix code",IF($D1354="","⚠ Enter m3 produced",IF(COUNTIF(CI_Site,$B1354)=0,"⚠ Site not set up in Current Inventory",IF($A1354&gt;AsOfDate,"Future date – not yet deducted","OK")))))))</f>
        <v/>
      </c>
    </row>
    <row r="1355" customFormat="false" ht="15" hidden="false" customHeight="false" outlineLevel="0" collapsed="false">
      <c r="A1355" s="65"/>
      <c r="B1355" s="63"/>
      <c r="C1355" s="70"/>
      <c r="D1355" s="66"/>
      <c r="E1355" s="16" t="str">
        <f aca="false">IF($C1355="","",IFERROR(INDEX(Mix_Desc,MATCH($C1355,Mix_Code,0)),"⚠ Unknown mix code"))</f>
        <v/>
      </c>
      <c r="F1355" s="67" t="str">
        <f aca="false">IF(OR($C1355="",$D1355=""),"",IFERROR($D1355*INDEX(Mix_Eff,MATCH($C1355,Mix_Code,0),1),""))</f>
        <v/>
      </c>
      <c r="G1355" s="67" t="str">
        <f aca="false">IF(OR($C1355="",$D1355=""),"",IFERROR($D1355*INDEX(Mix_Eff,MATCH($C1355,Mix_Code,0),2),""))</f>
        <v/>
      </c>
      <c r="H1355" s="67" t="str">
        <f aca="false">IF(OR($C1355="",$D1355=""),"",IFERROR($D1355*INDEX(Mix_Eff,MATCH($C1355,Mix_Code,0),3),""))</f>
        <v/>
      </c>
      <c r="I1355" s="67" t="str">
        <f aca="false">IF(OR($C1355="",$D1355=""),"",IFERROR($D1355*INDEX(Mix_Eff,MATCH($C1355,Mix_Code,0),4),""))</f>
        <v/>
      </c>
      <c r="J1355" s="67" t="str">
        <f aca="false">IF(OR($C1355="",$D1355=""),"",IFERROR($D1355*INDEX(Mix_Eff,MATCH($C1355,Mix_Code,0),5),""))</f>
        <v/>
      </c>
      <c r="K1355" s="63"/>
      <c r="L1355" s="16" t="str">
        <f aca="false">IF(AND($A1355="",$B1355="",$C1355="",$D1355=""),"",IF($A1355="","⚠ Date missing",IF($B1355="","⚠ Site missing",IF(ISNA(MATCH($C1355,Mix_Code,0)),"⚠ Unknown mix code",IF($D1355="","⚠ Enter m3 produced",IF(COUNTIF(CI_Site,$B1355)=0,"⚠ Site not set up in Current Inventory",IF($A1355&gt;AsOfDate,"Future date – not yet deducted","OK")))))))</f>
        <v/>
      </c>
    </row>
    <row r="1356" customFormat="false" ht="15" hidden="false" customHeight="false" outlineLevel="0" collapsed="false">
      <c r="A1356" s="65"/>
      <c r="B1356" s="63"/>
      <c r="C1356" s="70"/>
      <c r="D1356" s="66"/>
      <c r="E1356" s="16" t="str">
        <f aca="false">IF($C1356="","",IFERROR(INDEX(Mix_Desc,MATCH($C1356,Mix_Code,0)),"⚠ Unknown mix code"))</f>
        <v/>
      </c>
      <c r="F1356" s="67" t="str">
        <f aca="false">IF(OR($C1356="",$D1356=""),"",IFERROR($D1356*INDEX(Mix_Eff,MATCH($C1356,Mix_Code,0),1),""))</f>
        <v/>
      </c>
      <c r="G1356" s="67" t="str">
        <f aca="false">IF(OR($C1356="",$D1356=""),"",IFERROR($D1356*INDEX(Mix_Eff,MATCH($C1356,Mix_Code,0),2),""))</f>
        <v/>
      </c>
      <c r="H1356" s="67" t="str">
        <f aca="false">IF(OR($C1356="",$D1356=""),"",IFERROR($D1356*INDEX(Mix_Eff,MATCH($C1356,Mix_Code,0),3),""))</f>
        <v/>
      </c>
      <c r="I1356" s="67" t="str">
        <f aca="false">IF(OR($C1356="",$D1356=""),"",IFERROR($D1356*INDEX(Mix_Eff,MATCH($C1356,Mix_Code,0),4),""))</f>
        <v/>
      </c>
      <c r="J1356" s="67" t="str">
        <f aca="false">IF(OR($C1356="",$D1356=""),"",IFERROR($D1356*INDEX(Mix_Eff,MATCH($C1356,Mix_Code,0),5),""))</f>
        <v/>
      </c>
      <c r="K1356" s="63"/>
      <c r="L1356" s="16" t="str">
        <f aca="false">IF(AND($A1356="",$B1356="",$C1356="",$D1356=""),"",IF($A1356="","⚠ Date missing",IF($B1356="","⚠ Site missing",IF(ISNA(MATCH($C1356,Mix_Code,0)),"⚠ Unknown mix code",IF($D1356="","⚠ Enter m3 produced",IF(COUNTIF(CI_Site,$B1356)=0,"⚠ Site not set up in Current Inventory",IF($A1356&gt;AsOfDate,"Future date – not yet deducted","OK")))))))</f>
        <v/>
      </c>
    </row>
    <row r="1357" customFormat="false" ht="15" hidden="false" customHeight="false" outlineLevel="0" collapsed="false">
      <c r="A1357" s="65"/>
      <c r="B1357" s="63"/>
      <c r="C1357" s="70"/>
      <c r="D1357" s="66"/>
      <c r="E1357" s="16" t="str">
        <f aca="false">IF($C1357="","",IFERROR(INDEX(Mix_Desc,MATCH($C1357,Mix_Code,0)),"⚠ Unknown mix code"))</f>
        <v/>
      </c>
      <c r="F1357" s="67" t="str">
        <f aca="false">IF(OR($C1357="",$D1357=""),"",IFERROR($D1357*INDEX(Mix_Eff,MATCH($C1357,Mix_Code,0),1),""))</f>
        <v/>
      </c>
      <c r="G1357" s="67" t="str">
        <f aca="false">IF(OR($C1357="",$D1357=""),"",IFERROR($D1357*INDEX(Mix_Eff,MATCH($C1357,Mix_Code,0),2),""))</f>
        <v/>
      </c>
      <c r="H1357" s="67" t="str">
        <f aca="false">IF(OR($C1357="",$D1357=""),"",IFERROR($D1357*INDEX(Mix_Eff,MATCH($C1357,Mix_Code,0),3),""))</f>
        <v/>
      </c>
      <c r="I1357" s="67" t="str">
        <f aca="false">IF(OR($C1357="",$D1357=""),"",IFERROR($D1357*INDEX(Mix_Eff,MATCH($C1357,Mix_Code,0),4),""))</f>
        <v/>
      </c>
      <c r="J1357" s="67" t="str">
        <f aca="false">IF(OR($C1357="",$D1357=""),"",IFERROR($D1357*INDEX(Mix_Eff,MATCH($C1357,Mix_Code,0),5),""))</f>
        <v/>
      </c>
      <c r="K1357" s="63"/>
      <c r="L1357" s="16" t="str">
        <f aca="false">IF(AND($A1357="",$B1357="",$C1357="",$D1357=""),"",IF($A1357="","⚠ Date missing",IF($B1357="","⚠ Site missing",IF(ISNA(MATCH($C1357,Mix_Code,0)),"⚠ Unknown mix code",IF($D1357="","⚠ Enter m3 produced",IF(COUNTIF(CI_Site,$B1357)=0,"⚠ Site not set up in Current Inventory",IF($A1357&gt;AsOfDate,"Future date – not yet deducted","OK")))))))</f>
        <v/>
      </c>
    </row>
    <row r="1358" customFormat="false" ht="15" hidden="false" customHeight="false" outlineLevel="0" collapsed="false">
      <c r="A1358" s="65"/>
      <c r="B1358" s="63"/>
      <c r="C1358" s="70"/>
      <c r="D1358" s="66"/>
      <c r="E1358" s="16" t="str">
        <f aca="false">IF($C1358="","",IFERROR(INDEX(Mix_Desc,MATCH($C1358,Mix_Code,0)),"⚠ Unknown mix code"))</f>
        <v/>
      </c>
      <c r="F1358" s="67" t="str">
        <f aca="false">IF(OR($C1358="",$D1358=""),"",IFERROR($D1358*INDEX(Mix_Eff,MATCH($C1358,Mix_Code,0),1),""))</f>
        <v/>
      </c>
      <c r="G1358" s="67" t="str">
        <f aca="false">IF(OR($C1358="",$D1358=""),"",IFERROR($D1358*INDEX(Mix_Eff,MATCH($C1358,Mix_Code,0),2),""))</f>
        <v/>
      </c>
      <c r="H1358" s="67" t="str">
        <f aca="false">IF(OR($C1358="",$D1358=""),"",IFERROR($D1358*INDEX(Mix_Eff,MATCH($C1358,Mix_Code,0),3),""))</f>
        <v/>
      </c>
      <c r="I1358" s="67" t="str">
        <f aca="false">IF(OR($C1358="",$D1358=""),"",IFERROR($D1358*INDEX(Mix_Eff,MATCH($C1358,Mix_Code,0),4),""))</f>
        <v/>
      </c>
      <c r="J1358" s="67" t="str">
        <f aca="false">IF(OR($C1358="",$D1358=""),"",IFERROR($D1358*INDEX(Mix_Eff,MATCH($C1358,Mix_Code,0),5),""))</f>
        <v/>
      </c>
      <c r="K1358" s="63"/>
      <c r="L1358" s="16" t="str">
        <f aca="false">IF(AND($A1358="",$B1358="",$C1358="",$D1358=""),"",IF($A1358="","⚠ Date missing",IF($B1358="","⚠ Site missing",IF(ISNA(MATCH($C1358,Mix_Code,0)),"⚠ Unknown mix code",IF($D1358="","⚠ Enter m3 produced",IF(COUNTIF(CI_Site,$B1358)=0,"⚠ Site not set up in Current Inventory",IF($A1358&gt;AsOfDate,"Future date – not yet deducted","OK")))))))</f>
        <v/>
      </c>
    </row>
    <row r="1359" customFormat="false" ht="15" hidden="false" customHeight="false" outlineLevel="0" collapsed="false">
      <c r="A1359" s="65"/>
      <c r="B1359" s="63"/>
      <c r="C1359" s="70"/>
      <c r="D1359" s="66"/>
      <c r="E1359" s="16" t="str">
        <f aca="false">IF($C1359="","",IFERROR(INDEX(Mix_Desc,MATCH($C1359,Mix_Code,0)),"⚠ Unknown mix code"))</f>
        <v/>
      </c>
      <c r="F1359" s="67" t="str">
        <f aca="false">IF(OR($C1359="",$D1359=""),"",IFERROR($D1359*INDEX(Mix_Eff,MATCH($C1359,Mix_Code,0),1),""))</f>
        <v/>
      </c>
      <c r="G1359" s="67" t="str">
        <f aca="false">IF(OR($C1359="",$D1359=""),"",IFERROR($D1359*INDEX(Mix_Eff,MATCH($C1359,Mix_Code,0),2),""))</f>
        <v/>
      </c>
      <c r="H1359" s="67" t="str">
        <f aca="false">IF(OR($C1359="",$D1359=""),"",IFERROR($D1359*INDEX(Mix_Eff,MATCH($C1359,Mix_Code,0),3),""))</f>
        <v/>
      </c>
      <c r="I1359" s="67" t="str">
        <f aca="false">IF(OR($C1359="",$D1359=""),"",IFERROR($D1359*INDEX(Mix_Eff,MATCH($C1359,Mix_Code,0),4),""))</f>
        <v/>
      </c>
      <c r="J1359" s="67" t="str">
        <f aca="false">IF(OR($C1359="",$D1359=""),"",IFERROR($D1359*INDEX(Mix_Eff,MATCH($C1359,Mix_Code,0),5),""))</f>
        <v/>
      </c>
      <c r="K1359" s="63"/>
      <c r="L1359" s="16" t="str">
        <f aca="false">IF(AND($A1359="",$B1359="",$C1359="",$D1359=""),"",IF($A1359="","⚠ Date missing",IF($B1359="","⚠ Site missing",IF(ISNA(MATCH($C1359,Mix_Code,0)),"⚠ Unknown mix code",IF($D1359="","⚠ Enter m3 produced",IF(COUNTIF(CI_Site,$B1359)=0,"⚠ Site not set up in Current Inventory",IF($A1359&gt;AsOfDate,"Future date – not yet deducted","OK")))))))</f>
        <v/>
      </c>
    </row>
    <row r="1360" customFormat="false" ht="15" hidden="false" customHeight="false" outlineLevel="0" collapsed="false">
      <c r="A1360" s="65"/>
      <c r="B1360" s="63"/>
      <c r="C1360" s="70"/>
      <c r="D1360" s="66"/>
      <c r="E1360" s="16" t="str">
        <f aca="false">IF($C1360="","",IFERROR(INDEX(Mix_Desc,MATCH($C1360,Mix_Code,0)),"⚠ Unknown mix code"))</f>
        <v/>
      </c>
      <c r="F1360" s="67" t="str">
        <f aca="false">IF(OR($C1360="",$D1360=""),"",IFERROR($D1360*INDEX(Mix_Eff,MATCH($C1360,Mix_Code,0),1),""))</f>
        <v/>
      </c>
      <c r="G1360" s="67" t="str">
        <f aca="false">IF(OR($C1360="",$D1360=""),"",IFERROR($D1360*INDEX(Mix_Eff,MATCH($C1360,Mix_Code,0),2),""))</f>
        <v/>
      </c>
      <c r="H1360" s="67" t="str">
        <f aca="false">IF(OR($C1360="",$D1360=""),"",IFERROR($D1360*INDEX(Mix_Eff,MATCH($C1360,Mix_Code,0),3),""))</f>
        <v/>
      </c>
      <c r="I1360" s="67" t="str">
        <f aca="false">IF(OR($C1360="",$D1360=""),"",IFERROR($D1360*INDEX(Mix_Eff,MATCH($C1360,Mix_Code,0),4),""))</f>
        <v/>
      </c>
      <c r="J1360" s="67" t="str">
        <f aca="false">IF(OR($C1360="",$D1360=""),"",IFERROR($D1360*INDEX(Mix_Eff,MATCH($C1360,Mix_Code,0),5),""))</f>
        <v/>
      </c>
      <c r="K1360" s="63"/>
      <c r="L1360" s="16" t="str">
        <f aca="false">IF(AND($A1360="",$B1360="",$C1360="",$D1360=""),"",IF($A1360="","⚠ Date missing",IF($B1360="","⚠ Site missing",IF(ISNA(MATCH($C1360,Mix_Code,0)),"⚠ Unknown mix code",IF($D1360="","⚠ Enter m3 produced",IF(COUNTIF(CI_Site,$B1360)=0,"⚠ Site not set up in Current Inventory",IF($A1360&gt;AsOfDate,"Future date – not yet deducted","OK")))))))</f>
        <v/>
      </c>
    </row>
    <row r="1361" customFormat="false" ht="15" hidden="false" customHeight="false" outlineLevel="0" collapsed="false">
      <c r="A1361" s="65"/>
      <c r="B1361" s="63"/>
      <c r="C1361" s="70"/>
      <c r="D1361" s="66"/>
      <c r="E1361" s="16" t="str">
        <f aca="false">IF($C1361="","",IFERROR(INDEX(Mix_Desc,MATCH($C1361,Mix_Code,0)),"⚠ Unknown mix code"))</f>
        <v/>
      </c>
      <c r="F1361" s="67" t="str">
        <f aca="false">IF(OR($C1361="",$D1361=""),"",IFERROR($D1361*INDEX(Mix_Eff,MATCH($C1361,Mix_Code,0),1),""))</f>
        <v/>
      </c>
      <c r="G1361" s="67" t="str">
        <f aca="false">IF(OR($C1361="",$D1361=""),"",IFERROR($D1361*INDEX(Mix_Eff,MATCH($C1361,Mix_Code,0),2),""))</f>
        <v/>
      </c>
      <c r="H1361" s="67" t="str">
        <f aca="false">IF(OR($C1361="",$D1361=""),"",IFERROR($D1361*INDEX(Mix_Eff,MATCH($C1361,Mix_Code,0),3),""))</f>
        <v/>
      </c>
      <c r="I1361" s="67" t="str">
        <f aca="false">IF(OR($C1361="",$D1361=""),"",IFERROR($D1361*INDEX(Mix_Eff,MATCH($C1361,Mix_Code,0),4),""))</f>
        <v/>
      </c>
      <c r="J1361" s="67" t="str">
        <f aca="false">IF(OR($C1361="",$D1361=""),"",IFERROR($D1361*INDEX(Mix_Eff,MATCH($C1361,Mix_Code,0),5),""))</f>
        <v/>
      </c>
      <c r="K1361" s="63"/>
      <c r="L1361" s="16" t="str">
        <f aca="false">IF(AND($A1361="",$B1361="",$C1361="",$D1361=""),"",IF($A1361="","⚠ Date missing",IF($B1361="","⚠ Site missing",IF(ISNA(MATCH($C1361,Mix_Code,0)),"⚠ Unknown mix code",IF($D1361="","⚠ Enter m3 produced",IF(COUNTIF(CI_Site,$B1361)=0,"⚠ Site not set up in Current Inventory",IF($A1361&gt;AsOfDate,"Future date – not yet deducted","OK")))))))</f>
        <v/>
      </c>
    </row>
    <row r="1362" customFormat="false" ht="15" hidden="false" customHeight="false" outlineLevel="0" collapsed="false">
      <c r="A1362" s="65"/>
      <c r="B1362" s="63"/>
      <c r="C1362" s="70"/>
      <c r="D1362" s="66"/>
      <c r="E1362" s="16" t="str">
        <f aca="false">IF($C1362="","",IFERROR(INDEX(Mix_Desc,MATCH($C1362,Mix_Code,0)),"⚠ Unknown mix code"))</f>
        <v/>
      </c>
      <c r="F1362" s="67" t="str">
        <f aca="false">IF(OR($C1362="",$D1362=""),"",IFERROR($D1362*INDEX(Mix_Eff,MATCH($C1362,Mix_Code,0),1),""))</f>
        <v/>
      </c>
      <c r="G1362" s="67" t="str">
        <f aca="false">IF(OR($C1362="",$D1362=""),"",IFERROR($D1362*INDEX(Mix_Eff,MATCH($C1362,Mix_Code,0),2),""))</f>
        <v/>
      </c>
      <c r="H1362" s="67" t="str">
        <f aca="false">IF(OR($C1362="",$D1362=""),"",IFERROR($D1362*INDEX(Mix_Eff,MATCH($C1362,Mix_Code,0),3),""))</f>
        <v/>
      </c>
      <c r="I1362" s="67" t="str">
        <f aca="false">IF(OR($C1362="",$D1362=""),"",IFERROR($D1362*INDEX(Mix_Eff,MATCH($C1362,Mix_Code,0),4),""))</f>
        <v/>
      </c>
      <c r="J1362" s="67" t="str">
        <f aca="false">IF(OR($C1362="",$D1362=""),"",IFERROR($D1362*INDEX(Mix_Eff,MATCH($C1362,Mix_Code,0),5),""))</f>
        <v/>
      </c>
      <c r="K1362" s="63"/>
      <c r="L1362" s="16" t="str">
        <f aca="false">IF(AND($A1362="",$B1362="",$C1362="",$D1362=""),"",IF($A1362="","⚠ Date missing",IF($B1362="","⚠ Site missing",IF(ISNA(MATCH($C1362,Mix_Code,0)),"⚠ Unknown mix code",IF($D1362="","⚠ Enter m3 produced",IF(COUNTIF(CI_Site,$B1362)=0,"⚠ Site not set up in Current Inventory",IF($A1362&gt;AsOfDate,"Future date – not yet deducted","OK")))))))</f>
        <v/>
      </c>
    </row>
    <row r="1363" customFormat="false" ht="15" hidden="false" customHeight="false" outlineLevel="0" collapsed="false">
      <c r="A1363" s="65"/>
      <c r="B1363" s="63"/>
      <c r="C1363" s="70"/>
      <c r="D1363" s="66"/>
      <c r="E1363" s="16" t="str">
        <f aca="false">IF($C1363="","",IFERROR(INDEX(Mix_Desc,MATCH($C1363,Mix_Code,0)),"⚠ Unknown mix code"))</f>
        <v/>
      </c>
      <c r="F1363" s="67" t="str">
        <f aca="false">IF(OR($C1363="",$D1363=""),"",IFERROR($D1363*INDEX(Mix_Eff,MATCH($C1363,Mix_Code,0),1),""))</f>
        <v/>
      </c>
      <c r="G1363" s="67" t="str">
        <f aca="false">IF(OR($C1363="",$D1363=""),"",IFERROR($D1363*INDEX(Mix_Eff,MATCH($C1363,Mix_Code,0),2),""))</f>
        <v/>
      </c>
      <c r="H1363" s="67" t="str">
        <f aca="false">IF(OR($C1363="",$D1363=""),"",IFERROR($D1363*INDEX(Mix_Eff,MATCH($C1363,Mix_Code,0),3),""))</f>
        <v/>
      </c>
      <c r="I1363" s="67" t="str">
        <f aca="false">IF(OR($C1363="",$D1363=""),"",IFERROR($D1363*INDEX(Mix_Eff,MATCH($C1363,Mix_Code,0),4),""))</f>
        <v/>
      </c>
      <c r="J1363" s="67" t="str">
        <f aca="false">IF(OR($C1363="",$D1363=""),"",IFERROR($D1363*INDEX(Mix_Eff,MATCH($C1363,Mix_Code,0),5),""))</f>
        <v/>
      </c>
      <c r="K1363" s="63"/>
      <c r="L1363" s="16" t="str">
        <f aca="false">IF(AND($A1363="",$B1363="",$C1363="",$D1363=""),"",IF($A1363="","⚠ Date missing",IF($B1363="","⚠ Site missing",IF(ISNA(MATCH($C1363,Mix_Code,0)),"⚠ Unknown mix code",IF($D1363="","⚠ Enter m3 produced",IF(COUNTIF(CI_Site,$B1363)=0,"⚠ Site not set up in Current Inventory",IF($A1363&gt;AsOfDate,"Future date – not yet deducted","OK")))))))</f>
        <v/>
      </c>
    </row>
    <row r="1364" customFormat="false" ht="15" hidden="false" customHeight="false" outlineLevel="0" collapsed="false">
      <c r="A1364" s="65"/>
      <c r="B1364" s="63"/>
      <c r="C1364" s="70"/>
      <c r="D1364" s="66"/>
      <c r="E1364" s="16" t="str">
        <f aca="false">IF($C1364="","",IFERROR(INDEX(Mix_Desc,MATCH($C1364,Mix_Code,0)),"⚠ Unknown mix code"))</f>
        <v/>
      </c>
      <c r="F1364" s="67" t="str">
        <f aca="false">IF(OR($C1364="",$D1364=""),"",IFERROR($D1364*INDEX(Mix_Eff,MATCH($C1364,Mix_Code,0),1),""))</f>
        <v/>
      </c>
      <c r="G1364" s="67" t="str">
        <f aca="false">IF(OR($C1364="",$D1364=""),"",IFERROR($D1364*INDEX(Mix_Eff,MATCH($C1364,Mix_Code,0),2),""))</f>
        <v/>
      </c>
      <c r="H1364" s="67" t="str">
        <f aca="false">IF(OR($C1364="",$D1364=""),"",IFERROR($D1364*INDEX(Mix_Eff,MATCH($C1364,Mix_Code,0),3),""))</f>
        <v/>
      </c>
      <c r="I1364" s="67" t="str">
        <f aca="false">IF(OR($C1364="",$D1364=""),"",IFERROR($D1364*INDEX(Mix_Eff,MATCH($C1364,Mix_Code,0),4),""))</f>
        <v/>
      </c>
      <c r="J1364" s="67" t="str">
        <f aca="false">IF(OR($C1364="",$D1364=""),"",IFERROR($D1364*INDEX(Mix_Eff,MATCH($C1364,Mix_Code,0),5),""))</f>
        <v/>
      </c>
      <c r="K1364" s="63"/>
      <c r="L1364" s="16" t="str">
        <f aca="false">IF(AND($A1364="",$B1364="",$C1364="",$D1364=""),"",IF($A1364="","⚠ Date missing",IF($B1364="","⚠ Site missing",IF(ISNA(MATCH($C1364,Mix_Code,0)),"⚠ Unknown mix code",IF($D1364="","⚠ Enter m3 produced",IF(COUNTIF(CI_Site,$B1364)=0,"⚠ Site not set up in Current Inventory",IF($A1364&gt;AsOfDate,"Future date – not yet deducted","OK")))))))</f>
        <v/>
      </c>
    </row>
    <row r="1365" customFormat="false" ht="15" hidden="false" customHeight="false" outlineLevel="0" collapsed="false">
      <c r="A1365" s="65"/>
      <c r="B1365" s="63"/>
      <c r="C1365" s="70"/>
      <c r="D1365" s="66"/>
      <c r="E1365" s="16" t="str">
        <f aca="false">IF($C1365="","",IFERROR(INDEX(Mix_Desc,MATCH($C1365,Mix_Code,0)),"⚠ Unknown mix code"))</f>
        <v/>
      </c>
      <c r="F1365" s="67" t="str">
        <f aca="false">IF(OR($C1365="",$D1365=""),"",IFERROR($D1365*INDEX(Mix_Eff,MATCH($C1365,Mix_Code,0),1),""))</f>
        <v/>
      </c>
      <c r="G1365" s="67" t="str">
        <f aca="false">IF(OR($C1365="",$D1365=""),"",IFERROR($D1365*INDEX(Mix_Eff,MATCH($C1365,Mix_Code,0),2),""))</f>
        <v/>
      </c>
      <c r="H1365" s="67" t="str">
        <f aca="false">IF(OR($C1365="",$D1365=""),"",IFERROR($D1365*INDEX(Mix_Eff,MATCH($C1365,Mix_Code,0),3),""))</f>
        <v/>
      </c>
      <c r="I1365" s="67" t="str">
        <f aca="false">IF(OR($C1365="",$D1365=""),"",IFERROR($D1365*INDEX(Mix_Eff,MATCH($C1365,Mix_Code,0),4),""))</f>
        <v/>
      </c>
      <c r="J1365" s="67" t="str">
        <f aca="false">IF(OR($C1365="",$D1365=""),"",IFERROR($D1365*INDEX(Mix_Eff,MATCH($C1365,Mix_Code,0),5),""))</f>
        <v/>
      </c>
      <c r="K1365" s="63"/>
      <c r="L1365" s="16" t="str">
        <f aca="false">IF(AND($A1365="",$B1365="",$C1365="",$D1365=""),"",IF($A1365="","⚠ Date missing",IF($B1365="","⚠ Site missing",IF(ISNA(MATCH($C1365,Mix_Code,0)),"⚠ Unknown mix code",IF($D1365="","⚠ Enter m3 produced",IF(COUNTIF(CI_Site,$B1365)=0,"⚠ Site not set up in Current Inventory",IF($A1365&gt;AsOfDate,"Future date – not yet deducted","OK")))))))</f>
        <v/>
      </c>
    </row>
    <row r="1366" customFormat="false" ht="15" hidden="false" customHeight="false" outlineLevel="0" collapsed="false">
      <c r="A1366" s="65"/>
      <c r="B1366" s="63"/>
      <c r="C1366" s="70"/>
      <c r="D1366" s="66"/>
      <c r="E1366" s="16" t="str">
        <f aca="false">IF($C1366="","",IFERROR(INDEX(Mix_Desc,MATCH($C1366,Mix_Code,0)),"⚠ Unknown mix code"))</f>
        <v/>
      </c>
      <c r="F1366" s="67" t="str">
        <f aca="false">IF(OR($C1366="",$D1366=""),"",IFERROR($D1366*INDEX(Mix_Eff,MATCH($C1366,Mix_Code,0),1),""))</f>
        <v/>
      </c>
      <c r="G1366" s="67" t="str">
        <f aca="false">IF(OR($C1366="",$D1366=""),"",IFERROR($D1366*INDEX(Mix_Eff,MATCH($C1366,Mix_Code,0),2),""))</f>
        <v/>
      </c>
      <c r="H1366" s="67" t="str">
        <f aca="false">IF(OR($C1366="",$D1366=""),"",IFERROR($D1366*INDEX(Mix_Eff,MATCH($C1366,Mix_Code,0),3),""))</f>
        <v/>
      </c>
      <c r="I1366" s="67" t="str">
        <f aca="false">IF(OR($C1366="",$D1366=""),"",IFERROR($D1366*INDEX(Mix_Eff,MATCH($C1366,Mix_Code,0),4),""))</f>
        <v/>
      </c>
      <c r="J1366" s="67" t="str">
        <f aca="false">IF(OR($C1366="",$D1366=""),"",IFERROR($D1366*INDEX(Mix_Eff,MATCH($C1366,Mix_Code,0),5),""))</f>
        <v/>
      </c>
      <c r="K1366" s="63"/>
      <c r="L1366" s="16" t="str">
        <f aca="false">IF(AND($A1366="",$B1366="",$C1366="",$D1366=""),"",IF($A1366="","⚠ Date missing",IF($B1366="","⚠ Site missing",IF(ISNA(MATCH($C1366,Mix_Code,0)),"⚠ Unknown mix code",IF($D1366="","⚠ Enter m3 produced",IF(COUNTIF(CI_Site,$B1366)=0,"⚠ Site not set up in Current Inventory",IF($A1366&gt;AsOfDate,"Future date – not yet deducted","OK")))))))</f>
        <v/>
      </c>
    </row>
    <row r="1367" customFormat="false" ht="15" hidden="false" customHeight="false" outlineLevel="0" collapsed="false">
      <c r="A1367" s="65"/>
      <c r="B1367" s="63"/>
      <c r="C1367" s="70"/>
      <c r="D1367" s="66"/>
      <c r="E1367" s="16" t="str">
        <f aca="false">IF($C1367="","",IFERROR(INDEX(Mix_Desc,MATCH($C1367,Mix_Code,0)),"⚠ Unknown mix code"))</f>
        <v/>
      </c>
      <c r="F1367" s="67" t="str">
        <f aca="false">IF(OR($C1367="",$D1367=""),"",IFERROR($D1367*INDEX(Mix_Eff,MATCH($C1367,Mix_Code,0),1),""))</f>
        <v/>
      </c>
      <c r="G1367" s="67" t="str">
        <f aca="false">IF(OR($C1367="",$D1367=""),"",IFERROR($D1367*INDEX(Mix_Eff,MATCH($C1367,Mix_Code,0),2),""))</f>
        <v/>
      </c>
      <c r="H1367" s="67" t="str">
        <f aca="false">IF(OR($C1367="",$D1367=""),"",IFERROR($D1367*INDEX(Mix_Eff,MATCH($C1367,Mix_Code,0),3),""))</f>
        <v/>
      </c>
      <c r="I1367" s="67" t="str">
        <f aca="false">IF(OR($C1367="",$D1367=""),"",IFERROR($D1367*INDEX(Mix_Eff,MATCH($C1367,Mix_Code,0),4),""))</f>
        <v/>
      </c>
      <c r="J1367" s="67" t="str">
        <f aca="false">IF(OR($C1367="",$D1367=""),"",IFERROR($D1367*INDEX(Mix_Eff,MATCH($C1367,Mix_Code,0),5),""))</f>
        <v/>
      </c>
      <c r="K1367" s="63"/>
      <c r="L1367" s="16" t="str">
        <f aca="false">IF(AND($A1367="",$B1367="",$C1367="",$D1367=""),"",IF($A1367="","⚠ Date missing",IF($B1367="","⚠ Site missing",IF(ISNA(MATCH($C1367,Mix_Code,0)),"⚠ Unknown mix code",IF($D1367="","⚠ Enter m3 produced",IF(COUNTIF(CI_Site,$B1367)=0,"⚠ Site not set up in Current Inventory",IF($A1367&gt;AsOfDate,"Future date – not yet deducted","OK")))))))</f>
        <v/>
      </c>
    </row>
    <row r="1368" customFormat="false" ht="15" hidden="false" customHeight="false" outlineLevel="0" collapsed="false">
      <c r="A1368" s="65"/>
      <c r="B1368" s="63"/>
      <c r="C1368" s="70"/>
      <c r="D1368" s="66"/>
      <c r="E1368" s="16" t="str">
        <f aca="false">IF($C1368="","",IFERROR(INDEX(Mix_Desc,MATCH($C1368,Mix_Code,0)),"⚠ Unknown mix code"))</f>
        <v/>
      </c>
      <c r="F1368" s="67" t="str">
        <f aca="false">IF(OR($C1368="",$D1368=""),"",IFERROR($D1368*INDEX(Mix_Eff,MATCH($C1368,Mix_Code,0),1),""))</f>
        <v/>
      </c>
      <c r="G1368" s="67" t="str">
        <f aca="false">IF(OR($C1368="",$D1368=""),"",IFERROR($D1368*INDEX(Mix_Eff,MATCH($C1368,Mix_Code,0),2),""))</f>
        <v/>
      </c>
      <c r="H1368" s="67" t="str">
        <f aca="false">IF(OR($C1368="",$D1368=""),"",IFERROR($D1368*INDEX(Mix_Eff,MATCH($C1368,Mix_Code,0),3),""))</f>
        <v/>
      </c>
      <c r="I1368" s="67" t="str">
        <f aca="false">IF(OR($C1368="",$D1368=""),"",IFERROR($D1368*INDEX(Mix_Eff,MATCH($C1368,Mix_Code,0),4),""))</f>
        <v/>
      </c>
      <c r="J1368" s="67" t="str">
        <f aca="false">IF(OR($C1368="",$D1368=""),"",IFERROR($D1368*INDEX(Mix_Eff,MATCH($C1368,Mix_Code,0),5),""))</f>
        <v/>
      </c>
      <c r="K1368" s="63"/>
      <c r="L1368" s="16" t="str">
        <f aca="false">IF(AND($A1368="",$B1368="",$C1368="",$D1368=""),"",IF($A1368="","⚠ Date missing",IF($B1368="","⚠ Site missing",IF(ISNA(MATCH($C1368,Mix_Code,0)),"⚠ Unknown mix code",IF($D1368="","⚠ Enter m3 produced",IF(COUNTIF(CI_Site,$B1368)=0,"⚠ Site not set up in Current Inventory",IF($A1368&gt;AsOfDate,"Future date – not yet deducted","OK")))))))</f>
        <v/>
      </c>
    </row>
    <row r="1369" customFormat="false" ht="15" hidden="false" customHeight="false" outlineLevel="0" collapsed="false">
      <c r="A1369" s="65"/>
      <c r="B1369" s="63"/>
      <c r="C1369" s="70"/>
      <c r="D1369" s="66"/>
      <c r="E1369" s="16" t="str">
        <f aca="false">IF($C1369="","",IFERROR(INDEX(Mix_Desc,MATCH($C1369,Mix_Code,0)),"⚠ Unknown mix code"))</f>
        <v/>
      </c>
      <c r="F1369" s="67" t="str">
        <f aca="false">IF(OR($C1369="",$D1369=""),"",IFERROR($D1369*INDEX(Mix_Eff,MATCH($C1369,Mix_Code,0),1),""))</f>
        <v/>
      </c>
      <c r="G1369" s="67" t="str">
        <f aca="false">IF(OR($C1369="",$D1369=""),"",IFERROR($D1369*INDEX(Mix_Eff,MATCH($C1369,Mix_Code,0),2),""))</f>
        <v/>
      </c>
      <c r="H1369" s="67" t="str">
        <f aca="false">IF(OR($C1369="",$D1369=""),"",IFERROR($D1369*INDEX(Mix_Eff,MATCH($C1369,Mix_Code,0),3),""))</f>
        <v/>
      </c>
      <c r="I1369" s="67" t="str">
        <f aca="false">IF(OR($C1369="",$D1369=""),"",IFERROR($D1369*INDEX(Mix_Eff,MATCH($C1369,Mix_Code,0),4),""))</f>
        <v/>
      </c>
      <c r="J1369" s="67" t="str">
        <f aca="false">IF(OR($C1369="",$D1369=""),"",IFERROR($D1369*INDEX(Mix_Eff,MATCH($C1369,Mix_Code,0),5),""))</f>
        <v/>
      </c>
      <c r="K1369" s="63"/>
      <c r="L1369" s="16" t="str">
        <f aca="false">IF(AND($A1369="",$B1369="",$C1369="",$D1369=""),"",IF($A1369="","⚠ Date missing",IF($B1369="","⚠ Site missing",IF(ISNA(MATCH($C1369,Mix_Code,0)),"⚠ Unknown mix code",IF($D1369="","⚠ Enter m3 produced",IF(COUNTIF(CI_Site,$B1369)=0,"⚠ Site not set up in Current Inventory",IF($A1369&gt;AsOfDate,"Future date – not yet deducted","OK")))))))</f>
        <v/>
      </c>
    </row>
    <row r="1370" customFormat="false" ht="15" hidden="false" customHeight="false" outlineLevel="0" collapsed="false">
      <c r="A1370" s="65"/>
      <c r="B1370" s="63"/>
      <c r="C1370" s="70"/>
      <c r="D1370" s="66"/>
      <c r="E1370" s="16" t="str">
        <f aca="false">IF($C1370="","",IFERROR(INDEX(Mix_Desc,MATCH($C1370,Mix_Code,0)),"⚠ Unknown mix code"))</f>
        <v/>
      </c>
      <c r="F1370" s="67" t="str">
        <f aca="false">IF(OR($C1370="",$D1370=""),"",IFERROR($D1370*INDEX(Mix_Eff,MATCH($C1370,Mix_Code,0),1),""))</f>
        <v/>
      </c>
      <c r="G1370" s="67" t="str">
        <f aca="false">IF(OR($C1370="",$D1370=""),"",IFERROR($D1370*INDEX(Mix_Eff,MATCH($C1370,Mix_Code,0),2),""))</f>
        <v/>
      </c>
      <c r="H1370" s="67" t="str">
        <f aca="false">IF(OR($C1370="",$D1370=""),"",IFERROR($D1370*INDEX(Mix_Eff,MATCH($C1370,Mix_Code,0),3),""))</f>
        <v/>
      </c>
      <c r="I1370" s="67" t="str">
        <f aca="false">IF(OR($C1370="",$D1370=""),"",IFERROR($D1370*INDEX(Mix_Eff,MATCH($C1370,Mix_Code,0),4),""))</f>
        <v/>
      </c>
      <c r="J1370" s="67" t="str">
        <f aca="false">IF(OR($C1370="",$D1370=""),"",IFERROR($D1370*INDEX(Mix_Eff,MATCH($C1370,Mix_Code,0),5),""))</f>
        <v/>
      </c>
      <c r="K1370" s="63"/>
      <c r="L1370" s="16" t="str">
        <f aca="false">IF(AND($A1370="",$B1370="",$C1370="",$D1370=""),"",IF($A1370="","⚠ Date missing",IF($B1370="","⚠ Site missing",IF(ISNA(MATCH($C1370,Mix_Code,0)),"⚠ Unknown mix code",IF($D1370="","⚠ Enter m3 produced",IF(COUNTIF(CI_Site,$B1370)=0,"⚠ Site not set up in Current Inventory",IF($A1370&gt;AsOfDate,"Future date – not yet deducted","OK")))))))</f>
        <v/>
      </c>
    </row>
    <row r="1371" customFormat="false" ht="15" hidden="false" customHeight="false" outlineLevel="0" collapsed="false">
      <c r="A1371" s="65"/>
      <c r="B1371" s="63"/>
      <c r="C1371" s="70"/>
      <c r="D1371" s="66"/>
      <c r="E1371" s="16" t="str">
        <f aca="false">IF($C1371="","",IFERROR(INDEX(Mix_Desc,MATCH($C1371,Mix_Code,0)),"⚠ Unknown mix code"))</f>
        <v/>
      </c>
      <c r="F1371" s="67" t="str">
        <f aca="false">IF(OR($C1371="",$D1371=""),"",IFERROR($D1371*INDEX(Mix_Eff,MATCH($C1371,Mix_Code,0),1),""))</f>
        <v/>
      </c>
      <c r="G1371" s="67" t="str">
        <f aca="false">IF(OR($C1371="",$D1371=""),"",IFERROR($D1371*INDEX(Mix_Eff,MATCH($C1371,Mix_Code,0),2),""))</f>
        <v/>
      </c>
      <c r="H1371" s="67" t="str">
        <f aca="false">IF(OR($C1371="",$D1371=""),"",IFERROR($D1371*INDEX(Mix_Eff,MATCH($C1371,Mix_Code,0),3),""))</f>
        <v/>
      </c>
      <c r="I1371" s="67" t="str">
        <f aca="false">IF(OR($C1371="",$D1371=""),"",IFERROR($D1371*INDEX(Mix_Eff,MATCH($C1371,Mix_Code,0),4),""))</f>
        <v/>
      </c>
      <c r="J1371" s="67" t="str">
        <f aca="false">IF(OR($C1371="",$D1371=""),"",IFERROR($D1371*INDEX(Mix_Eff,MATCH($C1371,Mix_Code,0),5),""))</f>
        <v/>
      </c>
      <c r="K1371" s="63"/>
      <c r="L1371" s="16" t="str">
        <f aca="false">IF(AND($A1371="",$B1371="",$C1371="",$D1371=""),"",IF($A1371="","⚠ Date missing",IF($B1371="","⚠ Site missing",IF(ISNA(MATCH($C1371,Mix_Code,0)),"⚠ Unknown mix code",IF($D1371="","⚠ Enter m3 produced",IF(COUNTIF(CI_Site,$B1371)=0,"⚠ Site not set up in Current Inventory",IF($A1371&gt;AsOfDate,"Future date – not yet deducted","OK")))))))</f>
        <v/>
      </c>
    </row>
    <row r="1372" customFormat="false" ht="15" hidden="false" customHeight="false" outlineLevel="0" collapsed="false">
      <c r="A1372" s="65"/>
      <c r="B1372" s="63"/>
      <c r="C1372" s="70"/>
      <c r="D1372" s="66"/>
      <c r="E1372" s="16" t="str">
        <f aca="false">IF($C1372="","",IFERROR(INDEX(Mix_Desc,MATCH($C1372,Mix_Code,0)),"⚠ Unknown mix code"))</f>
        <v/>
      </c>
      <c r="F1372" s="67" t="str">
        <f aca="false">IF(OR($C1372="",$D1372=""),"",IFERROR($D1372*INDEX(Mix_Eff,MATCH($C1372,Mix_Code,0),1),""))</f>
        <v/>
      </c>
      <c r="G1372" s="67" t="str">
        <f aca="false">IF(OR($C1372="",$D1372=""),"",IFERROR($D1372*INDEX(Mix_Eff,MATCH($C1372,Mix_Code,0),2),""))</f>
        <v/>
      </c>
      <c r="H1372" s="67" t="str">
        <f aca="false">IF(OR($C1372="",$D1372=""),"",IFERROR($D1372*INDEX(Mix_Eff,MATCH($C1372,Mix_Code,0),3),""))</f>
        <v/>
      </c>
      <c r="I1372" s="67" t="str">
        <f aca="false">IF(OR($C1372="",$D1372=""),"",IFERROR($D1372*INDEX(Mix_Eff,MATCH($C1372,Mix_Code,0),4),""))</f>
        <v/>
      </c>
      <c r="J1372" s="67" t="str">
        <f aca="false">IF(OR($C1372="",$D1372=""),"",IFERROR($D1372*INDEX(Mix_Eff,MATCH($C1372,Mix_Code,0),5),""))</f>
        <v/>
      </c>
      <c r="K1372" s="63"/>
      <c r="L1372" s="16" t="str">
        <f aca="false">IF(AND($A1372="",$B1372="",$C1372="",$D1372=""),"",IF($A1372="","⚠ Date missing",IF($B1372="","⚠ Site missing",IF(ISNA(MATCH($C1372,Mix_Code,0)),"⚠ Unknown mix code",IF($D1372="","⚠ Enter m3 produced",IF(COUNTIF(CI_Site,$B1372)=0,"⚠ Site not set up in Current Inventory",IF($A1372&gt;AsOfDate,"Future date – not yet deducted","OK")))))))</f>
        <v/>
      </c>
    </row>
    <row r="1373" customFormat="false" ht="15" hidden="false" customHeight="false" outlineLevel="0" collapsed="false">
      <c r="A1373" s="65"/>
      <c r="B1373" s="63"/>
      <c r="C1373" s="70"/>
      <c r="D1373" s="66"/>
      <c r="E1373" s="16" t="str">
        <f aca="false">IF($C1373="","",IFERROR(INDEX(Mix_Desc,MATCH($C1373,Mix_Code,0)),"⚠ Unknown mix code"))</f>
        <v/>
      </c>
      <c r="F1373" s="67" t="str">
        <f aca="false">IF(OR($C1373="",$D1373=""),"",IFERROR($D1373*INDEX(Mix_Eff,MATCH($C1373,Mix_Code,0),1),""))</f>
        <v/>
      </c>
      <c r="G1373" s="67" t="str">
        <f aca="false">IF(OR($C1373="",$D1373=""),"",IFERROR($D1373*INDEX(Mix_Eff,MATCH($C1373,Mix_Code,0),2),""))</f>
        <v/>
      </c>
      <c r="H1373" s="67" t="str">
        <f aca="false">IF(OR($C1373="",$D1373=""),"",IFERROR($D1373*INDEX(Mix_Eff,MATCH($C1373,Mix_Code,0),3),""))</f>
        <v/>
      </c>
      <c r="I1373" s="67" t="str">
        <f aca="false">IF(OR($C1373="",$D1373=""),"",IFERROR($D1373*INDEX(Mix_Eff,MATCH($C1373,Mix_Code,0),4),""))</f>
        <v/>
      </c>
      <c r="J1373" s="67" t="str">
        <f aca="false">IF(OR($C1373="",$D1373=""),"",IFERROR($D1373*INDEX(Mix_Eff,MATCH($C1373,Mix_Code,0),5),""))</f>
        <v/>
      </c>
      <c r="K1373" s="63"/>
      <c r="L1373" s="16" t="str">
        <f aca="false">IF(AND($A1373="",$B1373="",$C1373="",$D1373=""),"",IF($A1373="","⚠ Date missing",IF($B1373="","⚠ Site missing",IF(ISNA(MATCH($C1373,Mix_Code,0)),"⚠ Unknown mix code",IF($D1373="","⚠ Enter m3 produced",IF(COUNTIF(CI_Site,$B1373)=0,"⚠ Site not set up in Current Inventory",IF($A1373&gt;AsOfDate,"Future date – not yet deducted","OK")))))))</f>
        <v/>
      </c>
    </row>
    <row r="1374" customFormat="false" ht="15" hidden="false" customHeight="false" outlineLevel="0" collapsed="false">
      <c r="A1374" s="65"/>
      <c r="B1374" s="63"/>
      <c r="C1374" s="70"/>
      <c r="D1374" s="66"/>
      <c r="E1374" s="16" t="str">
        <f aca="false">IF($C1374="","",IFERROR(INDEX(Mix_Desc,MATCH($C1374,Mix_Code,0)),"⚠ Unknown mix code"))</f>
        <v/>
      </c>
      <c r="F1374" s="67" t="str">
        <f aca="false">IF(OR($C1374="",$D1374=""),"",IFERROR($D1374*INDEX(Mix_Eff,MATCH($C1374,Mix_Code,0),1),""))</f>
        <v/>
      </c>
      <c r="G1374" s="67" t="str">
        <f aca="false">IF(OR($C1374="",$D1374=""),"",IFERROR($D1374*INDEX(Mix_Eff,MATCH($C1374,Mix_Code,0),2),""))</f>
        <v/>
      </c>
      <c r="H1374" s="67" t="str">
        <f aca="false">IF(OR($C1374="",$D1374=""),"",IFERROR($D1374*INDEX(Mix_Eff,MATCH($C1374,Mix_Code,0),3),""))</f>
        <v/>
      </c>
      <c r="I1374" s="67" t="str">
        <f aca="false">IF(OR($C1374="",$D1374=""),"",IFERROR($D1374*INDEX(Mix_Eff,MATCH($C1374,Mix_Code,0),4),""))</f>
        <v/>
      </c>
      <c r="J1374" s="67" t="str">
        <f aca="false">IF(OR($C1374="",$D1374=""),"",IFERROR($D1374*INDEX(Mix_Eff,MATCH($C1374,Mix_Code,0),5),""))</f>
        <v/>
      </c>
      <c r="K1374" s="63"/>
      <c r="L1374" s="16" t="str">
        <f aca="false">IF(AND($A1374="",$B1374="",$C1374="",$D1374=""),"",IF($A1374="","⚠ Date missing",IF($B1374="","⚠ Site missing",IF(ISNA(MATCH($C1374,Mix_Code,0)),"⚠ Unknown mix code",IF($D1374="","⚠ Enter m3 produced",IF(COUNTIF(CI_Site,$B1374)=0,"⚠ Site not set up in Current Inventory",IF($A1374&gt;AsOfDate,"Future date – not yet deducted","OK")))))))</f>
        <v/>
      </c>
    </row>
    <row r="1375" customFormat="false" ht="15" hidden="false" customHeight="false" outlineLevel="0" collapsed="false">
      <c r="A1375" s="65"/>
      <c r="B1375" s="63"/>
      <c r="C1375" s="70"/>
      <c r="D1375" s="66"/>
      <c r="E1375" s="16" t="str">
        <f aca="false">IF($C1375="","",IFERROR(INDEX(Mix_Desc,MATCH($C1375,Mix_Code,0)),"⚠ Unknown mix code"))</f>
        <v/>
      </c>
      <c r="F1375" s="67" t="str">
        <f aca="false">IF(OR($C1375="",$D1375=""),"",IFERROR($D1375*INDEX(Mix_Eff,MATCH($C1375,Mix_Code,0),1),""))</f>
        <v/>
      </c>
      <c r="G1375" s="67" t="str">
        <f aca="false">IF(OR($C1375="",$D1375=""),"",IFERROR($D1375*INDEX(Mix_Eff,MATCH($C1375,Mix_Code,0),2),""))</f>
        <v/>
      </c>
      <c r="H1375" s="67" t="str">
        <f aca="false">IF(OR($C1375="",$D1375=""),"",IFERROR($D1375*INDEX(Mix_Eff,MATCH($C1375,Mix_Code,0),3),""))</f>
        <v/>
      </c>
      <c r="I1375" s="67" t="str">
        <f aca="false">IF(OR($C1375="",$D1375=""),"",IFERROR($D1375*INDEX(Mix_Eff,MATCH($C1375,Mix_Code,0),4),""))</f>
        <v/>
      </c>
      <c r="J1375" s="67" t="str">
        <f aca="false">IF(OR($C1375="",$D1375=""),"",IFERROR($D1375*INDEX(Mix_Eff,MATCH($C1375,Mix_Code,0),5),""))</f>
        <v/>
      </c>
      <c r="K1375" s="63"/>
      <c r="L1375" s="16" t="str">
        <f aca="false">IF(AND($A1375="",$B1375="",$C1375="",$D1375=""),"",IF($A1375="","⚠ Date missing",IF($B1375="","⚠ Site missing",IF(ISNA(MATCH($C1375,Mix_Code,0)),"⚠ Unknown mix code",IF($D1375="","⚠ Enter m3 produced",IF(COUNTIF(CI_Site,$B1375)=0,"⚠ Site not set up in Current Inventory",IF($A1375&gt;AsOfDate,"Future date – not yet deducted","OK")))))))</f>
        <v/>
      </c>
    </row>
    <row r="1376" customFormat="false" ht="15" hidden="false" customHeight="false" outlineLevel="0" collapsed="false">
      <c r="A1376" s="65"/>
      <c r="B1376" s="63"/>
      <c r="C1376" s="70"/>
      <c r="D1376" s="66"/>
      <c r="E1376" s="16" t="str">
        <f aca="false">IF($C1376="","",IFERROR(INDEX(Mix_Desc,MATCH($C1376,Mix_Code,0)),"⚠ Unknown mix code"))</f>
        <v/>
      </c>
      <c r="F1376" s="67" t="str">
        <f aca="false">IF(OR($C1376="",$D1376=""),"",IFERROR($D1376*INDEX(Mix_Eff,MATCH($C1376,Mix_Code,0),1),""))</f>
        <v/>
      </c>
      <c r="G1376" s="67" t="str">
        <f aca="false">IF(OR($C1376="",$D1376=""),"",IFERROR($D1376*INDEX(Mix_Eff,MATCH($C1376,Mix_Code,0),2),""))</f>
        <v/>
      </c>
      <c r="H1376" s="67" t="str">
        <f aca="false">IF(OR($C1376="",$D1376=""),"",IFERROR($D1376*INDEX(Mix_Eff,MATCH($C1376,Mix_Code,0),3),""))</f>
        <v/>
      </c>
      <c r="I1376" s="67" t="str">
        <f aca="false">IF(OR($C1376="",$D1376=""),"",IFERROR($D1376*INDEX(Mix_Eff,MATCH($C1376,Mix_Code,0),4),""))</f>
        <v/>
      </c>
      <c r="J1376" s="67" t="str">
        <f aca="false">IF(OR($C1376="",$D1376=""),"",IFERROR($D1376*INDEX(Mix_Eff,MATCH($C1376,Mix_Code,0),5),""))</f>
        <v/>
      </c>
      <c r="K1376" s="63"/>
      <c r="L1376" s="16" t="str">
        <f aca="false">IF(AND($A1376="",$B1376="",$C1376="",$D1376=""),"",IF($A1376="","⚠ Date missing",IF($B1376="","⚠ Site missing",IF(ISNA(MATCH($C1376,Mix_Code,0)),"⚠ Unknown mix code",IF($D1376="","⚠ Enter m3 produced",IF(COUNTIF(CI_Site,$B1376)=0,"⚠ Site not set up in Current Inventory",IF($A1376&gt;AsOfDate,"Future date – not yet deducted","OK")))))))</f>
        <v/>
      </c>
    </row>
    <row r="1377" customFormat="false" ht="15" hidden="false" customHeight="false" outlineLevel="0" collapsed="false">
      <c r="A1377" s="65"/>
      <c r="B1377" s="63"/>
      <c r="C1377" s="70"/>
      <c r="D1377" s="66"/>
      <c r="E1377" s="16" t="str">
        <f aca="false">IF($C1377="","",IFERROR(INDEX(Mix_Desc,MATCH($C1377,Mix_Code,0)),"⚠ Unknown mix code"))</f>
        <v/>
      </c>
      <c r="F1377" s="67" t="str">
        <f aca="false">IF(OR($C1377="",$D1377=""),"",IFERROR($D1377*INDEX(Mix_Eff,MATCH($C1377,Mix_Code,0),1),""))</f>
        <v/>
      </c>
      <c r="G1377" s="67" t="str">
        <f aca="false">IF(OR($C1377="",$D1377=""),"",IFERROR($D1377*INDEX(Mix_Eff,MATCH($C1377,Mix_Code,0),2),""))</f>
        <v/>
      </c>
      <c r="H1377" s="67" t="str">
        <f aca="false">IF(OR($C1377="",$D1377=""),"",IFERROR($D1377*INDEX(Mix_Eff,MATCH($C1377,Mix_Code,0),3),""))</f>
        <v/>
      </c>
      <c r="I1377" s="67" t="str">
        <f aca="false">IF(OR($C1377="",$D1377=""),"",IFERROR($D1377*INDEX(Mix_Eff,MATCH($C1377,Mix_Code,0),4),""))</f>
        <v/>
      </c>
      <c r="J1377" s="67" t="str">
        <f aca="false">IF(OR($C1377="",$D1377=""),"",IFERROR($D1377*INDEX(Mix_Eff,MATCH($C1377,Mix_Code,0),5),""))</f>
        <v/>
      </c>
      <c r="K1377" s="63"/>
      <c r="L1377" s="16" t="str">
        <f aca="false">IF(AND($A1377="",$B1377="",$C1377="",$D1377=""),"",IF($A1377="","⚠ Date missing",IF($B1377="","⚠ Site missing",IF(ISNA(MATCH($C1377,Mix_Code,0)),"⚠ Unknown mix code",IF($D1377="","⚠ Enter m3 produced",IF(COUNTIF(CI_Site,$B1377)=0,"⚠ Site not set up in Current Inventory",IF($A1377&gt;AsOfDate,"Future date – not yet deducted","OK")))))))</f>
        <v/>
      </c>
    </row>
    <row r="1378" customFormat="false" ht="15" hidden="false" customHeight="false" outlineLevel="0" collapsed="false">
      <c r="A1378" s="65"/>
      <c r="B1378" s="63"/>
      <c r="C1378" s="70"/>
      <c r="D1378" s="66"/>
      <c r="E1378" s="16" t="str">
        <f aca="false">IF($C1378="","",IFERROR(INDEX(Mix_Desc,MATCH($C1378,Mix_Code,0)),"⚠ Unknown mix code"))</f>
        <v/>
      </c>
      <c r="F1378" s="67" t="str">
        <f aca="false">IF(OR($C1378="",$D1378=""),"",IFERROR($D1378*INDEX(Mix_Eff,MATCH($C1378,Mix_Code,0),1),""))</f>
        <v/>
      </c>
      <c r="G1378" s="67" t="str">
        <f aca="false">IF(OR($C1378="",$D1378=""),"",IFERROR($D1378*INDEX(Mix_Eff,MATCH($C1378,Mix_Code,0),2),""))</f>
        <v/>
      </c>
      <c r="H1378" s="67" t="str">
        <f aca="false">IF(OR($C1378="",$D1378=""),"",IFERROR($D1378*INDEX(Mix_Eff,MATCH($C1378,Mix_Code,0),3),""))</f>
        <v/>
      </c>
      <c r="I1378" s="67" t="str">
        <f aca="false">IF(OR($C1378="",$D1378=""),"",IFERROR($D1378*INDEX(Mix_Eff,MATCH($C1378,Mix_Code,0),4),""))</f>
        <v/>
      </c>
      <c r="J1378" s="67" t="str">
        <f aca="false">IF(OR($C1378="",$D1378=""),"",IFERROR($D1378*INDEX(Mix_Eff,MATCH($C1378,Mix_Code,0),5),""))</f>
        <v/>
      </c>
      <c r="K1378" s="63"/>
      <c r="L1378" s="16" t="str">
        <f aca="false">IF(AND($A1378="",$B1378="",$C1378="",$D1378=""),"",IF($A1378="","⚠ Date missing",IF($B1378="","⚠ Site missing",IF(ISNA(MATCH($C1378,Mix_Code,0)),"⚠ Unknown mix code",IF($D1378="","⚠ Enter m3 produced",IF(COUNTIF(CI_Site,$B1378)=0,"⚠ Site not set up in Current Inventory",IF($A1378&gt;AsOfDate,"Future date – not yet deducted","OK")))))))</f>
        <v/>
      </c>
    </row>
    <row r="1379" customFormat="false" ht="15" hidden="false" customHeight="false" outlineLevel="0" collapsed="false">
      <c r="A1379" s="65"/>
      <c r="B1379" s="63"/>
      <c r="C1379" s="70"/>
      <c r="D1379" s="66"/>
      <c r="E1379" s="16" t="str">
        <f aca="false">IF($C1379="","",IFERROR(INDEX(Mix_Desc,MATCH($C1379,Mix_Code,0)),"⚠ Unknown mix code"))</f>
        <v/>
      </c>
      <c r="F1379" s="67" t="str">
        <f aca="false">IF(OR($C1379="",$D1379=""),"",IFERROR($D1379*INDEX(Mix_Eff,MATCH($C1379,Mix_Code,0),1),""))</f>
        <v/>
      </c>
      <c r="G1379" s="67" t="str">
        <f aca="false">IF(OR($C1379="",$D1379=""),"",IFERROR($D1379*INDEX(Mix_Eff,MATCH($C1379,Mix_Code,0),2),""))</f>
        <v/>
      </c>
      <c r="H1379" s="67" t="str">
        <f aca="false">IF(OR($C1379="",$D1379=""),"",IFERROR($D1379*INDEX(Mix_Eff,MATCH($C1379,Mix_Code,0),3),""))</f>
        <v/>
      </c>
      <c r="I1379" s="67" t="str">
        <f aca="false">IF(OR($C1379="",$D1379=""),"",IFERROR($D1379*INDEX(Mix_Eff,MATCH($C1379,Mix_Code,0),4),""))</f>
        <v/>
      </c>
      <c r="J1379" s="67" t="str">
        <f aca="false">IF(OR($C1379="",$D1379=""),"",IFERROR($D1379*INDEX(Mix_Eff,MATCH($C1379,Mix_Code,0),5),""))</f>
        <v/>
      </c>
      <c r="K1379" s="63"/>
      <c r="L1379" s="16" t="str">
        <f aca="false">IF(AND($A1379="",$B1379="",$C1379="",$D1379=""),"",IF($A1379="","⚠ Date missing",IF($B1379="","⚠ Site missing",IF(ISNA(MATCH($C1379,Mix_Code,0)),"⚠ Unknown mix code",IF($D1379="","⚠ Enter m3 produced",IF(COUNTIF(CI_Site,$B1379)=0,"⚠ Site not set up in Current Inventory",IF($A1379&gt;AsOfDate,"Future date – not yet deducted","OK")))))))</f>
        <v/>
      </c>
    </row>
    <row r="1380" customFormat="false" ht="15" hidden="false" customHeight="false" outlineLevel="0" collapsed="false">
      <c r="A1380" s="65"/>
      <c r="B1380" s="63"/>
      <c r="C1380" s="70"/>
      <c r="D1380" s="66"/>
      <c r="E1380" s="16" t="str">
        <f aca="false">IF($C1380="","",IFERROR(INDEX(Mix_Desc,MATCH($C1380,Mix_Code,0)),"⚠ Unknown mix code"))</f>
        <v/>
      </c>
      <c r="F1380" s="67" t="str">
        <f aca="false">IF(OR($C1380="",$D1380=""),"",IFERROR($D1380*INDEX(Mix_Eff,MATCH($C1380,Mix_Code,0),1),""))</f>
        <v/>
      </c>
      <c r="G1380" s="67" t="str">
        <f aca="false">IF(OR($C1380="",$D1380=""),"",IFERROR($D1380*INDEX(Mix_Eff,MATCH($C1380,Mix_Code,0),2),""))</f>
        <v/>
      </c>
      <c r="H1380" s="67" t="str">
        <f aca="false">IF(OR($C1380="",$D1380=""),"",IFERROR($D1380*INDEX(Mix_Eff,MATCH($C1380,Mix_Code,0),3),""))</f>
        <v/>
      </c>
      <c r="I1380" s="67" t="str">
        <f aca="false">IF(OR($C1380="",$D1380=""),"",IFERROR($D1380*INDEX(Mix_Eff,MATCH($C1380,Mix_Code,0),4),""))</f>
        <v/>
      </c>
      <c r="J1380" s="67" t="str">
        <f aca="false">IF(OR($C1380="",$D1380=""),"",IFERROR($D1380*INDEX(Mix_Eff,MATCH($C1380,Mix_Code,0),5),""))</f>
        <v/>
      </c>
      <c r="K1380" s="63"/>
      <c r="L1380" s="16" t="str">
        <f aca="false">IF(AND($A1380="",$B1380="",$C1380="",$D1380=""),"",IF($A1380="","⚠ Date missing",IF($B1380="","⚠ Site missing",IF(ISNA(MATCH($C1380,Mix_Code,0)),"⚠ Unknown mix code",IF($D1380="","⚠ Enter m3 produced",IF(COUNTIF(CI_Site,$B1380)=0,"⚠ Site not set up in Current Inventory",IF($A1380&gt;AsOfDate,"Future date – not yet deducted","OK")))))))</f>
        <v/>
      </c>
    </row>
    <row r="1381" customFormat="false" ht="15" hidden="false" customHeight="false" outlineLevel="0" collapsed="false">
      <c r="A1381" s="65"/>
      <c r="B1381" s="63"/>
      <c r="C1381" s="70"/>
      <c r="D1381" s="66"/>
      <c r="E1381" s="16" t="str">
        <f aca="false">IF($C1381="","",IFERROR(INDEX(Mix_Desc,MATCH($C1381,Mix_Code,0)),"⚠ Unknown mix code"))</f>
        <v/>
      </c>
      <c r="F1381" s="67" t="str">
        <f aca="false">IF(OR($C1381="",$D1381=""),"",IFERROR($D1381*INDEX(Mix_Eff,MATCH($C1381,Mix_Code,0),1),""))</f>
        <v/>
      </c>
      <c r="G1381" s="67" t="str">
        <f aca="false">IF(OR($C1381="",$D1381=""),"",IFERROR($D1381*INDEX(Mix_Eff,MATCH($C1381,Mix_Code,0),2),""))</f>
        <v/>
      </c>
      <c r="H1381" s="67" t="str">
        <f aca="false">IF(OR($C1381="",$D1381=""),"",IFERROR($D1381*INDEX(Mix_Eff,MATCH($C1381,Mix_Code,0),3),""))</f>
        <v/>
      </c>
      <c r="I1381" s="67" t="str">
        <f aca="false">IF(OR($C1381="",$D1381=""),"",IFERROR($D1381*INDEX(Mix_Eff,MATCH($C1381,Mix_Code,0),4),""))</f>
        <v/>
      </c>
      <c r="J1381" s="67" t="str">
        <f aca="false">IF(OR($C1381="",$D1381=""),"",IFERROR($D1381*INDEX(Mix_Eff,MATCH($C1381,Mix_Code,0),5),""))</f>
        <v/>
      </c>
      <c r="K1381" s="63"/>
      <c r="L1381" s="16" t="str">
        <f aca="false">IF(AND($A1381="",$B1381="",$C1381="",$D1381=""),"",IF($A1381="","⚠ Date missing",IF($B1381="","⚠ Site missing",IF(ISNA(MATCH($C1381,Mix_Code,0)),"⚠ Unknown mix code",IF($D1381="","⚠ Enter m3 produced",IF(COUNTIF(CI_Site,$B1381)=0,"⚠ Site not set up in Current Inventory",IF($A1381&gt;AsOfDate,"Future date – not yet deducted","OK")))))))</f>
        <v/>
      </c>
    </row>
    <row r="1382" customFormat="false" ht="15" hidden="false" customHeight="false" outlineLevel="0" collapsed="false">
      <c r="A1382" s="65"/>
      <c r="B1382" s="63"/>
      <c r="C1382" s="70"/>
      <c r="D1382" s="66"/>
      <c r="E1382" s="16" t="str">
        <f aca="false">IF($C1382="","",IFERROR(INDEX(Mix_Desc,MATCH($C1382,Mix_Code,0)),"⚠ Unknown mix code"))</f>
        <v/>
      </c>
      <c r="F1382" s="67" t="str">
        <f aca="false">IF(OR($C1382="",$D1382=""),"",IFERROR($D1382*INDEX(Mix_Eff,MATCH($C1382,Mix_Code,0),1),""))</f>
        <v/>
      </c>
      <c r="G1382" s="67" t="str">
        <f aca="false">IF(OR($C1382="",$D1382=""),"",IFERROR($D1382*INDEX(Mix_Eff,MATCH($C1382,Mix_Code,0),2),""))</f>
        <v/>
      </c>
      <c r="H1382" s="67" t="str">
        <f aca="false">IF(OR($C1382="",$D1382=""),"",IFERROR($D1382*INDEX(Mix_Eff,MATCH($C1382,Mix_Code,0),3),""))</f>
        <v/>
      </c>
      <c r="I1382" s="67" t="str">
        <f aca="false">IF(OR($C1382="",$D1382=""),"",IFERROR($D1382*INDEX(Mix_Eff,MATCH($C1382,Mix_Code,0),4),""))</f>
        <v/>
      </c>
      <c r="J1382" s="67" t="str">
        <f aca="false">IF(OR($C1382="",$D1382=""),"",IFERROR($D1382*INDEX(Mix_Eff,MATCH($C1382,Mix_Code,0),5),""))</f>
        <v/>
      </c>
      <c r="K1382" s="63"/>
      <c r="L1382" s="16" t="str">
        <f aca="false">IF(AND($A1382="",$B1382="",$C1382="",$D1382=""),"",IF($A1382="","⚠ Date missing",IF($B1382="","⚠ Site missing",IF(ISNA(MATCH($C1382,Mix_Code,0)),"⚠ Unknown mix code",IF($D1382="","⚠ Enter m3 produced",IF(COUNTIF(CI_Site,$B1382)=0,"⚠ Site not set up in Current Inventory",IF($A1382&gt;AsOfDate,"Future date – not yet deducted","OK")))))))</f>
        <v/>
      </c>
    </row>
    <row r="1383" customFormat="false" ht="15" hidden="false" customHeight="false" outlineLevel="0" collapsed="false">
      <c r="A1383" s="65"/>
      <c r="B1383" s="63"/>
      <c r="C1383" s="70"/>
      <c r="D1383" s="66"/>
      <c r="E1383" s="16" t="str">
        <f aca="false">IF($C1383="","",IFERROR(INDEX(Mix_Desc,MATCH($C1383,Mix_Code,0)),"⚠ Unknown mix code"))</f>
        <v/>
      </c>
      <c r="F1383" s="67" t="str">
        <f aca="false">IF(OR($C1383="",$D1383=""),"",IFERROR($D1383*INDEX(Mix_Eff,MATCH($C1383,Mix_Code,0),1),""))</f>
        <v/>
      </c>
      <c r="G1383" s="67" t="str">
        <f aca="false">IF(OR($C1383="",$D1383=""),"",IFERROR($D1383*INDEX(Mix_Eff,MATCH($C1383,Mix_Code,0),2),""))</f>
        <v/>
      </c>
      <c r="H1383" s="67" t="str">
        <f aca="false">IF(OR($C1383="",$D1383=""),"",IFERROR($D1383*INDEX(Mix_Eff,MATCH($C1383,Mix_Code,0),3),""))</f>
        <v/>
      </c>
      <c r="I1383" s="67" t="str">
        <f aca="false">IF(OR($C1383="",$D1383=""),"",IFERROR($D1383*INDEX(Mix_Eff,MATCH($C1383,Mix_Code,0),4),""))</f>
        <v/>
      </c>
      <c r="J1383" s="67" t="str">
        <f aca="false">IF(OR($C1383="",$D1383=""),"",IFERROR($D1383*INDEX(Mix_Eff,MATCH($C1383,Mix_Code,0),5),""))</f>
        <v/>
      </c>
      <c r="K1383" s="63"/>
      <c r="L1383" s="16" t="str">
        <f aca="false">IF(AND($A1383="",$B1383="",$C1383="",$D1383=""),"",IF($A1383="","⚠ Date missing",IF($B1383="","⚠ Site missing",IF(ISNA(MATCH($C1383,Mix_Code,0)),"⚠ Unknown mix code",IF($D1383="","⚠ Enter m3 produced",IF(COUNTIF(CI_Site,$B1383)=0,"⚠ Site not set up in Current Inventory",IF($A1383&gt;AsOfDate,"Future date – not yet deducted","OK")))))))</f>
        <v/>
      </c>
    </row>
    <row r="1384" customFormat="false" ht="15" hidden="false" customHeight="false" outlineLevel="0" collapsed="false">
      <c r="A1384" s="65"/>
      <c r="B1384" s="63"/>
      <c r="C1384" s="70"/>
      <c r="D1384" s="66"/>
      <c r="E1384" s="16" t="str">
        <f aca="false">IF($C1384="","",IFERROR(INDEX(Mix_Desc,MATCH($C1384,Mix_Code,0)),"⚠ Unknown mix code"))</f>
        <v/>
      </c>
      <c r="F1384" s="67" t="str">
        <f aca="false">IF(OR($C1384="",$D1384=""),"",IFERROR($D1384*INDEX(Mix_Eff,MATCH($C1384,Mix_Code,0),1),""))</f>
        <v/>
      </c>
      <c r="G1384" s="67" t="str">
        <f aca="false">IF(OR($C1384="",$D1384=""),"",IFERROR($D1384*INDEX(Mix_Eff,MATCH($C1384,Mix_Code,0),2),""))</f>
        <v/>
      </c>
      <c r="H1384" s="67" t="str">
        <f aca="false">IF(OR($C1384="",$D1384=""),"",IFERROR($D1384*INDEX(Mix_Eff,MATCH($C1384,Mix_Code,0),3),""))</f>
        <v/>
      </c>
      <c r="I1384" s="67" t="str">
        <f aca="false">IF(OR($C1384="",$D1384=""),"",IFERROR($D1384*INDEX(Mix_Eff,MATCH($C1384,Mix_Code,0),4),""))</f>
        <v/>
      </c>
      <c r="J1384" s="67" t="str">
        <f aca="false">IF(OR($C1384="",$D1384=""),"",IFERROR($D1384*INDEX(Mix_Eff,MATCH($C1384,Mix_Code,0),5),""))</f>
        <v/>
      </c>
      <c r="K1384" s="63"/>
      <c r="L1384" s="16" t="str">
        <f aca="false">IF(AND($A1384="",$B1384="",$C1384="",$D1384=""),"",IF($A1384="","⚠ Date missing",IF($B1384="","⚠ Site missing",IF(ISNA(MATCH($C1384,Mix_Code,0)),"⚠ Unknown mix code",IF($D1384="","⚠ Enter m3 produced",IF(COUNTIF(CI_Site,$B1384)=0,"⚠ Site not set up in Current Inventory",IF($A1384&gt;AsOfDate,"Future date – not yet deducted","OK")))))))</f>
        <v/>
      </c>
    </row>
    <row r="1385" customFormat="false" ht="15" hidden="false" customHeight="false" outlineLevel="0" collapsed="false">
      <c r="A1385" s="65"/>
      <c r="B1385" s="63"/>
      <c r="C1385" s="70"/>
      <c r="D1385" s="66"/>
      <c r="E1385" s="16" t="str">
        <f aca="false">IF($C1385="","",IFERROR(INDEX(Mix_Desc,MATCH($C1385,Mix_Code,0)),"⚠ Unknown mix code"))</f>
        <v/>
      </c>
      <c r="F1385" s="67" t="str">
        <f aca="false">IF(OR($C1385="",$D1385=""),"",IFERROR($D1385*INDEX(Mix_Eff,MATCH($C1385,Mix_Code,0),1),""))</f>
        <v/>
      </c>
      <c r="G1385" s="67" t="str">
        <f aca="false">IF(OR($C1385="",$D1385=""),"",IFERROR($D1385*INDEX(Mix_Eff,MATCH($C1385,Mix_Code,0),2),""))</f>
        <v/>
      </c>
      <c r="H1385" s="67" t="str">
        <f aca="false">IF(OR($C1385="",$D1385=""),"",IFERROR($D1385*INDEX(Mix_Eff,MATCH($C1385,Mix_Code,0),3),""))</f>
        <v/>
      </c>
      <c r="I1385" s="67" t="str">
        <f aca="false">IF(OR($C1385="",$D1385=""),"",IFERROR($D1385*INDEX(Mix_Eff,MATCH($C1385,Mix_Code,0),4),""))</f>
        <v/>
      </c>
      <c r="J1385" s="67" t="str">
        <f aca="false">IF(OR($C1385="",$D1385=""),"",IFERROR($D1385*INDEX(Mix_Eff,MATCH($C1385,Mix_Code,0),5),""))</f>
        <v/>
      </c>
      <c r="K1385" s="63"/>
      <c r="L1385" s="16" t="str">
        <f aca="false">IF(AND($A1385="",$B1385="",$C1385="",$D1385=""),"",IF($A1385="","⚠ Date missing",IF($B1385="","⚠ Site missing",IF(ISNA(MATCH($C1385,Mix_Code,0)),"⚠ Unknown mix code",IF($D1385="","⚠ Enter m3 produced",IF(COUNTIF(CI_Site,$B1385)=0,"⚠ Site not set up in Current Inventory",IF($A1385&gt;AsOfDate,"Future date – not yet deducted","OK")))))))</f>
        <v/>
      </c>
    </row>
    <row r="1386" customFormat="false" ht="15" hidden="false" customHeight="false" outlineLevel="0" collapsed="false">
      <c r="A1386" s="65"/>
      <c r="B1386" s="63"/>
      <c r="C1386" s="70"/>
      <c r="D1386" s="66"/>
      <c r="E1386" s="16" t="str">
        <f aca="false">IF($C1386="","",IFERROR(INDEX(Mix_Desc,MATCH($C1386,Mix_Code,0)),"⚠ Unknown mix code"))</f>
        <v/>
      </c>
      <c r="F1386" s="67" t="str">
        <f aca="false">IF(OR($C1386="",$D1386=""),"",IFERROR($D1386*INDEX(Mix_Eff,MATCH($C1386,Mix_Code,0),1),""))</f>
        <v/>
      </c>
      <c r="G1386" s="67" t="str">
        <f aca="false">IF(OR($C1386="",$D1386=""),"",IFERROR($D1386*INDEX(Mix_Eff,MATCH($C1386,Mix_Code,0),2),""))</f>
        <v/>
      </c>
      <c r="H1386" s="67" t="str">
        <f aca="false">IF(OR($C1386="",$D1386=""),"",IFERROR($D1386*INDEX(Mix_Eff,MATCH($C1386,Mix_Code,0),3),""))</f>
        <v/>
      </c>
      <c r="I1386" s="67" t="str">
        <f aca="false">IF(OR($C1386="",$D1386=""),"",IFERROR($D1386*INDEX(Mix_Eff,MATCH($C1386,Mix_Code,0),4),""))</f>
        <v/>
      </c>
      <c r="J1386" s="67" t="str">
        <f aca="false">IF(OR($C1386="",$D1386=""),"",IFERROR($D1386*INDEX(Mix_Eff,MATCH($C1386,Mix_Code,0),5),""))</f>
        <v/>
      </c>
      <c r="K1386" s="63"/>
      <c r="L1386" s="16" t="str">
        <f aca="false">IF(AND($A1386="",$B1386="",$C1386="",$D1386=""),"",IF($A1386="","⚠ Date missing",IF($B1386="","⚠ Site missing",IF(ISNA(MATCH($C1386,Mix_Code,0)),"⚠ Unknown mix code",IF($D1386="","⚠ Enter m3 produced",IF(COUNTIF(CI_Site,$B1386)=0,"⚠ Site not set up in Current Inventory",IF($A1386&gt;AsOfDate,"Future date – not yet deducted","OK")))))))</f>
        <v/>
      </c>
    </row>
    <row r="1387" customFormat="false" ht="15" hidden="false" customHeight="false" outlineLevel="0" collapsed="false">
      <c r="A1387" s="65"/>
      <c r="B1387" s="63"/>
      <c r="C1387" s="70"/>
      <c r="D1387" s="66"/>
      <c r="E1387" s="16" t="str">
        <f aca="false">IF($C1387="","",IFERROR(INDEX(Mix_Desc,MATCH($C1387,Mix_Code,0)),"⚠ Unknown mix code"))</f>
        <v/>
      </c>
      <c r="F1387" s="67" t="str">
        <f aca="false">IF(OR($C1387="",$D1387=""),"",IFERROR($D1387*INDEX(Mix_Eff,MATCH($C1387,Mix_Code,0),1),""))</f>
        <v/>
      </c>
      <c r="G1387" s="67" t="str">
        <f aca="false">IF(OR($C1387="",$D1387=""),"",IFERROR($D1387*INDEX(Mix_Eff,MATCH($C1387,Mix_Code,0),2),""))</f>
        <v/>
      </c>
      <c r="H1387" s="67" t="str">
        <f aca="false">IF(OR($C1387="",$D1387=""),"",IFERROR($D1387*INDEX(Mix_Eff,MATCH($C1387,Mix_Code,0),3),""))</f>
        <v/>
      </c>
      <c r="I1387" s="67" t="str">
        <f aca="false">IF(OR($C1387="",$D1387=""),"",IFERROR($D1387*INDEX(Mix_Eff,MATCH($C1387,Mix_Code,0),4),""))</f>
        <v/>
      </c>
      <c r="J1387" s="67" t="str">
        <f aca="false">IF(OR($C1387="",$D1387=""),"",IFERROR($D1387*INDEX(Mix_Eff,MATCH($C1387,Mix_Code,0),5),""))</f>
        <v/>
      </c>
      <c r="K1387" s="63"/>
      <c r="L1387" s="16" t="str">
        <f aca="false">IF(AND($A1387="",$B1387="",$C1387="",$D1387=""),"",IF($A1387="","⚠ Date missing",IF($B1387="","⚠ Site missing",IF(ISNA(MATCH($C1387,Mix_Code,0)),"⚠ Unknown mix code",IF($D1387="","⚠ Enter m3 produced",IF(COUNTIF(CI_Site,$B1387)=0,"⚠ Site not set up in Current Inventory",IF($A1387&gt;AsOfDate,"Future date – not yet deducted","OK")))))))</f>
        <v/>
      </c>
    </row>
    <row r="1388" customFormat="false" ht="15" hidden="false" customHeight="false" outlineLevel="0" collapsed="false">
      <c r="A1388" s="65"/>
      <c r="B1388" s="63"/>
      <c r="C1388" s="70"/>
      <c r="D1388" s="66"/>
      <c r="E1388" s="16" t="str">
        <f aca="false">IF($C1388="","",IFERROR(INDEX(Mix_Desc,MATCH($C1388,Mix_Code,0)),"⚠ Unknown mix code"))</f>
        <v/>
      </c>
      <c r="F1388" s="67" t="str">
        <f aca="false">IF(OR($C1388="",$D1388=""),"",IFERROR($D1388*INDEX(Mix_Eff,MATCH($C1388,Mix_Code,0),1),""))</f>
        <v/>
      </c>
      <c r="G1388" s="67" t="str">
        <f aca="false">IF(OR($C1388="",$D1388=""),"",IFERROR($D1388*INDEX(Mix_Eff,MATCH($C1388,Mix_Code,0),2),""))</f>
        <v/>
      </c>
      <c r="H1388" s="67" t="str">
        <f aca="false">IF(OR($C1388="",$D1388=""),"",IFERROR($D1388*INDEX(Mix_Eff,MATCH($C1388,Mix_Code,0),3),""))</f>
        <v/>
      </c>
      <c r="I1388" s="67" t="str">
        <f aca="false">IF(OR($C1388="",$D1388=""),"",IFERROR($D1388*INDEX(Mix_Eff,MATCH($C1388,Mix_Code,0),4),""))</f>
        <v/>
      </c>
      <c r="J1388" s="67" t="str">
        <f aca="false">IF(OR($C1388="",$D1388=""),"",IFERROR($D1388*INDEX(Mix_Eff,MATCH($C1388,Mix_Code,0),5),""))</f>
        <v/>
      </c>
      <c r="K1388" s="63"/>
      <c r="L1388" s="16" t="str">
        <f aca="false">IF(AND($A1388="",$B1388="",$C1388="",$D1388=""),"",IF($A1388="","⚠ Date missing",IF($B1388="","⚠ Site missing",IF(ISNA(MATCH($C1388,Mix_Code,0)),"⚠ Unknown mix code",IF($D1388="","⚠ Enter m3 produced",IF(COUNTIF(CI_Site,$B1388)=0,"⚠ Site not set up in Current Inventory",IF($A1388&gt;AsOfDate,"Future date – not yet deducted","OK")))))))</f>
        <v/>
      </c>
    </row>
    <row r="1389" customFormat="false" ht="15" hidden="false" customHeight="false" outlineLevel="0" collapsed="false">
      <c r="A1389" s="65"/>
      <c r="B1389" s="63"/>
      <c r="C1389" s="70"/>
      <c r="D1389" s="66"/>
      <c r="E1389" s="16" t="str">
        <f aca="false">IF($C1389="","",IFERROR(INDEX(Mix_Desc,MATCH($C1389,Mix_Code,0)),"⚠ Unknown mix code"))</f>
        <v/>
      </c>
      <c r="F1389" s="67" t="str">
        <f aca="false">IF(OR($C1389="",$D1389=""),"",IFERROR($D1389*INDEX(Mix_Eff,MATCH($C1389,Mix_Code,0),1),""))</f>
        <v/>
      </c>
      <c r="G1389" s="67" t="str">
        <f aca="false">IF(OR($C1389="",$D1389=""),"",IFERROR($D1389*INDEX(Mix_Eff,MATCH($C1389,Mix_Code,0),2),""))</f>
        <v/>
      </c>
      <c r="H1389" s="67" t="str">
        <f aca="false">IF(OR($C1389="",$D1389=""),"",IFERROR($D1389*INDEX(Mix_Eff,MATCH($C1389,Mix_Code,0),3),""))</f>
        <v/>
      </c>
      <c r="I1389" s="67" t="str">
        <f aca="false">IF(OR($C1389="",$D1389=""),"",IFERROR($D1389*INDEX(Mix_Eff,MATCH($C1389,Mix_Code,0),4),""))</f>
        <v/>
      </c>
      <c r="J1389" s="67" t="str">
        <f aca="false">IF(OR($C1389="",$D1389=""),"",IFERROR($D1389*INDEX(Mix_Eff,MATCH($C1389,Mix_Code,0),5),""))</f>
        <v/>
      </c>
      <c r="K1389" s="63"/>
      <c r="L1389" s="16" t="str">
        <f aca="false">IF(AND($A1389="",$B1389="",$C1389="",$D1389=""),"",IF($A1389="","⚠ Date missing",IF($B1389="","⚠ Site missing",IF(ISNA(MATCH($C1389,Mix_Code,0)),"⚠ Unknown mix code",IF($D1389="","⚠ Enter m3 produced",IF(COUNTIF(CI_Site,$B1389)=0,"⚠ Site not set up in Current Inventory",IF($A1389&gt;AsOfDate,"Future date – not yet deducted","OK")))))))</f>
        <v/>
      </c>
    </row>
    <row r="1390" customFormat="false" ht="15" hidden="false" customHeight="false" outlineLevel="0" collapsed="false">
      <c r="A1390" s="65"/>
      <c r="B1390" s="63"/>
      <c r="C1390" s="70"/>
      <c r="D1390" s="66"/>
      <c r="E1390" s="16" t="str">
        <f aca="false">IF($C1390="","",IFERROR(INDEX(Mix_Desc,MATCH($C1390,Mix_Code,0)),"⚠ Unknown mix code"))</f>
        <v/>
      </c>
      <c r="F1390" s="67" t="str">
        <f aca="false">IF(OR($C1390="",$D1390=""),"",IFERROR($D1390*INDEX(Mix_Eff,MATCH($C1390,Mix_Code,0),1),""))</f>
        <v/>
      </c>
      <c r="G1390" s="67" t="str">
        <f aca="false">IF(OR($C1390="",$D1390=""),"",IFERROR($D1390*INDEX(Mix_Eff,MATCH($C1390,Mix_Code,0),2),""))</f>
        <v/>
      </c>
      <c r="H1390" s="67" t="str">
        <f aca="false">IF(OR($C1390="",$D1390=""),"",IFERROR($D1390*INDEX(Mix_Eff,MATCH($C1390,Mix_Code,0),3),""))</f>
        <v/>
      </c>
      <c r="I1390" s="67" t="str">
        <f aca="false">IF(OR($C1390="",$D1390=""),"",IFERROR($D1390*INDEX(Mix_Eff,MATCH($C1390,Mix_Code,0),4),""))</f>
        <v/>
      </c>
      <c r="J1390" s="67" t="str">
        <f aca="false">IF(OR($C1390="",$D1390=""),"",IFERROR($D1390*INDEX(Mix_Eff,MATCH($C1390,Mix_Code,0),5),""))</f>
        <v/>
      </c>
      <c r="K1390" s="63"/>
      <c r="L1390" s="16" t="str">
        <f aca="false">IF(AND($A1390="",$B1390="",$C1390="",$D1390=""),"",IF($A1390="","⚠ Date missing",IF($B1390="","⚠ Site missing",IF(ISNA(MATCH($C1390,Mix_Code,0)),"⚠ Unknown mix code",IF($D1390="","⚠ Enter m3 produced",IF(COUNTIF(CI_Site,$B1390)=0,"⚠ Site not set up in Current Inventory",IF($A1390&gt;AsOfDate,"Future date – not yet deducted","OK")))))))</f>
        <v/>
      </c>
    </row>
    <row r="1391" customFormat="false" ht="15" hidden="false" customHeight="false" outlineLevel="0" collapsed="false">
      <c r="A1391" s="65"/>
      <c r="B1391" s="63"/>
      <c r="C1391" s="70"/>
      <c r="D1391" s="66"/>
      <c r="E1391" s="16" t="str">
        <f aca="false">IF($C1391="","",IFERROR(INDEX(Mix_Desc,MATCH($C1391,Mix_Code,0)),"⚠ Unknown mix code"))</f>
        <v/>
      </c>
      <c r="F1391" s="67" t="str">
        <f aca="false">IF(OR($C1391="",$D1391=""),"",IFERROR($D1391*INDEX(Mix_Eff,MATCH($C1391,Mix_Code,0),1),""))</f>
        <v/>
      </c>
      <c r="G1391" s="67" t="str">
        <f aca="false">IF(OR($C1391="",$D1391=""),"",IFERROR($D1391*INDEX(Mix_Eff,MATCH($C1391,Mix_Code,0),2),""))</f>
        <v/>
      </c>
      <c r="H1391" s="67" t="str">
        <f aca="false">IF(OR($C1391="",$D1391=""),"",IFERROR($D1391*INDEX(Mix_Eff,MATCH($C1391,Mix_Code,0),3),""))</f>
        <v/>
      </c>
      <c r="I1391" s="67" t="str">
        <f aca="false">IF(OR($C1391="",$D1391=""),"",IFERROR($D1391*INDEX(Mix_Eff,MATCH($C1391,Mix_Code,0),4),""))</f>
        <v/>
      </c>
      <c r="J1391" s="67" t="str">
        <f aca="false">IF(OR($C1391="",$D1391=""),"",IFERROR($D1391*INDEX(Mix_Eff,MATCH($C1391,Mix_Code,0),5),""))</f>
        <v/>
      </c>
      <c r="K1391" s="63"/>
      <c r="L1391" s="16" t="str">
        <f aca="false">IF(AND($A1391="",$B1391="",$C1391="",$D1391=""),"",IF($A1391="","⚠ Date missing",IF($B1391="","⚠ Site missing",IF(ISNA(MATCH($C1391,Mix_Code,0)),"⚠ Unknown mix code",IF($D1391="","⚠ Enter m3 produced",IF(COUNTIF(CI_Site,$B1391)=0,"⚠ Site not set up in Current Inventory",IF($A1391&gt;AsOfDate,"Future date – not yet deducted","OK")))))))</f>
        <v/>
      </c>
    </row>
    <row r="1392" customFormat="false" ht="15" hidden="false" customHeight="false" outlineLevel="0" collapsed="false">
      <c r="A1392" s="65"/>
      <c r="B1392" s="63"/>
      <c r="C1392" s="70"/>
      <c r="D1392" s="66"/>
      <c r="E1392" s="16" t="str">
        <f aca="false">IF($C1392="","",IFERROR(INDEX(Mix_Desc,MATCH($C1392,Mix_Code,0)),"⚠ Unknown mix code"))</f>
        <v/>
      </c>
      <c r="F1392" s="67" t="str">
        <f aca="false">IF(OR($C1392="",$D1392=""),"",IFERROR($D1392*INDEX(Mix_Eff,MATCH($C1392,Mix_Code,0),1),""))</f>
        <v/>
      </c>
      <c r="G1392" s="67" t="str">
        <f aca="false">IF(OR($C1392="",$D1392=""),"",IFERROR($D1392*INDEX(Mix_Eff,MATCH($C1392,Mix_Code,0),2),""))</f>
        <v/>
      </c>
      <c r="H1392" s="67" t="str">
        <f aca="false">IF(OR($C1392="",$D1392=""),"",IFERROR($D1392*INDEX(Mix_Eff,MATCH($C1392,Mix_Code,0),3),""))</f>
        <v/>
      </c>
      <c r="I1392" s="67" t="str">
        <f aca="false">IF(OR($C1392="",$D1392=""),"",IFERROR($D1392*INDEX(Mix_Eff,MATCH($C1392,Mix_Code,0),4),""))</f>
        <v/>
      </c>
      <c r="J1392" s="67" t="str">
        <f aca="false">IF(OR($C1392="",$D1392=""),"",IFERROR($D1392*INDEX(Mix_Eff,MATCH($C1392,Mix_Code,0),5),""))</f>
        <v/>
      </c>
      <c r="K1392" s="63"/>
      <c r="L1392" s="16" t="str">
        <f aca="false">IF(AND($A1392="",$B1392="",$C1392="",$D1392=""),"",IF($A1392="","⚠ Date missing",IF($B1392="","⚠ Site missing",IF(ISNA(MATCH($C1392,Mix_Code,0)),"⚠ Unknown mix code",IF($D1392="","⚠ Enter m3 produced",IF(COUNTIF(CI_Site,$B1392)=0,"⚠ Site not set up in Current Inventory",IF($A1392&gt;AsOfDate,"Future date – not yet deducted","OK")))))))</f>
        <v/>
      </c>
    </row>
    <row r="1393" customFormat="false" ht="15" hidden="false" customHeight="false" outlineLevel="0" collapsed="false">
      <c r="A1393" s="65"/>
      <c r="B1393" s="63"/>
      <c r="C1393" s="70"/>
      <c r="D1393" s="66"/>
      <c r="E1393" s="16" t="str">
        <f aca="false">IF($C1393="","",IFERROR(INDEX(Mix_Desc,MATCH($C1393,Mix_Code,0)),"⚠ Unknown mix code"))</f>
        <v/>
      </c>
      <c r="F1393" s="67" t="str">
        <f aca="false">IF(OR($C1393="",$D1393=""),"",IFERROR($D1393*INDEX(Mix_Eff,MATCH($C1393,Mix_Code,0),1),""))</f>
        <v/>
      </c>
      <c r="G1393" s="67" t="str">
        <f aca="false">IF(OR($C1393="",$D1393=""),"",IFERROR($D1393*INDEX(Mix_Eff,MATCH($C1393,Mix_Code,0),2),""))</f>
        <v/>
      </c>
      <c r="H1393" s="67" t="str">
        <f aca="false">IF(OR($C1393="",$D1393=""),"",IFERROR($D1393*INDEX(Mix_Eff,MATCH($C1393,Mix_Code,0),3),""))</f>
        <v/>
      </c>
      <c r="I1393" s="67" t="str">
        <f aca="false">IF(OR($C1393="",$D1393=""),"",IFERROR($D1393*INDEX(Mix_Eff,MATCH($C1393,Mix_Code,0),4),""))</f>
        <v/>
      </c>
      <c r="J1393" s="67" t="str">
        <f aca="false">IF(OR($C1393="",$D1393=""),"",IFERROR($D1393*INDEX(Mix_Eff,MATCH($C1393,Mix_Code,0),5),""))</f>
        <v/>
      </c>
      <c r="K1393" s="63"/>
      <c r="L1393" s="16" t="str">
        <f aca="false">IF(AND($A1393="",$B1393="",$C1393="",$D1393=""),"",IF($A1393="","⚠ Date missing",IF($B1393="","⚠ Site missing",IF(ISNA(MATCH($C1393,Mix_Code,0)),"⚠ Unknown mix code",IF($D1393="","⚠ Enter m3 produced",IF(COUNTIF(CI_Site,$B1393)=0,"⚠ Site not set up in Current Inventory",IF($A1393&gt;AsOfDate,"Future date – not yet deducted","OK")))))))</f>
        <v/>
      </c>
    </row>
    <row r="1394" customFormat="false" ht="15" hidden="false" customHeight="false" outlineLevel="0" collapsed="false">
      <c r="A1394" s="65"/>
      <c r="B1394" s="63"/>
      <c r="C1394" s="70"/>
      <c r="D1394" s="66"/>
      <c r="E1394" s="16" t="str">
        <f aca="false">IF($C1394="","",IFERROR(INDEX(Mix_Desc,MATCH($C1394,Mix_Code,0)),"⚠ Unknown mix code"))</f>
        <v/>
      </c>
      <c r="F1394" s="67" t="str">
        <f aca="false">IF(OR($C1394="",$D1394=""),"",IFERROR($D1394*INDEX(Mix_Eff,MATCH($C1394,Mix_Code,0),1),""))</f>
        <v/>
      </c>
      <c r="G1394" s="67" t="str">
        <f aca="false">IF(OR($C1394="",$D1394=""),"",IFERROR($D1394*INDEX(Mix_Eff,MATCH($C1394,Mix_Code,0),2),""))</f>
        <v/>
      </c>
      <c r="H1394" s="67" t="str">
        <f aca="false">IF(OR($C1394="",$D1394=""),"",IFERROR($D1394*INDEX(Mix_Eff,MATCH($C1394,Mix_Code,0),3),""))</f>
        <v/>
      </c>
      <c r="I1394" s="67" t="str">
        <f aca="false">IF(OR($C1394="",$D1394=""),"",IFERROR($D1394*INDEX(Mix_Eff,MATCH($C1394,Mix_Code,0),4),""))</f>
        <v/>
      </c>
      <c r="J1394" s="67" t="str">
        <f aca="false">IF(OR($C1394="",$D1394=""),"",IFERROR($D1394*INDEX(Mix_Eff,MATCH($C1394,Mix_Code,0),5),""))</f>
        <v/>
      </c>
      <c r="K1394" s="63"/>
      <c r="L1394" s="16" t="str">
        <f aca="false">IF(AND($A1394="",$B1394="",$C1394="",$D1394=""),"",IF($A1394="","⚠ Date missing",IF($B1394="","⚠ Site missing",IF(ISNA(MATCH($C1394,Mix_Code,0)),"⚠ Unknown mix code",IF($D1394="","⚠ Enter m3 produced",IF(COUNTIF(CI_Site,$B1394)=0,"⚠ Site not set up in Current Inventory",IF($A1394&gt;AsOfDate,"Future date – not yet deducted","OK")))))))</f>
        <v/>
      </c>
    </row>
    <row r="1395" customFormat="false" ht="15" hidden="false" customHeight="false" outlineLevel="0" collapsed="false">
      <c r="A1395" s="65"/>
      <c r="B1395" s="63"/>
      <c r="C1395" s="70"/>
      <c r="D1395" s="66"/>
      <c r="E1395" s="16" t="str">
        <f aca="false">IF($C1395="","",IFERROR(INDEX(Mix_Desc,MATCH($C1395,Mix_Code,0)),"⚠ Unknown mix code"))</f>
        <v/>
      </c>
      <c r="F1395" s="67" t="str">
        <f aca="false">IF(OR($C1395="",$D1395=""),"",IFERROR($D1395*INDEX(Mix_Eff,MATCH($C1395,Mix_Code,0),1),""))</f>
        <v/>
      </c>
      <c r="G1395" s="67" t="str">
        <f aca="false">IF(OR($C1395="",$D1395=""),"",IFERROR($D1395*INDEX(Mix_Eff,MATCH($C1395,Mix_Code,0),2),""))</f>
        <v/>
      </c>
      <c r="H1395" s="67" t="str">
        <f aca="false">IF(OR($C1395="",$D1395=""),"",IFERROR($D1395*INDEX(Mix_Eff,MATCH($C1395,Mix_Code,0),3),""))</f>
        <v/>
      </c>
      <c r="I1395" s="67" t="str">
        <f aca="false">IF(OR($C1395="",$D1395=""),"",IFERROR($D1395*INDEX(Mix_Eff,MATCH($C1395,Mix_Code,0),4),""))</f>
        <v/>
      </c>
      <c r="J1395" s="67" t="str">
        <f aca="false">IF(OR($C1395="",$D1395=""),"",IFERROR($D1395*INDEX(Mix_Eff,MATCH($C1395,Mix_Code,0),5),""))</f>
        <v/>
      </c>
      <c r="K1395" s="63"/>
      <c r="L1395" s="16" t="str">
        <f aca="false">IF(AND($A1395="",$B1395="",$C1395="",$D1395=""),"",IF($A1395="","⚠ Date missing",IF($B1395="","⚠ Site missing",IF(ISNA(MATCH($C1395,Mix_Code,0)),"⚠ Unknown mix code",IF($D1395="","⚠ Enter m3 produced",IF(COUNTIF(CI_Site,$B1395)=0,"⚠ Site not set up in Current Inventory",IF($A1395&gt;AsOfDate,"Future date – not yet deducted","OK")))))))</f>
        <v/>
      </c>
    </row>
    <row r="1396" customFormat="false" ht="15" hidden="false" customHeight="false" outlineLevel="0" collapsed="false">
      <c r="A1396" s="65"/>
      <c r="B1396" s="63"/>
      <c r="C1396" s="70"/>
      <c r="D1396" s="66"/>
      <c r="E1396" s="16" t="str">
        <f aca="false">IF($C1396="","",IFERROR(INDEX(Mix_Desc,MATCH($C1396,Mix_Code,0)),"⚠ Unknown mix code"))</f>
        <v/>
      </c>
      <c r="F1396" s="67" t="str">
        <f aca="false">IF(OR($C1396="",$D1396=""),"",IFERROR($D1396*INDEX(Mix_Eff,MATCH($C1396,Mix_Code,0),1),""))</f>
        <v/>
      </c>
      <c r="G1396" s="67" t="str">
        <f aca="false">IF(OR($C1396="",$D1396=""),"",IFERROR($D1396*INDEX(Mix_Eff,MATCH($C1396,Mix_Code,0),2),""))</f>
        <v/>
      </c>
      <c r="H1396" s="67" t="str">
        <f aca="false">IF(OR($C1396="",$D1396=""),"",IFERROR($D1396*INDEX(Mix_Eff,MATCH($C1396,Mix_Code,0),3),""))</f>
        <v/>
      </c>
      <c r="I1396" s="67" t="str">
        <f aca="false">IF(OR($C1396="",$D1396=""),"",IFERROR($D1396*INDEX(Mix_Eff,MATCH($C1396,Mix_Code,0),4),""))</f>
        <v/>
      </c>
      <c r="J1396" s="67" t="str">
        <f aca="false">IF(OR($C1396="",$D1396=""),"",IFERROR($D1396*INDEX(Mix_Eff,MATCH($C1396,Mix_Code,0),5),""))</f>
        <v/>
      </c>
      <c r="K1396" s="63"/>
      <c r="L1396" s="16" t="str">
        <f aca="false">IF(AND($A1396="",$B1396="",$C1396="",$D1396=""),"",IF($A1396="","⚠ Date missing",IF($B1396="","⚠ Site missing",IF(ISNA(MATCH($C1396,Mix_Code,0)),"⚠ Unknown mix code",IF($D1396="","⚠ Enter m3 produced",IF(COUNTIF(CI_Site,$B1396)=0,"⚠ Site not set up in Current Inventory",IF($A1396&gt;AsOfDate,"Future date – not yet deducted","OK")))))))</f>
        <v/>
      </c>
    </row>
    <row r="1397" customFormat="false" ht="15" hidden="false" customHeight="false" outlineLevel="0" collapsed="false">
      <c r="A1397" s="65"/>
      <c r="B1397" s="63"/>
      <c r="C1397" s="70"/>
      <c r="D1397" s="66"/>
      <c r="E1397" s="16" t="str">
        <f aca="false">IF($C1397="","",IFERROR(INDEX(Mix_Desc,MATCH($C1397,Mix_Code,0)),"⚠ Unknown mix code"))</f>
        <v/>
      </c>
      <c r="F1397" s="67" t="str">
        <f aca="false">IF(OR($C1397="",$D1397=""),"",IFERROR($D1397*INDEX(Mix_Eff,MATCH($C1397,Mix_Code,0),1),""))</f>
        <v/>
      </c>
      <c r="G1397" s="67" t="str">
        <f aca="false">IF(OR($C1397="",$D1397=""),"",IFERROR($D1397*INDEX(Mix_Eff,MATCH($C1397,Mix_Code,0),2),""))</f>
        <v/>
      </c>
      <c r="H1397" s="67" t="str">
        <f aca="false">IF(OR($C1397="",$D1397=""),"",IFERROR($D1397*INDEX(Mix_Eff,MATCH($C1397,Mix_Code,0),3),""))</f>
        <v/>
      </c>
      <c r="I1397" s="67" t="str">
        <f aca="false">IF(OR($C1397="",$D1397=""),"",IFERROR($D1397*INDEX(Mix_Eff,MATCH($C1397,Mix_Code,0),4),""))</f>
        <v/>
      </c>
      <c r="J1397" s="67" t="str">
        <f aca="false">IF(OR($C1397="",$D1397=""),"",IFERROR($D1397*INDEX(Mix_Eff,MATCH($C1397,Mix_Code,0),5),""))</f>
        <v/>
      </c>
      <c r="K1397" s="63"/>
      <c r="L1397" s="16" t="str">
        <f aca="false">IF(AND($A1397="",$B1397="",$C1397="",$D1397=""),"",IF($A1397="","⚠ Date missing",IF($B1397="","⚠ Site missing",IF(ISNA(MATCH($C1397,Mix_Code,0)),"⚠ Unknown mix code",IF($D1397="","⚠ Enter m3 produced",IF(COUNTIF(CI_Site,$B1397)=0,"⚠ Site not set up in Current Inventory",IF($A1397&gt;AsOfDate,"Future date – not yet deducted","OK")))))))</f>
        <v/>
      </c>
    </row>
    <row r="1398" customFormat="false" ht="15" hidden="false" customHeight="false" outlineLevel="0" collapsed="false">
      <c r="A1398" s="65"/>
      <c r="B1398" s="63"/>
      <c r="C1398" s="70"/>
      <c r="D1398" s="66"/>
      <c r="E1398" s="16" t="str">
        <f aca="false">IF($C1398="","",IFERROR(INDEX(Mix_Desc,MATCH($C1398,Mix_Code,0)),"⚠ Unknown mix code"))</f>
        <v/>
      </c>
      <c r="F1398" s="67" t="str">
        <f aca="false">IF(OR($C1398="",$D1398=""),"",IFERROR($D1398*INDEX(Mix_Eff,MATCH($C1398,Mix_Code,0),1),""))</f>
        <v/>
      </c>
      <c r="G1398" s="67" t="str">
        <f aca="false">IF(OR($C1398="",$D1398=""),"",IFERROR($D1398*INDEX(Mix_Eff,MATCH($C1398,Mix_Code,0),2),""))</f>
        <v/>
      </c>
      <c r="H1398" s="67" t="str">
        <f aca="false">IF(OR($C1398="",$D1398=""),"",IFERROR($D1398*INDEX(Mix_Eff,MATCH($C1398,Mix_Code,0),3),""))</f>
        <v/>
      </c>
      <c r="I1398" s="67" t="str">
        <f aca="false">IF(OR($C1398="",$D1398=""),"",IFERROR($D1398*INDEX(Mix_Eff,MATCH($C1398,Mix_Code,0),4),""))</f>
        <v/>
      </c>
      <c r="J1398" s="67" t="str">
        <f aca="false">IF(OR($C1398="",$D1398=""),"",IFERROR($D1398*INDEX(Mix_Eff,MATCH($C1398,Mix_Code,0),5),""))</f>
        <v/>
      </c>
      <c r="K1398" s="63"/>
      <c r="L1398" s="16" t="str">
        <f aca="false">IF(AND($A1398="",$B1398="",$C1398="",$D1398=""),"",IF($A1398="","⚠ Date missing",IF($B1398="","⚠ Site missing",IF(ISNA(MATCH($C1398,Mix_Code,0)),"⚠ Unknown mix code",IF($D1398="","⚠ Enter m3 produced",IF(COUNTIF(CI_Site,$B1398)=0,"⚠ Site not set up in Current Inventory",IF($A1398&gt;AsOfDate,"Future date – not yet deducted","OK")))))))</f>
        <v/>
      </c>
    </row>
    <row r="1399" customFormat="false" ht="15" hidden="false" customHeight="false" outlineLevel="0" collapsed="false">
      <c r="A1399" s="65"/>
      <c r="B1399" s="63"/>
      <c r="C1399" s="70"/>
      <c r="D1399" s="66"/>
      <c r="E1399" s="16" t="str">
        <f aca="false">IF($C1399="","",IFERROR(INDEX(Mix_Desc,MATCH($C1399,Mix_Code,0)),"⚠ Unknown mix code"))</f>
        <v/>
      </c>
      <c r="F1399" s="67" t="str">
        <f aca="false">IF(OR($C1399="",$D1399=""),"",IFERROR($D1399*INDEX(Mix_Eff,MATCH($C1399,Mix_Code,0),1),""))</f>
        <v/>
      </c>
      <c r="G1399" s="67" t="str">
        <f aca="false">IF(OR($C1399="",$D1399=""),"",IFERROR($D1399*INDEX(Mix_Eff,MATCH($C1399,Mix_Code,0),2),""))</f>
        <v/>
      </c>
      <c r="H1399" s="67" t="str">
        <f aca="false">IF(OR($C1399="",$D1399=""),"",IFERROR($D1399*INDEX(Mix_Eff,MATCH($C1399,Mix_Code,0),3),""))</f>
        <v/>
      </c>
      <c r="I1399" s="67" t="str">
        <f aca="false">IF(OR($C1399="",$D1399=""),"",IFERROR($D1399*INDEX(Mix_Eff,MATCH($C1399,Mix_Code,0),4),""))</f>
        <v/>
      </c>
      <c r="J1399" s="67" t="str">
        <f aca="false">IF(OR($C1399="",$D1399=""),"",IFERROR($D1399*INDEX(Mix_Eff,MATCH($C1399,Mix_Code,0),5),""))</f>
        <v/>
      </c>
      <c r="K1399" s="63"/>
      <c r="L1399" s="16" t="str">
        <f aca="false">IF(AND($A1399="",$B1399="",$C1399="",$D1399=""),"",IF($A1399="","⚠ Date missing",IF($B1399="","⚠ Site missing",IF(ISNA(MATCH($C1399,Mix_Code,0)),"⚠ Unknown mix code",IF($D1399="","⚠ Enter m3 produced",IF(COUNTIF(CI_Site,$B1399)=0,"⚠ Site not set up in Current Inventory",IF($A1399&gt;AsOfDate,"Future date – not yet deducted","OK")))))))</f>
        <v/>
      </c>
    </row>
    <row r="1400" customFormat="false" ht="15" hidden="false" customHeight="false" outlineLevel="0" collapsed="false">
      <c r="A1400" s="65"/>
      <c r="B1400" s="63"/>
      <c r="C1400" s="70"/>
      <c r="D1400" s="66"/>
      <c r="E1400" s="16" t="str">
        <f aca="false">IF($C1400="","",IFERROR(INDEX(Mix_Desc,MATCH($C1400,Mix_Code,0)),"⚠ Unknown mix code"))</f>
        <v/>
      </c>
      <c r="F1400" s="67" t="str">
        <f aca="false">IF(OR($C1400="",$D1400=""),"",IFERROR($D1400*INDEX(Mix_Eff,MATCH($C1400,Mix_Code,0),1),""))</f>
        <v/>
      </c>
      <c r="G1400" s="67" t="str">
        <f aca="false">IF(OR($C1400="",$D1400=""),"",IFERROR($D1400*INDEX(Mix_Eff,MATCH($C1400,Mix_Code,0),2),""))</f>
        <v/>
      </c>
      <c r="H1400" s="67" t="str">
        <f aca="false">IF(OR($C1400="",$D1400=""),"",IFERROR($D1400*INDEX(Mix_Eff,MATCH($C1400,Mix_Code,0),3),""))</f>
        <v/>
      </c>
      <c r="I1400" s="67" t="str">
        <f aca="false">IF(OR($C1400="",$D1400=""),"",IFERROR($D1400*INDEX(Mix_Eff,MATCH($C1400,Mix_Code,0),4),""))</f>
        <v/>
      </c>
      <c r="J1400" s="67" t="str">
        <f aca="false">IF(OR($C1400="",$D1400=""),"",IFERROR($D1400*INDEX(Mix_Eff,MATCH($C1400,Mix_Code,0),5),""))</f>
        <v/>
      </c>
      <c r="K1400" s="63"/>
      <c r="L1400" s="16" t="str">
        <f aca="false">IF(AND($A1400="",$B1400="",$C1400="",$D1400=""),"",IF($A1400="","⚠ Date missing",IF($B1400="","⚠ Site missing",IF(ISNA(MATCH($C1400,Mix_Code,0)),"⚠ Unknown mix code",IF($D1400="","⚠ Enter m3 produced",IF(COUNTIF(CI_Site,$B1400)=0,"⚠ Site not set up in Current Inventory",IF($A1400&gt;AsOfDate,"Future date – not yet deducted","OK")))))))</f>
        <v/>
      </c>
    </row>
    <row r="1401" customFormat="false" ht="15" hidden="false" customHeight="false" outlineLevel="0" collapsed="false">
      <c r="A1401" s="65"/>
      <c r="B1401" s="63"/>
      <c r="C1401" s="70"/>
      <c r="D1401" s="66"/>
      <c r="E1401" s="16" t="str">
        <f aca="false">IF($C1401="","",IFERROR(INDEX(Mix_Desc,MATCH($C1401,Mix_Code,0)),"⚠ Unknown mix code"))</f>
        <v/>
      </c>
      <c r="F1401" s="67" t="str">
        <f aca="false">IF(OR($C1401="",$D1401=""),"",IFERROR($D1401*INDEX(Mix_Eff,MATCH($C1401,Mix_Code,0),1),""))</f>
        <v/>
      </c>
      <c r="G1401" s="67" t="str">
        <f aca="false">IF(OR($C1401="",$D1401=""),"",IFERROR($D1401*INDEX(Mix_Eff,MATCH($C1401,Mix_Code,0),2),""))</f>
        <v/>
      </c>
      <c r="H1401" s="67" t="str">
        <f aca="false">IF(OR($C1401="",$D1401=""),"",IFERROR($D1401*INDEX(Mix_Eff,MATCH($C1401,Mix_Code,0),3),""))</f>
        <v/>
      </c>
      <c r="I1401" s="67" t="str">
        <f aca="false">IF(OR($C1401="",$D1401=""),"",IFERROR($D1401*INDEX(Mix_Eff,MATCH($C1401,Mix_Code,0),4),""))</f>
        <v/>
      </c>
      <c r="J1401" s="67" t="str">
        <f aca="false">IF(OR($C1401="",$D1401=""),"",IFERROR($D1401*INDEX(Mix_Eff,MATCH($C1401,Mix_Code,0),5),""))</f>
        <v/>
      </c>
      <c r="K1401" s="63"/>
      <c r="L1401" s="16" t="str">
        <f aca="false">IF(AND($A1401="",$B1401="",$C1401="",$D1401=""),"",IF($A1401="","⚠ Date missing",IF($B1401="","⚠ Site missing",IF(ISNA(MATCH($C1401,Mix_Code,0)),"⚠ Unknown mix code",IF($D1401="","⚠ Enter m3 produced",IF(COUNTIF(CI_Site,$B1401)=0,"⚠ Site not set up in Current Inventory",IF($A1401&gt;AsOfDate,"Future date – not yet deducted","OK")))))))</f>
        <v/>
      </c>
    </row>
    <row r="1402" customFormat="false" ht="15" hidden="false" customHeight="false" outlineLevel="0" collapsed="false">
      <c r="A1402" s="65"/>
      <c r="B1402" s="63"/>
      <c r="C1402" s="70"/>
      <c r="D1402" s="66"/>
      <c r="E1402" s="16" t="str">
        <f aca="false">IF($C1402="","",IFERROR(INDEX(Mix_Desc,MATCH($C1402,Mix_Code,0)),"⚠ Unknown mix code"))</f>
        <v/>
      </c>
      <c r="F1402" s="67" t="str">
        <f aca="false">IF(OR($C1402="",$D1402=""),"",IFERROR($D1402*INDEX(Mix_Eff,MATCH($C1402,Mix_Code,0),1),""))</f>
        <v/>
      </c>
      <c r="G1402" s="67" t="str">
        <f aca="false">IF(OR($C1402="",$D1402=""),"",IFERROR($D1402*INDEX(Mix_Eff,MATCH($C1402,Mix_Code,0),2),""))</f>
        <v/>
      </c>
      <c r="H1402" s="67" t="str">
        <f aca="false">IF(OR($C1402="",$D1402=""),"",IFERROR($D1402*INDEX(Mix_Eff,MATCH($C1402,Mix_Code,0),3),""))</f>
        <v/>
      </c>
      <c r="I1402" s="67" t="str">
        <f aca="false">IF(OR($C1402="",$D1402=""),"",IFERROR($D1402*INDEX(Mix_Eff,MATCH($C1402,Mix_Code,0),4),""))</f>
        <v/>
      </c>
      <c r="J1402" s="67" t="str">
        <f aca="false">IF(OR($C1402="",$D1402=""),"",IFERROR($D1402*INDEX(Mix_Eff,MATCH($C1402,Mix_Code,0),5),""))</f>
        <v/>
      </c>
      <c r="K1402" s="63"/>
      <c r="L1402" s="16" t="str">
        <f aca="false">IF(AND($A1402="",$B1402="",$C1402="",$D1402=""),"",IF($A1402="","⚠ Date missing",IF($B1402="","⚠ Site missing",IF(ISNA(MATCH($C1402,Mix_Code,0)),"⚠ Unknown mix code",IF($D1402="","⚠ Enter m3 produced",IF(COUNTIF(CI_Site,$B1402)=0,"⚠ Site not set up in Current Inventory",IF($A1402&gt;AsOfDate,"Future date – not yet deducted","OK")))))))</f>
        <v/>
      </c>
    </row>
    <row r="1403" customFormat="false" ht="15" hidden="false" customHeight="false" outlineLevel="0" collapsed="false">
      <c r="A1403" s="65"/>
      <c r="B1403" s="63"/>
      <c r="C1403" s="70"/>
      <c r="D1403" s="66"/>
      <c r="E1403" s="16" t="str">
        <f aca="false">IF($C1403="","",IFERROR(INDEX(Mix_Desc,MATCH($C1403,Mix_Code,0)),"⚠ Unknown mix code"))</f>
        <v/>
      </c>
      <c r="F1403" s="67" t="str">
        <f aca="false">IF(OR($C1403="",$D1403=""),"",IFERROR($D1403*INDEX(Mix_Eff,MATCH($C1403,Mix_Code,0),1),""))</f>
        <v/>
      </c>
      <c r="G1403" s="67" t="str">
        <f aca="false">IF(OR($C1403="",$D1403=""),"",IFERROR($D1403*INDEX(Mix_Eff,MATCH($C1403,Mix_Code,0),2),""))</f>
        <v/>
      </c>
      <c r="H1403" s="67" t="str">
        <f aca="false">IF(OR($C1403="",$D1403=""),"",IFERROR($D1403*INDEX(Mix_Eff,MATCH($C1403,Mix_Code,0),3),""))</f>
        <v/>
      </c>
      <c r="I1403" s="67" t="str">
        <f aca="false">IF(OR($C1403="",$D1403=""),"",IFERROR($D1403*INDEX(Mix_Eff,MATCH($C1403,Mix_Code,0),4),""))</f>
        <v/>
      </c>
      <c r="J1403" s="67" t="str">
        <f aca="false">IF(OR($C1403="",$D1403=""),"",IFERROR($D1403*INDEX(Mix_Eff,MATCH($C1403,Mix_Code,0),5),""))</f>
        <v/>
      </c>
      <c r="K1403" s="63"/>
      <c r="L1403" s="16" t="str">
        <f aca="false">IF(AND($A1403="",$B1403="",$C1403="",$D1403=""),"",IF($A1403="","⚠ Date missing",IF($B1403="","⚠ Site missing",IF(ISNA(MATCH($C1403,Mix_Code,0)),"⚠ Unknown mix code",IF($D1403="","⚠ Enter m3 produced",IF(COUNTIF(CI_Site,$B1403)=0,"⚠ Site not set up in Current Inventory",IF($A1403&gt;AsOfDate,"Future date – not yet deducted","OK")))))))</f>
        <v/>
      </c>
    </row>
    <row r="1404" customFormat="false" ht="15" hidden="false" customHeight="false" outlineLevel="0" collapsed="false">
      <c r="A1404" s="65"/>
      <c r="B1404" s="63"/>
      <c r="C1404" s="70"/>
      <c r="D1404" s="66"/>
      <c r="E1404" s="16" t="str">
        <f aca="false">IF($C1404="","",IFERROR(INDEX(Mix_Desc,MATCH($C1404,Mix_Code,0)),"⚠ Unknown mix code"))</f>
        <v/>
      </c>
      <c r="F1404" s="67" t="str">
        <f aca="false">IF(OR($C1404="",$D1404=""),"",IFERROR($D1404*INDEX(Mix_Eff,MATCH($C1404,Mix_Code,0),1),""))</f>
        <v/>
      </c>
      <c r="G1404" s="67" t="str">
        <f aca="false">IF(OR($C1404="",$D1404=""),"",IFERROR($D1404*INDEX(Mix_Eff,MATCH($C1404,Mix_Code,0),2),""))</f>
        <v/>
      </c>
      <c r="H1404" s="67" t="str">
        <f aca="false">IF(OR($C1404="",$D1404=""),"",IFERROR($D1404*INDEX(Mix_Eff,MATCH($C1404,Mix_Code,0),3),""))</f>
        <v/>
      </c>
      <c r="I1404" s="67" t="str">
        <f aca="false">IF(OR($C1404="",$D1404=""),"",IFERROR($D1404*INDEX(Mix_Eff,MATCH($C1404,Mix_Code,0),4),""))</f>
        <v/>
      </c>
      <c r="J1404" s="67" t="str">
        <f aca="false">IF(OR($C1404="",$D1404=""),"",IFERROR($D1404*INDEX(Mix_Eff,MATCH($C1404,Mix_Code,0),5),""))</f>
        <v/>
      </c>
      <c r="K1404" s="63"/>
      <c r="L1404" s="16" t="str">
        <f aca="false">IF(AND($A1404="",$B1404="",$C1404="",$D1404=""),"",IF($A1404="","⚠ Date missing",IF($B1404="","⚠ Site missing",IF(ISNA(MATCH($C1404,Mix_Code,0)),"⚠ Unknown mix code",IF($D1404="","⚠ Enter m3 produced",IF(COUNTIF(CI_Site,$B1404)=0,"⚠ Site not set up in Current Inventory",IF($A1404&gt;AsOfDate,"Future date – not yet deducted","OK")))))))</f>
        <v/>
      </c>
    </row>
    <row r="1405" customFormat="false" ht="15" hidden="false" customHeight="false" outlineLevel="0" collapsed="false">
      <c r="A1405" s="65"/>
      <c r="B1405" s="63"/>
      <c r="C1405" s="70"/>
      <c r="D1405" s="66"/>
      <c r="E1405" s="16" t="str">
        <f aca="false">IF($C1405="","",IFERROR(INDEX(Mix_Desc,MATCH($C1405,Mix_Code,0)),"⚠ Unknown mix code"))</f>
        <v/>
      </c>
      <c r="F1405" s="67" t="str">
        <f aca="false">IF(OR($C1405="",$D1405=""),"",IFERROR($D1405*INDEX(Mix_Eff,MATCH($C1405,Mix_Code,0),1),""))</f>
        <v/>
      </c>
      <c r="G1405" s="67" t="str">
        <f aca="false">IF(OR($C1405="",$D1405=""),"",IFERROR($D1405*INDEX(Mix_Eff,MATCH($C1405,Mix_Code,0),2),""))</f>
        <v/>
      </c>
      <c r="H1405" s="67" t="str">
        <f aca="false">IF(OR($C1405="",$D1405=""),"",IFERROR($D1405*INDEX(Mix_Eff,MATCH($C1405,Mix_Code,0),3),""))</f>
        <v/>
      </c>
      <c r="I1405" s="67" t="str">
        <f aca="false">IF(OR($C1405="",$D1405=""),"",IFERROR($D1405*INDEX(Mix_Eff,MATCH($C1405,Mix_Code,0),4),""))</f>
        <v/>
      </c>
      <c r="J1405" s="67" t="str">
        <f aca="false">IF(OR($C1405="",$D1405=""),"",IFERROR($D1405*INDEX(Mix_Eff,MATCH($C1405,Mix_Code,0),5),""))</f>
        <v/>
      </c>
      <c r="K1405" s="63"/>
      <c r="L1405" s="16" t="str">
        <f aca="false">IF(AND($A1405="",$B1405="",$C1405="",$D1405=""),"",IF($A1405="","⚠ Date missing",IF($B1405="","⚠ Site missing",IF(ISNA(MATCH($C1405,Mix_Code,0)),"⚠ Unknown mix code",IF($D1405="","⚠ Enter m3 produced",IF(COUNTIF(CI_Site,$B1405)=0,"⚠ Site not set up in Current Inventory",IF($A1405&gt;AsOfDate,"Future date – not yet deducted","OK")))))))</f>
        <v/>
      </c>
    </row>
    <row r="1406" customFormat="false" ht="15" hidden="false" customHeight="false" outlineLevel="0" collapsed="false">
      <c r="A1406" s="65"/>
      <c r="B1406" s="63"/>
      <c r="C1406" s="70"/>
      <c r="D1406" s="66"/>
      <c r="E1406" s="16" t="str">
        <f aca="false">IF($C1406="","",IFERROR(INDEX(Mix_Desc,MATCH($C1406,Mix_Code,0)),"⚠ Unknown mix code"))</f>
        <v/>
      </c>
      <c r="F1406" s="67" t="str">
        <f aca="false">IF(OR($C1406="",$D1406=""),"",IFERROR($D1406*INDEX(Mix_Eff,MATCH($C1406,Mix_Code,0),1),""))</f>
        <v/>
      </c>
      <c r="G1406" s="67" t="str">
        <f aca="false">IF(OR($C1406="",$D1406=""),"",IFERROR($D1406*INDEX(Mix_Eff,MATCH($C1406,Mix_Code,0),2),""))</f>
        <v/>
      </c>
      <c r="H1406" s="67" t="str">
        <f aca="false">IF(OR($C1406="",$D1406=""),"",IFERROR($D1406*INDEX(Mix_Eff,MATCH($C1406,Mix_Code,0),3),""))</f>
        <v/>
      </c>
      <c r="I1406" s="67" t="str">
        <f aca="false">IF(OR($C1406="",$D1406=""),"",IFERROR($D1406*INDEX(Mix_Eff,MATCH($C1406,Mix_Code,0),4),""))</f>
        <v/>
      </c>
      <c r="J1406" s="67" t="str">
        <f aca="false">IF(OR($C1406="",$D1406=""),"",IFERROR($D1406*INDEX(Mix_Eff,MATCH($C1406,Mix_Code,0),5),""))</f>
        <v/>
      </c>
      <c r="K1406" s="63"/>
      <c r="L1406" s="16" t="str">
        <f aca="false">IF(AND($A1406="",$B1406="",$C1406="",$D1406=""),"",IF($A1406="","⚠ Date missing",IF($B1406="","⚠ Site missing",IF(ISNA(MATCH($C1406,Mix_Code,0)),"⚠ Unknown mix code",IF($D1406="","⚠ Enter m3 produced",IF(COUNTIF(CI_Site,$B1406)=0,"⚠ Site not set up in Current Inventory",IF($A1406&gt;AsOfDate,"Future date – not yet deducted","OK")))))))</f>
        <v/>
      </c>
    </row>
    <row r="1407" customFormat="false" ht="15" hidden="false" customHeight="false" outlineLevel="0" collapsed="false">
      <c r="A1407" s="65"/>
      <c r="B1407" s="63"/>
      <c r="C1407" s="70"/>
      <c r="D1407" s="66"/>
      <c r="E1407" s="16" t="str">
        <f aca="false">IF($C1407="","",IFERROR(INDEX(Mix_Desc,MATCH($C1407,Mix_Code,0)),"⚠ Unknown mix code"))</f>
        <v/>
      </c>
      <c r="F1407" s="67" t="str">
        <f aca="false">IF(OR($C1407="",$D1407=""),"",IFERROR($D1407*INDEX(Mix_Eff,MATCH($C1407,Mix_Code,0),1),""))</f>
        <v/>
      </c>
      <c r="G1407" s="67" t="str">
        <f aca="false">IF(OR($C1407="",$D1407=""),"",IFERROR($D1407*INDEX(Mix_Eff,MATCH($C1407,Mix_Code,0),2),""))</f>
        <v/>
      </c>
      <c r="H1407" s="67" t="str">
        <f aca="false">IF(OR($C1407="",$D1407=""),"",IFERROR($D1407*INDEX(Mix_Eff,MATCH($C1407,Mix_Code,0),3),""))</f>
        <v/>
      </c>
      <c r="I1407" s="67" t="str">
        <f aca="false">IF(OR($C1407="",$D1407=""),"",IFERROR($D1407*INDEX(Mix_Eff,MATCH($C1407,Mix_Code,0),4),""))</f>
        <v/>
      </c>
      <c r="J1407" s="67" t="str">
        <f aca="false">IF(OR($C1407="",$D1407=""),"",IFERROR($D1407*INDEX(Mix_Eff,MATCH($C1407,Mix_Code,0),5),""))</f>
        <v/>
      </c>
      <c r="K1407" s="63"/>
      <c r="L1407" s="16" t="str">
        <f aca="false">IF(AND($A1407="",$B1407="",$C1407="",$D1407=""),"",IF($A1407="","⚠ Date missing",IF($B1407="","⚠ Site missing",IF(ISNA(MATCH($C1407,Mix_Code,0)),"⚠ Unknown mix code",IF($D1407="","⚠ Enter m3 produced",IF(COUNTIF(CI_Site,$B1407)=0,"⚠ Site not set up in Current Inventory",IF($A1407&gt;AsOfDate,"Future date – not yet deducted","OK")))))))</f>
        <v/>
      </c>
    </row>
    <row r="1408" customFormat="false" ht="15" hidden="false" customHeight="false" outlineLevel="0" collapsed="false">
      <c r="A1408" s="65"/>
      <c r="B1408" s="63"/>
      <c r="C1408" s="70"/>
      <c r="D1408" s="66"/>
      <c r="E1408" s="16" t="str">
        <f aca="false">IF($C1408="","",IFERROR(INDEX(Mix_Desc,MATCH($C1408,Mix_Code,0)),"⚠ Unknown mix code"))</f>
        <v/>
      </c>
      <c r="F1408" s="67" t="str">
        <f aca="false">IF(OR($C1408="",$D1408=""),"",IFERROR($D1408*INDEX(Mix_Eff,MATCH($C1408,Mix_Code,0),1),""))</f>
        <v/>
      </c>
      <c r="G1408" s="67" t="str">
        <f aca="false">IF(OR($C1408="",$D1408=""),"",IFERROR($D1408*INDEX(Mix_Eff,MATCH($C1408,Mix_Code,0),2),""))</f>
        <v/>
      </c>
      <c r="H1408" s="67" t="str">
        <f aca="false">IF(OR($C1408="",$D1408=""),"",IFERROR($D1408*INDEX(Mix_Eff,MATCH($C1408,Mix_Code,0),3),""))</f>
        <v/>
      </c>
      <c r="I1408" s="67" t="str">
        <f aca="false">IF(OR($C1408="",$D1408=""),"",IFERROR($D1408*INDEX(Mix_Eff,MATCH($C1408,Mix_Code,0),4),""))</f>
        <v/>
      </c>
      <c r="J1408" s="67" t="str">
        <f aca="false">IF(OR($C1408="",$D1408=""),"",IFERROR($D1408*INDEX(Mix_Eff,MATCH($C1408,Mix_Code,0),5),""))</f>
        <v/>
      </c>
      <c r="K1408" s="63"/>
      <c r="L1408" s="16" t="str">
        <f aca="false">IF(AND($A1408="",$B1408="",$C1408="",$D1408=""),"",IF($A1408="","⚠ Date missing",IF($B1408="","⚠ Site missing",IF(ISNA(MATCH($C1408,Mix_Code,0)),"⚠ Unknown mix code",IF($D1408="","⚠ Enter m3 produced",IF(COUNTIF(CI_Site,$B1408)=0,"⚠ Site not set up in Current Inventory",IF($A1408&gt;AsOfDate,"Future date – not yet deducted","OK")))))))</f>
        <v/>
      </c>
    </row>
    <row r="1409" customFormat="false" ht="15" hidden="false" customHeight="false" outlineLevel="0" collapsed="false">
      <c r="A1409" s="65"/>
      <c r="B1409" s="63"/>
      <c r="C1409" s="70"/>
      <c r="D1409" s="66"/>
      <c r="E1409" s="16" t="str">
        <f aca="false">IF($C1409="","",IFERROR(INDEX(Mix_Desc,MATCH($C1409,Mix_Code,0)),"⚠ Unknown mix code"))</f>
        <v/>
      </c>
      <c r="F1409" s="67" t="str">
        <f aca="false">IF(OR($C1409="",$D1409=""),"",IFERROR($D1409*INDEX(Mix_Eff,MATCH($C1409,Mix_Code,0),1),""))</f>
        <v/>
      </c>
      <c r="G1409" s="67" t="str">
        <f aca="false">IF(OR($C1409="",$D1409=""),"",IFERROR($D1409*INDEX(Mix_Eff,MATCH($C1409,Mix_Code,0),2),""))</f>
        <v/>
      </c>
      <c r="H1409" s="67" t="str">
        <f aca="false">IF(OR($C1409="",$D1409=""),"",IFERROR($D1409*INDEX(Mix_Eff,MATCH($C1409,Mix_Code,0),3),""))</f>
        <v/>
      </c>
      <c r="I1409" s="67" t="str">
        <f aca="false">IF(OR($C1409="",$D1409=""),"",IFERROR($D1409*INDEX(Mix_Eff,MATCH($C1409,Mix_Code,0),4),""))</f>
        <v/>
      </c>
      <c r="J1409" s="67" t="str">
        <f aca="false">IF(OR($C1409="",$D1409=""),"",IFERROR($D1409*INDEX(Mix_Eff,MATCH($C1409,Mix_Code,0),5),""))</f>
        <v/>
      </c>
      <c r="K1409" s="63"/>
      <c r="L1409" s="16" t="str">
        <f aca="false">IF(AND($A1409="",$B1409="",$C1409="",$D1409=""),"",IF($A1409="","⚠ Date missing",IF($B1409="","⚠ Site missing",IF(ISNA(MATCH($C1409,Mix_Code,0)),"⚠ Unknown mix code",IF($D1409="","⚠ Enter m3 produced",IF(COUNTIF(CI_Site,$B1409)=0,"⚠ Site not set up in Current Inventory",IF($A1409&gt;AsOfDate,"Future date – not yet deducted","OK")))))))</f>
        <v/>
      </c>
    </row>
    <row r="1410" customFormat="false" ht="15" hidden="false" customHeight="false" outlineLevel="0" collapsed="false">
      <c r="A1410" s="65"/>
      <c r="B1410" s="63"/>
      <c r="C1410" s="70"/>
      <c r="D1410" s="66"/>
      <c r="E1410" s="16" t="str">
        <f aca="false">IF($C1410="","",IFERROR(INDEX(Mix_Desc,MATCH($C1410,Mix_Code,0)),"⚠ Unknown mix code"))</f>
        <v/>
      </c>
      <c r="F1410" s="67" t="str">
        <f aca="false">IF(OR($C1410="",$D1410=""),"",IFERROR($D1410*INDEX(Mix_Eff,MATCH($C1410,Mix_Code,0),1),""))</f>
        <v/>
      </c>
      <c r="G1410" s="67" t="str">
        <f aca="false">IF(OR($C1410="",$D1410=""),"",IFERROR($D1410*INDEX(Mix_Eff,MATCH($C1410,Mix_Code,0),2),""))</f>
        <v/>
      </c>
      <c r="H1410" s="67" t="str">
        <f aca="false">IF(OR($C1410="",$D1410=""),"",IFERROR($D1410*INDEX(Mix_Eff,MATCH($C1410,Mix_Code,0),3),""))</f>
        <v/>
      </c>
      <c r="I1410" s="67" t="str">
        <f aca="false">IF(OR($C1410="",$D1410=""),"",IFERROR($D1410*INDEX(Mix_Eff,MATCH($C1410,Mix_Code,0),4),""))</f>
        <v/>
      </c>
      <c r="J1410" s="67" t="str">
        <f aca="false">IF(OR($C1410="",$D1410=""),"",IFERROR($D1410*INDEX(Mix_Eff,MATCH($C1410,Mix_Code,0),5),""))</f>
        <v/>
      </c>
      <c r="K1410" s="63"/>
      <c r="L1410" s="16" t="str">
        <f aca="false">IF(AND($A1410="",$B1410="",$C1410="",$D1410=""),"",IF($A1410="","⚠ Date missing",IF($B1410="","⚠ Site missing",IF(ISNA(MATCH($C1410,Mix_Code,0)),"⚠ Unknown mix code",IF($D1410="","⚠ Enter m3 produced",IF(COUNTIF(CI_Site,$B1410)=0,"⚠ Site not set up in Current Inventory",IF($A1410&gt;AsOfDate,"Future date – not yet deducted","OK")))))))</f>
        <v/>
      </c>
    </row>
    <row r="1411" customFormat="false" ht="15" hidden="false" customHeight="false" outlineLevel="0" collapsed="false">
      <c r="A1411" s="65"/>
      <c r="B1411" s="63"/>
      <c r="C1411" s="70"/>
      <c r="D1411" s="66"/>
      <c r="E1411" s="16" t="str">
        <f aca="false">IF($C1411="","",IFERROR(INDEX(Mix_Desc,MATCH($C1411,Mix_Code,0)),"⚠ Unknown mix code"))</f>
        <v/>
      </c>
      <c r="F1411" s="67" t="str">
        <f aca="false">IF(OR($C1411="",$D1411=""),"",IFERROR($D1411*INDEX(Mix_Eff,MATCH($C1411,Mix_Code,0),1),""))</f>
        <v/>
      </c>
      <c r="G1411" s="67" t="str">
        <f aca="false">IF(OR($C1411="",$D1411=""),"",IFERROR($D1411*INDEX(Mix_Eff,MATCH($C1411,Mix_Code,0),2),""))</f>
        <v/>
      </c>
      <c r="H1411" s="67" t="str">
        <f aca="false">IF(OR($C1411="",$D1411=""),"",IFERROR($D1411*INDEX(Mix_Eff,MATCH($C1411,Mix_Code,0),3),""))</f>
        <v/>
      </c>
      <c r="I1411" s="67" t="str">
        <f aca="false">IF(OR($C1411="",$D1411=""),"",IFERROR($D1411*INDEX(Mix_Eff,MATCH($C1411,Mix_Code,0),4),""))</f>
        <v/>
      </c>
      <c r="J1411" s="67" t="str">
        <f aca="false">IF(OR($C1411="",$D1411=""),"",IFERROR($D1411*INDEX(Mix_Eff,MATCH($C1411,Mix_Code,0),5),""))</f>
        <v/>
      </c>
      <c r="K1411" s="63"/>
      <c r="L1411" s="16" t="str">
        <f aca="false">IF(AND($A1411="",$B1411="",$C1411="",$D1411=""),"",IF($A1411="","⚠ Date missing",IF($B1411="","⚠ Site missing",IF(ISNA(MATCH($C1411,Mix_Code,0)),"⚠ Unknown mix code",IF($D1411="","⚠ Enter m3 produced",IF(COUNTIF(CI_Site,$B1411)=0,"⚠ Site not set up in Current Inventory",IF($A1411&gt;AsOfDate,"Future date – not yet deducted","OK")))))))</f>
        <v/>
      </c>
    </row>
    <row r="1412" customFormat="false" ht="15" hidden="false" customHeight="false" outlineLevel="0" collapsed="false">
      <c r="A1412" s="65"/>
      <c r="B1412" s="63"/>
      <c r="C1412" s="70"/>
      <c r="D1412" s="66"/>
      <c r="E1412" s="16" t="str">
        <f aca="false">IF($C1412="","",IFERROR(INDEX(Mix_Desc,MATCH($C1412,Mix_Code,0)),"⚠ Unknown mix code"))</f>
        <v/>
      </c>
      <c r="F1412" s="67" t="str">
        <f aca="false">IF(OR($C1412="",$D1412=""),"",IFERROR($D1412*INDEX(Mix_Eff,MATCH($C1412,Mix_Code,0),1),""))</f>
        <v/>
      </c>
      <c r="G1412" s="67" t="str">
        <f aca="false">IF(OR($C1412="",$D1412=""),"",IFERROR($D1412*INDEX(Mix_Eff,MATCH($C1412,Mix_Code,0),2),""))</f>
        <v/>
      </c>
      <c r="H1412" s="67" t="str">
        <f aca="false">IF(OR($C1412="",$D1412=""),"",IFERROR($D1412*INDEX(Mix_Eff,MATCH($C1412,Mix_Code,0),3),""))</f>
        <v/>
      </c>
      <c r="I1412" s="67" t="str">
        <f aca="false">IF(OR($C1412="",$D1412=""),"",IFERROR($D1412*INDEX(Mix_Eff,MATCH($C1412,Mix_Code,0),4),""))</f>
        <v/>
      </c>
      <c r="J1412" s="67" t="str">
        <f aca="false">IF(OR($C1412="",$D1412=""),"",IFERROR($D1412*INDEX(Mix_Eff,MATCH($C1412,Mix_Code,0),5),""))</f>
        <v/>
      </c>
      <c r="K1412" s="63"/>
      <c r="L1412" s="16" t="str">
        <f aca="false">IF(AND($A1412="",$B1412="",$C1412="",$D1412=""),"",IF($A1412="","⚠ Date missing",IF($B1412="","⚠ Site missing",IF(ISNA(MATCH($C1412,Mix_Code,0)),"⚠ Unknown mix code",IF($D1412="","⚠ Enter m3 produced",IF(COUNTIF(CI_Site,$B1412)=0,"⚠ Site not set up in Current Inventory",IF($A1412&gt;AsOfDate,"Future date – not yet deducted","OK")))))))</f>
        <v/>
      </c>
    </row>
    <row r="1413" customFormat="false" ht="15" hidden="false" customHeight="false" outlineLevel="0" collapsed="false">
      <c r="A1413" s="65"/>
      <c r="B1413" s="63"/>
      <c r="C1413" s="70"/>
      <c r="D1413" s="66"/>
      <c r="E1413" s="16" t="str">
        <f aca="false">IF($C1413="","",IFERROR(INDEX(Mix_Desc,MATCH($C1413,Mix_Code,0)),"⚠ Unknown mix code"))</f>
        <v/>
      </c>
      <c r="F1413" s="67" t="str">
        <f aca="false">IF(OR($C1413="",$D1413=""),"",IFERROR($D1413*INDEX(Mix_Eff,MATCH($C1413,Mix_Code,0),1),""))</f>
        <v/>
      </c>
      <c r="G1413" s="67" t="str">
        <f aca="false">IF(OR($C1413="",$D1413=""),"",IFERROR($D1413*INDEX(Mix_Eff,MATCH($C1413,Mix_Code,0),2),""))</f>
        <v/>
      </c>
      <c r="H1413" s="67" t="str">
        <f aca="false">IF(OR($C1413="",$D1413=""),"",IFERROR($D1413*INDEX(Mix_Eff,MATCH($C1413,Mix_Code,0),3),""))</f>
        <v/>
      </c>
      <c r="I1413" s="67" t="str">
        <f aca="false">IF(OR($C1413="",$D1413=""),"",IFERROR($D1413*INDEX(Mix_Eff,MATCH($C1413,Mix_Code,0),4),""))</f>
        <v/>
      </c>
      <c r="J1413" s="67" t="str">
        <f aca="false">IF(OR($C1413="",$D1413=""),"",IFERROR($D1413*INDEX(Mix_Eff,MATCH($C1413,Mix_Code,0),5),""))</f>
        <v/>
      </c>
      <c r="K1413" s="63"/>
      <c r="L1413" s="16" t="str">
        <f aca="false">IF(AND($A1413="",$B1413="",$C1413="",$D1413=""),"",IF($A1413="","⚠ Date missing",IF($B1413="","⚠ Site missing",IF(ISNA(MATCH($C1413,Mix_Code,0)),"⚠ Unknown mix code",IF($D1413="","⚠ Enter m3 produced",IF(COUNTIF(CI_Site,$B1413)=0,"⚠ Site not set up in Current Inventory",IF($A1413&gt;AsOfDate,"Future date – not yet deducted","OK")))))))</f>
        <v/>
      </c>
    </row>
    <row r="1414" customFormat="false" ht="15" hidden="false" customHeight="false" outlineLevel="0" collapsed="false">
      <c r="A1414" s="65"/>
      <c r="B1414" s="63"/>
      <c r="C1414" s="70"/>
      <c r="D1414" s="66"/>
      <c r="E1414" s="16" t="str">
        <f aca="false">IF($C1414="","",IFERROR(INDEX(Mix_Desc,MATCH($C1414,Mix_Code,0)),"⚠ Unknown mix code"))</f>
        <v/>
      </c>
      <c r="F1414" s="67" t="str">
        <f aca="false">IF(OR($C1414="",$D1414=""),"",IFERROR($D1414*INDEX(Mix_Eff,MATCH($C1414,Mix_Code,0),1),""))</f>
        <v/>
      </c>
      <c r="G1414" s="67" t="str">
        <f aca="false">IF(OR($C1414="",$D1414=""),"",IFERROR($D1414*INDEX(Mix_Eff,MATCH($C1414,Mix_Code,0),2),""))</f>
        <v/>
      </c>
      <c r="H1414" s="67" t="str">
        <f aca="false">IF(OR($C1414="",$D1414=""),"",IFERROR($D1414*INDEX(Mix_Eff,MATCH($C1414,Mix_Code,0),3),""))</f>
        <v/>
      </c>
      <c r="I1414" s="67" t="str">
        <f aca="false">IF(OR($C1414="",$D1414=""),"",IFERROR($D1414*INDEX(Mix_Eff,MATCH($C1414,Mix_Code,0),4),""))</f>
        <v/>
      </c>
      <c r="J1414" s="67" t="str">
        <f aca="false">IF(OR($C1414="",$D1414=""),"",IFERROR($D1414*INDEX(Mix_Eff,MATCH($C1414,Mix_Code,0),5),""))</f>
        <v/>
      </c>
      <c r="K1414" s="63"/>
      <c r="L1414" s="16" t="str">
        <f aca="false">IF(AND($A1414="",$B1414="",$C1414="",$D1414=""),"",IF($A1414="","⚠ Date missing",IF($B1414="","⚠ Site missing",IF(ISNA(MATCH($C1414,Mix_Code,0)),"⚠ Unknown mix code",IF($D1414="","⚠ Enter m3 produced",IF(COUNTIF(CI_Site,$B1414)=0,"⚠ Site not set up in Current Inventory",IF($A1414&gt;AsOfDate,"Future date – not yet deducted","OK")))))))</f>
        <v/>
      </c>
    </row>
    <row r="1415" customFormat="false" ht="15" hidden="false" customHeight="false" outlineLevel="0" collapsed="false">
      <c r="A1415" s="65"/>
      <c r="B1415" s="63"/>
      <c r="C1415" s="70"/>
      <c r="D1415" s="66"/>
      <c r="E1415" s="16" t="str">
        <f aca="false">IF($C1415="","",IFERROR(INDEX(Mix_Desc,MATCH($C1415,Mix_Code,0)),"⚠ Unknown mix code"))</f>
        <v/>
      </c>
      <c r="F1415" s="67" t="str">
        <f aca="false">IF(OR($C1415="",$D1415=""),"",IFERROR($D1415*INDEX(Mix_Eff,MATCH($C1415,Mix_Code,0),1),""))</f>
        <v/>
      </c>
      <c r="G1415" s="67" t="str">
        <f aca="false">IF(OR($C1415="",$D1415=""),"",IFERROR($D1415*INDEX(Mix_Eff,MATCH($C1415,Mix_Code,0),2),""))</f>
        <v/>
      </c>
      <c r="H1415" s="67" t="str">
        <f aca="false">IF(OR($C1415="",$D1415=""),"",IFERROR($D1415*INDEX(Mix_Eff,MATCH($C1415,Mix_Code,0),3),""))</f>
        <v/>
      </c>
      <c r="I1415" s="67" t="str">
        <f aca="false">IF(OR($C1415="",$D1415=""),"",IFERROR($D1415*INDEX(Mix_Eff,MATCH($C1415,Mix_Code,0),4),""))</f>
        <v/>
      </c>
      <c r="J1415" s="67" t="str">
        <f aca="false">IF(OR($C1415="",$D1415=""),"",IFERROR($D1415*INDEX(Mix_Eff,MATCH($C1415,Mix_Code,0),5),""))</f>
        <v/>
      </c>
      <c r="K1415" s="63"/>
      <c r="L1415" s="16" t="str">
        <f aca="false">IF(AND($A1415="",$B1415="",$C1415="",$D1415=""),"",IF($A1415="","⚠ Date missing",IF($B1415="","⚠ Site missing",IF(ISNA(MATCH($C1415,Mix_Code,0)),"⚠ Unknown mix code",IF($D1415="","⚠ Enter m3 produced",IF(COUNTIF(CI_Site,$B1415)=0,"⚠ Site not set up in Current Inventory",IF($A1415&gt;AsOfDate,"Future date – not yet deducted","OK")))))))</f>
        <v/>
      </c>
    </row>
    <row r="1416" customFormat="false" ht="15" hidden="false" customHeight="false" outlineLevel="0" collapsed="false">
      <c r="A1416" s="65"/>
      <c r="B1416" s="63"/>
      <c r="C1416" s="70"/>
      <c r="D1416" s="66"/>
      <c r="E1416" s="16" t="str">
        <f aca="false">IF($C1416="","",IFERROR(INDEX(Mix_Desc,MATCH($C1416,Mix_Code,0)),"⚠ Unknown mix code"))</f>
        <v/>
      </c>
      <c r="F1416" s="67" t="str">
        <f aca="false">IF(OR($C1416="",$D1416=""),"",IFERROR($D1416*INDEX(Mix_Eff,MATCH($C1416,Mix_Code,0),1),""))</f>
        <v/>
      </c>
      <c r="G1416" s="67" t="str">
        <f aca="false">IF(OR($C1416="",$D1416=""),"",IFERROR($D1416*INDEX(Mix_Eff,MATCH($C1416,Mix_Code,0),2),""))</f>
        <v/>
      </c>
      <c r="H1416" s="67" t="str">
        <f aca="false">IF(OR($C1416="",$D1416=""),"",IFERROR($D1416*INDEX(Mix_Eff,MATCH($C1416,Mix_Code,0),3),""))</f>
        <v/>
      </c>
      <c r="I1416" s="67" t="str">
        <f aca="false">IF(OR($C1416="",$D1416=""),"",IFERROR($D1416*INDEX(Mix_Eff,MATCH($C1416,Mix_Code,0),4),""))</f>
        <v/>
      </c>
      <c r="J1416" s="67" t="str">
        <f aca="false">IF(OR($C1416="",$D1416=""),"",IFERROR($D1416*INDEX(Mix_Eff,MATCH($C1416,Mix_Code,0),5),""))</f>
        <v/>
      </c>
      <c r="K1416" s="63"/>
      <c r="L1416" s="16" t="str">
        <f aca="false">IF(AND($A1416="",$B1416="",$C1416="",$D1416=""),"",IF($A1416="","⚠ Date missing",IF($B1416="","⚠ Site missing",IF(ISNA(MATCH($C1416,Mix_Code,0)),"⚠ Unknown mix code",IF($D1416="","⚠ Enter m3 produced",IF(COUNTIF(CI_Site,$B1416)=0,"⚠ Site not set up in Current Inventory",IF($A1416&gt;AsOfDate,"Future date – not yet deducted","OK")))))))</f>
        <v/>
      </c>
    </row>
    <row r="1417" customFormat="false" ht="15" hidden="false" customHeight="false" outlineLevel="0" collapsed="false">
      <c r="A1417" s="65"/>
      <c r="B1417" s="63"/>
      <c r="C1417" s="70"/>
      <c r="D1417" s="66"/>
      <c r="E1417" s="16" t="str">
        <f aca="false">IF($C1417="","",IFERROR(INDEX(Mix_Desc,MATCH($C1417,Mix_Code,0)),"⚠ Unknown mix code"))</f>
        <v/>
      </c>
      <c r="F1417" s="67" t="str">
        <f aca="false">IF(OR($C1417="",$D1417=""),"",IFERROR($D1417*INDEX(Mix_Eff,MATCH($C1417,Mix_Code,0),1),""))</f>
        <v/>
      </c>
      <c r="G1417" s="67" t="str">
        <f aca="false">IF(OR($C1417="",$D1417=""),"",IFERROR($D1417*INDEX(Mix_Eff,MATCH($C1417,Mix_Code,0),2),""))</f>
        <v/>
      </c>
      <c r="H1417" s="67" t="str">
        <f aca="false">IF(OR($C1417="",$D1417=""),"",IFERROR($D1417*INDEX(Mix_Eff,MATCH($C1417,Mix_Code,0),3),""))</f>
        <v/>
      </c>
      <c r="I1417" s="67" t="str">
        <f aca="false">IF(OR($C1417="",$D1417=""),"",IFERROR($D1417*INDEX(Mix_Eff,MATCH($C1417,Mix_Code,0),4),""))</f>
        <v/>
      </c>
      <c r="J1417" s="67" t="str">
        <f aca="false">IF(OR($C1417="",$D1417=""),"",IFERROR($D1417*INDEX(Mix_Eff,MATCH($C1417,Mix_Code,0),5),""))</f>
        <v/>
      </c>
      <c r="K1417" s="63"/>
      <c r="L1417" s="16" t="str">
        <f aca="false">IF(AND($A1417="",$B1417="",$C1417="",$D1417=""),"",IF($A1417="","⚠ Date missing",IF($B1417="","⚠ Site missing",IF(ISNA(MATCH($C1417,Mix_Code,0)),"⚠ Unknown mix code",IF($D1417="","⚠ Enter m3 produced",IF(COUNTIF(CI_Site,$B1417)=0,"⚠ Site not set up in Current Inventory",IF($A1417&gt;AsOfDate,"Future date – not yet deducted","OK")))))))</f>
        <v/>
      </c>
    </row>
    <row r="1418" customFormat="false" ht="15" hidden="false" customHeight="false" outlineLevel="0" collapsed="false">
      <c r="A1418" s="65"/>
      <c r="B1418" s="63"/>
      <c r="C1418" s="70"/>
      <c r="D1418" s="66"/>
      <c r="E1418" s="16" t="str">
        <f aca="false">IF($C1418="","",IFERROR(INDEX(Mix_Desc,MATCH($C1418,Mix_Code,0)),"⚠ Unknown mix code"))</f>
        <v/>
      </c>
      <c r="F1418" s="67" t="str">
        <f aca="false">IF(OR($C1418="",$D1418=""),"",IFERROR($D1418*INDEX(Mix_Eff,MATCH($C1418,Mix_Code,0),1),""))</f>
        <v/>
      </c>
      <c r="G1418" s="67" t="str">
        <f aca="false">IF(OR($C1418="",$D1418=""),"",IFERROR($D1418*INDEX(Mix_Eff,MATCH($C1418,Mix_Code,0),2),""))</f>
        <v/>
      </c>
      <c r="H1418" s="67" t="str">
        <f aca="false">IF(OR($C1418="",$D1418=""),"",IFERROR($D1418*INDEX(Mix_Eff,MATCH($C1418,Mix_Code,0),3),""))</f>
        <v/>
      </c>
      <c r="I1418" s="67" t="str">
        <f aca="false">IF(OR($C1418="",$D1418=""),"",IFERROR($D1418*INDEX(Mix_Eff,MATCH($C1418,Mix_Code,0),4),""))</f>
        <v/>
      </c>
      <c r="J1418" s="67" t="str">
        <f aca="false">IF(OR($C1418="",$D1418=""),"",IFERROR($D1418*INDEX(Mix_Eff,MATCH($C1418,Mix_Code,0),5),""))</f>
        <v/>
      </c>
      <c r="K1418" s="63"/>
      <c r="L1418" s="16" t="str">
        <f aca="false">IF(AND($A1418="",$B1418="",$C1418="",$D1418=""),"",IF($A1418="","⚠ Date missing",IF($B1418="","⚠ Site missing",IF(ISNA(MATCH($C1418,Mix_Code,0)),"⚠ Unknown mix code",IF($D1418="","⚠ Enter m3 produced",IF(COUNTIF(CI_Site,$B1418)=0,"⚠ Site not set up in Current Inventory",IF($A1418&gt;AsOfDate,"Future date – not yet deducted","OK")))))))</f>
        <v/>
      </c>
    </row>
    <row r="1419" customFormat="false" ht="15" hidden="false" customHeight="false" outlineLevel="0" collapsed="false">
      <c r="A1419" s="65"/>
      <c r="B1419" s="63"/>
      <c r="C1419" s="70"/>
      <c r="D1419" s="66"/>
      <c r="E1419" s="16" t="str">
        <f aca="false">IF($C1419="","",IFERROR(INDEX(Mix_Desc,MATCH($C1419,Mix_Code,0)),"⚠ Unknown mix code"))</f>
        <v/>
      </c>
      <c r="F1419" s="67" t="str">
        <f aca="false">IF(OR($C1419="",$D1419=""),"",IFERROR($D1419*INDEX(Mix_Eff,MATCH($C1419,Mix_Code,0),1),""))</f>
        <v/>
      </c>
      <c r="G1419" s="67" t="str">
        <f aca="false">IF(OR($C1419="",$D1419=""),"",IFERROR($D1419*INDEX(Mix_Eff,MATCH($C1419,Mix_Code,0),2),""))</f>
        <v/>
      </c>
      <c r="H1419" s="67" t="str">
        <f aca="false">IF(OR($C1419="",$D1419=""),"",IFERROR($D1419*INDEX(Mix_Eff,MATCH($C1419,Mix_Code,0),3),""))</f>
        <v/>
      </c>
      <c r="I1419" s="67" t="str">
        <f aca="false">IF(OR($C1419="",$D1419=""),"",IFERROR($D1419*INDEX(Mix_Eff,MATCH($C1419,Mix_Code,0),4),""))</f>
        <v/>
      </c>
      <c r="J1419" s="67" t="str">
        <f aca="false">IF(OR($C1419="",$D1419=""),"",IFERROR($D1419*INDEX(Mix_Eff,MATCH($C1419,Mix_Code,0),5),""))</f>
        <v/>
      </c>
      <c r="K1419" s="63"/>
      <c r="L1419" s="16" t="str">
        <f aca="false">IF(AND($A1419="",$B1419="",$C1419="",$D1419=""),"",IF($A1419="","⚠ Date missing",IF($B1419="","⚠ Site missing",IF(ISNA(MATCH($C1419,Mix_Code,0)),"⚠ Unknown mix code",IF($D1419="","⚠ Enter m3 produced",IF(COUNTIF(CI_Site,$B1419)=0,"⚠ Site not set up in Current Inventory",IF($A1419&gt;AsOfDate,"Future date – not yet deducted","OK")))))))</f>
        <v/>
      </c>
    </row>
    <row r="1420" customFormat="false" ht="15" hidden="false" customHeight="false" outlineLevel="0" collapsed="false">
      <c r="A1420" s="65"/>
      <c r="B1420" s="63"/>
      <c r="C1420" s="70"/>
      <c r="D1420" s="66"/>
      <c r="E1420" s="16" t="str">
        <f aca="false">IF($C1420="","",IFERROR(INDEX(Mix_Desc,MATCH($C1420,Mix_Code,0)),"⚠ Unknown mix code"))</f>
        <v/>
      </c>
      <c r="F1420" s="67" t="str">
        <f aca="false">IF(OR($C1420="",$D1420=""),"",IFERROR($D1420*INDEX(Mix_Eff,MATCH($C1420,Mix_Code,0),1),""))</f>
        <v/>
      </c>
      <c r="G1420" s="67" t="str">
        <f aca="false">IF(OR($C1420="",$D1420=""),"",IFERROR($D1420*INDEX(Mix_Eff,MATCH($C1420,Mix_Code,0),2),""))</f>
        <v/>
      </c>
      <c r="H1420" s="67" t="str">
        <f aca="false">IF(OR($C1420="",$D1420=""),"",IFERROR($D1420*INDEX(Mix_Eff,MATCH($C1420,Mix_Code,0),3),""))</f>
        <v/>
      </c>
      <c r="I1420" s="67" t="str">
        <f aca="false">IF(OR($C1420="",$D1420=""),"",IFERROR($D1420*INDEX(Mix_Eff,MATCH($C1420,Mix_Code,0),4),""))</f>
        <v/>
      </c>
      <c r="J1420" s="67" t="str">
        <f aca="false">IF(OR($C1420="",$D1420=""),"",IFERROR($D1420*INDEX(Mix_Eff,MATCH($C1420,Mix_Code,0),5),""))</f>
        <v/>
      </c>
      <c r="K1420" s="63"/>
      <c r="L1420" s="16" t="str">
        <f aca="false">IF(AND($A1420="",$B1420="",$C1420="",$D1420=""),"",IF($A1420="","⚠ Date missing",IF($B1420="","⚠ Site missing",IF(ISNA(MATCH($C1420,Mix_Code,0)),"⚠ Unknown mix code",IF($D1420="","⚠ Enter m3 produced",IF(COUNTIF(CI_Site,$B1420)=0,"⚠ Site not set up in Current Inventory",IF($A1420&gt;AsOfDate,"Future date – not yet deducted","OK")))))))</f>
        <v/>
      </c>
    </row>
    <row r="1421" customFormat="false" ht="15" hidden="false" customHeight="false" outlineLevel="0" collapsed="false">
      <c r="A1421" s="65"/>
      <c r="B1421" s="63"/>
      <c r="C1421" s="70"/>
      <c r="D1421" s="66"/>
      <c r="E1421" s="16" t="str">
        <f aca="false">IF($C1421="","",IFERROR(INDEX(Mix_Desc,MATCH($C1421,Mix_Code,0)),"⚠ Unknown mix code"))</f>
        <v/>
      </c>
      <c r="F1421" s="67" t="str">
        <f aca="false">IF(OR($C1421="",$D1421=""),"",IFERROR($D1421*INDEX(Mix_Eff,MATCH($C1421,Mix_Code,0),1),""))</f>
        <v/>
      </c>
      <c r="G1421" s="67" t="str">
        <f aca="false">IF(OR($C1421="",$D1421=""),"",IFERROR($D1421*INDEX(Mix_Eff,MATCH($C1421,Mix_Code,0),2),""))</f>
        <v/>
      </c>
      <c r="H1421" s="67" t="str">
        <f aca="false">IF(OR($C1421="",$D1421=""),"",IFERROR($D1421*INDEX(Mix_Eff,MATCH($C1421,Mix_Code,0),3),""))</f>
        <v/>
      </c>
      <c r="I1421" s="67" t="str">
        <f aca="false">IF(OR($C1421="",$D1421=""),"",IFERROR($D1421*INDEX(Mix_Eff,MATCH($C1421,Mix_Code,0),4),""))</f>
        <v/>
      </c>
      <c r="J1421" s="67" t="str">
        <f aca="false">IF(OR($C1421="",$D1421=""),"",IFERROR($D1421*INDEX(Mix_Eff,MATCH($C1421,Mix_Code,0),5),""))</f>
        <v/>
      </c>
      <c r="K1421" s="63"/>
      <c r="L1421" s="16" t="str">
        <f aca="false">IF(AND($A1421="",$B1421="",$C1421="",$D1421=""),"",IF($A1421="","⚠ Date missing",IF($B1421="","⚠ Site missing",IF(ISNA(MATCH($C1421,Mix_Code,0)),"⚠ Unknown mix code",IF($D1421="","⚠ Enter m3 produced",IF(COUNTIF(CI_Site,$B1421)=0,"⚠ Site not set up in Current Inventory",IF($A1421&gt;AsOfDate,"Future date – not yet deducted","OK")))))))</f>
        <v/>
      </c>
    </row>
    <row r="1422" customFormat="false" ht="15" hidden="false" customHeight="false" outlineLevel="0" collapsed="false">
      <c r="A1422" s="65"/>
      <c r="B1422" s="63"/>
      <c r="C1422" s="70"/>
      <c r="D1422" s="66"/>
      <c r="E1422" s="16" t="str">
        <f aca="false">IF($C1422="","",IFERROR(INDEX(Mix_Desc,MATCH($C1422,Mix_Code,0)),"⚠ Unknown mix code"))</f>
        <v/>
      </c>
      <c r="F1422" s="67" t="str">
        <f aca="false">IF(OR($C1422="",$D1422=""),"",IFERROR($D1422*INDEX(Mix_Eff,MATCH($C1422,Mix_Code,0),1),""))</f>
        <v/>
      </c>
      <c r="G1422" s="67" t="str">
        <f aca="false">IF(OR($C1422="",$D1422=""),"",IFERROR($D1422*INDEX(Mix_Eff,MATCH($C1422,Mix_Code,0),2),""))</f>
        <v/>
      </c>
      <c r="H1422" s="67" t="str">
        <f aca="false">IF(OR($C1422="",$D1422=""),"",IFERROR($D1422*INDEX(Mix_Eff,MATCH($C1422,Mix_Code,0),3),""))</f>
        <v/>
      </c>
      <c r="I1422" s="67" t="str">
        <f aca="false">IF(OR($C1422="",$D1422=""),"",IFERROR($D1422*INDEX(Mix_Eff,MATCH($C1422,Mix_Code,0),4),""))</f>
        <v/>
      </c>
      <c r="J1422" s="67" t="str">
        <f aca="false">IF(OR($C1422="",$D1422=""),"",IFERROR($D1422*INDEX(Mix_Eff,MATCH($C1422,Mix_Code,0),5),""))</f>
        <v/>
      </c>
      <c r="K1422" s="63"/>
      <c r="L1422" s="16" t="str">
        <f aca="false">IF(AND($A1422="",$B1422="",$C1422="",$D1422=""),"",IF($A1422="","⚠ Date missing",IF($B1422="","⚠ Site missing",IF(ISNA(MATCH($C1422,Mix_Code,0)),"⚠ Unknown mix code",IF($D1422="","⚠ Enter m3 produced",IF(COUNTIF(CI_Site,$B1422)=0,"⚠ Site not set up in Current Inventory",IF($A1422&gt;AsOfDate,"Future date – not yet deducted","OK")))))))</f>
        <v/>
      </c>
    </row>
    <row r="1423" customFormat="false" ht="15" hidden="false" customHeight="false" outlineLevel="0" collapsed="false">
      <c r="A1423" s="65"/>
      <c r="B1423" s="63"/>
      <c r="C1423" s="70"/>
      <c r="D1423" s="66"/>
      <c r="E1423" s="16" t="str">
        <f aca="false">IF($C1423="","",IFERROR(INDEX(Mix_Desc,MATCH($C1423,Mix_Code,0)),"⚠ Unknown mix code"))</f>
        <v/>
      </c>
      <c r="F1423" s="67" t="str">
        <f aca="false">IF(OR($C1423="",$D1423=""),"",IFERROR($D1423*INDEX(Mix_Eff,MATCH($C1423,Mix_Code,0),1),""))</f>
        <v/>
      </c>
      <c r="G1423" s="67" t="str">
        <f aca="false">IF(OR($C1423="",$D1423=""),"",IFERROR($D1423*INDEX(Mix_Eff,MATCH($C1423,Mix_Code,0),2),""))</f>
        <v/>
      </c>
      <c r="H1423" s="67" t="str">
        <f aca="false">IF(OR($C1423="",$D1423=""),"",IFERROR($D1423*INDEX(Mix_Eff,MATCH($C1423,Mix_Code,0),3),""))</f>
        <v/>
      </c>
      <c r="I1423" s="67" t="str">
        <f aca="false">IF(OR($C1423="",$D1423=""),"",IFERROR($D1423*INDEX(Mix_Eff,MATCH($C1423,Mix_Code,0),4),""))</f>
        <v/>
      </c>
      <c r="J1423" s="67" t="str">
        <f aca="false">IF(OR($C1423="",$D1423=""),"",IFERROR($D1423*INDEX(Mix_Eff,MATCH($C1423,Mix_Code,0),5),""))</f>
        <v/>
      </c>
      <c r="K1423" s="63"/>
      <c r="L1423" s="16" t="str">
        <f aca="false">IF(AND($A1423="",$B1423="",$C1423="",$D1423=""),"",IF($A1423="","⚠ Date missing",IF($B1423="","⚠ Site missing",IF(ISNA(MATCH($C1423,Mix_Code,0)),"⚠ Unknown mix code",IF($D1423="","⚠ Enter m3 produced",IF(COUNTIF(CI_Site,$B1423)=0,"⚠ Site not set up in Current Inventory",IF($A1423&gt;AsOfDate,"Future date – not yet deducted","OK")))))))</f>
        <v/>
      </c>
    </row>
    <row r="1424" customFormat="false" ht="15" hidden="false" customHeight="false" outlineLevel="0" collapsed="false">
      <c r="A1424" s="65"/>
      <c r="B1424" s="63"/>
      <c r="C1424" s="70"/>
      <c r="D1424" s="66"/>
      <c r="E1424" s="16" t="str">
        <f aca="false">IF($C1424="","",IFERROR(INDEX(Mix_Desc,MATCH($C1424,Mix_Code,0)),"⚠ Unknown mix code"))</f>
        <v/>
      </c>
      <c r="F1424" s="67" t="str">
        <f aca="false">IF(OR($C1424="",$D1424=""),"",IFERROR($D1424*INDEX(Mix_Eff,MATCH($C1424,Mix_Code,0),1),""))</f>
        <v/>
      </c>
      <c r="G1424" s="67" t="str">
        <f aca="false">IF(OR($C1424="",$D1424=""),"",IFERROR($D1424*INDEX(Mix_Eff,MATCH($C1424,Mix_Code,0),2),""))</f>
        <v/>
      </c>
      <c r="H1424" s="67" t="str">
        <f aca="false">IF(OR($C1424="",$D1424=""),"",IFERROR($D1424*INDEX(Mix_Eff,MATCH($C1424,Mix_Code,0),3),""))</f>
        <v/>
      </c>
      <c r="I1424" s="67" t="str">
        <f aca="false">IF(OR($C1424="",$D1424=""),"",IFERROR($D1424*INDEX(Mix_Eff,MATCH($C1424,Mix_Code,0),4),""))</f>
        <v/>
      </c>
      <c r="J1424" s="67" t="str">
        <f aca="false">IF(OR($C1424="",$D1424=""),"",IFERROR($D1424*INDEX(Mix_Eff,MATCH($C1424,Mix_Code,0),5),""))</f>
        <v/>
      </c>
      <c r="K1424" s="63"/>
      <c r="L1424" s="16" t="str">
        <f aca="false">IF(AND($A1424="",$B1424="",$C1424="",$D1424=""),"",IF($A1424="","⚠ Date missing",IF($B1424="","⚠ Site missing",IF(ISNA(MATCH($C1424,Mix_Code,0)),"⚠ Unknown mix code",IF($D1424="","⚠ Enter m3 produced",IF(COUNTIF(CI_Site,$B1424)=0,"⚠ Site not set up in Current Inventory",IF($A1424&gt;AsOfDate,"Future date – not yet deducted","OK")))))))</f>
        <v/>
      </c>
    </row>
    <row r="1425" customFormat="false" ht="15" hidden="false" customHeight="false" outlineLevel="0" collapsed="false">
      <c r="A1425" s="65"/>
      <c r="B1425" s="63"/>
      <c r="C1425" s="70"/>
      <c r="D1425" s="66"/>
      <c r="E1425" s="16" t="str">
        <f aca="false">IF($C1425="","",IFERROR(INDEX(Mix_Desc,MATCH($C1425,Mix_Code,0)),"⚠ Unknown mix code"))</f>
        <v/>
      </c>
      <c r="F1425" s="67" t="str">
        <f aca="false">IF(OR($C1425="",$D1425=""),"",IFERROR($D1425*INDEX(Mix_Eff,MATCH($C1425,Mix_Code,0),1),""))</f>
        <v/>
      </c>
      <c r="G1425" s="67" t="str">
        <f aca="false">IF(OR($C1425="",$D1425=""),"",IFERROR($D1425*INDEX(Mix_Eff,MATCH($C1425,Mix_Code,0),2),""))</f>
        <v/>
      </c>
      <c r="H1425" s="67" t="str">
        <f aca="false">IF(OR($C1425="",$D1425=""),"",IFERROR($D1425*INDEX(Mix_Eff,MATCH($C1425,Mix_Code,0),3),""))</f>
        <v/>
      </c>
      <c r="I1425" s="67" t="str">
        <f aca="false">IF(OR($C1425="",$D1425=""),"",IFERROR($D1425*INDEX(Mix_Eff,MATCH($C1425,Mix_Code,0),4),""))</f>
        <v/>
      </c>
      <c r="J1425" s="67" t="str">
        <f aca="false">IF(OR($C1425="",$D1425=""),"",IFERROR($D1425*INDEX(Mix_Eff,MATCH($C1425,Mix_Code,0),5),""))</f>
        <v/>
      </c>
      <c r="K1425" s="63"/>
      <c r="L1425" s="16" t="str">
        <f aca="false">IF(AND($A1425="",$B1425="",$C1425="",$D1425=""),"",IF($A1425="","⚠ Date missing",IF($B1425="","⚠ Site missing",IF(ISNA(MATCH($C1425,Mix_Code,0)),"⚠ Unknown mix code",IF($D1425="","⚠ Enter m3 produced",IF(COUNTIF(CI_Site,$B1425)=0,"⚠ Site not set up in Current Inventory",IF($A1425&gt;AsOfDate,"Future date – not yet deducted","OK")))))))</f>
        <v/>
      </c>
    </row>
    <row r="1426" customFormat="false" ht="15" hidden="false" customHeight="false" outlineLevel="0" collapsed="false">
      <c r="A1426" s="65"/>
      <c r="B1426" s="63"/>
      <c r="C1426" s="70"/>
      <c r="D1426" s="66"/>
      <c r="E1426" s="16" t="str">
        <f aca="false">IF($C1426="","",IFERROR(INDEX(Mix_Desc,MATCH($C1426,Mix_Code,0)),"⚠ Unknown mix code"))</f>
        <v/>
      </c>
      <c r="F1426" s="67" t="str">
        <f aca="false">IF(OR($C1426="",$D1426=""),"",IFERROR($D1426*INDEX(Mix_Eff,MATCH($C1426,Mix_Code,0),1),""))</f>
        <v/>
      </c>
      <c r="G1426" s="67" t="str">
        <f aca="false">IF(OR($C1426="",$D1426=""),"",IFERROR($D1426*INDEX(Mix_Eff,MATCH($C1426,Mix_Code,0),2),""))</f>
        <v/>
      </c>
      <c r="H1426" s="67" t="str">
        <f aca="false">IF(OR($C1426="",$D1426=""),"",IFERROR($D1426*INDEX(Mix_Eff,MATCH($C1426,Mix_Code,0),3),""))</f>
        <v/>
      </c>
      <c r="I1426" s="67" t="str">
        <f aca="false">IF(OR($C1426="",$D1426=""),"",IFERROR($D1426*INDEX(Mix_Eff,MATCH($C1426,Mix_Code,0),4),""))</f>
        <v/>
      </c>
      <c r="J1426" s="67" t="str">
        <f aca="false">IF(OR($C1426="",$D1426=""),"",IFERROR($D1426*INDEX(Mix_Eff,MATCH($C1426,Mix_Code,0),5),""))</f>
        <v/>
      </c>
      <c r="K1426" s="63"/>
      <c r="L1426" s="16" t="str">
        <f aca="false">IF(AND($A1426="",$B1426="",$C1426="",$D1426=""),"",IF($A1426="","⚠ Date missing",IF($B1426="","⚠ Site missing",IF(ISNA(MATCH($C1426,Mix_Code,0)),"⚠ Unknown mix code",IF($D1426="","⚠ Enter m3 produced",IF(COUNTIF(CI_Site,$B1426)=0,"⚠ Site not set up in Current Inventory",IF($A1426&gt;AsOfDate,"Future date – not yet deducted","OK")))))))</f>
        <v/>
      </c>
    </row>
    <row r="1427" customFormat="false" ht="15" hidden="false" customHeight="false" outlineLevel="0" collapsed="false">
      <c r="A1427" s="65"/>
      <c r="B1427" s="63"/>
      <c r="C1427" s="70"/>
      <c r="D1427" s="66"/>
      <c r="E1427" s="16" t="str">
        <f aca="false">IF($C1427="","",IFERROR(INDEX(Mix_Desc,MATCH($C1427,Mix_Code,0)),"⚠ Unknown mix code"))</f>
        <v/>
      </c>
      <c r="F1427" s="67" t="str">
        <f aca="false">IF(OR($C1427="",$D1427=""),"",IFERROR($D1427*INDEX(Mix_Eff,MATCH($C1427,Mix_Code,0),1),""))</f>
        <v/>
      </c>
      <c r="G1427" s="67" t="str">
        <f aca="false">IF(OR($C1427="",$D1427=""),"",IFERROR($D1427*INDEX(Mix_Eff,MATCH($C1427,Mix_Code,0),2),""))</f>
        <v/>
      </c>
      <c r="H1427" s="67" t="str">
        <f aca="false">IF(OR($C1427="",$D1427=""),"",IFERROR($D1427*INDEX(Mix_Eff,MATCH($C1427,Mix_Code,0),3),""))</f>
        <v/>
      </c>
      <c r="I1427" s="67" t="str">
        <f aca="false">IF(OR($C1427="",$D1427=""),"",IFERROR($D1427*INDEX(Mix_Eff,MATCH($C1427,Mix_Code,0),4),""))</f>
        <v/>
      </c>
      <c r="J1427" s="67" t="str">
        <f aca="false">IF(OR($C1427="",$D1427=""),"",IFERROR($D1427*INDEX(Mix_Eff,MATCH($C1427,Mix_Code,0),5),""))</f>
        <v/>
      </c>
      <c r="K1427" s="63"/>
      <c r="L1427" s="16" t="str">
        <f aca="false">IF(AND($A1427="",$B1427="",$C1427="",$D1427=""),"",IF($A1427="","⚠ Date missing",IF($B1427="","⚠ Site missing",IF(ISNA(MATCH($C1427,Mix_Code,0)),"⚠ Unknown mix code",IF($D1427="","⚠ Enter m3 produced",IF(COUNTIF(CI_Site,$B1427)=0,"⚠ Site not set up in Current Inventory",IF($A1427&gt;AsOfDate,"Future date – not yet deducted","OK")))))))</f>
        <v/>
      </c>
    </row>
    <row r="1428" customFormat="false" ht="15" hidden="false" customHeight="false" outlineLevel="0" collapsed="false">
      <c r="A1428" s="65"/>
      <c r="B1428" s="63"/>
      <c r="C1428" s="70"/>
      <c r="D1428" s="66"/>
      <c r="E1428" s="16" t="str">
        <f aca="false">IF($C1428="","",IFERROR(INDEX(Mix_Desc,MATCH($C1428,Mix_Code,0)),"⚠ Unknown mix code"))</f>
        <v/>
      </c>
      <c r="F1428" s="67" t="str">
        <f aca="false">IF(OR($C1428="",$D1428=""),"",IFERROR($D1428*INDEX(Mix_Eff,MATCH($C1428,Mix_Code,0),1),""))</f>
        <v/>
      </c>
      <c r="G1428" s="67" t="str">
        <f aca="false">IF(OR($C1428="",$D1428=""),"",IFERROR($D1428*INDEX(Mix_Eff,MATCH($C1428,Mix_Code,0),2),""))</f>
        <v/>
      </c>
      <c r="H1428" s="67" t="str">
        <f aca="false">IF(OR($C1428="",$D1428=""),"",IFERROR($D1428*INDEX(Mix_Eff,MATCH($C1428,Mix_Code,0),3),""))</f>
        <v/>
      </c>
      <c r="I1428" s="67" t="str">
        <f aca="false">IF(OR($C1428="",$D1428=""),"",IFERROR($D1428*INDEX(Mix_Eff,MATCH($C1428,Mix_Code,0),4),""))</f>
        <v/>
      </c>
      <c r="J1428" s="67" t="str">
        <f aca="false">IF(OR($C1428="",$D1428=""),"",IFERROR($D1428*INDEX(Mix_Eff,MATCH($C1428,Mix_Code,0),5),""))</f>
        <v/>
      </c>
      <c r="K1428" s="63"/>
      <c r="L1428" s="16" t="str">
        <f aca="false">IF(AND($A1428="",$B1428="",$C1428="",$D1428=""),"",IF($A1428="","⚠ Date missing",IF($B1428="","⚠ Site missing",IF(ISNA(MATCH($C1428,Mix_Code,0)),"⚠ Unknown mix code",IF($D1428="","⚠ Enter m3 produced",IF(COUNTIF(CI_Site,$B1428)=0,"⚠ Site not set up in Current Inventory",IF($A1428&gt;AsOfDate,"Future date – not yet deducted","OK")))))))</f>
        <v/>
      </c>
    </row>
    <row r="1429" customFormat="false" ht="15" hidden="false" customHeight="false" outlineLevel="0" collapsed="false">
      <c r="A1429" s="65"/>
      <c r="B1429" s="63"/>
      <c r="C1429" s="70"/>
      <c r="D1429" s="66"/>
      <c r="E1429" s="16" t="str">
        <f aca="false">IF($C1429="","",IFERROR(INDEX(Mix_Desc,MATCH($C1429,Mix_Code,0)),"⚠ Unknown mix code"))</f>
        <v/>
      </c>
      <c r="F1429" s="67" t="str">
        <f aca="false">IF(OR($C1429="",$D1429=""),"",IFERROR($D1429*INDEX(Mix_Eff,MATCH($C1429,Mix_Code,0),1),""))</f>
        <v/>
      </c>
      <c r="G1429" s="67" t="str">
        <f aca="false">IF(OR($C1429="",$D1429=""),"",IFERROR($D1429*INDEX(Mix_Eff,MATCH($C1429,Mix_Code,0),2),""))</f>
        <v/>
      </c>
      <c r="H1429" s="67" t="str">
        <f aca="false">IF(OR($C1429="",$D1429=""),"",IFERROR($D1429*INDEX(Mix_Eff,MATCH($C1429,Mix_Code,0),3),""))</f>
        <v/>
      </c>
      <c r="I1429" s="67" t="str">
        <f aca="false">IF(OR($C1429="",$D1429=""),"",IFERROR($D1429*INDEX(Mix_Eff,MATCH($C1429,Mix_Code,0),4),""))</f>
        <v/>
      </c>
      <c r="J1429" s="67" t="str">
        <f aca="false">IF(OR($C1429="",$D1429=""),"",IFERROR($D1429*INDEX(Mix_Eff,MATCH($C1429,Mix_Code,0),5),""))</f>
        <v/>
      </c>
      <c r="K1429" s="63"/>
      <c r="L1429" s="16" t="str">
        <f aca="false">IF(AND($A1429="",$B1429="",$C1429="",$D1429=""),"",IF($A1429="","⚠ Date missing",IF($B1429="","⚠ Site missing",IF(ISNA(MATCH($C1429,Mix_Code,0)),"⚠ Unknown mix code",IF($D1429="","⚠ Enter m3 produced",IF(COUNTIF(CI_Site,$B1429)=0,"⚠ Site not set up in Current Inventory",IF($A1429&gt;AsOfDate,"Future date – not yet deducted","OK")))))))</f>
        <v/>
      </c>
    </row>
    <row r="1430" customFormat="false" ht="15" hidden="false" customHeight="false" outlineLevel="0" collapsed="false">
      <c r="A1430" s="65"/>
      <c r="B1430" s="63"/>
      <c r="C1430" s="70"/>
      <c r="D1430" s="66"/>
      <c r="E1430" s="16" t="str">
        <f aca="false">IF($C1430="","",IFERROR(INDEX(Mix_Desc,MATCH($C1430,Mix_Code,0)),"⚠ Unknown mix code"))</f>
        <v/>
      </c>
      <c r="F1430" s="67" t="str">
        <f aca="false">IF(OR($C1430="",$D1430=""),"",IFERROR($D1430*INDEX(Mix_Eff,MATCH($C1430,Mix_Code,0),1),""))</f>
        <v/>
      </c>
      <c r="G1430" s="67" t="str">
        <f aca="false">IF(OR($C1430="",$D1430=""),"",IFERROR($D1430*INDEX(Mix_Eff,MATCH($C1430,Mix_Code,0),2),""))</f>
        <v/>
      </c>
      <c r="H1430" s="67" t="str">
        <f aca="false">IF(OR($C1430="",$D1430=""),"",IFERROR($D1430*INDEX(Mix_Eff,MATCH($C1430,Mix_Code,0),3),""))</f>
        <v/>
      </c>
      <c r="I1430" s="67" t="str">
        <f aca="false">IF(OR($C1430="",$D1430=""),"",IFERROR($D1430*INDEX(Mix_Eff,MATCH($C1430,Mix_Code,0),4),""))</f>
        <v/>
      </c>
      <c r="J1430" s="67" t="str">
        <f aca="false">IF(OR($C1430="",$D1430=""),"",IFERROR($D1430*INDEX(Mix_Eff,MATCH($C1430,Mix_Code,0),5),""))</f>
        <v/>
      </c>
      <c r="K1430" s="63"/>
      <c r="L1430" s="16" t="str">
        <f aca="false">IF(AND($A1430="",$B1430="",$C1430="",$D1430=""),"",IF($A1430="","⚠ Date missing",IF($B1430="","⚠ Site missing",IF(ISNA(MATCH($C1430,Mix_Code,0)),"⚠ Unknown mix code",IF($D1430="","⚠ Enter m3 produced",IF(COUNTIF(CI_Site,$B1430)=0,"⚠ Site not set up in Current Inventory",IF($A1430&gt;AsOfDate,"Future date – not yet deducted","OK")))))))</f>
        <v/>
      </c>
    </row>
    <row r="1431" customFormat="false" ht="15" hidden="false" customHeight="false" outlineLevel="0" collapsed="false">
      <c r="A1431" s="65"/>
      <c r="B1431" s="63"/>
      <c r="C1431" s="70"/>
      <c r="D1431" s="66"/>
      <c r="E1431" s="16" t="str">
        <f aca="false">IF($C1431="","",IFERROR(INDEX(Mix_Desc,MATCH($C1431,Mix_Code,0)),"⚠ Unknown mix code"))</f>
        <v/>
      </c>
      <c r="F1431" s="67" t="str">
        <f aca="false">IF(OR($C1431="",$D1431=""),"",IFERROR($D1431*INDEX(Mix_Eff,MATCH($C1431,Mix_Code,0),1),""))</f>
        <v/>
      </c>
      <c r="G1431" s="67" t="str">
        <f aca="false">IF(OR($C1431="",$D1431=""),"",IFERROR($D1431*INDEX(Mix_Eff,MATCH($C1431,Mix_Code,0),2),""))</f>
        <v/>
      </c>
      <c r="H1431" s="67" t="str">
        <f aca="false">IF(OR($C1431="",$D1431=""),"",IFERROR($D1431*INDEX(Mix_Eff,MATCH($C1431,Mix_Code,0),3),""))</f>
        <v/>
      </c>
      <c r="I1431" s="67" t="str">
        <f aca="false">IF(OR($C1431="",$D1431=""),"",IFERROR($D1431*INDEX(Mix_Eff,MATCH($C1431,Mix_Code,0),4),""))</f>
        <v/>
      </c>
      <c r="J1431" s="67" t="str">
        <f aca="false">IF(OR($C1431="",$D1431=""),"",IFERROR($D1431*INDEX(Mix_Eff,MATCH($C1431,Mix_Code,0),5),""))</f>
        <v/>
      </c>
      <c r="K1431" s="63"/>
      <c r="L1431" s="16" t="str">
        <f aca="false">IF(AND($A1431="",$B1431="",$C1431="",$D1431=""),"",IF($A1431="","⚠ Date missing",IF($B1431="","⚠ Site missing",IF(ISNA(MATCH($C1431,Mix_Code,0)),"⚠ Unknown mix code",IF($D1431="","⚠ Enter m3 produced",IF(COUNTIF(CI_Site,$B1431)=0,"⚠ Site not set up in Current Inventory",IF($A1431&gt;AsOfDate,"Future date – not yet deducted","OK")))))))</f>
        <v/>
      </c>
    </row>
    <row r="1432" customFormat="false" ht="15" hidden="false" customHeight="false" outlineLevel="0" collapsed="false">
      <c r="A1432" s="65"/>
      <c r="B1432" s="63"/>
      <c r="C1432" s="70"/>
      <c r="D1432" s="66"/>
      <c r="E1432" s="16" t="str">
        <f aca="false">IF($C1432="","",IFERROR(INDEX(Mix_Desc,MATCH($C1432,Mix_Code,0)),"⚠ Unknown mix code"))</f>
        <v/>
      </c>
      <c r="F1432" s="67" t="str">
        <f aca="false">IF(OR($C1432="",$D1432=""),"",IFERROR($D1432*INDEX(Mix_Eff,MATCH($C1432,Mix_Code,0),1),""))</f>
        <v/>
      </c>
      <c r="G1432" s="67" t="str">
        <f aca="false">IF(OR($C1432="",$D1432=""),"",IFERROR($D1432*INDEX(Mix_Eff,MATCH($C1432,Mix_Code,0),2),""))</f>
        <v/>
      </c>
      <c r="H1432" s="67" t="str">
        <f aca="false">IF(OR($C1432="",$D1432=""),"",IFERROR($D1432*INDEX(Mix_Eff,MATCH($C1432,Mix_Code,0),3),""))</f>
        <v/>
      </c>
      <c r="I1432" s="67" t="str">
        <f aca="false">IF(OR($C1432="",$D1432=""),"",IFERROR($D1432*INDEX(Mix_Eff,MATCH($C1432,Mix_Code,0),4),""))</f>
        <v/>
      </c>
      <c r="J1432" s="67" t="str">
        <f aca="false">IF(OR($C1432="",$D1432=""),"",IFERROR($D1432*INDEX(Mix_Eff,MATCH($C1432,Mix_Code,0),5),""))</f>
        <v/>
      </c>
      <c r="K1432" s="63"/>
      <c r="L1432" s="16" t="str">
        <f aca="false">IF(AND($A1432="",$B1432="",$C1432="",$D1432=""),"",IF($A1432="","⚠ Date missing",IF($B1432="","⚠ Site missing",IF(ISNA(MATCH($C1432,Mix_Code,0)),"⚠ Unknown mix code",IF($D1432="","⚠ Enter m3 produced",IF(COUNTIF(CI_Site,$B1432)=0,"⚠ Site not set up in Current Inventory",IF($A1432&gt;AsOfDate,"Future date – not yet deducted","OK")))))))</f>
        <v/>
      </c>
    </row>
    <row r="1433" customFormat="false" ht="15" hidden="false" customHeight="false" outlineLevel="0" collapsed="false">
      <c r="A1433" s="65"/>
      <c r="B1433" s="63"/>
      <c r="C1433" s="70"/>
      <c r="D1433" s="66"/>
      <c r="E1433" s="16" t="str">
        <f aca="false">IF($C1433="","",IFERROR(INDEX(Mix_Desc,MATCH($C1433,Mix_Code,0)),"⚠ Unknown mix code"))</f>
        <v/>
      </c>
      <c r="F1433" s="67" t="str">
        <f aca="false">IF(OR($C1433="",$D1433=""),"",IFERROR($D1433*INDEX(Mix_Eff,MATCH($C1433,Mix_Code,0),1),""))</f>
        <v/>
      </c>
      <c r="G1433" s="67" t="str">
        <f aca="false">IF(OR($C1433="",$D1433=""),"",IFERROR($D1433*INDEX(Mix_Eff,MATCH($C1433,Mix_Code,0),2),""))</f>
        <v/>
      </c>
      <c r="H1433" s="67" t="str">
        <f aca="false">IF(OR($C1433="",$D1433=""),"",IFERROR($D1433*INDEX(Mix_Eff,MATCH($C1433,Mix_Code,0),3),""))</f>
        <v/>
      </c>
      <c r="I1433" s="67" t="str">
        <f aca="false">IF(OR($C1433="",$D1433=""),"",IFERROR($D1433*INDEX(Mix_Eff,MATCH($C1433,Mix_Code,0),4),""))</f>
        <v/>
      </c>
      <c r="J1433" s="67" t="str">
        <f aca="false">IF(OR($C1433="",$D1433=""),"",IFERROR($D1433*INDEX(Mix_Eff,MATCH($C1433,Mix_Code,0),5),""))</f>
        <v/>
      </c>
      <c r="K1433" s="63"/>
      <c r="L1433" s="16" t="str">
        <f aca="false">IF(AND($A1433="",$B1433="",$C1433="",$D1433=""),"",IF($A1433="","⚠ Date missing",IF($B1433="","⚠ Site missing",IF(ISNA(MATCH($C1433,Mix_Code,0)),"⚠ Unknown mix code",IF($D1433="","⚠ Enter m3 produced",IF(COUNTIF(CI_Site,$B1433)=0,"⚠ Site not set up in Current Inventory",IF($A1433&gt;AsOfDate,"Future date – not yet deducted","OK")))))))</f>
        <v/>
      </c>
    </row>
    <row r="1434" customFormat="false" ht="15" hidden="false" customHeight="false" outlineLevel="0" collapsed="false">
      <c r="A1434" s="65"/>
      <c r="B1434" s="63"/>
      <c r="C1434" s="70"/>
      <c r="D1434" s="66"/>
      <c r="E1434" s="16" t="str">
        <f aca="false">IF($C1434="","",IFERROR(INDEX(Mix_Desc,MATCH($C1434,Mix_Code,0)),"⚠ Unknown mix code"))</f>
        <v/>
      </c>
      <c r="F1434" s="67" t="str">
        <f aca="false">IF(OR($C1434="",$D1434=""),"",IFERROR($D1434*INDEX(Mix_Eff,MATCH($C1434,Mix_Code,0),1),""))</f>
        <v/>
      </c>
      <c r="G1434" s="67" t="str">
        <f aca="false">IF(OR($C1434="",$D1434=""),"",IFERROR($D1434*INDEX(Mix_Eff,MATCH($C1434,Mix_Code,0),2),""))</f>
        <v/>
      </c>
      <c r="H1434" s="67" t="str">
        <f aca="false">IF(OR($C1434="",$D1434=""),"",IFERROR($D1434*INDEX(Mix_Eff,MATCH($C1434,Mix_Code,0),3),""))</f>
        <v/>
      </c>
      <c r="I1434" s="67" t="str">
        <f aca="false">IF(OR($C1434="",$D1434=""),"",IFERROR($D1434*INDEX(Mix_Eff,MATCH($C1434,Mix_Code,0),4),""))</f>
        <v/>
      </c>
      <c r="J1434" s="67" t="str">
        <f aca="false">IF(OR($C1434="",$D1434=""),"",IFERROR($D1434*INDEX(Mix_Eff,MATCH($C1434,Mix_Code,0),5),""))</f>
        <v/>
      </c>
      <c r="K1434" s="63"/>
      <c r="L1434" s="16" t="str">
        <f aca="false">IF(AND($A1434="",$B1434="",$C1434="",$D1434=""),"",IF($A1434="","⚠ Date missing",IF($B1434="","⚠ Site missing",IF(ISNA(MATCH($C1434,Mix_Code,0)),"⚠ Unknown mix code",IF($D1434="","⚠ Enter m3 produced",IF(COUNTIF(CI_Site,$B1434)=0,"⚠ Site not set up in Current Inventory",IF($A1434&gt;AsOfDate,"Future date – not yet deducted","OK")))))))</f>
        <v/>
      </c>
    </row>
    <row r="1435" customFormat="false" ht="15" hidden="false" customHeight="false" outlineLevel="0" collapsed="false">
      <c r="A1435" s="65"/>
      <c r="B1435" s="63"/>
      <c r="C1435" s="70"/>
      <c r="D1435" s="66"/>
      <c r="E1435" s="16" t="str">
        <f aca="false">IF($C1435="","",IFERROR(INDEX(Mix_Desc,MATCH($C1435,Mix_Code,0)),"⚠ Unknown mix code"))</f>
        <v/>
      </c>
      <c r="F1435" s="67" t="str">
        <f aca="false">IF(OR($C1435="",$D1435=""),"",IFERROR($D1435*INDEX(Mix_Eff,MATCH($C1435,Mix_Code,0),1),""))</f>
        <v/>
      </c>
      <c r="G1435" s="67" t="str">
        <f aca="false">IF(OR($C1435="",$D1435=""),"",IFERROR($D1435*INDEX(Mix_Eff,MATCH($C1435,Mix_Code,0),2),""))</f>
        <v/>
      </c>
      <c r="H1435" s="67" t="str">
        <f aca="false">IF(OR($C1435="",$D1435=""),"",IFERROR($D1435*INDEX(Mix_Eff,MATCH($C1435,Mix_Code,0),3),""))</f>
        <v/>
      </c>
      <c r="I1435" s="67" t="str">
        <f aca="false">IF(OR($C1435="",$D1435=""),"",IFERROR($D1435*INDEX(Mix_Eff,MATCH($C1435,Mix_Code,0),4),""))</f>
        <v/>
      </c>
      <c r="J1435" s="67" t="str">
        <f aca="false">IF(OR($C1435="",$D1435=""),"",IFERROR($D1435*INDEX(Mix_Eff,MATCH($C1435,Mix_Code,0),5),""))</f>
        <v/>
      </c>
      <c r="K1435" s="63"/>
      <c r="L1435" s="16" t="str">
        <f aca="false">IF(AND($A1435="",$B1435="",$C1435="",$D1435=""),"",IF($A1435="","⚠ Date missing",IF($B1435="","⚠ Site missing",IF(ISNA(MATCH($C1435,Mix_Code,0)),"⚠ Unknown mix code",IF($D1435="","⚠ Enter m3 produced",IF(COUNTIF(CI_Site,$B1435)=0,"⚠ Site not set up in Current Inventory",IF($A1435&gt;AsOfDate,"Future date – not yet deducted","OK")))))))</f>
        <v/>
      </c>
    </row>
    <row r="1436" customFormat="false" ht="15" hidden="false" customHeight="false" outlineLevel="0" collapsed="false">
      <c r="A1436" s="65"/>
      <c r="B1436" s="63"/>
      <c r="C1436" s="70"/>
      <c r="D1436" s="66"/>
      <c r="E1436" s="16" t="str">
        <f aca="false">IF($C1436="","",IFERROR(INDEX(Mix_Desc,MATCH($C1436,Mix_Code,0)),"⚠ Unknown mix code"))</f>
        <v/>
      </c>
      <c r="F1436" s="67" t="str">
        <f aca="false">IF(OR($C1436="",$D1436=""),"",IFERROR($D1436*INDEX(Mix_Eff,MATCH($C1436,Mix_Code,0),1),""))</f>
        <v/>
      </c>
      <c r="G1436" s="67" t="str">
        <f aca="false">IF(OR($C1436="",$D1436=""),"",IFERROR($D1436*INDEX(Mix_Eff,MATCH($C1436,Mix_Code,0),2),""))</f>
        <v/>
      </c>
      <c r="H1436" s="67" t="str">
        <f aca="false">IF(OR($C1436="",$D1436=""),"",IFERROR($D1436*INDEX(Mix_Eff,MATCH($C1436,Mix_Code,0),3),""))</f>
        <v/>
      </c>
      <c r="I1436" s="67" t="str">
        <f aca="false">IF(OR($C1436="",$D1436=""),"",IFERROR($D1436*INDEX(Mix_Eff,MATCH($C1436,Mix_Code,0),4),""))</f>
        <v/>
      </c>
      <c r="J1436" s="67" t="str">
        <f aca="false">IF(OR($C1436="",$D1436=""),"",IFERROR($D1436*INDEX(Mix_Eff,MATCH($C1436,Mix_Code,0),5),""))</f>
        <v/>
      </c>
      <c r="K1436" s="63"/>
      <c r="L1436" s="16" t="str">
        <f aca="false">IF(AND($A1436="",$B1436="",$C1436="",$D1436=""),"",IF($A1436="","⚠ Date missing",IF($B1436="","⚠ Site missing",IF(ISNA(MATCH($C1436,Mix_Code,0)),"⚠ Unknown mix code",IF($D1436="","⚠ Enter m3 produced",IF(COUNTIF(CI_Site,$B1436)=0,"⚠ Site not set up in Current Inventory",IF($A1436&gt;AsOfDate,"Future date – not yet deducted","OK")))))))</f>
        <v/>
      </c>
    </row>
    <row r="1437" customFormat="false" ht="15" hidden="false" customHeight="false" outlineLevel="0" collapsed="false">
      <c r="A1437" s="65"/>
      <c r="B1437" s="63"/>
      <c r="C1437" s="70"/>
      <c r="D1437" s="66"/>
      <c r="E1437" s="16" t="str">
        <f aca="false">IF($C1437="","",IFERROR(INDEX(Mix_Desc,MATCH($C1437,Mix_Code,0)),"⚠ Unknown mix code"))</f>
        <v/>
      </c>
      <c r="F1437" s="67" t="str">
        <f aca="false">IF(OR($C1437="",$D1437=""),"",IFERROR($D1437*INDEX(Mix_Eff,MATCH($C1437,Mix_Code,0),1),""))</f>
        <v/>
      </c>
      <c r="G1437" s="67" t="str">
        <f aca="false">IF(OR($C1437="",$D1437=""),"",IFERROR($D1437*INDEX(Mix_Eff,MATCH($C1437,Mix_Code,0),2),""))</f>
        <v/>
      </c>
      <c r="H1437" s="67" t="str">
        <f aca="false">IF(OR($C1437="",$D1437=""),"",IFERROR($D1437*INDEX(Mix_Eff,MATCH($C1437,Mix_Code,0),3),""))</f>
        <v/>
      </c>
      <c r="I1437" s="67" t="str">
        <f aca="false">IF(OR($C1437="",$D1437=""),"",IFERROR($D1437*INDEX(Mix_Eff,MATCH($C1437,Mix_Code,0),4),""))</f>
        <v/>
      </c>
      <c r="J1437" s="67" t="str">
        <f aca="false">IF(OR($C1437="",$D1437=""),"",IFERROR($D1437*INDEX(Mix_Eff,MATCH($C1437,Mix_Code,0),5),""))</f>
        <v/>
      </c>
      <c r="K1437" s="63"/>
      <c r="L1437" s="16" t="str">
        <f aca="false">IF(AND($A1437="",$B1437="",$C1437="",$D1437=""),"",IF($A1437="","⚠ Date missing",IF($B1437="","⚠ Site missing",IF(ISNA(MATCH($C1437,Mix_Code,0)),"⚠ Unknown mix code",IF($D1437="","⚠ Enter m3 produced",IF(COUNTIF(CI_Site,$B1437)=0,"⚠ Site not set up in Current Inventory",IF($A1437&gt;AsOfDate,"Future date – not yet deducted","OK")))))))</f>
        <v/>
      </c>
    </row>
    <row r="1438" customFormat="false" ht="15" hidden="false" customHeight="false" outlineLevel="0" collapsed="false">
      <c r="A1438" s="65"/>
      <c r="B1438" s="63"/>
      <c r="C1438" s="70"/>
      <c r="D1438" s="66"/>
      <c r="E1438" s="16" t="str">
        <f aca="false">IF($C1438="","",IFERROR(INDEX(Mix_Desc,MATCH($C1438,Mix_Code,0)),"⚠ Unknown mix code"))</f>
        <v/>
      </c>
      <c r="F1438" s="67" t="str">
        <f aca="false">IF(OR($C1438="",$D1438=""),"",IFERROR($D1438*INDEX(Mix_Eff,MATCH($C1438,Mix_Code,0),1),""))</f>
        <v/>
      </c>
      <c r="G1438" s="67" t="str">
        <f aca="false">IF(OR($C1438="",$D1438=""),"",IFERROR($D1438*INDEX(Mix_Eff,MATCH($C1438,Mix_Code,0),2),""))</f>
        <v/>
      </c>
      <c r="H1438" s="67" t="str">
        <f aca="false">IF(OR($C1438="",$D1438=""),"",IFERROR($D1438*INDEX(Mix_Eff,MATCH($C1438,Mix_Code,0),3),""))</f>
        <v/>
      </c>
      <c r="I1438" s="67" t="str">
        <f aca="false">IF(OR($C1438="",$D1438=""),"",IFERROR($D1438*INDEX(Mix_Eff,MATCH($C1438,Mix_Code,0),4),""))</f>
        <v/>
      </c>
      <c r="J1438" s="67" t="str">
        <f aca="false">IF(OR($C1438="",$D1438=""),"",IFERROR($D1438*INDEX(Mix_Eff,MATCH($C1438,Mix_Code,0),5),""))</f>
        <v/>
      </c>
      <c r="K1438" s="63"/>
      <c r="L1438" s="16" t="str">
        <f aca="false">IF(AND($A1438="",$B1438="",$C1438="",$D1438=""),"",IF($A1438="","⚠ Date missing",IF($B1438="","⚠ Site missing",IF(ISNA(MATCH($C1438,Mix_Code,0)),"⚠ Unknown mix code",IF($D1438="","⚠ Enter m3 produced",IF(COUNTIF(CI_Site,$B1438)=0,"⚠ Site not set up in Current Inventory",IF($A1438&gt;AsOfDate,"Future date – not yet deducted","OK")))))))</f>
        <v/>
      </c>
    </row>
    <row r="1439" customFormat="false" ht="15" hidden="false" customHeight="false" outlineLevel="0" collapsed="false">
      <c r="A1439" s="65"/>
      <c r="B1439" s="63"/>
      <c r="C1439" s="70"/>
      <c r="D1439" s="66"/>
      <c r="E1439" s="16" t="str">
        <f aca="false">IF($C1439="","",IFERROR(INDEX(Mix_Desc,MATCH($C1439,Mix_Code,0)),"⚠ Unknown mix code"))</f>
        <v/>
      </c>
      <c r="F1439" s="67" t="str">
        <f aca="false">IF(OR($C1439="",$D1439=""),"",IFERROR($D1439*INDEX(Mix_Eff,MATCH($C1439,Mix_Code,0),1),""))</f>
        <v/>
      </c>
      <c r="G1439" s="67" t="str">
        <f aca="false">IF(OR($C1439="",$D1439=""),"",IFERROR($D1439*INDEX(Mix_Eff,MATCH($C1439,Mix_Code,0),2),""))</f>
        <v/>
      </c>
      <c r="H1439" s="67" t="str">
        <f aca="false">IF(OR($C1439="",$D1439=""),"",IFERROR($D1439*INDEX(Mix_Eff,MATCH($C1439,Mix_Code,0),3),""))</f>
        <v/>
      </c>
      <c r="I1439" s="67" t="str">
        <f aca="false">IF(OR($C1439="",$D1439=""),"",IFERROR($D1439*INDEX(Mix_Eff,MATCH($C1439,Mix_Code,0),4),""))</f>
        <v/>
      </c>
      <c r="J1439" s="67" t="str">
        <f aca="false">IF(OR($C1439="",$D1439=""),"",IFERROR($D1439*INDEX(Mix_Eff,MATCH($C1439,Mix_Code,0),5),""))</f>
        <v/>
      </c>
      <c r="K1439" s="63"/>
      <c r="L1439" s="16" t="str">
        <f aca="false">IF(AND($A1439="",$B1439="",$C1439="",$D1439=""),"",IF($A1439="","⚠ Date missing",IF($B1439="","⚠ Site missing",IF(ISNA(MATCH($C1439,Mix_Code,0)),"⚠ Unknown mix code",IF($D1439="","⚠ Enter m3 produced",IF(COUNTIF(CI_Site,$B1439)=0,"⚠ Site not set up in Current Inventory",IF($A1439&gt;AsOfDate,"Future date – not yet deducted","OK")))))))</f>
        <v/>
      </c>
    </row>
    <row r="1440" customFormat="false" ht="15" hidden="false" customHeight="false" outlineLevel="0" collapsed="false">
      <c r="A1440" s="65"/>
      <c r="B1440" s="63"/>
      <c r="C1440" s="70"/>
      <c r="D1440" s="66"/>
      <c r="E1440" s="16" t="str">
        <f aca="false">IF($C1440="","",IFERROR(INDEX(Mix_Desc,MATCH($C1440,Mix_Code,0)),"⚠ Unknown mix code"))</f>
        <v/>
      </c>
      <c r="F1440" s="67" t="str">
        <f aca="false">IF(OR($C1440="",$D1440=""),"",IFERROR($D1440*INDEX(Mix_Eff,MATCH($C1440,Mix_Code,0),1),""))</f>
        <v/>
      </c>
      <c r="G1440" s="67" t="str">
        <f aca="false">IF(OR($C1440="",$D1440=""),"",IFERROR($D1440*INDEX(Mix_Eff,MATCH($C1440,Mix_Code,0),2),""))</f>
        <v/>
      </c>
      <c r="H1440" s="67" t="str">
        <f aca="false">IF(OR($C1440="",$D1440=""),"",IFERROR($D1440*INDEX(Mix_Eff,MATCH($C1440,Mix_Code,0),3),""))</f>
        <v/>
      </c>
      <c r="I1440" s="67" t="str">
        <f aca="false">IF(OR($C1440="",$D1440=""),"",IFERROR($D1440*INDEX(Mix_Eff,MATCH($C1440,Mix_Code,0),4),""))</f>
        <v/>
      </c>
      <c r="J1440" s="67" t="str">
        <f aca="false">IF(OR($C1440="",$D1440=""),"",IFERROR($D1440*INDEX(Mix_Eff,MATCH($C1440,Mix_Code,0),5),""))</f>
        <v/>
      </c>
      <c r="K1440" s="63"/>
      <c r="L1440" s="16" t="str">
        <f aca="false">IF(AND($A1440="",$B1440="",$C1440="",$D1440=""),"",IF($A1440="","⚠ Date missing",IF($B1440="","⚠ Site missing",IF(ISNA(MATCH($C1440,Mix_Code,0)),"⚠ Unknown mix code",IF($D1440="","⚠ Enter m3 produced",IF(COUNTIF(CI_Site,$B1440)=0,"⚠ Site not set up in Current Inventory",IF($A1440&gt;AsOfDate,"Future date – not yet deducted","OK")))))))</f>
        <v/>
      </c>
    </row>
    <row r="1441" customFormat="false" ht="15" hidden="false" customHeight="false" outlineLevel="0" collapsed="false">
      <c r="A1441" s="65"/>
      <c r="B1441" s="63"/>
      <c r="C1441" s="70"/>
      <c r="D1441" s="66"/>
      <c r="E1441" s="16" t="str">
        <f aca="false">IF($C1441="","",IFERROR(INDEX(Mix_Desc,MATCH($C1441,Mix_Code,0)),"⚠ Unknown mix code"))</f>
        <v/>
      </c>
      <c r="F1441" s="67" t="str">
        <f aca="false">IF(OR($C1441="",$D1441=""),"",IFERROR($D1441*INDEX(Mix_Eff,MATCH($C1441,Mix_Code,0),1),""))</f>
        <v/>
      </c>
      <c r="G1441" s="67" t="str">
        <f aca="false">IF(OR($C1441="",$D1441=""),"",IFERROR($D1441*INDEX(Mix_Eff,MATCH($C1441,Mix_Code,0),2),""))</f>
        <v/>
      </c>
      <c r="H1441" s="67" t="str">
        <f aca="false">IF(OR($C1441="",$D1441=""),"",IFERROR($D1441*INDEX(Mix_Eff,MATCH($C1441,Mix_Code,0),3),""))</f>
        <v/>
      </c>
      <c r="I1441" s="67" t="str">
        <f aca="false">IF(OR($C1441="",$D1441=""),"",IFERROR($D1441*INDEX(Mix_Eff,MATCH($C1441,Mix_Code,0),4),""))</f>
        <v/>
      </c>
      <c r="J1441" s="67" t="str">
        <f aca="false">IF(OR($C1441="",$D1441=""),"",IFERROR($D1441*INDEX(Mix_Eff,MATCH($C1441,Mix_Code,0),5),""))</f>
        <v/>
      </c>
      <c r="K1441" s="63"/>
      <c r="L1441" s="16" t="str">
        <f aca="false">IF(AND($A1441="",$B1441="",$C1441="",$D1441=""),"",IF($A1441="","⚠ Date missing",IF($B1441="","⚠ Site missing",IF(ISNA(MATCH($C1441,Mix_Code,0)),"⚠ Unknown mix code",IF($D1441="","⚠ Enter m3 produced",IF(COUNTIF(CI_Site,$B1441)=0,"⚠ Site not set up in Current Inventory",IF($A1441&gt;AsOfDate,"Future date – not yet deducted","OK")))))))</f>
        <v/>
      </c>
    </row>
    <row r="1442" customFormat="false" ht="15" hidden="false" customHeight="false" outlineLevel="0" collapsed="false">
      <c r="A1442" s="65"/>
      <c r="B1442" s="63"/>
      <c r="C1442" s="70"/>
      <c r="D1442" s="66"/>
      <c r="E1442" s="16" t="str">
        <f aca="false">IF($C1442="","",IFERROR(INDEX(Mix_Desc,MATCH($C1442,Mix_Code,0)),"⚠ Unknown mix code"))</f>
        <v/>
      </c>
      <c r="F1442" s="67" t="str">
        <f aca="false">IF(OR($C1442="",$D1442=""),"",IFERROR($D1442*INDEX(Mix_Eff,MATCH($C1442,Mix_Code,0),1),""))</f>
        <v/>
      </c>
      <c r="G1442" s="67" t="str">
        <f aca="false">IF(OR($C1442="",$D1442=""),"",IFERROR($D1442*INDEX(Mix_Eff,MATCH($C1442,Mix_Code,0),2),""))</f>
        <v/>
      </c>
      <c r="H1442" s="67" t="str">
        <f aca="false">IF(OR($C1442="",$D1442=""),"",IFERROR($D1442*INDEX(Mix_Eff,MATCH($C1442,Mix_Code,0),3),""))</f>
        <v/>
      </c>
      <c r="I1442" s="67" t="str">
        <f aca="false">IF(OR($C1442="",$D1442=""),"",IFERROR($D1442*INDEX(Mix_Eff,MATCH($C1442,Mix_Code,0),4),""))</f>
        <v/>
      </c>
      <c r="J1442" s="67" t="str">
        <f aca="false">IF(OR($C1442="",$D1442=""),"",IFERROR($D1442*INDEX(Mix_Eff,MATCH($C1442,Mix_Code,0),5),""))</f>
        <v/>
      </c>
      <c r="K1442" s="63"/>
      <c r="L1442" s="16" t="str">
        <f aca="false">IF(AND($A1442="",$B1442="",$C1442="",$D1442=""),"",IF($A1442="","⚠ Date missing",IF($B1442="","⚠ Site missing",IF(ISNA(MATCH($C1442,Mix_Code,0)),"⚠ Unknown mix code",IF($D1442="","⚠ Enter m3 produced",IF(COUNTIF(CI_Site,$B1442)=0,"⚠ Site not set up in Current Inventory",IF($A1442&gt;AsOfDate,"Future date – not yet deducted","OK")))))))</f>
        <v/>
      </c>
    </row>
    <row r="1443" customFormat="false" ht="15" hidden="false" customHeight="false" outlineLevel="0" collapsed="false">
      <c r="A1443" s="65"/>
      <c r="B1443" s="63"/>
      <c r="C1443" s="70"/>
      <c r="D1443" s="66"/>
      <c r="E1443" s="16" t="str">
        <f aca="false">IF($C1443="","",IFERROR(INDEX(Mix_Desc,MATCH($C1443,Mix_Code,0)),"⚠ Unknown mix code"))</f>
        <v/>
      </c>
      <c r="F1443" s="67" t="str">
        <f aca="false">IF(OR($C1443="",$D1443=""),"",IFERROR($D1443*INDEX(Mix_Eff,MATCH($C1443,Mix_Code,0),1),""))</f>
        <v/>
      </c>
      <c r="G1443" s="67" t="str">
        <f aca="false">IF(OR($C1443="",$D1443=""),"",IFERROR($D1443*INDEX(Mix_Eff,MATCH($C1443,Mix_Code,0),2),""))</f>
        <v/>
      </c>
      <c r="H1443" s="67" t="str">
        <f aca="false">IF(OR($C1443="",$D1443=""),"",IFERROR($D1443*INDEX(Mix_Eff,MATCH($C1443,Mix_Code,0),3),""))</f>
        <v/>
      </c>
      <c r="I1443" s="67" t="str">
        <f aca="false">IF(OR($C1443="",$D1443=""),"",IFERROR($D1443*INDEX(Mix_Eff,MATCH($C1443,Mix_Code,0),4),""))</f>
        <v/>
      </c>
      <c r="J1443" s="67" t="str">
        <f aca="false">IF(OR($C1443="",$D1443=""),"",IFERROR($D1443*INDEX(Mix_Eff,MATCH($C1443,Mix_Code,0),5),""))</f>
        <v/>
      </c>
      <c r="K1443" s="63"/>
      <c r="L1443" s="16" t="str">
        <f aca="false">IF(AND($A1443="",$B1443="",$C1443="",$D1443=""),"",IF($A1443="","⚠ Date missing",IF($B1443="","⚠ Site missing",IF(ISNA(MATCH($C1443,Mix_Code,0)),"⚠ Unknown mix code",IF($D1443="","⚠ Enter m3 produced",IF(COUNTIF(CI_Site,$B1443)=0,"⚠ Site not set up in Current Inventory",IF($A1443&gt;AsOfDate,"Future date – not yet deducted","OK")))))))</f>
        <v/>
      </c>
    </row>
    <row r="1444" customFormat="false" ht="15" hidden="false" customHeight="false" outlineLevel="0" collapsed="false">
      <c r="A1444" s="65"/>
      <c r="B1444" s="63"/>
      <c r="C1444" s="70"/>
      <c r="D1444" s="66"/>
      <c r="E1444" s="16" t="str">
        <f aca="false">IF($C1444="","",IFERROR(INDEX(Mix_Desc,MATCH($C1444,Mix_Code,0)),"⚠ Unknown mix code"))</f>
        <v/>
      </c>
      <c r="F1444" s="67" t="str">
        <f aca="false">IF(OR($C1444="",$D1444=""),"",IFERROR($D1444*INDEX(Mix_Eff,MATCH($C1444,Mix_Code,0),1),""))</f>
        <v/>
      </c>
      <c r="G1444" s="67" t="str">
        <f aca="false">IF(OR($C1444="",$D1444=""),"",IFERROR($D1444*INDEX(Mix_Eff,MATCH($C1444,Mix_Code,0),2),""))</f>
        <v/>
      </c>
      <c r="H1444" s="67" t="str">
        <f aca="false">IF(OR($C1444="",$D1444=""),"",IFERROR($D1444*INDEX(Mix_Eff,MATCH($C1444,Mix_Code,0),3),""))</f>
        <v/>
      </c>
      <c r="I1444" s="67" t="str">
        <f aca="false">IF(OR($C1444="",$D1444=""),"",IFERROR($D1444*INDEX(Mix_Eff,MATCH($C1444,Mix_Code,0),4),""))</f>
        <v/>
      </c>
      <c r="J1444" s="67" t="str">
        <f aca="false">IF(OR($C1444="",$D1444=""),"",IFERROR($D1444*INDEX(Mix_Eff,MATCH($C1444,Mix_Code,0),5),""))</f>
        <v/>
      </c>
      <c r="K1444" s="63"/>
      <c r="L1444" s="16" t="str">
        <f aca="false">IF(AND($A1444="",$B1444="",$C1444="",$D1444=""),"",IF($A1444="","⚠ Date missing",IF($B1444="","⚠ Site missing",IF(ISNA(MATCH($C1444,Mix_Code,0)),"⚠ Unknown mix code",IF($D1444="","⚠ Enter m3 produced",IF(COUNTIF(CI_Site,$B1444)=0,"⚠ Site not set up in Current Inventory",IF($A1444&gt;AsOfDate,"Future date – not yet deducted","OK")))))))</f>
        <v/>
      </c>
    </row>
    <row r="1445" customFormat="false" ht="15" hidden="false" customHeight="false" outlineLevel="0" collapsed="false">
      <c r="A1445" s="65"/>
      <c r="B1445" s="63"/>
      <c r="C1445" s="70"/>
      <c r="D1445" s="66"/>
      <c r="E1445" s="16" t="str">
        <f aca="false">IF($C1445="","",IFERROR(INDEX(Mix_Desc,MATCH($C1445,Mix_Code,0)),"⚠ Unknown mix code"))</f>
        <v/>
      </c>
      <c r="F1445" s="67" t="str">
        <f aca="false">IF(OR($C1445="",$D1445=""),"",IFERROR($D1445*INDEX(Mix_Eff,MATCH($C1445,Mix_Code,0),1),""))</f>
        <v/>
      </c>
      <c r="G1445" s="67" t="str">
        <f aca="false">IF(OR($C1445="",$D1445=""),"",IFERROR($D1445*INDEX(Mix_Eff,MATCH($C1445,Mix_Code,0),2),""))</f>
        <v/>
      </c>
      <c r="H1445" s="67" t="str">
        <f aca="false">IF(OR($C1445="",$D1445=""),"",IFERROR($D1445*INDEX(Mix_Eff,MATCH($C1445,Mix_Code,0),3),""))</f>
        <v/>
      </c>
      <c r="I1445" s="67" t="str">
        <f aca="false">IF(OR($C1445="",$D1445=""),"",IFERROR($D1445*INDEX(Mix_Eff,MATCH($C1445,Mix_Code,0),4),""))</f>
        <v/>
      </c>
      <c r="J1445" s="67" t="str">
        <f aca="false">IF(OR($C1445="",$D1445=""),"",IFERROR($D1445*INDEX(Mix_Eff,MATCH($C1445,Mix_Code,0),5),""))</f>
        <v/>
      </c>
      <c r="K1445" s="63"/>
      <c r="L1445" s="16" t="str">
        <f aca="false">IF(AND($A1445="",$B1445="",$C1445="",$D1445=""),"",IF($A1445="","⚠ Date missing",IF($B1445="","⚠ Site missing",IF(ISNA(MATCH($C1445,Mix_Code,0)),"⚠ Unknown mix code",IF($D1445="","⚠ Enter m3 produced",IF(COUNTIF(CI_Site,$B1445)=0,"⚠ Site not set up in Current Inventory",IF($A1445&gt;AsOfDate,"Future date – not yet deducted","OK")))))))</f>
        <v/>
      </c>
    </row>
    <row r="1446" customFormat="false" ht="15" hidden="false" customHeight="false" outlineLevel="0" collapsed="false">
      <c r="A1446" s="65"/>
      <c r="B1446" s="63"/>
      <c r="C1446" s="70"/>
      <c r="D1446" s="66"/>
      <c r="E1446" s="16" t="str">
        <f aca="false">IF($C1446="","",IFERROR(INDEX(Mix_Desc,MATCH($C1446,Mix_Code,0)),"⚠ Unknown mix code"))</f>
        <v/>
      </c>
      <c r="F1446" s="67" t="str">
        <f aca="false">IF(OR($C1446="",$D1446=""),"",IFERROR($D1446*INDEX(Mix_Eff,MATCH($C1446,Mix_Code,0),1),""))</f>
        <v/>
      </c>
      <c r="G1446" s="67" t="str">
        <f aca="false">IF(OR($C1446="",$D1446=""),"",IFERROR($D1446*INDEX(Mix_Eff,MATCH($C1446,Mix_Code,0),2),""))</f>
        <v/>
      </c>
      <c r="H1446" s="67" t="str">
        <f aca="false">IF(OR($C1446="",$D1446=""),"",IFERROR($D1446*INDEX(Mix_Eff,MATCH($C1446,Mix_Code,0),3),""))</f>
        <v/>
      </c>
      <c r="I1446" s="67" t="str">
        <f aca="false">IF(OR($C1446="",$D1446=""),"",IFERROR($D1446*INDEX(Mix_Eff,MATCH($C1446,Mix_Code,0),4),""))</f>
        <v/>
      </c>
      <c r="J1446" s="67" t="str">
        <f aca="false">IF(OR($C1446="",$D1446=""),"",IFERROR($D1446*INDEX(Mix_Eff,MATCH($C1446,Mix_Code,0),5),""))</f>
        <v/>
      </c>
      <c r="K1446" s="63"/>
      <c r="L1446" s="16" t="str">
        <f aca="false">IF(AND($A1446="",$B1446="",$C1446="",$D1446=""),"",IF($A1446="","⚠ Date missing",IF($B1446="","⚠ Site missing",IF(ISNA(MATCH($C1446,Mix_Code,0)),"⚠ Unknown mix code",IF($D1446="","⚠ Enter m3 produced",IF(COUNTIF(CI_Site,$B1446)=0,"⚠ Site not set up in Current Inventory",IF($A1446&gt;AsOfDate,"Future date – not yet deducted","OK")))))))</f>
        <v/>
      </c>
    </row>
    <row r="1447" customFormat="false" ht="15" hidden="false" customHeight="false" outlineLevel="0" collapsed="false">
      <c r="A1447" s="65"/>
      <c r="B1447" s="63"/>
      <c r="C1447" s="70"/>
      <c r="D1447" s="66"/>
      <c r="E1447" s="16" t="str">
        <f aca="false">IF($C1447="","",IFERROR(INDEX(Mix_Desc,MATCH($C1447,Mix_Code,0)),"⚠ Unknown mix code"))</f>
        <v/>
      </c>
      <c r="F1447" s="67" t="str">
        <f aca="false">IF(OR($C1447="",$D1447=""),"",IFERROR($D1447*INDEX(Mix_Eff,MATCH($C1447,Mix_Code,0),1),""))</f>
        <v/>
      </c>
      <c r="G1447" s="67" t="str">
        <f aca="false">IF(OR($C1447="",$D1447=""),"",IFERROR($D1447*INDEX(Mix_Eff,MATCH($C1447,Mix_Code,0),2),""))</f>
        <v/>
      </c>
      <c r="H1447" s="67" t="str">
        <f aca="false">IF(OR($C1447="",$D1447=""),"",IFERROR($D1447*INDEX(Mix_Eff,MATCH($C1447,Mix_Code,0),3),""))</f>
        <v/>
      </c>
      <c r="I1447" s="67" t="str">
        <f aca="false">IF(OR($C1447="",$D1447=""),"",IFERROR($D1447*INDEX(Mix_Eff,MATCH($C1447,Mix_Code,0),4),""))</f>
        <v/>
      </c>
      <c r="J1447" s="67" t="str">
        <f aca="false">IF(OR($C1447="",$D1447=""),"",IFERROR($D1447*INDEX(Mix_Eff,MATCH($C1447,Mix_Code,0),5),""))</f>
        <v/>
      </c>
      <c r="K1447" s="63"/>
      <c r="L1447" s="16" t="str">
        <f aca="false">IF(AND($A1447="",$B1447="",$C1447="",$D1447=""),"",IF($A1447="","⚠ Date missing",IF($B1447="","⚠ Site missing",IF(ISNA(MATCH($C1447,Mix_Code,0)),"⚠ Unknown mix code",IF($D1447="","⚠ Enter m3 produced",IF(COUNTIF(CI_Site,$B1447)=0,"⚠ Site not set up in Current Inventory",IF($A1447&gt;AsOfDate,"Future date – not yet deducted","OK")))))))</f>
        <v/>
      </c>
    </row>
    <row r="1448" customFormat="false" ht="15" hidden="false" customHeight="false" outlineLevel="0" collapsed="false">
      <c r="A1448" s="65"/>
      <c r="B1448" s="63"/>
      <c r="C1448" s="70"/>
      <c r="D1448" s="66"/>
      <c r="E1448" s="16" t="str">
        <f aca="false">IF($C1448="","",IFERROR(INDEX(Mix_Desc,MATCH($C1448,Mix_Code,0)),"⚠ Unknown mix code"))</f>
        <v/>
      </c>
      <c r="F1448" s="67" t="str">
        <f aca="false">IF(OR($C1448="",$D1448=""),"",IFERROR($D1448*INDEX(Mix_Eff,MATCH($C1448,Mix_Code,0),1),""))</f>
        <v/>
      </c>
      <c r="G1448" s="67" t="str">
        <f aca="false">IF(OR($C1448="",$D1448=""),"",IFERROR($D1448*INDEX(Mix_Eff,MATCH($C1448,Mix_Code,0),2),""))</f>
        <v/>
      </c>
      <c r="H1448" s="67" t="str">
        <f aca="false">IF(OR($C1448="",$D1448=""),"",IFERROR($D1448*INDEX(Mix_Eff,MATCH($C1448,Mix_Code,0),3),""))</f>
        <v/>
      </c>
      <c r="I1448" s="67" t="str">
        <f aca="false">IF(OR($C1448="",$D1448=""),"",IFERROR($D1448*INDEX(Mix_Eff,MATCH($C1448,Mix_Code,0),4),""))</f>
        <v/>
      </c>
      <c r="J1448" s="67" t="str">
        <f aca="false">IF(OR($C1448="",$D1448=""),"",IFERROR($D1448*INDEX(Mix_Eff,MATCH($C1448,Mix_Code,0),5),""))</f>
        <v/>
      </c>
      <c r="K1448" s="63"/>
      <c r="L1448" s="16" t="str">
        <f aca="false">IF(AND($A1448="",$B1448="",$C1448="",$D1448=""),"",IF($A1448="","⚠ Date missing",IF($B1448="","⚠ Site missing",IF(ISNA(MATCH($C1448,Mix_Code,0)),"⚠ Unknown mix code",IF($D1448="","⚠ Enter m3 produced",IF(COUNTIF(CI_Site,$B1448)=0,"⚠ Site not set up in Current Inventory",IF($A1448&gt;AsOfDate,"Future date – not yet deducted","OK")))))))</f>
        <v/>
      </c>
    </row>
    <row r="1449" customFormat="false" ht="15" hidden="false" customHeight="false" outlineLevel="0" collapsed="false">
      <c r="A1449" s="65"/>
      <c r="B1449" s="63"/>
      <c r="C1449" s="70"/>
      <c r="D1449" s="66"/>
      <c r="E1449" s="16" t="str">
        <f aca="false">IF($C1449="","",IFERROR(INDEX(Mix_Desc,MATCH($C1449,Mix_Code,0)),"⚠ Unknown mix code"))</f>
        <v/>
      </c>
      <c r="F1449" s="67" t="str">
        <f aca="false">IF(OR($C1449="",$D1449=""),"",IFERROR($D1449*INDEX(Mix_Eff,MATCH($C1449,Mix_Code,0),1),""))</f>
        <v/>
      </c>
      <c r="G1449" s="67" t="str">
        <f aca="false">IF(OR($C1449="",$D1449=""),"",IFERROR($D1449*INDEX(Mix_Eff,MATCH($C1449,Mix_Code,0),2),""))</f>
        <v/>
      </c>
      <c r="H1449" s="67" t="str">
        <f aca="false">IF(OR($C1449="",$D1449=""),"",IFERROR($D1449*INDEX(Mix_Eff,MATCH($C1449,Mix_Code,0),3),""))</f>
        <v/>
      </c>
      <c r="I1449" s="67" t="str">
        <f aca="false">IF(OR($C1449="",$D1449=""),"",IFERROR($D1449*INDEX(Mix_Eff,MATCH($C1449,Mix_Code,0),4),""))</f>
        <v/>
      </c>
      <c r="J1449" s="67" t="str">
        <f aca="false">IF(OR($C1449="",$D1449=""),"",IFERROR($D1449*INDEX(Mix_Eff,MATCH($C1449,Mix_Code,0),5),""))</f>
        <v/>
      </c>
      <c r="K1449" s="63"/>
      <c r="L1449" s="16" t="str">
        <f aca="false">IF(AND($A1449="",$B1449="",$C1449="",$D1449=""),"",IF($A1449="","⚠ Date missing",IF($B1449="","⚠ Site missing",IF(ISNA(MATCH($C1449,Mix_Code,0)),"⚠ Unknown mix code",IF($D1449="","⚠ Enter m3 produced",IF(COUNTIF(CI_Site,$B1449)=0,"⚠ Site not set up in Current Inventory",IF($A1449&gt;AsOfDate,"Future date – not yet deducted","OK")))))))</f>
        <v/>
      </c>
    </row>
    <row r="1450" customFormat="false" ht="15" hidden="false" customHeight="false" outlineLevel="0" collapsed="false">
      <c r="A1450" s="65"/>
      <c r="B1450" s="63"/>
      <c r="C1450" s="70"/>
      <c r="D1450" s="66"/>
      <c r="E1450" s="16" t="str">
        <f aca="false">IF($C1450="","",IFERROR(INDEX(Mix_Desc,MATCH($C1450,Mix_Code,0)),"⚠ Unknown mix code"))</f>
        <v/>
      </c>
      <c r="F1450" s="67" t="str">
        <f aca="false">IF(OR($C1450="",$D1450=""),"",IFERROR($D1450*INDEX(Mix_Eff,MATCH($C1450,Mix_Code,0),1),""))</f>
        <v/>
      </c>
      <c r="G1450" s="67" t="str">
        <f aca="false">IF(OR($C1450="",$D1450=""),"",IFERROR($D1450*INDEX(Mix_Eff,MATCH($C1450,Mix_Code,0),2),""))</f>
        <v/>
      </c>
      <c r="H1450" s="67" t="str">
        <f aca="false">IF(OR($C1450="",$D1450=""),"",IFERROR($D1450*INDEX(Mix_Eff,MATCH($C1450,Mix_Code,0),3),""))</f>
        <v/>
      </c>
      <c r="I1450" s="67" t="str">
        <f aca="false">IF(OR($C1450="",$D1450=""),"",IFERROR($D1450*INDEX(Mix_Eff,MATCH($C1450,Mix_Code,0),4),""))</f>
        <v/>
      </c>
      <c r="J1450" s="67" t="str">
        <f aca="false">IF(OR($C1450="",$D1450=""),"",IFERROR($D1450*INDEX(Mix_Eff,MATCH($C1450,Mix_Code,0),5),""))</f>
        <v/>
      </c>
      <c r="K1450" s="63"/>
      <c r="L1450" s="16" t="str">
        <f aca="false">IF(AND($A1450="",$B1450="",$C1450="",$D1450=""),"",IF($A1450="","⚠ Date missing",IF($B1450="","⚠ Site missing",IF(ISNA(MATCH($C1450,Mix_Code,0)),"⚠ Unknown mix code",IF($D1450="","⚠ Enter m3 produced",IF(COUNTIF(CI_Site,$B1450)=0,"⚠ Site not set up in Current Inventory",IF($A1450&gt;AsOfDate,"Future date – not yet deducted","OK")))))))</f>
        <v/>
      </c>
    </row>
    <row r="1451" customFormat="false" ht="15" hidden="false" customHeight="false" outlineLevel="0" collapsed="false">
      <c r="A1451" s="65"/>
      <c r="B1451" s="63"/>
      <c r="C1451" s="70"/>
      <c r="D1451" s="66"/>
      <c r="E1451" s="16" t="str">
        <f aca="false">IF($C1451="","",IFERROR(INDEX(Mix_Desc,MATCH($C1451,Mix_Code,0)),"⚠ Unknown mix code"))</f>
        <v/>
      </c>
      <c r="F1451" s="67" t="str">
        <f aca="false">IF(OR($C1451="",$D1451=""),"",IFERROR($D1451*INDEX(Mix_Eff,MATCH($C1451,Mix_Code,0),1),""))</f>
        <v/>
      </c>
      <c r="G1451" s="67" t="str">
        <f aca="false">IF(OR($C1451="",$D1451=""),"",IFERROR($D1451*INDEX(Mix_Eff,MATCH($C1451,Mix_Code,0),2),""))</f>
        <v/>
      </c>
      <c r="H1451" s="67" t="str">
        <f aca="false">IF(OR($C1451="",$D1451=""),"",IFERROR($D1451*INDEX(Mix_Eff,MATCH($C1451,Mix_Code,0),3),""))</f>
        <v/>
      </c>
      <c r="I1451" s="67" t="str">
        <f aca="false">IF(OR($C1451="",$D1451=""),"",IFERROR($D1451*INDEX(Mix_Eff,MATCH($C1451,Mix_Code,0),4),""))</f>
        <v/>
      </c>
      <c r="J1451" s="67" t="str">
        <f aca="false">IF(OR($C1451="",$D1451=""),"",IFERROR($D1451*INDEX(Mix_Eff,MATCH($C1451,Mix_Code,0),5),""))</f>
        <v/>
      </c>
      <c r="K1451" s="63"/>
      <c r="L1451" s="16" t="str">
        <f aca="false">IF(AND($A1451="",$B1451="",$C1451="",$D1451=""),"",IF($A1451="","⚠ Date missing",IF($B1451="","⚠ Site missing",IF(ISNA(MATCH($C1451,Mix_Code,0)),"⚠ Unknown mix code",IF($D1451="","⚠ Enter m3 produced",IF(COUNTIF(CI_Site,$B1451)=0,"⚠ Site not set up in Current Inventory",IF($A1451&gt;AsOfDate,"Future date – not yet deducted","OK")))))))</f>
        <v/>
      </c>
    </row>
    <row r="1452" customFormat="false" ht="15" hidden="false" customHeight="false" outlineLevel="0" collapsed="false">
      <c r="A1452" s="65"/>
      <c r="B1452" s="63"/>
      <c r="C1452" s="70"/>
      <c r="D1452" s="66"/>
      <c r="E1452" s="16" t="str">
        <f aca="false">IF($C1452="","",IFERROR(INDEX(Mix_Desc,MATCH($C1452,Mix_Code,0)),"⚠ Unknown mix code"))</f>
        <v/>
      </c>
      <c r="F1452" s="67" t="str">
        <f aca="false">IF(OR($C1452="",$D1452=""),"",IFERROR($D1452*INDEX(Mix_Eff,MATCH($C1452,Mix_Code,0),1),""))</f>
        <v/>
      </c>
      <c r="G1452" s="67" t="str">
        <f aca="false">IF(OR($C1452="",$D1452=""),"",IFERROR($D1452*INDEX(Mix_Eff,MATCH($C1452,Mix_Code,0),2),""))</f>
        <v/>
      </c>
      <c r="H1452" s="67" t="str">
        <f aca="false">IF(OR($C1452="",$D1452=""),"",IFERROR($D1452*INDEX(Mix_Eff,MATCH($C1452,Mix_Code,0),3),""))</f>
        <v/>
      </c>
      <c r="I1452" s="67" t="str">
        <f aca="false">IF(OR($C1452="",$D1452=""),"",IFERROR($D1452*INDEX(Mix_Eff,MATCH($C1452,Mix_Code,0),4),""))</f>
        <v/>
      </c>
      <c r="J1452" s="67" t="str">
        <f aca="false">IF(OR($C1452="",$D1452=""),"",IFERROR($D1452*INDEX(Mix_Eff,MATCH($C1452,Mix_Code,0),5),""))</f>
        <v/>
      </c>
      <c r="K1452" s="63"/>
      <c r="L1452" s="16" t="str">
        <f aca="false">IF(AND($A1452="",$B1452="",$C1452="",$D1452=""),"",IF($A1452="","⚠ Date missing",IF($B1452="","⚠ Site missing",IF(ISNA(MATCH($C1452,Mix_Code,0)),"⚠ Unknown mix code",IF($D1452="","⚠ Enter m3 produced",IF(COUNTIF(CI_Site,$B1452)=0,"⚠ Site not set up in Current Inventory",IF($A1452&gt;AsOfDate,"Future date – not yet deducted","OK")))))))</f>
        <v/>
      </c>
    </row>
    <row r="1453" customFormat="false" ht="15" hidden="false" customHeight="false" outlineLevel="0" collapsed="false">
      <c r="A1453" s="65"/>
      <c r="B1453" s="63"/>
      <c r="C1453" s="70"/>
      <c r="D1453" s="66"/>
      <c r="E1453" s="16" t="str">
        <f aca="false">IF($C1453="","",IFERROR(INDEX(Mix_Desc,MATCH($C1453,Mix_Code,0)),"⚠ Unknown mix code"))</f>
        <v/>
      </c>
      <c r="F1453" s="67" t="str">
        <f aca="false">IF(OR($C1453="",$D1453=""),"",IFERROR($D1453*INDEX(Mix_Eff,MATCH($C1453,Mix_Code,0),1),""))</f>
        <v/>
      </c>
      <c r="G1453" s="67" t="str">
        <f aca="false">IF(OR($C1453="",$D1453=""),"",IFERROR($D1453*INDEX(Mix_Eff,MATCH($C1453,Mix_Code,0),2),""))</f>
        <v/>
      </c>
      <c r="H1453" s="67" t="str">
        <f aca="false">IF(OR($C1453="",$D1453=""),"",IFERROR($D1453*INDEX(Mix_Eff,MATCH($C1453,Mix_Code,0),3),""))</f>
        <v/>
      </c>
      <c r="I1453" s="67" t="str">
        <f aca="false">IF(OR($C1453="",$D1453=""),"",IFERROR($D1453*INDEX(Mix_Eff,MATCH($C1453,Mix_Code,0),4),""))</f>
        <v/>
      </c>
      <c r="J1453" s="67" t="str">
        <f aca="false">IF(OR($C1453="",$D1453=""),"",IFERROR($D1453*INDEX(Mix_Eff,MATCH($C1453,Mix_Code,0),5),""))</f>
        <v/>
      </c>
      <c r="K1453" s="63"/>
      <c r="L1453" s="16" t="str">
        <f aca="false">IF(AND($A1453="",$B1453="",$C1453="",$D1453=""),"",IF($A1453="","⚠ Date missing",IF($B1453="","⚠ Site missing",IF(ISNA(MATCH($C1453,Mix_Code,0)),"⚠ Unknown mix code",IF($D1453="","⚠ Enter m3 produced",IF(COUNTIF(CI_Site,$B1453)=0,"⚠ Site not set up in Current Inventory",IF($A1453&gt;AsOfDate,"Future date – not yet deducted","OK")))))))</f>
        <v/>
      </c>
    </row>
    <row r="1454" customFormat="false" ht="15" hidden="false" customHeight="false" outlineLevel="0" collapsed="false">
      <c r="A1454" s="65"/>
      <c r="B1454" s="63"/>
      <c r="C1454" s="70"/>
      <c r="D1454" s="66"/>
      <c r="E1454" s="16" t="str">
        <f aca="false">IF($C1454="","",IFERROR(INDEX(Mix_Desc,MATCH($C1454,Mix_Code,0)),"⚠ Unknown mix code"))</f>
        <v/>
      </c>
      <c r="F1454" s="67" t="str">
        <f aca="false">IF(OR($C1454="",$D1454=""),"",IFERROR($D1454*INDEX(Mix_Eff,MATCH($C1454,Mix_Code,0),1),""))</f>
        <v/>
      </c>
      <c r="G1454" s="67" t="str">
        <f aca="false">IF(OR($C1454="",$D1454=""),"",IFERROR($D1454*INDEX(Mix_Eff,MATCH($C1454,Mix_Code,0),2),""))</f>
        <v/>
      </c>
      <c r="H1454" s="67" t="str">
        <f aca="false">IF(OR($C1454="",$D1454=""),"",IFERROR($D1454*INDEX(Mix_Eff,MATCH($C1454,Mix_Code,0),3),""))</f>
        <v/>
      </c>
      <c r="I1454" s="67" t="str">
        <f aca="false">IF(OR($C1454="",$D1454=""),"",IFERROR($D1454*INDEX(Mix_Eff,MATCH($C1454,Mix_Code,0),4),""))</f>
        <v/>
      </c>
      <c r="J1454" s="67" t="str">
        <f aca="false">IF(OR($C1454="",$D1454=""),"",IFERROR($D1454*INDEX(Mix_Eff,MATCH($C1454,Mix_Code,0),5),""))</f>
        <v/>
      </c>
      <c r="K1454" s="63"/>
      <c r="L1454" s="16" t="str">
        <f aca="false">IF(AND($A1454="",$B1454="",$C1454="",$D1454=""),"",IF($A1454="","⚠ Date missing",IF($B1454="","⚠ Site missing",IF(ISNA(MATCH($C1454,Mix_Code,0)),"⚠ Unknown mix code",IF($D1454="","⚠ Enter m3 produced",IF(COUNTIF(CI_Site,$B1454)=0,"⚠ Site not set up in Current Inventory",IF($A1454&gt;AsOfDate,"Future date – not yet deducted","OK")))))))</f>
        <v/>
      </c>
    </row>
    <row r="1455" customFormat="false" ht="15" hidden="false" customHeight="false" outlineLevel="0" collapsed="false">
      <c r="A1455" s="65"/>
      <c r="B1455" s="63"/>
      <c r="C1455" s="70"/>
      <c r="D1455" s="66"/>
      <c r="E1455" s="16" t="str">
        <f aca="false">IF($C1455="","",IFERROR(INDEX(Mix_Desc,MATCH($C1455,Mix_Code,0)),"⚠ Unknown mix code"))</f>
        <v/>
      </c>
      <c r="F1455" s="67" t="str">
        <f aca="false">IF(OR($C1455="",$D1455=""),"",IFERROR($D1455*INDEX(Mix_Eff,MATCH($C1455,Mix_Code,0),1),""))</f>
        <v/>
      </c>
      <c r="G1455" s="67" t="str">
        <f aca="false">IF(OR($C1455="",$D1455=""),"",IFERROR($D1455*INDEX(Mix_Eff,MATCH($C1455,Mix_Code,0),2),""))</f>
        <v/>
      </c>
      <c r="H1455" s="67" t="str">
        <f aca="false">IF(OR($C1455="",$D1455=""),"",IFERROR($D1455*INDEX(Mix_Eff,MATCH($C1455,Mix_Code,0),3),""))</f>
        <v/>
      </c>
      <c r="I1455" s="67" t="str">
        <f aca="false">IF(OR($C1455="",$D1455=""),"",IFERROR($D1455*INDEX(Mix_Eff,MATCH($C1455,Mix_Code,0),4),""))</f>
        <v/>
      </c>
      <c r="J1455" s="67" t="str">
        <f aca="false">IF(OR($C1455="",$D1455=""),"",IFERROR($D1455*INDEX(Mix_Eff,MATCH($C1455,Mix_Code,0),5),""))</f>
        <v/>
      </c>
      <c r="K1455" s="63"/>
      <c r="L1455" s="16" t="str">
        <f aca="false">IF(AND($A1455="",$B1455="",$C1455="",$D1455=""),"",IF($A1455="","⚠ Date missing",IF($B1455="","⚠ Site missing",IF(ISNA(MATCH($C1455,Mix_Code,0)),"⚠ Unknown mix code",IF($D1455="","⚠ Enter m3 produced",IF(COUNTIF(CI_Site,$B1455)=0,"⚠ Site not set up in Current Inventory",IF($A1455&gt;AsOfDate,"Future date – not yet deducted","OK")))))))</f>
        <v/>
      </c>
    </row>
    <row r="1456" customFormat="false" ht="15" hidden="false" customHeight="false" outlineLevel="0" collapsed="false">
      <c r="A1456" s="65"/>
      <c r="B1456" s="63"/>
      <c r="C1456" s="70"/>
      <c r="D1456" s="66"/>
      <c r="E1456" s="16" t="str">
        <f aca="false">IF($C1456="","",IFERROR(INDEX(Mix_Desc,MATCH($C1456,Mix_Code,0)),"⚠ Unknown mix code"))</f>
        <v/>
      </c>
      <c r="F1456" s="67" t="str">
        <f aca="false">IF(OR($C1456="",$D1456=""),"",IFERROR($D1456*INDEX(Mix_Eff,MATCH($C1456,Mix_Code,0),1),""))</f>
        <v/>
      </c>
      <c r="G1456" s="67" t="str">
        <f aca="false">IF(OR($C1456="",$D1456=""),"",IFERROR($D1456*INDEX(Mix_Eff,MATCH($C1456,Mix_Code,0),2),""))</f>
        <v/>
      </c>
      <c r="H1456" s="67" t="str">
        <f aca="false">IF(OR($C1456="",$D1456=""),"",IFERROR($D1456*INDEX(Mix_Eff,MATCH($C1456,Mix_Code,0),3),""))</f>
        <v/>
      </c>
      <c r="I1456" s="67" t="str">
        <f aca="false">IF(OR($C1456="",$D1456=""),"",IFERROR($D1456*INDEX(Mix_Eff,MATCH($C1456,Mix_Code,0),4),""))</f>
        <v/>
      </c>
      <c r="J1456" s="67" t="str">
        <f aca="false">IF(OR($C1456="",$D1456=""),"",IFERROR($D1456*INDEX(Mix_Eff,MATCH($C1456,Mix_Code,0),5),""))</f>
        <v/>
      </c>
      <c r="K1456" s="63"/>
      <c r="L1456" s="16" t="str">
        <f aca="false">IF(AND($A1456="",$B1456="",$C1456="",$D1456=""),"",IF($A1456="","⚠ Date missing",IF($B1456="","⚠ Site missing",IF(ISNA(MATCH($C1456,Mix_Code,0)),"⚠ Unknown mix code",IF($D1456="","⚠ Enter m3 produced",IF(COUNTIF(CI_Site,$B1456)=0,"⚠ Site not set up in Current Inventory",IF($A1456&gt;AsOfDate,"Future date – not yet deducted","OK")))))))</f>
        <v/>
      </c>
    </row>
    <row r="1457" customFormat="false" ht="15" hidden="false" customHeight="false" outlineLevel="0" collapsed="false">
      <c r="A1457" s="65"/>
      <c r="B1457" s="63"/>
      <c r="C1457" s="70"/>
      <c r="D1457" s="66"/>
      <c r="E1457" s="16" t="str">
        <f aca="false">IF($C1457="","",IFERROR(INDEX(Mix_Desc,MATCH($C1457,Mix_Code,0)),"⚠ Unknown mix code"))</f>
        <v/>
      </c>
      <c r="F1457" s="67" t="str">
        <f aca="false">IF(OR($C1457="",$D1457=""),"",IFERROR($D1457*INDEX(Mix_Eff,MATCH($C1457,Mix_Code,0),1),""))</f>
        <v/>
      </c>
      <c r="G1457" s="67" t="str">
        <f aca="false">IF(OR($C1457="",$D1457=""),"",IFERROR($D1457*INDEX(Mix_Eff,MATCH($C1457,Mix_Code,0),2),""))</f>
        <v/>
      </c>
      <c r="H1457" s="67" t="str">
        <f aca="false">IF(OR($C1457="",$D1457=""),"",IFERROR($D1457*INDEX(Mix_Eff,MATCH($C1457,Mix_Code,0),3),""))</f>
        <v/>
      </c>
      <c r="I1457" s="67" t="str">
        <f aca="false">IF(OR($C1457="",$D1457=""),"",IFERROR($D1457*INDEX(Mix_Eff,MATCH($C1457,Mix_Code,0),4),""))</f>
        <v/>
      </c>
      <c r="J1457" s="67" t="str">
        <f aca="false">IF(OR($C1457="",$D1457=""),"",IFERROR($D1457*INDEX(Mix_Eff,MATCH($C1457,Mix_Code,0),5),""))</f>
        <v/>
      </c>
      <c r="K1457" s="63"/>
      <c r="L1457" s="16" t="str">
        <f aca="false">IF(AND($A1457="",$B1457="",$C1457="",$D1457=""),"",IF($A1457="","⚠ Date missing",IF($B1457="","⚠ Site missing",IF(ISNA(MATCH($C1457,Mix_Code,0)),"⚠ Unknown mix code",IF($D1457="","⚠ Enter m3 produced",IF(COUNTIF(CI_Site,$B1457)=0,"⚠ Site not set up in Current Inventory",IF($A1457&gt;AsOfDate,"Future date – not yet deducted","OK")))))))</f>
        <v/>
      </c>
    </row>
    <row r="1458" customFormat="false" ht="15" hidden="false" customHeight="false" outlineLevel="0" collapsed="false">
      <c r="A1458" s="65"/>
      <c r="B1458" s="63"/>
      <c r="C1458" s="70"/>
      <c r="D1458" s="66"/>
      <c r="E1458" s="16" t="str">
        <f aca="false">IF($C1458="","",IFERROR(INDEX(Mix_Desc,MATCH($C1458,Mix_Code,0)),"⚠ Unknown mix code"))</f>
        <v/>
      </c>
      <c r="F1458" s="67" t="str">
        <f aca="false">IF(OR($C1458="",$D1458=""),"",IFERROR($D1458*INDEX(Mix_Eff,MATCH($C1458,Mix_Code,0),1),""))</f>
        <v/>
      </c>
      <c r="G1458" s="67" t="str">
        <f aca="false">IF(OR($C1458="",$D1458=""),"",IFERROR($D1458*INDEX(Mix_Eff,MATCH($C1458,Mix_Code,0),2),""))</f>
        <v/>
      </c>
      <c r="H1458" s="67" t="str">
        <f aca="false">IF(OR($C1458="",$D1458=""),"",IFERROR($D1458*INDEX(Mix_Eff,MATCH($C1458,Mix_Code,0),3),""))</f>
        <v/>
      </c>
      <c r="I1458" s="67" t="str">
        <f aca="false">IF(OR($C1458="",$D1458=""),"",IFERROR($D1458*INDEX(Mix_Eff,MATCH($C1458,Mix_Code,0),4),""))</f>
        <v/>
      </c>
      <c r="J1458" s="67" t="str">
        <f aca="false">IF(OR($C1458="",$D1458=""),"",IFERROR($D1458*INDEX(Mix_Eff,MATCH($C1458,Mix_Code,0),5),""))</f>
        <v/>
      </c>
      <c r="K1458" s="63"/>
      <c r="L1458" s="16" t="str">
        <f aca="false">IF(AND($A1458="",$B1458="",$C1458="",$D1458=""),"",IF($A1458="","⚠ Date missing",IF($B1458="","⚠ Site missing",IF(ISNA(MATCH($C1458,Mix_Code,0)),"⚠ Unknown mix code",IF($D1458="","⚠ Enter m3 produced",IF(COUNTIF(CI_Site,$B1458)=0,"⚠ Site not set up in Current Inventory",IF($A1458&gt;AsOfDate,"Future date – not yet deducted","OK")))))))</f>
        <v/>
      </c>
    </row>
    <row r="1459" customFormat="false" ht="15" hidden="false" customHeight="false" outlineLevel="0" collapsed="false">
      <c r="A1459" s="65"/>
      <c r="B1459" s="63"/>
      <c r="C1459" s="70"/>
      <c r="D1459" s="66"/>
      <c r="E1459" s="16" t="str">
        <f aca="false">IF($C1459="","",IFERROR(INDEX(Mix_Desc,MATCH($C1459,Mix_Code,0)),"⚠ Unknown mix code"))</f>
        <v/>
      </c>
      <c r="F1459" s="67" t="str">
        <f aca="false">IF(OR($C1459="",$D1459=""),"",IFERROR($D1459*INDEX(Mix_Eff,MATCH($C1459,Mix_Code,0),1),""))</f>
        <v/>
      </c>
      <c r="G1459" s="67" t="str">
        <f aca="false">IF(OR($C1459="",$D1459=""),"",IFERROR($D1459*INDEX(Mix_Eff,MATCH($C1459,Mix_Code,0),2),""))</f>
        <v/>
      </c>
      <c r="H1459" s="67" t="str">
        <f aca="false">IF(OR($C1459="",$D1459=""),"",IFERROR($D1459*INDEX(Mix_Eff,MATCH($C1459,Mix_Code,0),3),""))</f>
        <v/>
      </c>
      <c r="I1459" s="67" t="str">
        <f aca="false">IF(OR($C1459="",$D1459=""),"",IFERROR($D1459*INDEX(Mix_Eff,MATCH($C1459,Mix_Code,0),4),""))</f>
        <v/>
      </c>
      <c r="J1459" s="67" t="str">
        <f aca="false">IF(OR($C1459="",$D1459=""),"",IFERROR($D1459*INDEX(Mix_Eff,MATCH($C1459,Mix_Code,0),5),""))</f>
        <v/>
      </c>
      <c r="K1459" s="63"/>
      <c r="L1459" s="16" t="str">
        <f aca="false">IF(AND($A1459="",$B1459="",$C1459="",$D1459=""),"",IF($A1459="","⚠ Date missing",IF($B1459="","⚠ Site missing",IF(ISNA(MATCH($C1459,Mix_Code,0)),"⚠ Unknown mix code",IF($D1459="","⚠ Enter m3 produced",IF(COUNTIF(CI_Site,$B1459)=0,"⚠ Site not set up in Current Inventory",IF($A1459&gt;AsOfDate,"Future date – not yet deducted","OK")))))))</f>
        <v/>
      </c>
    </row>
    <row r="1460" customFormat="false" ht="15" hidden="false" customHeight="false" outlineLevel="0" collapsed="false">
      <c r="A1460" s="65"/>
      <c r="B1460" s="63"/>
      <c r="C1460" s="70"/>
      <c r="D1460" s="66"/>
      <c r="E1460" s="16" t="str">
        <f aca="false">IF($C1460="","",IFERROR(INDEX(Mix_Desc,MATCH($C1460,Mix_Code,0)),"⚠ Unknown mix code"))</f>
        <v/>
      </c>
      <c r="F1460" s="67" t="str">
        <f aca="false">IF(OR($C1460="",$D1460=""),"",IFERROR($D1460*INDEX(Mix_Eff,MATCH($C1460,Mix_Code,0),1),""))</f>
        <v/>
      </c>
      <c r="G1460" s="67" t="str">
        <f aca="false">IF(OR($C1460="",$D1460=""),"",IFERROR($D1460*INDEX(Mix_Eff,MATCH($C1460,Mix_Code,0),2),""))</f>
        <v/>
      </c>
      <c r="H1460" s="67" t="str">
        <f aca="false">IF(OR($C1460="",$D1460=""),"",IFERROR($D1460*INDEX(Mix_Eff,MATCH($C1460,Mix_Code,0),3),""))</f>
        <v/>
      </c>
      <c r="I1460" s="67" t="str">
        <f aca="false">IF(OR($C1460="",$D1460=""),"",IFERROR($D1460*INDEX(Mix_Eff,MATCH($C1460,Mix_Code,0),4),""))</f>
        <v/>
      </c>
      <c r="J1460" s="67" t="str">
        <f aca="false">IF(OR($C1460="",$D1460=""),"",IFERROR($D1460*INDEX(Mix_Eff,MATCH($C1460,Mix_Code,0),5),""))</f>
        <v/>
      </c>
      <c r="K1460" s="63"/>
      <c r="L1460" s="16" t="str">
        <f aca="false">IF(AND($A1460="",$B1460="",$C1460="",$D1460=""),"",IF($A1460="","⚠ Date missing",IF($B1460="","⚠ Site missing",IF(ISNA(MATCH($C1460,Mix_Code,0)),"⚠ Unknown mix code",IF($D1460="","⚠ Enter m3 produced",IF(COUNTIF(CI_Site,$B1460)=0,"⚠ Site not set up in Current Inventory",IF($A1460&gt;AsOfDate,"Future date – not yet deducted","OK")))))))</f>
        <v/>
      </c>
    </row>
    <row r="1461" customFormat="false" ht="15" hidden="false" customHeight="false" outlineLevel="0" collapsed="false">
      <c r="A1461" s="65"/>
      <c r="B1461" s="63"/>
      <c r="C1461" s="70"/>
      <c r="D1461" s="66"/>
      <c r="E1461" s="16" t="str">
        <f aca="false">IF($C1461="","",IFERROR(INDEX(Mix_Desc,MATCH($C1461,Mix_Code,0)),"⚠ Unknown mix code"))</f>
        <v/>
      </c>
      <c r="F1461" s="67" t="str">
        <f aca="false">IF(OR($C1461="",$D1461=""),"",IFERROR($D1461*INDEX(Mix_Eff,MATCH($C1461,Mix_Code,0),1),""))</f>
        <v/>
      </c>
      <c r="G1461" s="67" t="str">
        <f aca="false">IF(OR($C1461="",$D1461=""),"",IFERROR($D1461*INDEX(Mix_Eff,MATCH($C1461,Mix_Code,0),2),""))</f>
        <v/>
      </c>
      <c r="H1461" s="67" t="str">
        <f aca="false">IF(OR($C1461="",$D1461=""),"",IFERROR($D1461*INDEX(Mix_Eff,MATCH($C1461,Mix_Code,0),3),""))</f>
        <v/>
      </c>
      <c r="I1461" s="67" t="str">
        <f aca="false">IF(OR($C1461="",$D1461=""),"",IFERROR($D1461*INDEX(Mix_Eff,MATCH($C1461,Mix_Code,0),4),""))</f>
        <v/>
      </c>
      <c r="J1461" s="67" t="str">
        <f aca="false">IF(OR($C1461="",$D1461=""),"",IFERROR($D1461*INDEX(Mix_Eff,MATCH($C1461,Mix_Code,0),5),""))</f>
        <v/>
      </c>
      <c r="K1461" s="63"/>
      <c r="L1461" s="16" t="str">
        <f aca="false">IF(AND($A1461="",$B1461="",$C1461="",$D1461=""),"",IF($A1461="","⚠ Date missing",IF($B1461="","⚠ Site missing",IF(ISNA(MATCH($C1461,Mix_Code,0)),"⚠ Unknown mix code",IF($D1461="","⚠ Enter m3 produced",IF(COUNTIF(CI_Site,$B1461)=0,"⚠ Site not set up in Current Inventory",IF($A1461&gt;AsOfDate,"Future date – not yet deducted","OK")))))))</f>
        <v/>
      </c>
    </row>
    <row r="1462" customFormat="false" ht="15" hidden="false" customHeight="false" outlineLevel="0" collapsed="false">
      <c r="A1462" s="65"/>
      <c r="B1462" s="63"/>
      <c r="C1462" s="70"/>
      <c r="D1462" s="66"/>
      <c r="E1462" s="16" t="str">
        <f aca="false">IF($C1462="","",IFERROR(INDEX(Mix_Desc,MATCH($C1462,Mix_Code,0)),"⚠ Unknown mix code"))</f>
        <v/>
      </c>
      <c r="F1462" s="67" t="str">
        <f aca="false">IF(OR($C1462="",$D1462=""),"",IFERROR($D1462*INDEX(Mix_Eff,MATCH($C1462,Mix_Code,0),1),""))</f>
        <v/>
      </c>
      <c r="G1462" s="67" t="str">
        <f aca="false">IF(OR($C1462="",$D1462=""),"",IFERROR($D1462*INDEX(Mix_Eff,MATCH($C1462,Mix_Code,0),2),""))</f>
        <v/>
      </c>
      <c r="H1462" s="67" t="str">
        <f aca="false">IF(OR($C1462="",$D1462=""),"",IFERROR($D1462*INDEX(Mix_Eff,MATCH($C1462,Mix_Code,0),3),""))</f>
        <v/>
      </c>
      <c r="I1462" s="67" t="str">
        <f aca="false">IF(OR($C1462="",$D1462=""),"",IFERROR($D1462*INDEX(Mix_Eff,MATCH($C1462,Mix_Code,0),4),""))</f>
        <v/>
      </c>
      <c r="J1462" s="67" t="str">
        <f aca="false">IF(OR($C1462="",$D1462=""),"",IFERROR($D1462*INDEX(Mix_Eff,MATCH($C1462,Mix_Code,0),5),""))</f>
        <v/>
      </c>
      <c r="K1462" s="63"/>
      <c r="L1462" s="16" t="str">
        <f aca="false">IF(AND($A1462="",$B1462="",$C1462="",$D1462=""),"",IF($A1462="","⚠ Date missing",IF($B1462="","⚠ Site missing",IF(ISNA(MATCH($C1462,Mix_Code,0)),"⚠ Unknown mix code",IF($D1462="","⚠ Enter m3 produced",IF(COUNTIF(CI_Site,$B1462)=0,"⚠ Site not set up in Current Inventory",IF($A1462&gt;AsOfDate,"Future date – not yet deducted","OK")))))))</f>
        <v/>
      </c>
    </row>
    <row r="1463" customFormat="false" ht="15" hidden="false" customHeight="false" outlineLevel="0" collapsed="false">
      <c r="A1463" s="65"/>
      <c r="B1463" s="63"/>
      <c r="C1463" s="70"/>
      <c r="D1463" s="66"/>
      <c r="E1463" s="16" t="str">
        <f aca="false">IF($C1463="","",IFERROR(INDEX(Mix_Desc,MATCH($C1463,Mix_Code,0)),"⚠ Unknown mix code"))</f>
        <v/>
      </c>
      <c r="F1463" s="67" t="str">
        <f aca="false">IF(OR($C1463="",$D1463=""),"",IFERROR($D1463*INDEX(Mix_Eff,MATCH($C1463,Mix_Code,0),1),""))</f>
        <v/>
      </c>
      <c r="G1463" s="67" t="str">
        <f aca="false">IF(OR($C1463="",$D1463=""),"",IFERROR($D1463*INDEX(Mix_Eff,MATCH($C1463,Mix_Code,0),2),""))</f>
        <v/>
      </c>
      <c r="H1463" s="67" t="str">
        <f aca="false">IF(OR($C1463="",$D1463=""),"",IFERROR($D1463*INDEX(Mix_Eff,MATCH($C1463,Mix_Code,0),3),""))</f>
        <v/>
      </c>
      <c r="I1463" s="67" t="str">
        <f aca="false">IF(OR($C1463="",$D1463=""),"",IFERROR($D1463*INDEX(Mix_Eff,MATCH($C1463,Mix_Code,0),4),""))</f>
        <v/>
      </c>
      <c r="J1463" s="67" t="str">
        <f aca="false">IF(OR($C1463="",$D1463=""),"",IFERROR($D1463*INDEX(Mix_Eff,MATCH($C1463,Mix_Code,0),5),""))</f>
        <v/>
      </c>
      <c r="K1463" s="63"/>
      <c r="L1463" s="16" t="str">
        <f aca="false">IF(AND($A1463="",$B1463="",$C1463="",$D1463=""),"",IF($A1463="","⚠ Date missing",IF($B1463="","⚠ Site missing",IF(ISNA(MATCH($C1463,Mix_Code,0)),"⚠ Unknown mix code",IF($D1463="","⚠ Enter m3 produced",IF(COUNTIF(CI_Site,$B1463)=0,"⚠ Site not set up in Current Inventory",IF($A1463&gt;AsOfDate,"Future date – not yet deducted","OK")))))))</f>
        <v/>
      </c>
    </row>
    <row r="1464" customFormat="false" ht="15" hidden="false" customHeight="false" outlineLevel="0" collapsed="false">
      <c r="A1464" s="65"/>
      <c r="B1464" s="63"/>
      <c r="C1464" s="70"/>
      <c r="D1464" s="66"/>
      <c r="E1464" s="16" t="str">
        <f aca="false">IF($C1464="","",IFERROR(INDEX(Mix_Desc,MATCH($C1464,Mix_Code,0)),"⚠ Unknown mix code"))</f>
        <v/>
      </c>
      <c r="F1464" s="67" t="str">
        <f aca="false">IF(OR($C1464="",$D1464=""),"",IFERROR($D1464*INDEX(Mix_Eff,MATCH($C1464,Mix_Code,0),1),""))</f>
        <v/>
      </c>
      <c r="G1464" s="67" t="str">
        <f aca="false">IF(OR($C1464="",$D1464=""),"",IFERROR($D1464*INDEX(Mix_Eff,MATCH($C1464,Mix_Code,0),2),""))</f>
        <v/>
      </c>
      <c r="H1464" s="67" t="str">
        <f aca="false">IF(OR($C1464="",$D1464=""),"",IFERROR($D1464*INDEX(Mix_Eff,MATCH($C1464,Mix_Code,0),3),""))</f>
        <v/>
      </c>
      <c r="I1464" s="67" t="str">
        <f aca="false">IF(OR($C1464="",$D1464=""),"",IFERROR($D1464*INDEX(Mix_Eff,MATCH($C1464,Mix_Code,0),4),""))</f>
        <v/>
      </c>
      <c r="J1464" s="67" t="str">
        <f aca="false">IF(OR($C1464="",$D1464=""),"",IFERROR($D1464*INDEX(Mix_Eff,MATCH($C1464,Mix_Code,0),5),""))</f>
        <v/>
      </c>
      <c r="K1464" s="63"/>
      <c r="L1464" s="16" t="str">
        <f aca="false">IF(AND($A1464="",$B1464="",$C1464="",$D1464=""),"",IF($A1464="","⚠ Date missing",IF($B1464="","⚠ Site missing",IF(ISNA(MATCH($C1464,Mix_Code,0)),"⚠ Unknown mix code",IF($D1464="","⚠ Enter m3 produced",IF(COUNTIF(CI_Site,$B1464)=0,"⚠ Site not set up in Current Inventory",IF($A1464&gt;AsOfDate,"Future date – not yet deducted","OK")))))))</f>
        <v/>
      </c>
    </row>
    <row r="1465" customFormat="false" ht="15" hidden="false" customHeight="false" outlineLevel="0" collapsed="false">
      <c r="A1465" s="65"/>
      <c r="B1465" s="63"/>
      <c r="C1465" s="70"/>
      <c r="D1465" s="66"/>
      <c r="E1465" s="16" t="str">
        <f aca="false">IF($C1465="","",IFERROR(INDEX(Mix_Desc,MATCH($C1465,Mix_Code,0)),"⚠ Unknown mix code"))</f>
        <v/>
      </c>
      <c r="F1465" s="67" t="str">
        <f aca="false">IF(OR($C1465="",$D1465=""),"",IFERROR($D1465*INDEX(Mix_Eff,MATCH($C1465,Mix_Code,0),1),""))</f>
        <v/>
      </c>
      <c r="G1465" s="67" t="str">
        <f aca="false">IF(OR($C1465="",$D1465=""),"",IFERROR($D1465*INDEX(Mix_Eff,MATCH($C1465,Mix_Code,0),2),""))</f>
        <v/>
      </c>
      <c r="H1465" s="67" t="str">
        <f aca="false">IF(OR($C1465="",$D1465=""),"",IFERROR($D1465*INDEX(Mix_Eff,MATCH($C1465,Mix_Code,0),3),""))</f>
        <v/>
      </c>
      <c r="I1465" s="67" t="str">
        <f aca="false">IF(OR($C1465="",$D1465=""),"",IFERROR($D1465*INDEX(Mix_Eff,MATCH($C1465,Mix_Code,0),4),""))</f>
        <v/>
      </c>
      <c r="J1465" s="67" t="str">
        <f aca="false">IF(OR($C1465="",$D1465=""),"",IFERROR($D1465*INDEX(Mix_Eff,MATCH($C1465,Mix_Code,0),5),""))</f>
        <v/>
      </c>
      <c r="K1465" s="63"/>
      <c r="L1465" s="16" t="str">
        <f aca="false">IF(AND($A1465="",$B1465="",$C1465="",$D1465=""),"",IF($A1465="","⚠ Date missing",IF($B1465="","⚠ Site missing",IF(ISNA(MATCH($C1465,Mix_Code,0)),"⚠ Unknown mix code",IF($D1465="","⚠ Enter m3 produced",IF(COUNTIF(CI_Site,$B1465)=0,"⚠ Site not set up in Current Inventory",IF($A1465&gt;AsOfDate,"Future date – not yet deducted","OK")))))))</f>
        <v/>
      </c>
    </row>
    <row r="1466" customFormat="false" ht="15" hidden="false" customHeight="false" outlineLevel="0" collapsed="false">
      <c r="A1466" s="65"/>
      <c r="B1466" s="63"/>
      <c r="C1466" s="70"/>
      <c r="D1466" s="66"/>
      <c r="E1466" s="16" t="str">
        <f aca="false">IF($C1466="","",IFERROR(INDEX(Mix_Desc,MATCH($C1466,Mix_Code,0)),"⚠ Unknown mix code"))</f>
        <v/>
      </c>
      <c r="F1466" s="67" t="str">
        <f aca="false">IF(OR($C1466="",$D1466=""),"",IFERROR($D1466*INDEX(Mix_Eff,MATCH($C1466,Mix_Code,0),1),""))</f>
        <v/>
      </c>
      <c r="G1466" s="67" t="str">
        <f aca="false">IF(OR($C1466="",$D1466=""),"",IFERROR($D1466*INDEX(Mix_Eff,MATCH($C1466,Mix_Code,0),2),""))</f>
        <v/>
      </c>
      <c r="H1466" s="67" t="str">
        <f aca="false">IF(OR($C1466="",$D1466=""),"",IFERROR($D1466*INDEX(Mix_Eff,MATCH($C1466,Mix_Code,0),3),""))</f>
        <v/>
      </c>
      <c r="I1466" s="67" t="str">
        <f aca="false">IF(OR($C1466="",$D1466=""),"",IFERROR($D1466*INDEX(Mix_Eff,MATCH($C1466,Mix_Code,0),4),""))</f>
        <v/>
      </c>
      <c r="J1466" s="67" t="str">
        <f aca="false">IF(OR($C1466="",$D1466=""),"",IFERROR($D1466*INDEX(Mix_Eff,MATCH($C1466,Mix_Code,0),5),""))</f>
        <v/>
      </c>
      <c r="K1466" s="63"/>
      <c r="L1466" s="16" t="str">
        <f aca="false">IF(AND($A1466="",$B1466="",$C1466="",$D1466=""),"",IF($A1466="","⚠ Date missing",IF($B1466="","⚠ Site missing",IF(ISNA(MATCH($C1466,Mix_Code,0)),"⚠ Unknown mix code",IF($D1466="","⚠ Enter m3 produced",IF(COUNTIF(CI_Site,$B1466)=0,"⚠ Site not set up in Current Inventory",IF($A1466&gt;AsOfDate,"Future date – not yet deducted","OK")))))))</f>
        <v/>
      </c>
    </row>
    <row r="1467" customFormat="false" ht="15" hidden="false" customHeight="false" outlineLevel="0" collapsed="false">
      <c r="A1467" s="65"/>
      <c r="B1467" s="63"/>
      <c r="C1467" s="70"/>
      <c r="D1467" s="66"/>
      <c r="E1467" s="16" t="str">
        <f aca="false">IF($C1467="","",IFERROR(INDEX(Mix_Desc,MATCH($C1467,Mix_Code,0)),"⚠ Unknown mix code"))</f>
        <v/>
      </c>
      <c r="F1467" s="67" t="str">
        <f aca="false">IF(OR($C1467="",$D1467=""),"",IFERROR($D1467*INDEX(Mix_Eff,MATCH($C1467,Mix_Code,0),1),""))</f>
        <v/>
      </c>
      <c r="G1467" s="67" t="str">
        <f aca="false">IF(OR($C1467="",$D1467=""),"",IFERROR($D1467*INDEX(Mix_Eff,MATCH($C1467,Mix_Code,0),2),""))</f>
        <v/>
      </c>
      <c r="H1467" s="67" t="str">
        <f aca="false">IF(OR($C1467="",$D1467=""),"",IFERROR($D1467*INDEX(Mix_Eff,MATCH($C1467,Mix_Code,0),3),""))</f>
        <v/>
      </c>
      <c r="I1467" s="67" t="str">
        <f aca="false">IF(OR($C1467="",$D1467=""),"",IFERROR($D1467*INDEX(Mix_Eff,MATCH($C1467,Mix_Code,0),4),""))</f>
        <v/>
      </c>
      <c r="J1467" s="67" t="str">
        <f aca="false">IF(OR($C1467="",$D1467=""),"",IFERROR($D1467*INDEX(Mix_Eff,MATCH($C1467,Mix_Code,0),5),""))</f>
        <v/>
      </c>
      <c r="K1467" s="63"/>
      <c r="L1467" s="16" t="str">
        <f aca="false">IF(AND($A1467="",$B1467="",$C1467="",$D1467=""),"",IF($A1467="","⚠ Date missing",IF($B1467="","⚠ Site missing",IF(ISNA(MATCH($C1467,Mix_Code,0)),"⚠ Unknown mix code",IF($D1467="","⚠ Enter m3 produced",IF(COUNTIF(CI_Site,$B1467)=0,"⚠ Site not set up in Current Inventory",IF($A1467&gt;AsOfDate,"Future date – not yet deducted","OK")))))))</f>
        <v/>
      </c>
    </row>
    <row r="1468" customFormat="false" ht="15" hidden="false" customHeight="false" outlineLevel="0" collapsed="false">
      <c r="A1468" s="65"/>
      <c r="B1468" s="63"/>
      <c r="C1468" s="70"/>
      <c r="D1468" s="66"/>
      <c r="E1468" s="16" t="str">
        <f aca="false">IF($C1468="","",IFERROR(INDEX(Mix_Desc,MATCH($C1468,Mix_Code,0)),"⚠ Unknown mix code"))</f>
        <v/>
      </c>
      <c r="F1468" s="67" t="str">
        <f aca="false">IF(OR($C1468="",$D1468=""),"",IFERROR($D1468*INDEX(Mix_Eff,MATCH($C1468,Mix_Code,0),1),""))</f>
        <v/>
      </c>
      <c r="G1468" s="67" t="str">
        <f aca="false">IF(OR($C1468="",$D1468=""),"",IFERROR($D1468*INDEX(Mix_Eff,MATCH($C1468,Mix_Code,0),2),""))</f>
        <v/>
      </c>
      <c r="H1468" s="67" t="str">
        <f aca="false">IF(OR($C1468="",$D1468=""),"",IFERROR($D1468*INDEX(Mix_Eff,MATCH($C1468,Mix_Code,0),3),""))</f>
        <v/>
      </c>
      <c r="I1468" s="67" t="str">
        <f aca="false">IF(OR($C1468="",$D1468=""),"",IFERROR($D1468*INDEX(Mix_Eff,MATCH($C1468,Mix_Code,0),4),""))</f>
        <v/>
      </c>
      <c r="J1468" s="67" t="str">
        <f aca="false">IF(OR($C1468="",$D1468=""),"",IFERROR($D1468*INDEX(Mix_Eff,MATCH($C1468,Mix_Code,0),5),""))</f>
        <v/>
      </c>
      <c r="K1468" s="63"/>
      <c r="L1468" s="16" t="str">
        <f aca="false">IF(AND($A1468="",$B1468="",$C1468="",$D1468=""),"",IF($A1468="","⚠ Date missing",IF($B1468="","⚠ Site missing",IF(ISNA(MATCH($C1468,Mix_Code,0)),"⚠ Unknown mix code",IF($D1468="","⚠ Enter m3 produced",IF(COUNTIF(CI_Site,$B1468)=0,"⚠ Site not set up in Current Inventory",IF($A1468&gt;AsOfDate,"Future date – not yet deducted","OK")))))))</f>
        <v/>
      </c>
    </row>
    <row r="1469" customFormat="false" ht="15" hidden="false" customHeight="false" outlineLevel="0" collapsed="false">
      <c r="A1469" s="65"/>
      <c r="B1469" s="63"/>
      <c r="C1469" s="70"/>
      <c r="D1469" s="66"/>
      <c r="E1469" s="16" t="str">
        <f aca="false">IF($C1469="","",IFERROR(INDEX(Mix_Desc,MATCH($C1469,Mix_Code,0)),"⚠ Unknown mix code"))</f>
        <v/>
      </c>
      <c r="F1469" s="67" t="str">
        <f aca="false">IF(OR($C1469="",$D1469=""),"",IFERROR($D1469*INDEX(Mix_Eff,MATCH($C1469,Mix_Code,0),1),""))</f>
        <v/>
      </c>
      <c r="G1469" s="67" t="str">
        <f aca="false">IF(OR($C1469="",$D1469=""),"",IFERROR($D1469*INDEX(Mix_Eff,MATCH($C1469,Mix_Code,0),2),""))</f>
        <v/>
      </c>
      <c r="H1469" s="67" t="str">
        <f aca="false">IF(OR($C1469="",$D1469=""),"",IFERROR($D1469*INDEX(Mix_Eff,MATCH($C1469,Mix_Code,0),3),""))</f>
        <v/>
      </c>
      <c r="I1469" s="67" t="str">
        <f aca="false">IF(OR($C1469="",$D1469=""),"",IFERROR($D1469*INDEX(Mix_Eff,MATCH($C1469,Mix_Code,0),4),""))</f>
        <v/>
      </c>
      <c r="J1469" s="67" t="str">
        <f aca="false">IF(OR($C1469="",$D1469=""),"",IFERROR($D1469*INDEX(Mix_Eff,MATCH($C1469,Mix_Code,0),5),""))</f>
        <v/>
      </c>
      <c r="K1469" s="63"/>
      <c r="L1469" s="16" t="str">
        <f aca="false">IF(AND($A1469="",$B1469="",$C1469="",$D1469=""),"",IF($A1469="","⚠ Date missing",IF($B1469="","⚠ Site missing",IF(ISNA(MATCH($C1469,Mix_Code,0)),"⚠ Unknown mix code",IF($D1469="","⚠ Enter m3 produced",IF(COUNTIF(CI_Site,$B1469)=0,"⚠ Site not set up in Current Inventory",IF($A1469&gt;AsOfDate,"Future date – not yet deducted","OK")))))))</f>
        <v/>
      </c>
    </row>
    <row r="1470" customFormat="false" ht="15" hidden="false" customHeight="false" outlineLevel="0" collapsed="false">
      <c r="A1470" s="65"/>
      <c r="B1470" s="63"/>
      <c r="C1470" s="70"/>
      <c r="D1470" s="66"/>
      <c r="E1470" s="16" t="str">
        <f aca="false">IF($C1470="","",IFERROR(INDEX(Mix_Desc,MATCH($C1470,Mix_Code,0)),"⚠ Unknown mix code"))</f>
        <v/>
      </c>
      <c r="F1470" s="67" t="str">
        <f aca="false">IF(OR($C1470="",$D1470=""),"",IFERROR($D1470*INDEX(Mix_Eff,MATCH($C1470,Mix_Code,0),1),""))</f>
        <v/>
      </c>
      <c r="G1470" s="67" t="str">
        <f aca="false">IF(OR($C1470="",$D1470=""),"",IFERROR($D1470*INDEX(Mix_Eff,MATCH($C1470,Mix_Code,0),2),""))</f>
        <v/>
      </c>
      <c r="H1470" s="67" t="str">
        <f aca="false">IF(OR($C1470="",$D1470=""),"",IFERROR($D1470*INDEX(Mix_Eff,MATCH($C1470,Mix_Code,0),3),""))</f>
        <v/>
      </c>
      <c r="I1470" s="67" t="str">
        <f aca="false">IF(OR($C1470="",$D1470=""),"",IFERROR($D1470*INDEX(Mix_Eff,MATCH($C1470,Mix_Code,0),4),""))</f>
        <v/>
      </c>
      <c r="J1470" s="67" t="str">
        <f aca="false">IF(OR($C1470="",$D1470=""),"",IFERROR($D1470*INDEX(Mix_Eff,MATCH($C1470,Mix_Code,0),5),""))</f>
        <v/>
      </c>
      <c r="K1470" s="63"/>
      <c r="L1470" s="16" t="str">
        <f aca="false">IF(AND($A1470="",$B1470="",$C1470="",$D1470=""),"",IF($A1470="","⚠ Date missing",IF($B1470="","⚠ Site missing",IF(ISNA(MATCH($C1470,Mix_Code,0)),"⚠ Unknown mix code",IF($D1470="","⚠ Enter m3 produced",IF(COUNTIF(CI_Site,$B1470)=0,"⚠ Site not set up in Current Inventory",IF($A1470&gt;AsOfDate,"Future date – not yet deducted","OK")))))))</f>
        <v/>
      </c>
    </row>
    <row r="1471" customFormat="false" ht="15" hidden="false" customHeight="false" outlineLevel="0" collapsed="false">
      <c r="A1471" s="65"/>
      <c r="B1471" s="63"/>
      <c r="C1471" s="70"/>
      <c r="D1471" s="66"/>
      <c r="E1471" s="16" t="str">
        <f aca="false">IF($C1471="","",IFERROR(INDEX(Mix_Desc,MATCH($C1471,Mix_Code,0)),"⚠ Unknown mix code"))</f>
        <v/>
      </c>
      <c r="F1471" s="67" t="str">
        <f aca="false">IF(OR($C1471="",$D1471=""),"",IFERROR($D1471*INDEX(Mix_Eff,MATCH($C1471,Mix_Code,0),1),""))</f>
        <v/>
      </c>
      <c r="G1471" s="67" t="str">
        <f aca="false">IF(OR($C1471="",$D1471=""),"",IFERROR($D1471*INDEX(Mix_Eff,MATCH($C1471,Mix_Code,0),2),""))</f>
        <v/>
      </c>
      <c r="H1471" s="67" t="str">
        <f aca="false">IF(OR($C1471="",$D1471=""),"",IFERROR($D1471*INDEX(Mix_Eff,MATCH($C1471,Mix_Code,0),3),""))</f>
        <v/>
      </c>
      <c r="I1471" s="67" t="str">
        <f aca="false">IF(OR($C1471="",$D1471=""),"",IFERROR($D1471*INDEX(Mix_Eff,MATCH($C1471,Mix_Code,0),4),""))</f>
        <v/>
      </c>
      <c r="J1471" s="67" t="str">
        <f aca="false">IF(OR($C1471="",$D1471=""),"",IFERROR($D1471*INDEX(Mix_Eff,MATCH($C1471,Mix_Code,0),5),""))</f>
        <v/>
      </c>
      <c r="K1471" s="63"/>
      <c r="L1471" s="16" t="str">
        <f aca="false">IF(AND($A1471="",$B1471="",$C1471="",$D1471=""),"",IF($A1471="","⚠ Date missing",IF($B1471="","⚠ Site missing",IF(ISNA(MATCH($C1471,Mix_Code,0)),"⚠ Unknown mix code",IF($D1471="","⚠ Enter m3 produced",IF(COUNTIF(CI_Site,$B1471)=0,"⚠ Site not set up in Current Inventory",IF($A1471&gt;AsOfDate,"Future date – not yet deducted","OK")))))))</f>
        <v/>
      </c>
    </row>
    <row r="1472" customFormat="false" ht="15" hidden="false" customHeight="false" outlineLevel="0" collapsed="false">
      <c r="A1472" s="65"/>
      <c r="B1472" s="63"/>
      <c r="C1472" s="70"/>
      <c r="D1472" s="66"/>
      <c r="E1472" s="16" t="str">
        <f aca="false">IF($C1472="","",IFERROR(INDEX(Mix_Desc,MATCH($C1472,Mix_Code,0)),"⚠ Unknown mix code"))</f>
        <v/>
      </c>
      <c r="F1472" s="67" t="str">
        <f aca="false">IF(OR($C1472="",$D1472=""),"",IFERROR($D1472*INDEX(Mix_Eff,MATCH($C1472,Mix_Code,0),1),""))</f>
        <v/>
      </c>
      <c r="G1472" s="67" t="str">
        <f aca="false">IF(OR($C1472="",$D1472=""),"",IFERROR($D1472*INDEX(Mix_Eff,MATCH($C1472,Mix_Code,0),2),""))</f>
        <v/>
      </c>
      <c r="H1472" s="67" t="str">
        <f aca="false">IF(OR($C1472="",$D1472=""),"",IFERROR($D1472*INDEX(Mix_Eff,MATCH($C1472,Mix_Code,0),3),""))</f>
        <v/>
      </c>
      <c r="I1472" s="67" t="str">
        <f aca="false">IF(OR($C1472="",$D1472=""),"",IFERROR($D1472*INDEX(Mix_Eff,MATCH($C1472,Mix_Code,0),4),""))</f>
        <v/>
      </c>
      <c r="J1472" s="67" t="str">
        <f aca="false">IF(OR($C1472="",$D1472=""),"",IFERROR($D1472*INDEX(Mix_Eff,MATCH($C1472,Mix_Code,0),5),""))</f>
        <v/>
      </c>
      <c r="K1472" s="63"/>
      <c r="L1472" s="16" t="str">
        <f aca="false">IF(AND($A1472="",$B1472="",$C1472="",$D1472=""),"",IF($A1472="","⚠ Date missing",IF($B1472="","⚠ Site missing",IF(ISNA(MATCH($C1472,Mix_Code,0)),"⚠ Unknown mix code",IF($D1472="","⚠ Enter m3 produced",IF(COUNTIF(CI_Site,$B1472)=0,"⚠ Site not set up in Current Inventory",IF($A1472&gt;AsOfDate,"Future date – not yet deducted","OK")))))))</f>
        <v/>
      </c>
    </row>
    <row r="1473" customFormat="false" ht="15" hidden="false" customHeight="false" outlineLevel="0" collapsed="false">
      <c r="A1473" s="65"/>
      <c r="B1473" s="63"/>
      <c r="C1473" s="70"/>
      <c r="D1473" s="66"/>
      <c r="E1473" s="16" t="str">
        <f aca="false">IF($C1473="","",IFERROR(INDEX(Mix_Desc,MATCH($C1473,Mix_Code,0)),"⚠ Unknown mix code"))</f>
        <v/>
      </c>
      <c r="F1473" s="67" t="str">
        <f aca="false">IF(OR($C1473="",$D1473=""),"",IFERROR($D1473*INDEX(Mix_Eff,MATCH($C1473,Mix_Code,0),1),""))</f>
        <v/>
      </c>
      <c r="G1473" s="67" t="str">
        <f aca="false">IF(OR($C1473="",$D1473=""),"",IFERROR($D1473*INDEX(Mix_Eff,MATCH($C1473,Mix_Code,0),2),""))</f>
        <v/>
      </c>
      <c r="H1473" s="67" t="str">
        <f aca="false">IF(OR($C1473="",$D1473=""),"",IFERROR($D1473*INDEX(Mix_Eff,MATCH($C1473,Mix_Code,0),3),""))</f>
        <v/>
      </c>
      <c r="I1473" s="67" t="str">
        <f aca="false">IF(OR($C1473="",$D1473=""),"",IFERROR($D1473*INDEX(Mix_Eff,MATCH($C1473,Mix_Code,0),4),""))</f>
        <v/>
      </c>
      <c r="J1473" s="67" t="str">
        <f aca="false">IF(OR($C1473="",$D1473=""),"",IFERROR($D1473*INDEX(Mix_Eff,MATCH($C1473,Mix_Code,0),5),""))</f>
        <v/>
      </c>
      <c r="K1473" s="63"/>
      <c r="L1473" s="16" t="str">
        <f aca="false">IF(AND($A1473="",$B1473="",$C1473="",$D1473=""),"",IF($A1473="","⚠ Date missing",IF($B1473="","⚠ Site missing",IF(ISNA(MATCH($C1473,Mix_Code,0)),"⚠ Unknown mix code",IF($D1473="","⚠ Enter m3 produced",IF(COUNTIF(CI_Site,$B1473)=0,"⚠ Site not set up in Current Inventory",IF($A1473&gt;AsOfDate,"Future date – not yet deducted","OK")))))))</f>
        <v/>
      </c>
    </row>
    <row r="1474" customFormat="false" ht="15" hidden="false" customHeight="false" outlineLevel="0" collapsed="false">
      <c r="A1474" s="65"/>
      <c r="B1474" s="63"/>
      <c r="C1474" s="70"/>
      <c r="D1474" s="66"/>
      <c r="E1474" s="16" t="str">
        <f aca="false">IF($C1474="","",IFERROR(INDEX(Mix_Desc,MATCH($C1474,Mix_Code,0)),"⚠ Unknown mix code"))</f>
        <v/>
      </c>
      <c r="F1474" s="67" t="str">
        <f aca="false">IF(OR($C1474="",$D1474=""),"",IFERROR($D1474*INDEX(Mix_Eff,MATCH($C1474,Mix_Code,0),1),""))</f>
        <v/>
      </c>
      <c r="G1474" s="67" t="str">
        <f aca="false">IF(OR($C1474="",$D1474=""),"",IFERROR($D1474*INDEX(Mix_Eff,MATCH($C1474,Mix_Code,0),2),""))</f>
        <v/>
      </c>
      <c r="H1474" s="67" t="str">
        <f aca="false">IF(OR($C1474="",$D1474=""),"",IFERROR($D1474*INDEX(Mix_Eff,MATCH($C1474,Mix_Code,0),3),""))</f>
        <v/>
      </c>
      <c r="I1474" s="67" t="str">
        <f aca="false">IF(OR($C1474="",$D1474=""),"",IFERROR($D1474*INDEX(Mix_Eff,MATCH($C1474,Mix_Code,0),4),""))</f>
        <v/>
      </c>
      <c r="J1474" s="67" t="str">
        <f aca="false">IF(OR($C1474="",$D1474=""),"",IFERROR($D1474*INDEX(Mix_Eff,MATCH($C1474,Mix_Code,0),5),""))</f>
        <v/>
      </c>
      <c r="K1474" s="63"/>
      <c r="L1474" s="16" t="str">
        <f aca="false">IF(AND($A1474="",$B1474="",$C1474="",$D1474=""),"",IF($A1474="","⚠ Date missing",IF($B1474="","⚠ Site missing",IF(ISNA(MATCH($C1474,Mix_Code,0)),"⚠ Unknown mix code",IF($D1474="","⚠ Enter m3 produced",IF(COUNTIF(CI_Site,$B1474)=0,"⚠ Site not set up in Current Inventory",IF($A1474&gt;AsOfDate,"Future date – not yet deducted","OK")))))))</f>
        <v/>
      </c>
    </row>
    <row r="1475" customFormat="false" ht="15" hidden="false" customHeight="false" outlineLevel="0" collapsed="false">
      <c r="A1475" s="65"/>
      <c r="B1475" s="63"/>
      <c r="C1475" s="70"/>
      <c r="D1475" s="66"/>
      <c r="E1475" s="16" t="str">
        <f aca="false">IF($C1475="","",IFERROR(INDEX(Mix_Desc,MATCH($C1475,Mix_Code,0)),"⚠ Unknown mix code"))</f>
        <v/>
      </c>
      <c r="F1475" s="67" t="str">
        <f aca="false">IF(OR($C1475="",$D1475=""),"",IFERROR($D1475*INDEX(Mix_Eff,MATCH($C1475,Mix_Code,0),1),""))</f>
        <v/>
      </c>
      <c r="G1475" s="67" t="str">
        <f aca="false">IF(OR($C1475="",$D1475=""),"",IFERROR($D1475*INDEX(Mix_Eff,MATCH($C1475,Mix_Code,0),2),""))</f>
        <v/>
      </c>
      <c r="H1475" s="67" t="str">
        <f aca="false">IF(OR($C1475="",$D1475=""),"",IFERROR($D1475*INDEX(Mix_Eff,MATCH($C1475,Mix_Code,0),3),""))</f>
        <v/>
      </c>
      <c r="I1475" s="67" t="str">
        <f aca="false">IF(OR($C1475="",$D1475=""),"",IFERROR($D1475*INDEX(Mix_Eff,MATCH($C1475,Mix_Code,0),4),""))</f>
        <v/>
      </c>
      <c r="J1475" s="67" t="str">
        <f aca="false">IF(OR($C1475="",$D1475=""),"",IFERROR($D1475*INDEX(Mix_Eff,MATCH($C1475,Mix_Code,0),5),""))</f>
        <v/>
      </c>
      <c r="K1475" s="63"/>
      <c r="L1475" s="16" t="str">
        <f aca="false">IF(AND($A1475="",$B1475="",$C1475="",$D1475=""),"",IF($A1475="","⚠ Date missing",IF($B1475="","⚠ Site missing",IF(ISNA(MATCH($C1475,Mix_Code,0)),"⚠ Unknown mix code",IF($D1475="","⚠ Enter m3 produced",IF(COUNTIF(CI_Site,$B1475)=0,"⚠ Site not set up in Current Inventory",IF($A1475&gt;AsOfDate,"Future date – not yet deducted","OK")))))))</f>
        <v/>
      </c>
    </row>
    <row r="1476" customFormat="false" ht="15" hidden="false" customHeight="false" outlineLevel="0" collapsed="false">
      <c r="A1476" s="65"/>
      <c r="B1476" s="63"/>
      <c r="C1476" s="70"/>
      <c r="D1476" s="66"/>
      <c r="E1476" s="16" t="str">
        <f aca="false">IF($C1476="","",IFERROR(INDEX(Mix_Desc,MATCH($C1476,Mix_Code,0)),"⚠ Unknown mix code"))</f>
        <v/>
      </c>
      <c r="F1476" s="67" t="str">
        <f aca="false">IF(OR($C1476="",$D1476=""),"",IFERROR($D1476*INDEX(Mix_Eff,MATCH($C1476,Mix_Code,0),1),""))</f>
        <v/>
      </c>
      <c r="G1476" s="67" t="str">
        <f aca="false">IF(OR($C1476="",$D1476=""),"",IFERROR($D1476*INDEX(Mix_Eff,MATCH($C1476,Mix_Code,0),2),""))</f>
        <v/>
      </c>
      <c r="H1476" s="67" t="str">
        <f aca="false">IF(OR($C1476="",$D1476=""),"",IFERROR($D1476*INDEX(Mix_Eff,MATCH($C1476,Mix_Code,0),3),""))</f>
        <v/>
      </c>
      <c r="I1476" s="67" t="str">
        <f aca="false">IF(OR($C1476="",$D1476=""),"",IFERROR($D1476*INDEX(Mix_Eff,MATCH($C1476,Mix_Code,0),4),""))</f>
        <v/>
      </c>
      <c r="J1476" s="67" t="str">
        <f aca="false">IF(OR($C1476="",$D1476=""),"",IFERROR($D1476*INDEX(Mix_Eff,MATCH($C1476,Mix_Code,0),5),""))</f>
        <v/>
      </c>
      <c r="K1476" s="63"/>
      <c r="L1476" s="16" t="str">
        <f aca="false">IF(AND($A1476="",$B1476="",$C1476="",$D1476=""),"",IF($A1476="","⚠ Date missing",IF($B1476="","⚠ Site missing",IF(ISNA(MATCH($C1476,Mix_Code,0)),"⚠ Unknown mix code",IF($D1476="","⚠ Enter m3 produced",IF(COUNTIF(CI_Site,$B1476)=0,"⚠ Site not set up in Current Inventory",IF($A1476&gt;AsOfDate,"Future date – not yet deducted","OK")))))))</f>
        <v/>
      </c>
    </row>
    <row r="1477" customFormat="false" ht="15" hidden="false" customHeight="false" outlineLevel="0" collapsed="false">
      <c r="A1477" s="65"/>
      <c r="B1477" s="63"/>
      <c r="C1477" s="70"/>
      <c r="D1477" s="66"/>
      <c r="E1477" s="16" t="str">
        <f aca="false">IF($C1477="","",IFERROR(INDEX(Mix_Desc,MATCH($C1477,Mix_Code,0)),"⚠ Unknown mix code"))</f>
        <v/>
      </c>
      <c r="F1477" s="67" t="str">
        <f aca="false">IF(OR($C1477="",$D1477=""),"",IFERROR($D1477*INDEX(Mix_Eff,MATCH($C1477,Mix_Code,0),1),""))</f>
        <v/>
      </c>
      <c r="G1477" s="67" t="str">
        <f aca="false">IF(OR($C1477="",$D1477=""),"",IFERROR($D1477*INDEX(Mix_Eff,MATCH($C1477,Mix_Code,0),2),""))</f>
        <v/>
      </c>
      <c r="H1477" s="67" t="str">
        <f aca="false">IF(OR($C1477="",$D1477=""),"",IFERROR($D1477*INDEX(Mix_Eff,MATCH($C1477,Mix_Code,0),3),""))</f>
        <v/>
      </c>
      <c r="I1477" s="67" t="str">
        <f aca="false">IF(OR($C1477="",$D1477=""),"",IFERROR($D1477*INDEX(Mix_Eff,MATCH($C1477,Mix_Code,0),4),""))</f>
        <v/>
      </c>
      <c r="J1477" s="67" t="str">
        <f aca="false">IF(OR($C1477="",$D1477=""),"",IFERROR($D1477*INDEX(Mix_Eff,MATCH($C1477,Mix_Code,0),5),""))</f>
        <v/>
      </c>
      <c r="K1477" s="63"/>
      <c r="L1477" s="16" t="str">
        <f aca="false">IF(AND($A1477="",$B1477="",$C1477="",$D1477=""),"",IF($A1477="","⚠ Date missing",IF($B1477="","⚠ Site missing",IF(ISNA(MATCH($C1477,Mix_Code,0)),"⚠ Unknown mix code",IF($D1477="","⚠ Enter m3 produced",IF(COUNTIF(CI_Site,$B1477)=0,"⚠ Site not set up in Current Inventory",IF($A1477&gt;AsOfDate,"Future date – not yet deducted","OK")))))))</f>
        <v/>
      </c>
    </row>
    <row r="1478" customFormat="false" ht="15" hidden="false" customHeight="false" outlineLevel="0" collapsed="false">
      <c r="A1478" s="65"/>
      <c r="B1478" s="63"/>
      <c r="C1478" s="70"/>
      <c r="D1478" s="66"/>
      <c r="E1478" s="16" t="str">
        <f aca="false">IF($C1478="","",IFERROR(INDEX(Mix_Desc,MATCH($C1478,Mix_Code,0)),"⚠ Unknown mix code"))</f>
        <v/>
      </c>
      <c r="F1478" s="67" t="str">
        <f aca="false">IF(OR($C1478="",$D1478=""),"",IFERROR($D1478*INDEX(Mix_Eff,MATCH($C1478,Mix_Code,0),1),""))</f>
        <v/>
      </c>
      <c r="G1478" s="67" t="str">
        <f aca="false">IF(OR($C1478="",$D1478=""),"",IFERROR($D1478*INDEX(Mix_Eff,MATCH($C1478,Mix_Code,0),2),""))</f>
        <v/>
      </c>
      <c r="H1478" s="67" t="str">
        <f aca="false">IF(OR($C1478="",$D1478=""),"",IFERROR($D1478*INDEX(Mix_Eff,MATCH($C1478,Mix_Code,0),3),""))</f>
        <v/>
      </c>
      <c r="I1478" s="67" t="str">
        <f aca="false">IF(OR($C1478="",$D1478=""),"",IFERROR($D1478*INDEX(Mix_Eff,MATCH($C1478,Mix_Code,0),4),""))</f>
        <v/>
      </c>
      <c r="J1478" s="67" t="str">
        <f aca="false">IF(OR($C1478="",$D1478=""),"",IFERROR($D1478*INDEX(Mix_Eff,MATCH($C1478,Mix_Code,0),5),""))</f>
        <v/>
      </c>
      <c r="K1478" s="63"/>
      <c r="L1478" s="16" t="str">
        <f aca="false">IF(AND($A1478="",$B1478="",$C1478="",$D1478=""),"",IF($A1478="","⚠ Date missing",IF($B1478="","⚠ Site missing",IF(ISNA(MATCH($C1478,Mix_Code,0)),"⚠ Unknown mix code",IF($D1478="","⚠ Enter m3 produced",IF(COUNTIF(CI_Site,$B1478)=0,"⚠ Site not set up in Current Inventory",IF($A1478&gt;AsOfDate,"Future date – not yet deducted","OK")))))))</f>
        <v/>
      </c>
    </row>
    <row r="1479" customFormat="false" ht="15" hidden="false" customHeight="false" outlineLevel="0" collapsed="false">
      <c r="A1479" s="65"/>
      <c r="B1479" s="63"/>
      <c r="C1479" s="70"/>
      <c r="D1479" s="66"/>
      <c r="E1479" s="16" t="str">
        <f aca="false">IF($C1479="","",IFERROR(INDEX(Mix_Desc,MATCH($C1479,Mix_Code,0)),"⚠ Unknown mix code"))</f>
        <v/>
      </c>
      <c r="F1479" s="67" t="str">
        <f aca="false">IF(OR($C1479="",$D1479=""),"",IFERROR($D1479*INDEX(Mix_Eff,MATCH($C1479,Mix_Code,0),1),""))</f>
        <v/>
      </c>
      <c r="G1479" s="67" t="str">
        <f aca="false">IF(OR($C1479="",$D1479=""),"",IFERROR($D1479*INDEX(Mix_Eff,MATCH($C1479,Mix_Code,0),2),""))</f>
        <v/>
      </c>
      <c r="H1479" s="67" t="str">
        <f aca="false">IF(OR($C1479="",$D1479=""),"",IFERROR($D1479*INDEX(Mix_Eff,MATCH($C1479,Mix_Code,0),3),""))</f>
        <v/>
      </c>
      <c r="I1479" s="67" t="str">
        <f aca="false">IF(OR($C1479="",$D1479=""),"",IFERROR($D1479*INDEX(Mix_Eff,MATCH($C1479,Mix_Code,0),4),""))</f>
        <v/>
      </c>
      <c r="J1479" s="67" t="str">
        <f aca="false">IF(OR($C1479="",$D1479=""),"",IFERROR($D1479*INDEX(Mix_Eff,MATCH($C1479,Mix_Code,0),5),""))</f>
        <v/>
      </c>
      <c r="K1479" s="63"/>
      <c r="L1479" s="16" t="str">
        <f aca="false">IF(AND($A1479="",$B1479="",$C1479="",$D1479=""),"",IF($A1479="","⚠ Date missing",IF($B1479="","⚠ Site missing",IF(ISNA(MATCH($C1479,Mix_Code,0)),"⚠ Unknown mix code",IF($D1479="","⚠ Enter m3 produced",IF(COUNTIF(CI_Site,$B1479)=0,"⚠ Site not set up in Current Inventory",IF($A1479&gt;AsOfDate,"Future date – not yet deducted","OK")))))))</f>
        <v/>
      </c>
    </row>
    <row r="1480" customFormat="false" ht="15" hidden="false" customHeight="false" outlineLevel="0" collapsed="false">
      <c r="A1480" s="65"/>
      <c r="B1480" s="63"/>
      <c r="C1480" s="70"/>
      <c r="D1480" s="66"/>
      <c r="E1480" s="16" t="str">
        <f aca="false">IF($C1480="","",IFERROR(INDEX(Mix_Desc,MATCH($C1480,Mix_Code,0)),"⚠ Unknown mix code"))</f>
        <v/>
      </c>
      <c r="F1480" s="67" t="str">
        <f aca="false">IF(OR($C1480="",$D1480=""),"",IFERROR($D1480*INDEX(Mix_Eff,MATCH($C1480,Mix_Code,0),1),""))</f>
        <v/>
      </c>
      <c r="G1480" s="67" t="str">
        <f aca="false">IF(OR($C1480="",$D1480=""),"",IFERROR($D1480*INDEX(Mix_Eff,MATCH($C1480,Mix_Code,0),2),""))</f>
        <v/>
      </c>
      <c r="H1480" s="67" t="str">
        <f aca="false">IF(OR($C1480="",$D1480=""),"",IFERROR($D1480*INDEX(Mix_Eff,MATCH($C1480,Mix_Code,0),3),""))</f>
        <v/>
      </c>
      <c r="I1480" s="67" t="str">
        <f aca="false">IF(OR($C1480="",$D1480=""),"",IFERROR($D1480*INDEX(Mix_Eff,MATCH($C1480,Mix_Code,0),4),""))</f>
        <v/>
      </c>
      <c r="J1480" s="67" t="str">
        <f aca="false">IF(OR($C1480="",$D1480=""),"",IFERROR($D1480*INDEX(Mix_Eff,MATCH($C1480,Mix_Code,0),5),""))</f>
        <v/>
      </c>
      <c r="K1480" s="63"/>
      <c r="L1480" s="16" t="str">
        <f aca="false">IF(AND($A1480="",$B1480="",$C1480="",$D1480=""),"",IF($A1480="","⚠ Date missing",IF($B1480="","⚠ Site missing",IF(ISNA(MATCH($C1480,Mix_Code,0)),"⚠ Unknown mix code",IF($D1480="","⚠ Enter m3 produced",IF(COUNTIF(CI_Site,$B1480)=0,"⚠ Site not set up in Current Inventory",IF($A1480&gt;AsOfDate,"Future date – not yet deducted","OK")))))))</f>
        <v/>
      </c>
    </row>
    <row r="1481" customFormat="false" ht="15" hidden="false" customHeight="false" outlineLevel="0" collapsed="false">
      <c r="A1481" s="65"/>
      <c r="B1481" s="63"/>
      <c r="C1481" s="70"/>
      <c r="D1481" s="66"/>
      <c r="E1481" s="16" t="str">
        <f aca="false">IF($C1481="","",IFERROR(INDEX(Mix_Desc,MATCH($C1481,Mix_Code,0)),"⚠ Unknown mix code"))</f>
        <v/>
      </c>
      <c r="F1481" s="67" t="str">
        <f aca="false">IF(OR($C1481="",$D1481=""),"",IFERROR($D1481*INDEX(Mix_Eff,MATCH($C1481,Mix_Code,0),1),""))</f>
        <v/>
      </c>
      <c r="G1481" s="67" t="str">
        <f aca="false">IF(OR($C1481="",$D1481=""),"",IFERROR($D1481*INDEX(Mix_Eff,MATCH($C1481,Mix_Code,0),2),""))</f>
        <v/>
      </c>
      <c r="H1481" s="67" t="str">
        <f aca="false">IF(OR($C1481="",$D1481=""),"",IFERROR($D1481*INDEX(Mix_Eff,MATCH($C1481,Mix_Code,0),3),""))</f>
        <v/>
      </c>
      <c r="I1481" s="67" t="str">
        <f aca="false">IF(OR($C1481="",$D1481=""),"",IFERROR($D1481*INDEX(Mix_Eff,MATCH($C1481,Mix_Code,0),4),""))</f>
        <v/>
      </c>
      <c r="J1481" s="67" t="str">
        <f aca="false">IF(OR($C1481="",$D1481=""),"",IFERROR($D1481*INDEX(Mix_Eff,MATCH($C1481,Mix_Code,0),5),""))</f>
        <v/>
      </c>
      <c r="K1481" s="63"/>
      <c r="L1481" s="16" t="str">
        <f aca="false">IF(AND($A1481="",$B1481="",$C1481="",$D1481=""),"",IF($A1481="","⚠ Date missing",IF($B1481="","⚠ Site missing",IF(ISNA(MATCH($C1481,Mix_Code,0)),"⚠ Unknown mix code",IF($D1481="","⚠ Enter m3 produced",IF(COUNTIF(CI_Site,$B1481)=0,"⚠ Site not set up in Current Inventory",IF($A1481&gt;AsOfDate,"Future date – not yet deducted","OK")))))))</f>
        <v/>
      </c>
    </row>
    <row r="1482" customFormat="false" ht="15" hidden="false" customHeight="false" outlineLevel="0" collapsed="false">
      <c r="A1482" s="65"/>
      <c r="B1482" s="63"/>
      <c r="C1482" s="70"/>
      <c r="D1482" s="66"/>
      <c r="E1482" s="16" t="str">
        <f aca="false">IF($C1482="","",IFERROR(INDEX(Mix_Desc,MATCH($C1482,Mix_Code,0)),"⚠ Unknown mix code"))</f>
        <v/>
      </c>
      <c r="F1482" s="67" t="str">
        <f aca="false">IF(OR($C1482="",$D1482=""),"",IFERROR($D1482*INDEX(Mix_Eff,MATCH($C1482,Mix_Code,0),1),""))</f>
        <v/>
      </c>
      <c r="G1482" s="67" t="str">
        <f aca="false">IF(OR($C1482="",$D1482=""),"",IFERROR($D1482*INDEX(Mix_Eff,MATCH($C1482,Mix_Code,0),2),""))</f>
        <v/>
      </c>
      <c r="H1482" s="67" t="str">
        <f aca="false">IF(OR($C1482="",$D1482=""),"",IFERROR($D1482*INDEX(Mix_Eff,MATCH($C1482,Mix_Code,0),3),""))</f>
        <v/>
      </c>
      <c r="I1482" s="67" t="str">
        <f aca="false">IF(OR($C1482="",$D1482=""),"",IFERROR($D1482*INDEX(Mix_Eff,MATCH($C1482,Mix_Code,0),4),""))</f>
        <v/>
      </c>
      <c r="J1482" s="67" t="str">
        <f aca="false">IF(OR($C1482="",$D1482=""),"",IFERROR($D1482*INDEX(Mix_Eff,MATCH($C1482,Mix_Code,0),5),""))</f>
        <v/>
      </c>
      <c r="K1482" s="63"/>
      <c r="L1482" s="16" t="str">
        <f aca="false">IF(AND($A1482="",$B1482="",$C1482="",$D1482=""),"",IF($A1482="","⚠ Date missing",IF($B1482="","⚠ Site missing",IF(ISNA(MATCH($C1482,Mix_Code,0)),"⚠ Unknown mix code",IF($D1482="","⚠ Enter m3 produced",IF(COUNTIF(CI_Site,$B1482)=0,"⚠ Site not set up in Current Inventory",IF($A1482&gt;AsOfDate,"Future date – not yet deducted","OK")))))))</f>
        <v/>
      </c>
    </row>
    <row r="1483" customFormat="false" ht="15" hidden="false" customHeight="false" outlineLevel="0" collapsed="false">
      <c r="A1483" s="65"/>
      <c r="B1483" s="63"/>
      <c r="C1483" s="70"/>
      <c r="D1483" s="66"/>
      <c r="E1483" s="16" t="str">
        <f aca="false">IF($C1483="","",IFERROR(INDEX(Mix_Desc,MATCH($C1483,Mix_Code,0)),"⚠ Unknown mix code"))</f>
        <v/>
      </c>
      <c r="F1483" s="67" t="str">
        <f aca="false">IF(OR($C1483="",$D1483=""),"",IFERROR($D1483*INDEX(Mix_Eff,MATCH($C1483,Mix_Code,0),1),""))</f>
        <v/>
      </c>
      <c r="G1483" s="67" t="str">
        <f aca="false">IF(OR($C1483="",$D1483=""),"",IFERROR($D1483*INDEX(Mix_Eff,MATCH($C1483,Mix_Code,0),2),""))</f>
        <v/>
      </c>
      <c r="H1483" s="67" t="str">
        <f aca="false">IF(OR($C1483="",$D1483=""),"",IFERROR($D1483*INDEX(Mix_Eff,MATCH($C1483,Mix_Code,0),3),""))</f>
        <v/>
      </c>
      <c r="I1483" s="67" t="str">
        <f aca="false">IF(OR($C1483="",$D1483=""),"",IFERROR($D1483*INDEX(Mix_Eff,MATCH($C1483,Mix_Code,0),4),""))</f>
        <v/>
      </c>
      <c r="J1483" s="67" t="str">
        <f aca="false">IF(OR($C1483="",$D1483=""),"",IFERROR($D1483*INDEX(Mix_Eff,MATCH($C1483,Mix_Code,0),5),""))</f>
        <v/>
      </c>
      <c r="K1483" s="63"/>
      <c r="L1483" s="16" t="str">
        <f aca="false">IF(AND($A1483="",$B1483="",$C1483="",$D1483=""),"",IF($A1483="","⚠ Date missing",IF($B1483="","⚠ Site missing",IF(ISNA(MATCH($C1483,Mix_Code,0)),"⚠ Unknown mix code",IF($D1483="","⚠ Enter m3 produced",IF(COUNTIF(CI_Site,$B1483)=0,"⚠ Site not set up in Current Inventory",IF($A1483&gt;AsOfDate,"Future date – not yet deducted","OK")))))))</f>
        <v/>
      </c>
    </row>
    <row r="1484" customFormat="false" ht="15" hidden="false" customHeight="false" outlineLevel="0" collapsed="false">
      <c r="A1484" s="65"/>
      <c r="B1484" s="63"/>
      <c r="C1484" s="70"/>
      <c r="D1484" s="66"/>
      <c r="E1484" s="16" t="str">
        <f aca="false">IF($C1484="","",IFERROR(INDEX(Mix_Desc,MATCH($C1484,Mix_Code,0)),"⚠ Unknown mix code"))</f>
        <v/>
      </c>
      <c r="F1484" s="67" t="str">
        <f aca="false">IF(OR($C1484="",$D1484=""),"",IFERROR($D1484*INDEX(Mix_Eff,MATCH($C1484,Mix_Code,0),1),""))</f>
        <v/>
      </c>
      <c r="G1484" s="67" t="str">
        <f aca="false">IF(OR($C1484="",$D1484=""),"",IFERROR($D1484*INDEX(Mix_Eff,MATCH($C1484,Mix_Code,0),2),""))</f>
        <v/>
      </c>
      <c r="H1484" s="67" t="str">
        <f aca="false">IF(OR($C1484="",$D1484=""),"",IFERROR($D1484*INDEX(Mix_Eff,MATCH($C1484,Mix_Code,0),3),""))</f>
        <v/>
      </c>
      <c r="I1484" s="67" t="str">
        <f aca="false">IF(OR($C1484="",$D1484=""),"",IFERROR($D1484*INDEX(Mix_Eff,MATCH($C1484,Mix_Code,0),4),""))</f>
        <v/>
      </c>
      <c r="J1484" s="67" t="str">
        <f aca="false">IF(OR($C1484="",$D1484=""),"",IFERROR($D1484*INDEX(Mix_Eff,MATCH($C1484,Mix_Code,0),5),""))</f>
        <v/>
      </c>
      <c r="K1484" s="63"/>
      <c r="L1484" s="16" t="str">
        <f aca="false">IF(AND($A1484="",$B1484="",$C1484="",$D1484=""),"",IF($A1484="","⚠ Date missing",IF($B1484="","⚠ Site missing",IF(ISNA(MATCH($C1484,Mix_Code,0)),"⚠ Unknown mix code",IF($D1484="","⚠ Enter m3 produced",IF(COUNTIF(CI_Site,$B1484)=0,"⚠ Site not set up in Current Inventory",IF($A1484&gt;AsOfDate,"Future date – not yet deducted","OK")))))))</f>
        <v/>
      </c>
    </row>
    <row r="1485" customFormat="false" ht="15" hidden="false" customHeight="false" outlineLevel="0" collapsed="false">
      <c r="A1485" s="65"/>
      <c r="B1485" s="63"/>
      <c r="C1485" s="70"/>
      <c r="D1485" s="66"/>
      <c r="E1485" s="16" t="str">
        <f aca="false">IF($C1485="","",IFERROR(INDEX(Mix_Desc,MATCH($C1485,Mix_Code,0)),"⚠ Unknown mix code"))</f>
        <v/>
      </c>
      <c r="F1485" s="67" t="str">
        <f aca="false">IF(OR($C1485="",$D1485=""),"",IFERROR($D1485*INDEX(Mix_Eff,MATCH($C1485,Mix_Code,0),1),""))</f>
        <v/>
      </c>
      <c r="G1485" s="67" t="str">
        <f aca="false">IF(OR($C1485="",$D1485=""),"",IFERROR($D1485*INDEX(Mix_Eff,MATCH($C1485,Mix_Code,0),2),""))</f>
        <v/>
      </c>
      <c r="H1485" s="67" t="str">
        <f aca="false">IF(OR($C1485="",$D1485=""),"",IFERROR($D1485*INDEX(Mix_Eff,MATCH($C1485,Mix_Code,0),3),""))</f>
        <v/>
      </c>
      <c r="I1485" s="67" t="str">
        <f aca="false">IF(OR($C1485="",$D1485=""),"",IFERROR($D1485*INDEX(Mix_Eff,MATCH($C1485,Mix_Code,0),4),""))</f>
        <v/>
      </c>
      <c r="J1485" s="67" t="str">
        <f aca="false">IF(OR($C1485="",$D1485=""),"",IFERROR($D1485*INDEX(Mix_Eff,MATCH($C1485,Mix_Code,0),5),""))</f>
        <v/>
      </c>
      <c r="K1485" s="63"/>
      <c r="L1485" s="16" t="str">
        <f aca="false">IF(AND($A1485="",$B1485="",$C1485="",$D1485=""),"",IF($A1485="","⚠ Date missing",IF($B1485="","⚠ Site missing",IF(ISNA(MATCH($C1485,Mix_Code,0)),"⚠ Unknown mix code",IF($D1485="","⚠ Enter m3 produced",IF(COUNTIF(CI_Site,$B1485)=0,"⚠ Site not set up in Current Inventory",IF($A1485&gt;AsOfDate,"Future date – not yet deducted","OK")))))))</f>
        <v/>
      </c>
    </row>
    <row r="1486" customFormat="false" ht="15" hidden="false" customHeight="false" outlineLevel="0" collapsed="false">
      <c r="A1486" s="65"/>
      <c r="B1486" s="63"/>
      <c r="C1486" s="70"/>
      <c r="D1486" s="66"/>
      <c r="E1486" s="16" t="str">
        <f aca="false">IF($C1486="","",IFERROR(INDEX(Mix_Desc,MATCH($C1486,Mix_Code,0)),"⚠ Unknown mix code"))</f>
        <v/>
      </c>
      <c r="F1486" s="67" t="str">
        <f aca="false">IF(OR($C1486="",$D1486=""),"",IFERROR($D1486*INDEX(Mix_Eff,MATCH($C1486,Mix_Code,0),1),""))</f>
        <v/>
      </c>
      <c r="G1486" s="67" t="str">
        <f aca="false">IF(OR($C1486="",$D1486=""),"",IFERROR($D1486*INDEX(Mix_Eff,MATCH($C1486,Mix_Code,0),2),""))</f>
        <v/>
      </c>
      <c r="H1486" s="67" t="str">
        <f aca="false">IF(OR($C1486="",$D1486=""),"",IFERROR($D1486*INDEX(Mix_Eff,MATCH($C1486,Mix_Code,0),3),""))</f>
        <v/>
      </c>
      <c r="I1486" s="67" t="str">
        <f aca="false">IF(OR($C1486="",$D1486=""),"",IFERROR($D1486*INDEX(Mix_Eff,MATCH($C1486,Mix_Code,0),4),""))</f>
        <v/>
      </c>
      <c r="J1486" s="67" t="str">
        <f aca="false">IF(OR($C1486="",$D1486=""),"",IFERROR($D1486*INDEX(Mix_Eff,MATCH($C1486,Mix_Code,0),5),""))</f>
        <v/>
      </c>
      <c r="K1486" s="63"/>
      <c r="L1486" s="16" t="str">
        <f aca="false">IF(AND($A1486="",$B1486="",$C1486="",$D1486=""),"",IF($A1486="","⚠ Date missing",IF($B1486="","⚠ Site missing",IF(ISNA(MATCH($C1486,Mix_Code,0)),"⚠ Unknown mix code",IF($D1486="","⚠ Enter m3 produced",IF(COUNTIF(CI_Site,$B1486)=0,"⚠ Site not set up in Current Inventory",IF($A1486&gt;AsOfDate,"Future date – not yet deducted","OK")))))))</f>
        <v/>
      </c>
    </row>
    <row r="1487" customFormat="false" ht="15" hidden="false" customHeight="false" outlineLevel="0" collapsed="false">
      <c r="A1487" s="65"/>
      <c r="B1487" s="63"/>
      <c r="C1487" s="70"/>
      <c r="D1487" s="66"/>
      <c r="E1487" s="16" t="str">
        <f aca="false">IF($C1487="","",IFERROR(INDEX(Mix_Desc,MATCH($C1487,Mix_Code,0)),"⚠ Unknown mix code"))</f>
        <v/>
      </c>
      <c r="F1487" s="67" t="str">
        <f aca="false">IF(OR($C1487="",$D1487=""),"",IFERROR($D1487*INDEX(Mix_Eff,MATCH($C1487,Mix_Code,0),1),""))</f>
        <v/>
      </c>
      <c r="G1487" s="67" t="str">
        <f aca="false">IF(OR($C1487="",$D1487=""),"",IFERROR($D1487*INDEX(Mix_Eff,MATCH($C1487,Mix_Code,0),2),""))</f>
        <v/>
      </c>
      <c r="H1487" s="67" t="str">
        <f aca="false">IF(OR($C1487="",$D1487=""),"",IFERROR($D1487*INDEX(Mix_Eff,MATCH($C1487,Mix_Code,0),3),""))</f>
        <v/>
      </c>
      <c r="I1487" s="67" t="str">
        <f aca="false">IF(OR($C1487="",$D1487=""),"",IFERROR($D1487*INDEX(Mix_Eff,MATCH($C1487,Mix_Code,0),4),""))</f>
        <v/>
      </c>
      <c r="J1487" s="67" t="str">
        <f aca="false">IF(OR($C1487="",$D1487=""),"",IFERROR($D1487*INDEX(Mix_Eff,MATCH($C1487,Mix_Code,0),5),""))</f>
        <v/>
      </c>
      <c r="K1487" s="63"/>
      <c r="L1487" s="16" t="str">
        <f aca="false">IF(AND($A1487="",$B1487="",$C1487="",$D1487=""),"",IF($A1487="","⚠ Date missing",IF($B1487="","⚠ Site missing",IF(ISNA(MATCH($C1487,Mix_Code,0)),"⚠ Unknown mix code",IF($D1487="","⚠ Enter m3 produced",IF(COUNTIF(CI_Site,$B1487)=0,"⚠ Site not set up in Current Inventory",IF($A1487&gt;AsOfDate,"Future date – not yet deducted","OK")))))))</f>
        <v/>
      </c>
    </row>
    <row r="1488" customFormat="false" ht="15" hidden="false" customHeight="false" outlineLevel="0" collapsed="false">
      <c r="A1488" s="65"/>
      <c r="B1488" s="63"/>
      <c r="C1488" s="70"/>
      <c r="D1488" s="66"/>
      <c r="E1488" s="16" t="str">
        <f aca="false">IF($C1488="","",IFERROR(INDEX(Mix_Desc,MATCH($C1488,Mix_Code,0)),"⚠ Unknown mix code"))</f>
        <v/>
      </c>
      <c r="F1488" s="67" t="str">
        <f aca="false">IF(OR($C1488="",$D1488=""),"",IFERROR($D1488*INDEX(Mix_Eff,MATCH($C1488,Mix_Code,0),1),""))</f>
        <v/>
      </c>
      <c r="G1488" s="67" t="str">
        <f aca="false">IF(OR($C1488="",$D1488=""),"",IFERROR($D1488*INDEX(Mix_Eff,MATCH($C1488,Mix_Code,0),2),""))</f>
        <v/>
      </c>
      <c r="H1488" s="67" t="str">
        <f aca="false">IF(OR($C1488="",$D1488=""),"",IFERROR($D1488*INDEX(Mix_Eff,MATCH($C1488,Mix_Code,0),3),""))</f>
        <v/>
      </c>
      <c r="I1488" s="67" t="str">
        <f aca="false">IF(OR($C1488="",$D1488=""),"",IFERROR($D1488*INDEX(Mix_Eff,MATCH($C1488,Mix_Code,0),4),""))</f>
        <v/>
      </c>
      <c r="J1488" s="67" t="str">
        <f aca="false">IF(OR($C1488="",$D1488=""),"",IFERROR($D1488*INDEX(Mix_Eff,MATCH($C1488,Mix_Code,0),5),""))</f>
        <v/>
      </c>
      <c r="K1488" s="63"/>
      <c r="L1488" s="16" t="str">
        <f aca="false">IF(AND($A1488="",$B1488="",$C1488="",$D1488=""),"",IF($A1488="","⚠ Date missing",IF($B1488="","⚠ Site missing",IF(ISNA(MATCH($C1488,Mix_Code,0)),"⚠ Unknown mix code",IF($D1488="","⚠ Enter m3 produced",IF(COUNTIF(CI_Site,$B1488)=0,"⚠ Site not set up in Current Inventory",IF($A1488&gt;AsOfDate,"Future date – not yet deducted","OK")))))))</f>
        <v/>
      </c>
    </row>
    <row r="1489" customFormat="false" ht="15" hidden="false" customHeight="false" outlineLevel="0" collapsed="false">
      <c r="A1489" s="65"/>
      <c r="B1489" s="63"/>
      <c r="C1489" s="70"/>
      <c r="D1489" s="66"/>
      <c r="E1489" s="16" t="str">
        <f aca="false">IF($C1489="","",IFERROR(INDEX(Mix_Desc,MATCH($C1489,Mix_Code,0)),"⚠ Unknown mix code"))</f>
        <v/>
      </c>
      <c r="F1489" s="67" t="str">
        <f aca="false">IF(OR($C1489="",$D1489=""),"",IFERROR($D1489*INDEX(Mix_Eff,MATCH($C1489,Mix_Code,0),1),""))</f>
        <v/>
      </c>
      <c r="G1489" s="67" t="str">
        <f aca="false">IF(OR($C1489="",$D1489=""),"",IFERROR($D1489*INDEX(Mix_Eff,MATCH($C1489,Mix_Code,0),2),""))</f>
        <v/>
      </c>
      <c r="H1489" s="67" t="str">
        <f aca="false">IF(OR($C1489="",$D1489=""),"",IFERROR($D1489*INDEX(Mix_Eff,MATCH($C1489,Mix_Code,0),3),""))</f>
        <v/>
      </c>
      <c r="I1489" s="67" t="str">
        <f aca="false">IF(OR($C1489="",$D1489=""),"",IFERROR($D1489*INDEX(Mix_Eff,MATCH($C1489,Mix_Code,0),4),""))</f>
        <v/>
      </c>
      <c r="J1489" s="67" t="str">
        <f aca="false">IF(OR($C1489="",$D1489=""),"",IFERROR($D1489*INDEX(Mix_Eff,MATCH($C1489,Mix_Code,0),5),""))</f>
        <v/>
      </c>
      <c r="K1489" s="63"/>
      <c r="L1489" s="16" t="str">
        <f aca="false">IF(AND($A1489="",$B1489="",$C1489="",$D1489=""),"",IF($A1489="","⚠ Date missing",IF($B1489="","⚠ Site missing",IF(ISNA(MATCH($C1489,Mix_Code,0)),"⚠ Unknown mix code",IF($D1489="","⚠ Enter m3 produced",IF(COUNTIF(CI_Site,$B1489)=0,"⚠ Site not set up in Current Inventory",IF($A1489&gt;AsOfDate,"Future date – not yet deducted","OK")))))))</f>
        <v/>
      </c>
    </row>
    <row r="1490" customFormat="false" ht="15" hidden="false" customHeight="false" outlineLevel="0" collapsed="false">
      <c r="A1490" s="65"/>
      <c r="B1490" s="63"/>
      <c r="C1490" s="70"/>
      <c r="D1490" s="66"/>
      <c r="E1490" s="16" t="str">
        <f aca="false">IF($C1490="","",IFERROR(INDEX(Mix_Desc,MATCH($C1490,Mix_Code,0)),"⚠ Unknown mix code"))</f>
        <v/>
      </c>
      <c r="F1490" s="67" t="str">
        <f aca="false">IF(OR($C1490="",$D1490=""),"",IFERROR($D1490*INDEX(Mix_Eff,MATCH($C1490,Mix_Code,0),1),""))</f>
        <v/>
      </c>
      <c r="G1490" s="67" t="str">
        <f aca="false">IF(OR($C1490="",$D1490=""),"",IFERROR($D1490*INDEX(Mix_Eff,MATCH($C1490,Mix_Code,0),2),""))</f>
        <v/>
      </c>
      <c r="H1490" s="67" t="str">
        <f aca="false">IF(OR($C1490="",$D1490=""),"",IFERROR($D1490*INDEX(Mix_Eff,MATCH($C1490,Mix_Code,0),3),""))</f>
        <v/>
      </c>
      <c r="I1490" s="67" t="str">
        <f aca="false">IF(OR($C1490="",$D1490=""),"",IFERROR($D1490*INDEX(Mix_Eff,MATCH($C1490,Mix_Code,0),4),""))</f>
        <v/>
      </c>
      <c r="J1490" s="67" t="str">
        <f aca="false">IF(OR($C1490="",$D1490=""),"",IFERROR($D1490*INDEX(Mix_Eff,MATCH($C1490,Mix_Code,0),5),""))</f>
        <v/>
      </c>
      <c r="K1490" s="63"/>
      <c r="L1490" s="16" t="str">
        <f aca="false">IF(AND($A1490="",$B1490="",$C1490="",$D1490=""),"",IF($A1490="","⚠ Date missing",IF($B1490="","⚠ Site missing",IF(ISNA(MATCH($C1490,Mix_Code,0)),"⚠ Unknown mix code",IF($D1490="","⚠ Enter m3 produced",IF(COUNTIF(CI_Site,$B1490)=0,"⚠ Site not set up in Current Inventory",IF($A1490&gt;AsOfDate,"Future date – not yet deducted","OK")))))))</f>
        <v/>
      </c>
    </row>
    <row r="1491" customFormat="false" ht="15" hidden="false" customHeight="false" outlineLevel="0" collapsed="false">
      <c r="A1491" s="65"/>
      <c r="B1491" s="63"/>
      <c r="C1491" s="70"/>
      <c r="D1491" s="66"/>
      <c r="E1491" s="16" t="str">
        <f aca="false">IF($C1491="","",IFERROR(INDEX(Mix_Desc,MATCH($C1491,Mix_Code,0)),"⚠ Unknown mix code"))</f>
        <v/>
      </c>
      <c r="F1491" s="67" t="str">
        <f aca="false">IF(OR($C1491="",$D1491=""),"",IFERROR($D1491*INDEX(Mix_Eff,MATCH($C1491,Mix_Code,0),1),""))</f>
        <v/>
      </c>
      <c r="G1491" s="67" t="str">
        <f aca="false">IF(OR($C1491="",$D1491=""),"",IFERROR($D1491*INDEX(Mix_Eff,MATCH($C1491,Mix_Code,0),2),""))</f>
        <v/>
      </c>
      <c r="H1491" s="67" t="str">
        <f aca="false">IF(OR($C1491="",$D1491=""),"",IFERROR($D1491*INDEX(Mix_Eff,MATCH($C1491,Mix_Code,0),3),""))</f>
        <v/>
      </c>
      <c r="I1491" s="67" t="str">
        <f aca="false">IF(OR($C1491="",$D1491=""),"",IFERROR($D1491*INDEX(Mix_Eff,MATCH($C1491,Mix_Code,0),4),""))</f>
        <v/>
      </c>
      <c r="J1491" s="67" t="str">
        <f aca="false">IF(OR($C1491="",$D1491=""),"",IFERROR($D1491*INDEX(Mix_Eff,MATCH($C1491,Mix_Code,0),5),""))</f>
        <v/>
      </c>
      <c r="K1491" s="63"/>
      <c r="L1491" s="16" t="str">
        <f aca="false">IF(AND($A1491="",$B1491="",$C1491="",$D1491=""),"",IF($A1491="","⚠ Date missing",IF($B1491="","⚠ Site missing",IF(ISNA(MATCH($C1491,Mix_Code,0)),"⚠ Unknown mix code",IF($D1491="","⚠ Enter m3 produced",IF(COUNTIF(CI_Site,$B1491)=0,"⚠ Site not set up in Current Inventory",IF($A1491&gt;AsOfDate,"Future date – not yet deducted","OK")))))))</f>
        <v/>
      </c>
    </row>
    <row r="1492" customFormat="false" ht="15" hidden="false" customHeight="false" outlineLevel="0" collapsed="false">
      <c r="A1492" s="65"/>
      <c r="B1492" s="63"/>
      <c r="C1492" s="70"/>
      <c r="D1492" s="66"/>
      <c r="E1492" s="16" t="str">
        <f aca="false">IF($C1492="","",IFERROR(INDEX(Mix_Desc,MATCH($C1492,Mix_Code,0)),"⚠ Unknown mix code"))</f>
        <v/>
      </c>
      <c r="F1492" s="67" t="str">
        <f aca="false">IF(OR($C1492="",$D1492=""),"",IFERROR($D1492*INDEX(Mix_Eff,MATCH($C1492,Mix_Code,0),1),""))</f>
        <v/>
      </c>
      <c r="G1492" s="67" t="str">
        <f aca="false">IF(OR($C1492="",$D1492=""),"",IFERROR($D1492*INDEX(Mix_Eff,MATCH($C1492,Mix_Code,0),2),""))</f>
        <v/>
      </c>
      <c r="H1492" s="67" t="str">
        <f aca="false">IF(OR($C1492="",$D1492=""),"",IFERROR($D1492*INDEX(Mix_Eff,MATCH($C1492,Mix_Code,0),3),""))</f>
        <v/>
      </c>
      <c r="I1492" s="67" t="str">
        <f aca="false">IF(OR($C1492="",$D1492=""),"",IFERROR($D1492*INDEX(Mix_Eff,MATCH($C1492,Mix_Code,0),4),""))</f>
        <v/>
      </c>
      <c r="J1492" s="67" t="str">
        <f aca="false">IF(OR($C1492="",$D1492=""),"",IFERROR($D1492*INDEX(Mix_Eff,MATCH($C1492,Mix_Code,0),5),""))</f>
        <v/>
      </c>
      <c r="K1492" s="63"/>
      <c r="L1492" s="16" t="str">
        <f aca="false">IF(AND($A1492="",$B1492="",$C1492="",$D1492=""),"",IF($A1492="","⚠ Date missing",IF($B1492="","⚠ Site missing",IF(ISNA(MATCH($C1492,Mix_Code,0)),"⚠ Unknown mix code",IF($D1492="","⚠ Enter m3 produced",IF(COUNTIF(CI_Site,$B1492)=0,"⚠ Site not set up in Current Inventory",IF($A1492&gt;AsOfDate,"Future date – not yet deducted","OK")))))))</f>
        <v/>
      </c>
    </row>
    <row r="1493" customFormat="false" ht="15" hidden="false" customHeight="false" outlineLevel="0" collapsed="false">
      <c r="A1493" s="65"/>
      <c r="B1493" s="63"/>
      <c r="C1493" s="70"/>
      <c r="D1493" s="66"/>
      <c r="E1493" s="16" t="str">
        <f aca="false">IF($C1493="","",IFERROR(INDEX(Mix_Desc,MATCH($C1493,Mix_Code,0)),"⚠ Unknown mix code"))</f>
        <v/>
      </c>
      <c r="F1493" s="67" t="str">
        <f aca="false">IF(OR($C1493="",$D1493=""),"",IFERROR($D1493*INDEX(Mix_Eff,MATCH($C1493,Mix_Code,0),1),""))</f>
        <v/>
      </c>
      <c r="G1493" s="67" t="str">
        <f aca="false">IF(OR($C1493="",$D1493=""),"",IFERROR($D1493*INDEX(Mix_Eff,MATCH($C1493,Mix_Code,0),2),""))</f>
        <v/>
      </c>
      <c r="H1493" s="67" t="str">
        <f aca="false">IF(OR($C1493="",$D1493=""),"",IFERROR($D1493*INDEX(Mix_Eff,MATCH($C1493,Mix_Code,0),3),""))</f>
        <v/>
      </c>
      <c r="I1493" s="67" t="str">
        <f aca="false">IF(OR($C1493="",$D1493=""),"",IFERROR($D1493*INDEX(Mix_Eff,MATCH($C1493,Mix_Code,0),4),""))</f>
        <v/>
      </c>
      <c r="J1493" s="67" t="str">
        <f aca="false">IF(OR($C1493="",$D1493=""),"",IFERROR($D1493*INDEX(Mix_Eff,MATCH($C1493,Mix_Code,0),5),""))</f>
        <v/>
      </c>
      <c r="K1493" s="63"/>
      <c r="L1493" s="16" t="str">
        <f aca="false">IF(AND($A1493="",$B1493="",$C1493="",$D1493=""),"",IF($A1493="","⚠ Date missing",IF($B1493="","⚠ Site missing",IF(ISNA(MATCH($C1493,Mix_Code,0)),"⚠ Unknown mix code",IF($D1493="","⚠ Enter m3 produced",IF(COUNTIF(CI_Site,$B1493)=0,"⚠ Site not set up in Current Inventory",IF($A1493&gt;AsOfDate,"Future date – not yet deducted","OK")))))))</f>
        <v/>
      </c>
    </row>
    <row r="1494" customFormat="false" ht="15" hidden="false" customHeight="false" outlineLevel="0" collapsed="false">
      <c r="A1494" s="65"/>
      <c r="B1494" s="63"/>
      <c r="C1494" s="70"/>
      <c r="D1494" s="66"/>
      <c r="E1494" s="16" t="str">
        <f aca="false">IF($C1494="","",IFERROR(INDEX(Mix_Desc,MATCH($C1494,Mix_Code,0)),"⚠ Unknown mix code"))</f>
        <v/>
      </c>
      <c r="F1494" s="67" t="str">
        <f aca="false">IF(OR($C1494="",$D1494=""),"",IFERROR($D1494*INDEX(Mix_Eff,MATCH($C1494,Mix_Code,0),1),""))</f>
        <v/>
      </c>
      <c r="G1494" s="67" t="str">
        <f aca="false">IF(OR($C1494="",$D1494=""),"",IFERROR($D1494*INDEX(Mix_Eff,MATCH($C1494,Mix_Code,0),2),""))</f>
        <v/>
      </c>
      <c r="H1494" s="67" t="str">
        <f aca="false">IF(OR($C1494="",$D1494=""),"",IFERROR($D1494*INDEX(Mix_Eff,MATCH($C1494,Mix_Code,0),3),""))</f>
        <v/>
      </c>
      <c r="I1494" s="67" t="str">
        <f aca="false">IF(OR($C1494="",$D1494=""),"",IFERROR($D1494*INDEX(Mix_Eff,MATCH($C1494,Mix_Code,0),4),""))</f>
        <v/>
      </c>
      <c r="J1494" s="67" t="str">
        <f aca="false">IF(OR($C1494="",$D1494=""),"",IFERROR($D1494*INDEX(Mix_Eff,MATCH($C1494,Mix_Code,0),5),""))</f>
        <v/>
      </c>
      <c r="K1494" s="63"/>
      <c r="L1494" s="16" t="str">
        <f aca="false">IF(AND($A1494="",$B1494="",$C1494="",$D1494=""),"",IF($A1494="","⚠ Date missing",IF($B1494="","⚠ Site missing",IF(ISNA(MATCH($C1494,Mix_Code,0)),"⚠ Unknown mix code",IF($D1494="","⚠ Enter m3 produced",IF(COUNTIF(CI_Site,$B1494)=0,"⚠ Site not set up in Current Inventory",IF($A1494&gt;AsOfDate,"Future date – not yet deducted","OK")))))))</f>
        <v/>
      </c>
    </row>
    <row r="1495" customFormat="false" ht="15" hidden="false" customHeight="false" outlineLevel="0" collapsed="false">
      <c r="A1495" s="65"/>
      <c r="B1495" s="63"/>
      <c r="C1495" s="70"/>
      <c r="D1495" s="66"/>
      <c r="E1495" s="16" t="str">
        <f aca="false">IF($C1495="","",IFERROR(INDEX(Mix_Desc,MATCH($C1495,Mix_Code,0)),"⚠ Unknown mix code"))</f>
        <v/>
      </c>
      <c r="F1495" s="67" t="str">
        <f aca="false">IF(OR($C1495="",$D1495=""),"",IFERROR($D1495*INDEX(Mix_Eff,MATCH($C1495,Mix_Code,0),1),""))</f>
        <v/>
      </c>
      <c r="G1495" s="67" t="str">
        <f aca="false">IF(OR($C1495="",$D1495=""),"",IFERROR($D1495*INDEX(Mix_Eff,MATCH($C1495,Mix_Code,0),2),""))</f>
        <v/>
      </c>
      <c r="H1495" s="67" t="str">
        <f aca="false">IF(OR($C1495="",$D1495=""),"",IFERROR($D1495*INDEX(Mix_Eff,MATCH($C1495,Mix_Code,0),3),""))</f>
        <v/>
      </c>
      <c r="I1495" s="67" t="str">
        <f aca="false">IF(OR($C1495="",$D1495=""),"",IFERROR($D1495*INDEX(Mix_Eff,MATCH($C1495,Mix_Code,0),4),""))</f>
        <v/>
      </c>
      <c r="J1495" s="67" t="str">
        <f aca="false">IF(OR($C1495="",$D1495=""),"",IFERROR($D1495*INDEX(Mix_Eff,MATCH($C1495,Mix_Code,0),5),""))</f>
        <v/>
      </c>
      <c r="K1495" s="63"/>
      <c r="L1495" s="16" t="str">
        <f aca="false">IF(AND($A1495="",$B1495="",$C1495="",$D1495=""),"",IF($A1495="","⚠ Date missing",IF($B1495="","⚠ Site missing",IF(ISNA(MATCH($C1495,Mix_Code,0)),"⚠ Unknown mix code",IF($D1495="","⚠ Enter m3 produced",IF(COUNTIF(CI_Site,$B1495)=0,"⚠ Site not set up in Current Inventory",IF($A1495&gt;AsOfDate,"Future date – not yet deducted","OK")))))))</f>
        <v/>
      </c>
    </row>
    <row r="1496" customFormat="false" ht="15" hidden="false" customHeight="false" outlineLevel="0" collapsed="false">
      <c r="A1496" s="65"/>
      <c r="B1496" s="63"/>
      <c r="C1496" s="70"/>
      <c r="D1496" s="66"/>
      <c r="E1496" s="16" t="str">
        <f aca="false">IF($C1496="","",IFERROR(INDEX(Mix_Desc,MATCH($C1496,Mix_Code,0)),"⚠ Unknown mix code"))</f>
        <v/>
      </c>
      <c r="F1496" s="67" t="str">
        <f aca="false">IF(OR($C1496="",$D1496=""),"",IFERROR($D1496*INDEX(Mix_Eff,MATCH($C1496,Mix_Code,0),1),""))</f>
        <v/>
      </c>
      <c r="G1496" s="67" t="str">
        <f aca="false">IF(OR($C1496="",$D1496=""),"",IFERROR($D1496*INDEX(Mix_Eff,MATCH($C1496,Mix_Code,0),2),""))</f>
        <v/>
      </c>
      <c r="H1496" s="67" t="str">
        <f aca="false">IF(OR($C1496="",$D1496=""),"",IFERROR($D1496*INDEX(Mix_Eff,MATCH($C1496,Mix_Code,0),3),""))</f>
        <v/>
      </c>
      <c r="I1496" s="67" t="str">
        <f aca="false">IF(OR($C1496="",$D1496=""),"",IFERROR($D1496*INDEX(Mix_Eff,MATCH($C1496,Mix_Code,0),4),""))</f>
        <v/>
      </c>
      <c r="J1496" s="67" t="str">
        <f aca="false">IF(OR($C1496="",$D1496=""),"",IFERROR($D1496*INDEX(Mix_Eff,MATCH($C1496,Mix_Code,0),5),""))</f>
        <v/>
      </c>
      <c r="K1496" s="63"/>
      <c r="L1496" s="16" t="str">
        <f aca="false">IF(AND($A1496="",$B1496="",$C1496="",$D1496=""),"",IF($A1496="","⚠ Date missing",IF($B1496="","⚠ Site missing",IF(ISNA(MATCH($C1496,Mix_Code,0)),"⚠ Unknown mix code",IF($D1496="","⚠ Enter m3 produced",IF(COUNTIF(CI_Site,$B1496)=0,"⚠ Site not set up in Current Inventory",IF($A1496&gt;AsOfDate,"Future date – not yet deducted","OK")))))))</f>
        <v/>
      </c>
    </row>
    <row r="1497" customFormat="false" ht="15" hidden="false" customHeight="false" outlineLevel="0" collapsed="false">
      <c r="A1497" s="65"/>
      <c r="B1497" s="63"/>
      <c r="C1497" s="70"/>
      <c r="D1497" s="66"/>
      <c r="E1497" s="16" t="str">
        <f aca="false">IF($C1497="","",IFERROR(INDEX(Mix_Desc,MATCH($C1497,Mix_Code,0)),"⚠ Unknown mix code"))</f>
        <v/>
      </c>
      <c r="F1497" s="67" t="str">
        <f aca="false">IF(OR($C1497="",$D1497=""),"",IFERROR($D1497*INDEX(Mix_Eff,MATCH($C1497,Mix_Code,0),1),""))</f>
        <v/>
      </c>
      <c r="G1497" s="67" t="str">
        <f aca="false">IF(OR($C1497="",$D1497=""),"",IFERROR($D1497*INDEX(Mix_Eff,MATCH($C1497,Mix_Code,0),2),""))</f>
        <v/>
      </c>
      <c r="H1497" s="67" t="str">
        <f aca="false">IF(OR($C1497="",$D1497=""),"",IFERROR($D1497*INDEX(Mix_Eff,MATCH($C1497,Mix_Code,0),3),""))</f>
        <v/>
      </c>
      <c r="I1497" s="67" t="str">
        <f aca="false">IF(OR($C1497="",$D1497=""),"",IFERROR($D1497*INDEX(Mix_Eff,MATCH($C1497,Mix_Code,0),4),""))</f>
        <v/>
      </c>
      <c r="J1497" s="67" t="str">
        <f aca="false">IF(OR($C1497="",$D1497=""),"",IFERROR($D1497*INDEX(Mix_Eff,MATCH($C1497,Mix_Code,0),5),""))</f>
        <v/>
      </c>
      <c r="K1497" s="63"/>
      <c r="L1497" s="16" t="str">
        <f aca="false">IF(AND($A1497="",$B1497="",$C1497="",$D1497=""),"",IF($A1497="","⚠ Date missing",IF($B1497="","⚠ Site missing",IF(ISNA(MATCH($C1497,Mix_Code,0)),"⚠ Unknown mix code",IF($D1497="","⚠ Enter m3 produced",IF(COUNTIF(CI_Site,$B1497)=0,"⚠ Site not set up in Current Inventory",IF($A1497&gt;AsOfDate,"Future date – not yet deducted","OK")))))))</f>
        <v/>
      </c>
    </row>
    <row r="1498" customFormat="false" ht="15" hidden="false" customHeight="false" outlineLevel="0" collapsed="false">
      <c r="A1498" s="65"/>
      <c r="B1498" s="63"/>
      <c r="C1498" s="70"/>
      <c r="D1498" s="66"/>
      <c r="E1498" s="16" t="str">
        <f aca="false">IF($C1498="","",IFERROR(INDEX(Mix_Desc,MATCH($C1498,Mix_Code,0)),"⚠ Unknown mix code"))</f>
        <v/>
      </c>
      <c r="F1498" s="67" t="str">
        <f aca="false">IF(OR($C1498="",$D1498=""),"",IFERROR($D1498*INDEX(Mix_Eff,MATCH($C1498,Mix_Code,0),1),""))</f>
        <v/>
      </c>
      <c r="G1498" s="67" t="str">
        <f aca="false">IF(OR($C1498="",$D1498=""),"",IFERROR($D1498*INDEX(Mix_Eff,MATCH($C1498,Mix_Code,0),2),""))</f>
        <v/>
      </c>
      <c r="H1498" s="67" t="str">
        <f aca="false">IF(OR($C1498="",$D1498=""),"",IFERROR($D1498*INDEX(Mix_Eff,MATCH($C1498,Mix_Code,0),3),""))</f>
        <v/>
      </c>
      <c r="I1498" s="67" t="str">
        <f aca="false">IF(OR($C1498="",$D1498=""),"",IFERROR($D1498*INDEX(Mix_Eff,MATCH($C1498,Mix_Code,0),4),""))</f>
        <v/>
      </c>
      <c r="J1498" s="67" t="str">
        <f aca="false">IF(OR($C1498="",$D1498=""),"",IFERROR($D1498*INDEX(Mix_Eff,MATCH($C1498,Mix_Code,0),5),""))</f>
        <v/>
      </c>
      <c r="K1498" s="63"/>
      <c r="L1498" s="16" t="str">
        <f aca="false">IF(AND($A1498="",$B1498="",$C1498="",$D1498=""),"",IF($A1498="","⚠ Date missing",IF($B1498="","⚠ Site missing",IF(ISNA(MATCH($C1498,Mix_Code,0)),"⚠ Unknown mix code",IF($D1498="","⚠ Enter m3 produced",IF(COUNTIF(CI_Site,$B1498)=0,"⚠ Site not set up in Current Inventory",IF($A1498&gt;AsOfDate,"Future date – not yet deducted","OK")))))))</f>
        <v/>
      </c>
    </row>
    <row r="1499" customFormat="false" ht="15" hidden="false" customHeight="false" outlineLevel="0" collapsed="false">
      <c r="A1499" s="65"/>
      <c r="B1499" s="63"/>
      <c r="C1499" s="70"/>
      <c r="D1499" s="66"/>
      <c r="E1499" s="16" t="str">
        <f aca="false">IF($C1499="","",IFERROR(INDEX(Mix_Desc,MATCH($C1499,Mix_Code,0)),"⚠ Unknown mix code"))</f>
        <v/>
      </c>
      <c r="F1499" s="67" t="str">
        <f aca="false">IF(OR($C1499="",$D1499=""),"",IFERROR($D1499*INDEX(Mix_Eff,MATCH($C1499,Mix_Code,0),1),""))</f>
        <v/>
      </c>
      <c r="G1499" s="67" t="str">
        <f aca="false">IF(OR($C1499="",$D1499=""),"",IFERROR($D1499*INDEX(Mix_Eff,MATCH($C1499,Mix_Code,0),2),""))</f>
        <v/>
      </c>
      <c r="H1499" s="67" t="str">
        <f aca="false">IF(OR($C1499="",$D1499=""),"",IFERROR($D1499*INDEX(Mix_Eff,MATCH($C1499,Mix_Code,0),3),""))</f>
        <v/>
      </c>
      <c r="I1499" s="67" t="str">
        <f aca="false">IF(OR($C1499="",$D1499=""),"",IFERROR($D1499*INDEX(Mix_Eff,MATCH($C1499,Mix_Code,0),4),""))</f>
        <v/>
      </c>
      <c r="J1499" s="67" t="str">
        <f aca="false">IF(OR($C1499="",$D1499=""),"",IFERROR($D1499*INDEX(Mix_Eff,MATCH($C1499,Mix_Code,0),5),""))</f>
        <v/>
      </c>
      <c r="K1499" s="63"/>
      <c r="L1499" s="16" t="str">
        <f aca="false">IF(AND($A1499="",$B1499="",$C1499="",$D1499=""),"",IF($A1499="","⚠ Date missing",IF($B1499="","⚠ Site missing",IF(ISNA(MATCH($C1499,Mix_Code,0)),"⚠ Unknown mix code",IF($D1499="","⚠ Enter m3 produced",IF(COUNTIF(CI_Site,$B1499)=0,"⚠ Site not set up in Current Inventory",IF($A1499&gt;AsOfDate,"Future date – not yet deducted","OK")))))))</f>
        <v/>
      </c>
    </row>
    <row r="1500" customFormat="false" ht="15" hidden="false" customHeight="false" outlineLevel="0" collapsed="false">
      <c r="A1500" s="65"/>
      <c r="B1500" s="63"/>
      <c r="C1500" s="70"/>
      <c r="D1500" s="66"/>
      <c r="E1500" s="16" t="str">
        <f aca="false">IF($C1500="","",IFERROR(INDEX(Mix_Desc,MATCH($C1500,Mix_Code,0)),"⚠ Unknown mix code"))</f>
        <v/>
      </c>
      <c r="F1500" s="67" t="str">
        <f aca="false">IF(OR($C1500="",$D1500=""),"",IFERROR($D1500*INDEX(Mix_Eff,MATCH($C1500,Mix_Code,0),1),""))</f>
        <v/>
      </c>
      <c r="G1500" s="67" t="str">
        <f aca="false">IF(OR($C1500="",$D1500=""),"",IFERROR($D1500*INDEX(Mix_Eff,MATCH($C1500,Mix_Code,0),2),""))</f>
        <v/>
      </c>
      <c r="H1500" s="67" t="str">
        <f aca="false">IF(OR($C1500="",$D1500=""),"",IFERROR($D1500*INDEX(Mix_Eff,MATCH($C1500,Mix_Code,0),3),""))</f>
        <v/>
      </c>
      <c r="I1500" s="67" t="str">
        <f aca="false">IF(OR($C1500="",$D1500=""),"",IFERROR($D1500*INDEX(Mix_Eff,MATCH($C1500,Mix_Code,0),4),""))</f>
        <v/>
      </c>
      <c r="J1500" s="67" t="str">
        <f aca="false">IF(OR($C1500="",$D1500=""),"",IFERROR($D1500*INDEX(Mix_Eff,MATCH($C1500,Mix_Code,0),5),""))</f>
        <v/>
      </c>
      <c r="K1500" s="63"/>
      <c r="L1500" s="16" t="str">
        <f aca="false">IF(AND($A1500="",$B1500="",$C1500="",$D1500=""),"",IF($A1500="","⚠ Date missing",IF($B1500="","⚠ Site missing",IF(ISNA(MATCH($C1500,Mix_Code,0)),"⚠ Unknown mix code",IF($D1500="","⚠ Enter m3 produced",IF(COUNTIF(CI_Site,$B1500)=0,"⚠ Site not set up in Current Inventory",IF($A1500&gt;AsOfDate,"Future date – not yet deducted","OK")))))))</f>
        <v/>
      </c>
    </row>
    <row r="1501" customFormat="false" ht="15" hidden="false" customHeight="false" outlineLevel="0" collapsed="false">
      <c r="A1501" s="65"/>
      <c r="B1501" s="63"/>
      <c r="C1501" s="70"/>
      <c r="D1501" s="66"/>
      <c r="E1501" s="16" t="str">
        <f aca="false">IF($C1501="","",IFERROR(INDEX(Mix_Desc,MATCH($C1501,Mix_Code,0)),"⚠ Unknown mix code"))</f>
        <v/>
      </c>
      <c r="F1501" s="67" t="str">
        <f aca="false">IF(OR($C1501="",$D1501=""),"",IFERROR($D1501*INDEX(Mix_Eff,MATCH($C1501,Mix_Code,0),1),""))</f>
        <v/>
      </c>
      <c r="G1501" s="67" t="str">
        <f aca="false">IF(OR($C1501="",$D1501=""),"",IFERROR($D1501*INDEX(Mix_Eff,MATCH($C1501,Mix_Code,0),2),""))</f>
        <v/>
      </c>
      <c r="H1501" s="67" t="str">
        <f aca="false">IF(OR($C1501="",$D1501=""),"",IFERROR($D1501*INDEX(Mix_Eff,MATCH($C1501,Mix_Code,0),3),""))</f>
        <v/>
      </c>
      <c r="I1501" s="67" t="str">
        <f aca="false">IF(OR($C1501="",$D1501=""),"",IFERROR($D1501*INDEX(Mix_Eff,MATCH($C1501,Mix_Code,0),4),""))</f>
        <v/>
      </c>
      <c r="J1501" s="67" t="str">
        <f aca="false">IF(OR($C1501="",$D1501=""),"",IFERROR($D1501*INDEX(Mix_Eff,MATCH($C1501,Mix_Code,0),5),""))</f>
        <v/>
      </c>
      <c r="K1501" s="63"/>
      <c r="L1501" s="16" t="str">
        <f aca="false">IF(AND($A1501="",$B1501="",$C1501="",$D1501=""),"",IF($A1501="","⚠ Date missing",IF($B1501="","⚠ Site missing",IF(ISNA(MATCH($C1501,Mix_Code,0)),"⚠ Unknown mix code",IF($D1501="","⚠ Enter m3 produced",IF(COUNTIF(CI_Site,$B1501)=0,"⚠ Site not set up in Current Inventory",IF($A1501&gt;AsOfDate,"Future date – not yet deducted","OK")))))))</f>
        <v/>
      </c>
    </row>
    <row r="1502" customFormat="false" ht="15" hidden="false" customHeight="false" outlineLevel="0" collapsed="false">
      <c r="A1502" s="65"/>
      <c r="B1502" s="63"/>
      <c r="C1502" s="70"/>
      <c r="D1502" s="66"/>
      <c r="E1502" s="16" t="str">
        <f aca="false">IF($C1502="","",IFERROR(INDEX(Mix_Desc,MATCH($C1502,Mix_Code,0)),"⚠ Unknown mix code"))</f>
        <v/>
      </c>
      <c r="F1502" s="67" t="str">
        <f aca="false">IF(OR($C1502="",$D1502=""),"",IFERROR($D1502*INDEX(Mix_Eff,MATCH($C1502,Mix_Code,0),1),""))</f>
        <v/>
      </c>
      <c r="G1502" s="67" t="str">
        <f aca="false">IF(OR($C1502="",$D1502=""),"",IFERROR($D1502*INDEX(Mix_Eff,MATCH($C1502,Mix_Code,0),2),""))</f>
        <v/>
      </c>
      <c r="H1502" s="67" t="str">
        <f aca="false">IF(OR($C1502="",$D1502=""),"",IFERROR($D1502*INDEX(Mix_Eff,MATCH($C1502,Mix_Code,0),3),""))</f>
        <v/>
      </c>
      <c r="I1502" s="67" t="str">
        <f aca="false">IF(OR($C1502="",$D1502=""),"",IFERROR($D1502*INDEX(Mix_Eff,MATCH($C1502,Mix_Code,0),4),""))</f>
        <v/>
      </c>
      <c r="J1502" s="67" t="str">
        <f aca="false">IF(OR($C1502="",$D1502=""),"",IFERROR($D1502*INDEX(Mix_Eff,MATCH($C1502,Mix_Code,0),5),""))</f>
        <v/>
      </c>
      <c r="K1502" s="63"/>
      <c r="L1502" s="16" t="str">
        <f aca="false">IF(AND($A1502="",$B1502="",$C1502="",$D1502=""),"",IF($A1502="","⚠ Date missing",IF($B1502="","⚠ Site missing",IF(ISNA(MATCH($C1502,Mix_Code,0)),"⚠ Unknown mix code",IF($D1502="","⚠ Enter m3 produced",IF(COUNTIF(CI_Site,$B1502)=0,"⚠ Site not set up in Current Inventory",IF($A1502&gt;AsOfDate,"Future date – not yet deducted","OK")))))))</f>
        <v/>
      </c>
    </row>
    <row r="1503" customFormat="false" ht="15" hidden="false" customHeight="false" outlineLevel="0" collapsed="false">
      <c r="A1503" s="65"/>
      <c r="B1503" s="63"/>
      <c r="C1503" s="70"/>
      <c r="D1503" s="66"/>
      <c r="E1503" s="16" t="str">
        <f aca="false">IF($C1503="","",IFERROR(INDEX(Mix_Desc,MATCH($C1503,Mix_Code,0)),"⚠ Unknown mix code"))</f>
        <v/>
      </c>
      <c r="F1503" s="67" t="str">
        <f aca="false">IF(OR($C1503="",$D1503=""),"",IFERROR($D1503*INDEX(Mix_Eff,MATCH($C1503,Mix_Code,0),1),""))</f>
        <v/>
      </c>
      <c r="G1503" s="67" t="str">
        <f aca="false">IF(OR($C1503="",$D1503=""),"",IFERROR($D1503*INDEX(Mix_Eff,MATCH($C1503,Mix_Code,0),2),""))</f>
        <v/>
      </c>
      <c r="H1503" s="67" t="str">
        <f aca="false">IF(OR($C1503="",$D1503=""),"",IFERROR($D1503*INDEX(Mix_Eff,MATCH($C1503,Mix_Code,0),3),""))</f>
        <v/>
      </c>
      <c r="I1503" s="67" t="str">
        <f aca="false">IF(OR($C1503="",$D1503=""),"",IFERROR($D1503*INDEX(Mix_Eff,MATCH($C1503,Mix_Code,0),4),""))</f>
        <v/>
      </c>
      <c r="J1503" s="67" t="str">
        <f aca="false">IF(OR($C1503="",$D1503=""),"",IFERROR($D1503*INDEX(Mix_Eff,MATCH($C1503,Mix_Code,0),5),""))</f>
        <v/>
      </c>
      <c r="K1503" s="63"/>
      <c r="L1503" s="16" t="str">
        <f aca="false">IF(AND($A1503="",$B1503="",$C1503="",$D1503=""),"",IF($A1503="","⚠ Date missing",IF($B1503="","⚠ Site missing",IF(ISNA(MATCH($C1503,Mix_Code,0)),"⚠ Unknown mix code",IF($D1503="","⚠ Enter m3 produced",IF(COUNTIF(CI_Site,$B1503)=0,"⚠ Site not set up in Current Inventory",IF($A1503&gt;AsOfDate,"Future date – not yet deducted","OK")))))))</f>
        <v/>
      </c>
    </row>
    <row r="1504" customFormat="false" ht="15" hidden="false" customHeight="false" outlineLevel="0" collapsed="false">
      <c r="A1504" s="65"/>
      <c r="B1504" s="63"/>
      <c r="C1504" s="70"/>
      <c r="D1504" s="66"/>
      <c r="E1504" s="16" t="str">
        <f aca="false">IF($C1504="","",IFERROR(INDEX(Mix_Desc,MATCH($C1504,Mix_Code,0)),"⚠ Unknown mix code"))</f>
        <v/>
      </c>
      <c r="F1504" s="67" t="str">
        <f aca="false">IF(OR($C1504="",$D1504=""),"",IFERROR($D1504*INDEX(Mix_Eff,MATCH($C1504,Mix_Code,0),1),""))</f>
        <v/>
      </c>
      <c r="G1504" s="67" t="str">
        <f aca="false">IF(OR($C1504="",$D1504=""),"",IFERROR($D1504*INDEX(Mix_Eff,MATCH($C1504,Mix_Code,0),2),""))</f>
        <v/>
      </c>
      <c r="H1504" s="67" t="str">
        <f aca="false">IF(OR($C1504="",$D1504=""),"",IFERROR($D1504*INDEX(Mix_Eff,MATCH($C1504,Mix_Code,0),3),""))</f>
        <v/>
      </c>
      <c r="I1504" s="67" t="str">
        <f aca="false">IF(OR($C1504="",$D1504=""),"",IFERROR($D1504*INDEX(Mix_Eff,MATCH($C1504,Mix_Code,0),4),""))</f>
        <v/>
      </c>
      <c r="J1504" s="67" t="str">
        <f aca="false">IF(OR($C1504="",$D1504=""),"",IFERROR($D1504*INDEX(Mix_Eff,MATCH($C1504,Mix_Code,0),5),""))</f>
        <v/>
      </c>
      <c r="K1504" s="63"/>
      <c r="L1504" s="16" t="str">
        <f aca="false">IF(AND($A1504="",$B1504="",$C1504="",$D1504=""),"",IF($A1504="","⚠ Date missing",IF($B1504="","⚠ Site missing",IF(ISNA(MATCH($C1504,Mix_Code,0)),"⚠ Unknown mix code",IF($D1504="","⚠ Enter m3 produced",IF(COUNTIF(CI_Site,$B1504)=0,"⚠ Site not set up in Current Inventory",IF($A1504&gt;AsOfDate,"Future date – not yet deducted","OK")))))))</f>
        <v/>
      </c>
    </row>
    <row r="1505" customFormat="false" ht="15" hidden="false" customHeight="false" outlineLevel="0" collapsed="false">
      <c r="A1505" s="65"/>
      <c r="B1505" s="63"/>
      <c r="C1505" s="70"/>
      <c r="D1505" s="66"/>
      <c r="E1505" s="16" t="str">
        <f aca="false">IF($C1505="","",IFERROR(INDEX(Mix_Desc,MATCH($C1505,Mix_Code,0)),"⚠ Unknown mix code"))</f>
        <v/>
      </c>
      <c r="F1505" s="67" t="str">
        <f aca="false">IF(OR($C1505="",$D1505=""),"",IFERROR($D1505*INDEX(Mix_Eff,MATCH($C1505,Mix_Code,0),1),""))</f>
        <v/>
      </c>
      <c r="G1505" s="67" t="str">
        <f aca="false">IF(OR($C1505="",$D1505=""),"",IFERROR($D1505*INDEX(Mix_Eff,MATCH($C1505,Mix_Code,0),2),""))</f>
        <v/>
      </c>
      <c r="H1505" s="67" t="str">
        <f aca="false">IF(OR($C1505="",$D1505=""),"",IFERROR($D1505*INDEX(Mix_Eff,MATCH($C1505,Mix_Code,0),3),""))</f>
        <v/>
      </c>
      <c r="I1505" s="67" t="str">
        <f aca="false">IF(OR($C1505="",$D1505=""),"",IFERROR($D1505*INDEX(Mix_Eff,MATCH($C1505,Mix_Code,0),4),""))</f>
        <v/>
      </c>
      <c r="J1505" s="67" t="str">
        <f aca="false">IF(OR($C1505="",$D1505=""),"",IFERROR($D1505*INDEX(Mix_Eff,MATCH($C1505,Mix_Code,0),5),""))</f>
        <v/>
      </c>
      <c r="K1505" s="63"/>
      <c r="L1505" s="16" t="str">
        <f aca="false">IF(AND($A1505="",$B1505="",$C1505="",$D1505=""),"",IF($A1505="","⚠ Date missing",IF($B1505="","⚠ Site missing",IF(ISNA(MATCH($C1505,Mix_Code,0)),"⚠ Unknown mix code",IF($D1505="","⚠ Enter m3 produced",IF(COUNTIF(CI_Site,$B1505)=0,"⚠ Site not set up in Current Inventory",IF($A1505&gt;AsOfDate,"Future date – not yet deducted","OK")))))))</f>
        <v/>
      </c>
    </row>
    <row r="1506" customFormat="false" ht="15" hidden="false" customHeight="false" outlineLevel="0" collapsed="false">
      <c r="A1506" s="65"/>
      <c r="B1506" s="63"/>
      <c r="C1506" s="70"/>
      <c r="D1506" s="66"/>
      <c r="E1506" s="16" t="str">
        <f aca="false">IF($C1506="","",IFERROR(INDEX(Mix_Desc,MATCH($C1506,Mix_Code,0)),"⚠ Unknown mix code"))</f>
        <v/>
      </c>
      <c r="F1506" s="67" t="str">
        <f aca="false">IF(OR($C1506="",$D1506=""),"",IFERROR($D1506*INDEX(Mix_Eff,MATCH($C1506,Mix_Code,0),1),""))</f>
        <v/>
      </c>
      <c r="G1506" s="67" t="str">
        <f aca="false">IF(OR($C1506="",$D1506=""),"",IFERROR($D1506*INDEX(Mix_Eff,MATCH($C1506,Mix_Code,0),2),""))</f>
        <v/>
      </c>
      <c r="H1506" s="67" t="str">
        <f aca="false">IF(OR($C1506="",$D1506=""),"",IFERROR($D1506*INDEX(Mix_Eff,MATCH($C1506,Mix_Code,0),3),""))</f>
        <v/>
      </c>
      <c r="I1506" s="67" t="str">
        <f aca="false">IF(OR($C1506="",$D1506=""),"",IFERROR($D1506*INDEX(Mix_Eff,MATCH($C1506,Mix_Code,0),4),""))</f>
        <v/>
      </c>
      <c r="J1506" s="67" t="str">
        <f aca="false">IF(OR($C1506="",$D1506=""),"",IFERROR($D1506*INDEX(Mix_Eff,MATCH($C1506,Mix_Code,0),5),""))</f>
        <v/>
      </c>
      <c r="K1506" s="63"/>
      <c r="L1506" s="16" t="str">
        <f aca="false">IF(AND($A1506="",$B1506="",$C1506="",$D1506=""),"",IF($A1506="","⚠ Date missing",IF($B1506="","⚠ Site missing",IF(ISNA(MATCH($C1506,Mix_Code,0)),"⚠ Unknown mix code",IF($D1506="","⚠ Enter m3 produced",IF(COUNTIF(CI_Site,$B1506)=0,"⚠ Site not set up in Current Inventory",IF($A1506&gt;AsOfDate,"Future date – not yet deducted","OK")))))))</f>
        <v/>
      </c>
    </row>
    <row r="1507" customFormat="false" ht="15" hidden="false" customHeight="false" outlineLevel="0" collapsed="false">
      <c r="A1507" s="65"/>
      <c r="B1507" s="63"/>
      <c r="C1507" s="70"/>
      <c r="D1507" s="66"/>
      <c r="E1507" s="16" t="str">
        <f aca="false">IF($C1507="","",IFERROR(INDEX(Mix_Desc,MATCH($C1507,Mix_Code,0)),"⚠ Unknown mix code"))</f>
        <v/>
      </c>
      <c r="F1507" s="67" t="str">
        <f aca="false">IF(OR($C1507="",$D1507=""),"",IFERROR($D1507*INDEX(Mix_Eff,MATCH($C1507,Mix_Code,0),1),""))</f>
        <v/>
      </c>
      <c r="G1507" s="67" t="str">
        <f aca="false">IF(OR($C1507="",$D1507=""),"",IFERROR($D1507*INDEX(Mix_Eff,MATCH($C1507,Mix_Code,0),2),""))</f>
        <v/>
      </c>
      <c r="H1507" s="67" t="str">
        <f aca="false">IF(OR($C1507="",$D1507=""),"",IFERROR($D1507*INDEX(Mix_Eff,MATCH($C1507,Mix_Code,0),3),""))</f>
        <v/>
      </c>
      <c r="I1507" s="67" t="str">
        <f aca="false">IF(OR($C1507="",$D1507=""),"",IFERROR($D1507*INDEX(Mix_Eff,MATCH($C1507,Mix_Code,0),4),""))</f>
        <v/>
      </c>
      <c r="J1507" s="67" t="str">
        <f aca="false">IF(OR($C1507="",$D1507=""),"",IFERROR($D1507*INDEX(Mix_Eff,MATCH($C1507,Mix_Code,0),5),""))</f>
        <v/>
      </c>
      <c r="K1507" s="63"/>
      <c r="L1507" s="16" t="str">
        <f aca="false">IF(AND($A1507="",$B1507="",$C1507="",$D1507=""),"",IF($A1507="","⚠ Date missing",IF($B1507="","⚠ Site missing",IF(ISNA(MATCH($C1507,Mix_Code,0)),"⚠ Unknown mix code",IF($D1507="","⚠ Enter m3 produced",IF(COUNTIF(CI_Site,$B1507)=0,"⚠ Site not set up in Current Inventory",IF($A1507&gt;AsOfDate,"Future date – not yet deducted","OK")))))))</f>
        <v/>
      </c>
    </row>
    <row r="1508" customFormat="false" ht="15" hidden="false" customHeight="false" outlineLevel="0" collapsed="false">
      <c r="A1508" s="65"/>
      <c r="B1508" s="63"/>
      <c r="C1508" s="70"/>
      <c r="D1508" s="66"/>
      <c r="E1508" s="16" t="str">
        <f aca="false">IF($C1508="","",IFERROR(INDEX(Mix_Desc,MATCH($C1508,Mix_Code,0)),"⚠ Unknown mix code"))</f>
        <v/>
      </c>
      <c r="F1508" s="67" t="str">
        <f aca="false">IF(OR($C1508="",$D1508=""),"",IFERROR($D1508*INDEX(Mix_Eff,MATCH($C1508,Mix_Code,0),1),""))</f>
        <v/>
      </c>
      <c r="G1508" s="67" t="str">
        <f aca="false">IF(OR($C1508="",$D1508=""),"",IFERROR($D1508*INDEX(Mix_Eff,MATCH($C1508,Mix_Code,0),2),""))</f>
        <v/>
      </c>
      <c r="H1508" s="67" t="str">
        <f aca="false">IF(OR($C1508="",$D1508=""),"",IFERROR($D1508*INDEX(Mix_Eff,MATCH($C1508,Mix_Code,0),3),""))</f>
        <v/>
      </c>
      <c r="I1508" s="67" t="str">
        <f aca="false">IF(OR($C1508="",$D1508=""),"",IFERROR($D1508*INDEX(Mix_Eff,MATCH($C1508,Mix_Code,0),4),""))</f>
        <v/>
      </c>
      <c r="J1508" s="67" t="str">
        <f aca="false">IF(OR($C1508="",$D1508=""),"",IFERROR($D1508*INDEX(Mix_Eff,MATCH($C1508,Mix_Code,0),5),""))</f>
        <v/>
      </c>
      <c r="K1508" s="63"/>
      <c r="L1508" s="16" t="str">
        <f aca="false">IF(AND($A1508="",$B1508="",$C1508="",$D1508=""),"",IF($A1508="","⚠ Date missing",IF($B1508="","⚠ Site missing",IF(ISNA(MATCH($C1508,Mix_Code,0)),"⚠ Unknown mix code",IF($D1508="","⚠ Enter m3 produced",IF(COUNTIF(CI_Site,$B1508)=0,"⚠ Site not set up in Current Inventory",IF($A1508&gt;AsOfDate,"Future date – not yet deducted","OK")))))))</f>
        <v/>
      </c>
    </row>
    <row r="1509" customFormat="false" ht="15" hidden="false" customHeight="false" outlineLevel="0" collapsed="false">
      <c r="A1509" s="65"/>
      <c r="B1509" s="63"/>
      <c r="C1509" s="70"/>
      <c r="D1509" s="66"/>
      <c r="E1509" s="16" t="str">
        <f aca="false">IF($C1509="","",IFERROR(INDEX(Mix_Desc,MATCH($C1509,Mix_Code,0)),"⚠ Unknown mix code"))</f>
        <v/>
      </c>
      <c r="F1509" s="67" t="str">
        <f aca="false">IF(OR($C1509="",$D1509=""),"",IFERROR($D1509*INDEX(Mix_Eff,MATCH($C1509,Mix_Code,0),1),""))</f>
        <v/>
      </c>
      <c r="G1509" s="67" t="str">
        <f aca="false">IF(OR($C1509="",$D1509=""),"",IFERROR($D1509*INDEX(Mix_Eff,MATCH($C1509,Mix_Code,0),2),""))</f>
        <v/>
      </c>
      <c r="H1509" s="67" t="str">
        <f aca="false">IF(OR($C1509="",$D1509=""),"",IFERROR($D1509*INDEX(Mix_Eff,MATCH($C1509,Mix_Code,0),3),""))</f>
        <v/>
      </c>
      <c r="I1509" s="67" t="str">
        <f aca="false">IF(OR($C1509="",$D1509=""),"",IFERROR($D1509*INDEX(Mix_Eff,MATCH($C1509,Mix_Code,0),4),""))</f>
        <v/>
      </c>
      <c r="J1509" s="67" t="str">
        <f aca="false">IF(OR($C1509="",$D1509=""),"",IFERROR($D1509*INDEX(Mix_Eff,MATCH($C1509,Mix_Code,0),5),""))</f>
        <v/>
      </c>
      <c r="K1509" s="63"/>
      <c r="L1509" s="16" t="str">
        <f aca="false">IF(AND($A1509="",$B1509="",$C1509="",$D1509=""),"",IF($A1509="","⚠ Date missing",IF($B1509="","⚠ Site missing",IF(ISNA(MATCH($C1509,Mix_Code,0)),"⚠ Unknown mix code",IF($D1509="","⚠ Enter m3 produced",IF(COUNTIF(CI_Site,$B1509)=0,"⚠ Site not set up in Current Inventory",IF($A1509&gt;AsOfDate,"Future date – not yet deducted","OK")))))))</f>
        <v/>
      </c>
    </row>
    <row r="1510" customFormat="false" ht="15" hidden="false" customHeight="false" outlineLevel="0" collapsed="false">
      <c r="A1510" s="65"/>
      <c r="B1510" s="63"/>
      <c r="C1510" s="70"/>
      <c r="D1510" s="66"/>
      <c r="E1510" s="16" t="str">
        <f aca="false">IF($C1510="","",IFERROR(INDEX(Mix_Desc,MATCH($C1510,Mix_Code,0)),"⚠ Unknown mix code"))</f>
        <v/>
      </c>
      <c r="F1510" s="67" t="str">
        <f aca="false">IF(OR($C1510="",$D1510=""),"",IFERROR($D1510*INDEX(Mix_Eff,MATCH($C1510,Mix_Code,0),1),""))</f>
        <v/>
      </c>
      <c r="G1510" s="67" t="str">
        <f aca="false">IF(OR($C1510="",$D1510=""),"",IFERROR($D1510*INDEX(Mix_Eff,MATCH($C1510,Mix_Code,0),2),""))</f>
        <v/>
      </c>
      <c r="H1510" s="67" t="str">
        <f aca="false">IF(OR($C1510="",$D1510=""),"",IFERROR($D1510*INDEX(Mix_Eff,MATCH($C1510,Mix_Code,0),3),""))</f>
        <v/>
      </c>
      <c r="I1510" s="67" t="str">
        <f aca="false">IF(OR($C1510="",$D1510=""),"",IFERROR($D1510*INDEX(Mix_Eff,MATCH($C1510,Mix_Code,0),4),""))</f>
        <v/>
      </c>
      <c r="J1510" s="67" t="str">
        <f aca="false">IF(OR($C1510="",$D1510=""),"",IFERROR($D1510*INDEX(Mix_Eff,MATCH($C1510,Mix_Code,0),5),""))</f>
        <v/>
      </c>
      <c r="K1510" s="63"/>
      <c r="L1510" s="16" t="str">
        <f aca="false">IF(AND($A1510="",$B1510="",$C1510="",$D1510=""),"",IF($A1510="","⚠ Date missing",IF($B1510="","⚠ Site missing",IF(ISNA(MATCH($C1510,Mix_Code,0)),"⚠ Unknown mix code",IF($D1510="","⚠ Enter m3 produced",IF(COUNTIF(CI_Site,$B1510)=0,"⚠ Site not set up in Current Inventory",IF($A1510&gt;AsOfDate,"Future date – not yet deducted","OK")))))))</f>
        <v/>
      </c>
    </row>
    <row r="1511" customFormat="false" ht="15" hidden="false" customHeight="false" outlineLevel="0" collapsed="false">
      <c r="A1511" s="65"/>
      <c r="B1511" s="63"/>
      <c r="C1511" s="70"/>
      <c r="D1511" s="66"/>
      <c r="E1511" s="16" t="str">
        <f aca="false">IF($C1511="","",IFERROR(INDEX(Mix_Desc,MATCH($C1511,Mix_Code,0)),"⚠ Unknown mix code"))</f>
        <v/>
      </c>
      <c r="F1511" s="67" t="str">
        <f aca="false">IF(OR($C1511="",$D1511=""),"",IFERROR($D1511*INDEX(Mix_Eff,MATCH($C1511,Mix_Code,0),1),""))</f>
        <v/>
      </c>
      <c r="G1511" s="67" t="str">
        <f aca="false">IF(OR($C1511="",$D1511=""),"",IFERROR($D1511*INDEX(Mix_Eff,MATCH($C1511,Mix_Code,0),2),""))</f>
        <v/>
      </c>
      <c r="H1511" s="67" t="str">
        <f aca="false">IF(OR($C1511="",$D1511=""),"",IFERROR($D1511*INDEX(Mix_Eff,MATCH($C1511,Mix_Code,0),3),""))</f>
        <v/>
      </c>
      <c r="I1511" s="67" t="str">
        <f aca="false">IF(OR($C1511="",$D1511=""),"",IFERROR($D1511*INDEX(Mix_Eff,MATCH($C1511,Mix_Code,0),4),""))</f>
        <v/>
      </c>
      <c r="J1511" s="67" t="str">
        <f aca="false">IF(OR($C1511="",$D1511=""),"",IFERROR($D1511*INDEX(Mix_Eff,MATCH($C1511,Mix_Code,0),5),""))</f>
        <v/>
      </c>
      <c r="K1511" s="63"/>
      <c r="L1511" s="16" t="str">
        <f aca="false">IF(AND($A1511="",$B1511="",$C1511="",$D1511=""),"",IF($A1511="","⚠ Date missing",IF($B1511="","⚠ Site missing",IF(ISNA(MATCH($C1511,Mix_Code,0)),"⚠ Unknown mix code",IF($D1511="","⚠ Enter m3 produced",IF(COUNTIF(CI_Site,$B1511)=0,"⚠ Site not set up in Current Inventory",IF($A1511&gt;AsOfDate,"Future date – not yet deducted","OK")))))))</f>
        <v/>
      </c>
    </row>
    <row r="1512" customFormat="false" ht="15" hidden="false" customHeight="false" outlineLevel="0" collapsed="false">
      <c r="A1512" s="65"/>
      <c r="B1512" s="63"/>
      <c r="C1512" s="70"/>
      <c r="D1512" s="66"/>
      <c r="E1512" s="16" t="str">
        <f aca="false">IF($C1512="","",IFERROR(INDEX(Mix_Desc,MATCH($C1512,Mix_Code,0)),"⚠ Unknown mix code"))</f>
        <v/>
      </c>
      <c r="F1512" s="67" t="str">
        <f aca="false">IF(OR($C1512="",$D1512=""),"",IFERROR($D1512*INDEX(Mix_Eff,MATCH($C1512,Mix_Code,0),1),""))</f>
        <v/>
      </c>
      <c r="G1512" s="67" t="str">
        <f aca="false">IF(OR($C1512="",$D1512=""),"",IFERROR($D1512*INDEX(Mix_Eff,MATCH($C1512,Mix_Code,0),2),""))</f>
        <v/>
      </c>
      <c r="H1512" s="67" t="str">
        <f aca="false">IF(OR($C1512="",$D1512=""),"",IFERROR($D1512*INDEX(Mix_Eff,MATCH($C1512,Mix_Code,0),3),""))</f>
        <v/>
      </c>
      <c r="I1512" s="67" t="str">
        <f aca="false">IF(OR($C1512="",$D1512=""),"",IFERROR($D1512*INDEX(Mix_Eff,MATCH($C1512,Mix_Code,0),4),""))</f>
        <v/>
      </c>
      <c r="J1512" s="67" t="str">
        <f aca="false">IF(OR($C1512="",$D1512=""),"",IFERROR($D1512*INDEX(Mix_Eff,MATCH($C1512,Mix_Code,0),5),""))</f>
        <v/>
      </c>
      <c r="K1512" s="63"/>
      <c r="L1512" s="16" t="str">
        <f aca="false">IF(AND($A1512="",$B1512="",$C1512="",$D1512=""),"",IF($A1512="","⚠ Date missing",IF($B1512="","⚠ Site missing",IF(ISNA(MATCH($C1512,Mix_Code,0)),"⚠ Unknown mix code",IF($D1512="","⚠ Enter m3 produced",IF(COUNTIF(CI_Site,$B1512)=0,"⚠ Site not set up in Current Inventory",IF($A1512&gt;AsOfDate,"Future date – not yet deducted","OK")))))))</f>
        <v/>
      </c>
    </row>
    <row r="1513" customFormat="false" ht="15" hidden="false" customHeight="false" outlineLevel="0" collapsed="false">
      <c r="A1513" s="65"/>
      <c r="B1513" s="63"/>
      <c r="C1513" s="70"/>
      <c r="D1513" s="66"/>
      <c r="E1513" s="16" t="str">
        <f aca="false">IF($C1513="","",IFERROR(INDEX(Mix_Desc,MATCH($C1513,Mix_Code,0)),"⚠ Unknown mix code"))</f>
        <v/>
      </c>
      <c r="F1513" s="67" t="str">
        <f aca="false">IF(OR($C1513="",$D1513=""),"",IFERROR($D1513*INDEX(Mix_Eff,MATCH($C1513,Mix_Code,0),1),""))</f>
        <v/>
      </c>
      <c r="G1513" s="67" t="str">
        <f aca="false">IF(OR($C1513="",$D1513=""),"",IFERROR($D1513*INDEX(Mix_Eff,MATCH($C1513,Mix_Code,0),2),""))</f>
        <v/>
      </c>
      <c r="H1513" s="67" t="str">
        <f aca="false">IF(OR($C1513="",$D1513=""),"",IFERROR($D1513*INDEX(Mix_Eff,MATCH($C1513,Mix_Code,0),3),""))</f>
        <v/>
      </c>
      <c r="I1513" s="67" t="str">
        <f aca="false">IF(OR($C1513="",$D1513=""),"",IFERROR($D1513*INDEX(Mix_Eff,MATCH($C1513,Mix_Code,0),4),""))</f>
        <v/>
      </c>
      <c r="J1513" s="67" t="str">
        <f aca="false">IF(OR($C1513="",$D1513=""),"",IFERROR($D1513*INDEX(Mix_Eff,MATCH($C1513,Mix_Code,0),5),""))</f>
        <v/>
      </c>
      <c r="K1513" s="63"/>
      <c r="L1513" s="16" t="str">
        <f aca="false">IF(AND($A1513="",$B1513="",$C1513="",$D1513=""),"",IF($A1513="","⚠ Date missing",IF($B1513="","⚠ Site missing",IF(ISNA(MATCH($C1513,Mix_Code,0)),"⚠ Unknown mix code",IF($D1513="","⚠ Enter m3 produced",IF(COUNTIF(CI_Site,$B1513)=0,"⚠ Site not set up in Current Inventory",IF($A1513&gt;AsOfDate,"Future date – not yet deducted","OK")))))))</f>
        <v/>
      </c>
    </row>
    <row r="1514" customFormat="false" ht="15" hidden="false" customHeight="false" outlineLevel="0" collapsed="false">
      <c r="A1514" s="65"/>
      <c r="B1514" s="63"/>
      <c r="C1514" s="70"/>
      <c r="D1514" s="66"/>
      <c r="E1514" s="16" t="str">
        <f aca="false">IF($C1514="","",IFERROR(INDEX(Mix_Desc,MATCH($C1514,Mix_Code,0)),"⚠ Unknown mix code"))</f>
        <v/>
      </c>
      <c r="F1514" s="67" t="str">
        <f aca="false">IF(OR($C1514="",$D1514=""),"",IFERROR($D1514*INDEX(Mix_Eff,MATCH($C1514,Mix_Code,0),1),""))</f>
        <v/>
      </c>
      <c r="G1514" s="67" t="str">
        <f aca="false">IF(OR($C1514="",$D1514=""),"",IFERROR($D1514*INDEX(Mix_Eff,MATCH($C1514,Mix_Code,0),2),""))</f>
        <v/>
      </c>
      <c r="H1514" s="67" t="str">
        <f aca="false">IF(OR($C1514="",$D1514=""),"",IFERROR($D1514*INDEX(Mix_Eff,MATCH($C1514,Mix_Code,0),3),""))</f>
        <v/>
      </c>
      <c r="I1514" s="67" t="str">
        <f aca="false">IF(OR($C1514="",$D1514=""),"",IFERROR($D1514*INDEX(Mix_Eff,MATCH($C1514,Mix_Code,0),4),""))</f>
        <v/>
      </c>
      <c r="J1514" s="67" t="str">
        <f aca="false">IF(OR($C1514="",$D1514=""),"",IFERROR($D1514*INDEX(Mix_Eff,MATCH($C1514,Mix_Code,0),5),""))</f>
        <v/>
      </c>
      <c r="K1514" s="63"/>
      <c r="L1514" s="16" t="str">
        <f aca="false">IF(AND($A1514="",$B1514="",$C1514="",$D1514=""),"",IF($A1514="","⚠ Date missing",IF($B1514="","⚠ Site missing",IF(ISNA(MATCH($C1514,Mix_Code,0)),"⚠ Unknown mix code",IF($D1514="","⚠ Enter m3 produced",IF(COUNTIF(CI_Site,$B1514)=0,"⚠ Site not set up in Current Inventory",IF($A1514&gt;AsOfDate,"Future date – not yet deducted","OK")))))))</f>
        <v/>
      </c>
    </row>
    <row r="1515" customFormat="false" ht="15" hidden="false" customHeight="false" outlineLevel="0" collapsed="false">
      <c r="A1515" s="65"/>
      <c r="B1515" s="63"/>
      <c r="C1515" s="70"/>
      <c r="D1515" s="66"/>
      <c r="E1515" s="16" t="str">
        <f aca="false">IF($C1515="","",IFERROR(INDEX(Mix_Desc,MATCH($C1515,Mix_Code,0)),"⚠ Unknown mix code"))</f>
        <v/>
      </c>
      <c r="F1515" s="67" t="str">
        <f aca="false">IF(OR($C1515="",$D1515=""),"",IFERROR($D1515*INDEX(Mix_Eff,MATCH($C1515,Mix_Code,0),1),""))</f>
        <v/>
      </c>
      <c r="G1515" s="67" t="str">
        <f aca="false">IF(OR($C1515="",$D1515=""),"",IFERROR($D1515*INDEX(Mix_Eff,MATCH($C1515,Mix_Code,0),2),""))</f>
        <v/>
      </c>
      <c r="H1515" s="67" t="str">
        <f aca="false">IF(OR($C1515="",$D1515=""),"",IFERROR($D1515*INDEX(Mix_Eff,MATCH($C1515,Mix_Code,0),3),""))</f>
        <v/>
      </c>
      <c r="I1515" s="67" t="str">
        <f aca="false">IF(OR($C1515="",$D1515=""),"",IFERROR($D1515*INDEX(Mix_Eff,MATCH($C1515,Mix_Code,0),4),""))</f>
        <v/>
      </c>
      <c r="J1515" s="67" t="str">
        <f aca="false">IF(OR($C1515="",$D1515=""),"",IFERROR($D1515*INDEX(Mix_Eff,MATCH($C1515,Mix_Code,0),5),""))</f>
        <v/>
      </c>
      <c r="K1515" s="63"/>
      <c r="L1515" s="16" t="str">
        <f aca="false">IF(AND($A1515="",$B1515="",$C1515="",$D1515=""),"",IF($A1515="","⚠ Date missing",IF($B1515="","⚠ Site missing",IF(ISNA(MATCH($C1515,Mix_Code,0)),"⚠ Unknown mix code",IF($D1515="","⚠ Enter m3 produced",IF(COUNTIF(CI_Site,$B1515)=0,"⚠ Site not set up in Current Inventory",IF($A1515&gt;AsOfDate,"Future date – not yet deducted","OK")))))))</f>
        <v/>
      </c>
    </row>
    <row r="1516" customFormat="false" ht="15" hidden="false" customHeight="false" outlineLevel="0" collapsed="false">
      <c r="A1516" s="65"/>
      <c r="B1516" s="63"/>
      <c r="C1516" s="70"/>
      <c r="D1516" s="66"/>
      <c r="E1516" s="16" t="str">
        <f aca="false">IF($C1516="","",IFERROR(INDEX(Mix_Desc,MATCH($C1516,Mix_Code,0)),"⚠ Unknown mix code"))</f>
        <v/>
      </c>
      <c r="F1516" s="67" t="str">
        <f aca="false">IF(OR($C1516="",$D1516=""),"",IFERROR($D1516*INDEX(Mix_Eff,MATCH($C1516,Mix_Code,0),1),""))</f>
        <v/>
      </c>
      <c r="G1516" s="67" t="str">
        <f aca="false">IF(OR($C1516="",$D1516=""),"",IFERROR($D1516*INDEX(Mix_Eff,MATCH($C1516,Mix_Code,0),2),""))</f>
        <v/>
      </c>
      <c r="H1516" s="67" t="str">
        <f aca="false">IF(OR($C1516="",$D1516=""),"",IFERROR($D1516*INDEX(Mix_Eff,MATCH($C1516,Mix_Code,0),3),""))</f>
        <v/>
      </c>
      <c r="I1516" s="67" t="str">
        <f aca="false">IF(OR($C1516="",$D1516=""),"",IFERROR($D1516*INDEX(Mix_Eff,MATCH($C1516,Mix_Code,0),4),""))</f>
        <v/>
      </c>
      <c r="J1516" s="67" t="str">
        <f aca="false">IF(OR($C1516="",$D1516=""),"",IFERROR($D1516*INDEX(Mix_Eff,MATCH($C1516,Mix_Code,0),5),""))</f>
        <v/>
      </c>
      <c r="K1516" s="63"/>
      <c r="L1516" s="16" t="str">
        <f aca="false">IF(AND($A1516="",$B1516="",$C1516="",$D1516=""),"",IF($A1516="","⚠ Date missing",IF($B1516="","⚠ Site missing",IF(ISNA(MATCH($C1516,Mix_Code,0)),"⚠ Unknown mix code",IF($D1516="","⚠ Enter m3 produced",IF(COUNTIF(CI_Site,$B1516)=0,"⚠ Site not set up in Current Inventory",IF($A1516&gt;AsOfDate,"Future date – not yet deducted","OK")))))))</f>
        <v/>
      </c>
    </row>
    <row r="1517" customFormat="false" ht="15" hidden="false" customHeight="false" outlineLevel="0" collapsed="false">
      <c r="A1517" s="65"/>
      <c r="B1517" s="63"/>
      <c r="C1517" s="70"/>
      <c r="D1517" s="66"/>
      <c r="E1517" s="16" t="str">
        <f aca="false">IF($C1517="","",IFERROR(INDEX(Mix_Desc,MATCH($C1517,Mix_Code,0)),"⚠ Unknown mix code"))</f>
        <v/>
      </c>
      <c r="F1517" s="67" t="str">
        <f aca="false">IF(OR($C1517="",$D1517=""),"",IFERROR($D1517*INDEX(Mix_Eff,MATCH($C1517,Mix_Code,0),1),""))</f>
        <v/>
      </c>
      <c r="G1517" s="67" t="str">
        <f aca="false">IF(OR($C1517="",$D1517=""),"",IFERROR($D1517*INDEX(Mix_Eff,MATCH($C1517,Mix_Code,0),2),""))</f>
        <v/>
      </c>
      <c r="H1517" s="67" t="str">
        <f aca="false">IF(OR($C1517="",$D1517=""),"",IFERROR($D1517*INDEX(Mix_Eff,MATCH($C1517,Mix_Code,0),3),""))</f>
        <v/>
      </c>
      <c r="I1517" s="67" t="str">
        <f aca="false">IF(OR($C1517="",$D1517=""),"",IFERROR($D1517*INDEX(Mix_Eff,MATCH($C1517,Mix_Code,0),4),""))</f>
        <v/>
      </c>
      <c r="J1517" s="67" t="str">
        <f aca="false">IF(OR($C1517="",$D1517=""),"",IFERROR($D1517*INDEX(Mix_Eff,MATCH($C1517,Mix_Code,0),5),""))</f>
        <v/>
      </c>
      <c r="K1517" s="63"/>
      <c r="L1517" s="16" t="str">
        <f aca="false">IF(AND($A1517="",$B1517="",$C1517="",$D1517=""),"",IF($A1517="","⚠ Date missing",IF($B1517="","⚠ Site missing",IF(ISNA(MATCH($C1517,Mix_Code,0)),"⚠ Unknown mix code",IF($D1517="","⚠ Enter m3 produced",IF(COUNTIF(CI_Site,$B1517)=0,"⚠ Site not set up in Current Inventory",IF($A1517&gt;AsOfDate,"Future date – not yet deducted","OK")))))))</f>
        <v/>
      </c>
    </row>
    <row r="1518" customFormat="false" ht="15" hidden="false" customHeight="false" outlineLevel="0" collapsed="false">
      <c r="A1518" s="65"/>
      <c r="B1518" s="63"/>
      <c r="C1518" s="70"/>
      <c r="D1518" s="66"/>
      <c r="E1518" s="16" t="str">
        <f aca="false">IF($C1518="","",IFERROR(INDEX(Mix_Desc,MATCH($C1518,Mix_Code,0)),"⚠ Unknown mix code"))</f>
        <v/>
      </c>
      <c r="F1518" s="67" t="str">
        <f aca="false">IF(OR($C1518="",$D1518=""),"",IFERROR($D1518*INDEX(Mix_Eff,MATCH($C1518,Mix_Code,0),1),""))</f>
        <v/>
      </c>
      <c r="G1518" s="67" t="str">
        <f aca="false">IF(OR($C1518="",$D1518=""),"",IFERROR($D1518*INDEX(Mix_Eff,MATCH($C1518,Mix_Code,0),2),""))</f>
        <v/>
      </c>
      <c r="H1518" s="67" t="str">
        <f aca="false">IF(OR($C1518="",$D1518=""),"",IFERROR($D1518*INDEX(Mix_Eff,MATCH($C1518,Mix_Code,0),3),""))</f>
        <v/>
      </c>
      <c r="I1518" s="67" t="str">
        <f aca="false">IF(OR($C1518="",$D1518=""),"",IFERROR($D1518*INDEX(Mix_Eff,MATCH($C1518,Mix_Code,0),4),""))</f>
        <v/>
      </c>
      <c r="J1518" s="67" t="str">
        <f aca="false">IF(OR($C1518="",$D1518=""),"",IFERROR($D1518*INDEX(Mix_Eff,MATCH($C1518,Mix_Code,0),5),""))</f>
        <v/>
      </c>
      <c r="K1518" s="63"/>
      <c r="L1518" s="16" t="str">
        <f aca="false">IF(AND($A1518="",$B1518="",$C1518="",$D1518=""),"",IF($A1518="","⚠ Date missing",IF($B1518="","⚠ Site missing",IF(ISNA(MATCH($C1518,Mix_Code,0)),"⚠ Unknown mix code",IF($D1518="","⚠ Enter m3 produced",IF(COUNTIF(CI_Site,$B1518)=0,"⚠ Site not set up in Current Inventory",IF($A1518&gt;AsOfDate,"Future date – not yet deducted","OK")))))))</f>
        <v/>
      </c>
    </row>
    <row r="1519" customFormat="false" ht="15" hidden="false" customHeight="false" outlineLevel="0" collapsed="false">
      <c r="A1519" s="65"/>
      <c r="B1519" s="63"/>
      <c r="C1519" s="70"/>
      <c r="D1519" s="66"/>
      <c r="E1519" s="16" t="str">
        <f aca="false">IF($C1519="","",IFERROR(INDEX(Mix_Desc,MATCH($C1519,Mix_Code,0)),"⚠ Unknown mix code"))</f>
        <v/>
      </c>
      <c r="F1519" s="67" t="str">
        <f aca="false">IF(OR($C1519="",$D1519=""),"",IFERROR($D1519*INDEX(Mix_Eff,MATCH($C1519,Mix_Code,0),1),""))</f>
        <v/>
      </c>
      <c r="G1519" s="67" t="str">
        <f aca="false">IF(OR($C1519="",$D1519=""),"",IFERROR($D1519*INDEX(Mix_Eff,MATCH($C1519,Mix_Code,0),2),""))</f>
        <v/>
      </c>
      <c r="H1519" s="67" t="str">
        <f aca="false">IF(OR($C1519="",$D1519=""),"",IFERROR($D1519*INDEX(Mix_Eff,MATCH($C1519,Mix_Code,0),3),""))</f>
        <v/>
      </c>
      <c r="I1519" s="67" t="str">
        <f aca="false">IF(OR($C1519="",$D1519=""),"",IFERROR($D1519*INDEX(Mix_Eff,MATCH($C1519,Mix_Code,0),4),""))</f>
        <v/>
      </c>
      <c r="J1519" s="67" t="str">
        <f aca="false">IF(OR($C1519="",$D1519=""),"",IFERROR($D1519*INDEX(Mix_Eff,MATCH($C1519,Mix_Code,0),5),""))</f>
        <v/>
      </c>
      <c r="K1519" s="63"/>
      <c r="L1519" s="16" t="str">
        <f aca="false">IF(AND($A1519="",$B1519="",$C1519="",$D1519=""),"",IF($A1519="","⚠ Date missing",IF($B1519="","⚠ Site missing",IF(ISNA(MATCH($C1519,Mix_Code,0)),"⚠ Unknown mix code",IF($D1519="","⚠ Enter m3 produced",IF(COUNTIF(CI_Site,$B1519)=0,"⚠ Site not set up in Current Inventory",IF($A1519&gt;AsOfDate,"Future date – not yet deducted","OK")))))))</f>
        <v/>
      </c>
    </row>
    <row r="1520" customFormat="false" ht="15" hidden="false" customHeight="false" outlineLevel="0" collapsed="false">
      <c r="A1520" s="65"/>
      <c r="B1520" s="63"/>
      <c r="C1520" s="70"/>
      <c r="D1520" s="66"/>
      <c r="E1520" s="16" t="str">
        <f aca="false">IF($C1520="","",IFERROR(INDEX(Mix_Desc,MATCH($C1520,Mix_Code,0)),"⚠ Unknown mix code"))</f>
        <v/>
      </c>
      <c r="F1520" s="67" t="str">
        <f aca="false">IF(OR($C1520="",$D1520=""),"",IFERROR($D1520*INDEX(Mix_Eff,MATCH($C1520,Mix_Code,0),1),""))</f>
        <v/>
      </c>
      <c r="G1520" s="67" t="str">
        <f aca="false">IF(OR($C1520="",$D1520=""),"",IFERROR($D1520*INDEX(Mix_Eff,MATCH($C1520,Mix_Code,0),2),""))</f>
        <v/>
      </c>
      <c r="H1520" s="67" t="str">
        <f aca="false">IF(OR($C1520="",$D1520=""),"",IFERROR($D1520*INDEX(Mix_Eff,MATCH($C1520,Mix_Code,0),3),""))</f>
        <v/>
      </c>
      <c r="I1520" s="67" t="str">
        <f aca="false">IF(OR($C1520="",$D1520=""),"",IFERROR($D1520*INDEX(Mix_Eff,MATCH($C1520,Mix_Code,0),4),""))</f>
        <v/>
      </c>
      <c r="J1520" s="67" t="str">
        <f aca="false">IF(OR($C1520="",$D1520=""),"",IFERROR($D1520*INDEX(Mix_Eff,MATCH($C1520,Mix_Code,0),5),""))</f>
        <v/>
      </c>
      <c r="K1520" s="63"/>
      <c r="L1520" s="16" t="str">
        <f aca="false">IF(AND($A1520="",$B1520="",$C1520="",$D1520=""),"",IF($A1520="","⚠ Date missing",IF($B1520="","⚠ Site missing",IF(ISNA(MATCH($C1520,Mix_Code,0)),"⚠ Unknown mix code",IF($D1520="","⚠ Enter m3 produced",IF(COUNTIF(CI_Site,$B1520)=0,"⚠ Site not set up in Current Inventory",IF($A1520&gt;AsOfDate,"Future date – not yet deducted","OK")))))))</f>
        <v/>
      </c>
    </row>
    <row r="1521" customFormat="false" ht="15" hidden="false" customHeight="false" outlineLevel="0" collapsed="false">
      <c r="A1521" s="65"/>
      <c r="B1521" s="63"/>
      <c r="C1521" s="70"/>
      <c r="D1521" s="66"/>
      <c r="E1521" s="16" t="str">
        <f aca="false">IF($C1521="","",IFERROR(INDEX(Mix_Desc,MATCH($C1521,Mix_Code,0)),"⚠ Unknown mix code"))</f>
        <v/>
      </c>
      <c r="F1521" s="67" t="str">
        <f aca="false">IF(OR($C1521="",$D1521=""),"",IFERROR($D1521*INDEX(Mix_Eff,MATCH($C1521,Mix_Code,0),1),""))</f>
        <v/>
      </c>
      <c r="G1521" s="67" t="str">
        <f aca="false">IF(OR($C1521="",$D1521=""),"",IFERROR($D1521*INDEX(Mix_Eff,MATCH($C1521,Mix_Code,0),2),""))</f>
        <v/>
      </c>
      <c r="H1521" s="67" t="str">
        <f aca="false">IF(OR($C1521="",$D1521=""),"",IFERROR($D1521*INDEX(Mix_Eff,MATCH($C1521,Mix_Code,0),3),""))</f>
        <v/>
      </c>
      <c r="I1521" s="67" t="str">
        <f aca="false">IF(OR($C1521="",$D1521=""),"",IFERROR($D1521*INDEX(Mix_Eff,MATCH($C1521,Mix_Code,0),4),""))</f>
        <v/>
      </c>
      <c r="J1521" s="67" t="str">
        <f aca="false">IF(OR($C1521="",$D1521=""),"",IFERROR($D1521*INDEX(Mix_Eff,MATCH($C1521,Mix_Code,0),5),""))</f>
        <v/>
      </c>
      <c r="K1521" s="63"/>
      <c r="L1521" s="16" t="str">
        <f aca="false">IF(AND($A1521="",$B1521="",$C1521="",$D1521=""),"",IF($A1521="","⚠ Date missing",IF($B1521="","⚠ Site missing",IF(ISNA(MATCH($C1521,Mix_Code,0)),"⚠ Unknown mix code",IF($D1521="","⚠ Enter m3 produced",IF(COUNTIF(CI_Site,$B1521)=0,"⚠ Site not set up in Current Inventory",IF($A1521&gt;AsOfDate,"Future date – not yet deducted","OK")))))))</f>
        <v/>
      </c>
    </row>
    <row r="1522" customFormat="false" ht="15" hidden="false" customHeight="false" outlineLevel="0" collapsed="false">
      <c r="A1522" s="65"/>
      <c r="B1522" s="63"/>
      <c r="C1522" s="70"/>
      <c r="D1522" s="66"/>
      <c r="E1522" s="16" t="str">
        <f aca="false">IF($C1522="","",IFERROR(INDEX(Mix_Desc,MATCH($C1522,Mix_Code,0)),"⚠ Unknown mix code"))</f>
        <v/>
      </c>
      <c r="F1522" s="67" t="str">
        <f aca="false">IF(OR($C1522="",$D1522=""),"",IFERROR($D1522*INDEX(Mix_Eff,MATCH($C1522,Mix_Code,0),1),""))</f>
        <v/>
      </c>
      <c r="G1522" s="67" t="str">
        <f aca="false">IF(OR($C1522="",$D1522=""),"",IFERROR($D1522*INDEX(Mix_Eff,MATCH($C1522,Mix_Code,0),2),""))</f>
        <v/>
      </c>
      <c r="H1522" s="67" t="str">
        <f aca="false">IF(OR($C1522="",$D1522=""),"",IFERROR($D1522*INDEX(Mix_Eff,MATCH($C1522,Mix_Code,0),3),""))</f>
        <v/>
      </c>
      <c r="I1522" s="67" t="str">
        <f aca="false">IF(OR($C1522="",$D1522=""),"",IFERROR($D1522*INDEX(Mix_Eff,MATCH($C1522,Mix_Code,0),4),""))</f>
        <v/>
      </c>
      <c r="J1522" s="67" t="str">
        <f aca="false">IF(OR($C1522="",$D1522=""),"",IFERROR($D1522*INDEX(Mix_Eff,MATCH($C1522,Mix_Code,0),5),""))</f>
        <v/>
      </c>
      <c r="K1522" s="63"/>
      <c r="L1522" s="16" t="str">
        <f aca="false">IF(AND($A1522="",$B1522="",$C1522="",$D1522=""),"",IF($A1522="","⚠ Date missing",IF($B1522="","⚠ Site missing",IF(ISNA(MATCH($C1522,Mix_Code,0)),"⚠ Unknown mix code",IF($D1522="","⚠ Enter m3 produced",IF(COUNTIF(CI_Site,$B1522)=0,"⚠ Site not set up in Current Inventory",IF($A1522&gt;AsOfDate,"Future date – not yet deducted","OK")))))))</f>
        <v/>
      </c>
    </row>
    <row r="1523" customFormat="false" ht="15" hidden="false" customHeight="false" outlineLevel="0" collapsed="false">
      <c r="A1523" s="65"/>
      <c r="B1523" s="63"/>
      <c r="C1523" s="70"/>
      <c r="D1523" s="66"/>
      <c r="E1523" s="16" t="str">
        <f aca="false">IF($C1523="","",IFERROR(INDEX(Mix_Desc,MATCH($C1523,Mix_Code,0)),"⚠ Unknown mix code"))</f>
        <v/>
      </c>
      <c r="F1523" s="67" t="str">
        <f aca="false">IF(OR($C1523="",$D1523=""),"",IFERROR($D1523*INDEX(Mix_Eff,MATCH($C1523,Mix_Code,0),1),""))</f>
        <v/>
      </c>
      <c r="G1523" s="67" t="str">
        <f aca="false">IF(OR($C1523="",$D1523=""),"",IFERROR($D1523*INDEX(Mix_Eff,MATCH($C1523,Mix_Code,0),2),""))</f>
        <v/>
      </c>
      <c r="H1523" s="67" t="str">
        <f aca="false">IF(OR($C1523="",$D1523=""),"",IFERROR($D1523*INDEX(Mix_Eff,MATCH($C1523,Mix_Code,0),3),""))</f>
        <v/>
      </c>
      <c r="I1523" s="67" t="str">
        <f aca="false">IF(OR($C1523="",$D1523=""),"",IFERROR($D1523*INDEX(Mix_Eff,MATCH($C1523,Mix_Code,0),4),""))</f>
        <v/>
      </c>
      <c r="J1523" s="67" t="str">
        <f aca="false">IF(OR($C1523="",$D1523=""),"",IFERROR($D1523*INDEX(Mix_Eff,MATCH($C1523,Mix_Code,0),5),""))</f>
        <v/>
      </c>
      <c r="K1523" s="63"/>
      <c r="L1523" s="16" t="str">
        <f aca="false">IF(AND($A1523="",$B1523="",$C1523="",$D1523=""),"",IF($A1523="","⚠ Date missing",IF($B1523="","⚠ Site missing",IF(ISNA(MATCH($C1523,Mix_Code,0)),"⚠ Unknown mix code",IF($D1523="","⚠ Enter m3 produced",IF(COUNTIF(CI_Site,$B1523)=0,"⚠ Site not set up in Current Inventory",IF($A1523&gt;AsOfDate,"Future date – not yet deducted","OK")))))))</f>
        <v/>
      </c>
    </row>
    <row r="1524" customFormat="false" ht="15" hidden="false" customHeight="false" outlineLevel="0" collapsed="false">
      <c r="A1524" s="65"/>
      <c r="B1524" s="63"/>
      <c r="C1524" s="70"/>
      <c r="D1524" s="66"/>
      <c r="E1524" s="16" t="str">
        <f aca="false">IF($C1524="","",IFERROR(INDEX(Mix_Desc,MATCH($C1524,Mix_Code,0)),"⚠ Unknown mix code"))</f>
        <v/>
      </c>
      <c r="F1524" s="67" t="str">
        <f aca="false">IF(OR($C1524="",$D1524=""),"",IFERROR($D1524*INDEX(Mix_Eff,MATCH($C1524,Mix_Code,0),1),""))</f>
        <v/>
      </c>
      <c r="G1524" s="67" t="str">
        <f aca="false">IF(OR($C1524="",$D1524=""),"",IFERROR($D1524*INDEX(Mix_Eff,MATCH($C1524,Mix_Code,0),2),""))</f>
        <v/>
      </c>
      <c r="H1524" s="67" t="str">
        <f aca="false">IF(OR($C1524="",$D1524=""),"",IFERROR($D1524*INDEX(Mix_Eff,MATCH($C1524,Mix_Code,0),3),""))</f>
        <v/>
      </c>
      <c r="I1524" s="67" t="str">
        <f aca="false">IF(OR($C1524="",$D1524=""),"",IFERROR($D1524*INDEX(Mix_Eff,MATCH($C1524,Mix_Code,0),4),""))</f>
        <v/>
      </c>
      <c r="J1524" s="67" t="str">
        <f aca="false">IF(OR($C1524="",$D1524=""),"",IFERROR($D1524*INDEX(Mix_Eff,MATCH($C1524,Mix_Code,0),5),""))</f>
        <v/>
      </c>
      <c r="K1524" s="63"/>
      <c r="L1524" s="16" t="str">
        <f aca="false">IF(AND($A1524="",$B1524="",$C1524="",$D1524=""),"",IF($A1524="","⚠ Date missing",IF($B1524="","⚠ Site missing",IF(ISNA(MATCH($C1524,Mix_Code,0)),"⚠ Unknown mix code",IF($D1524="","⚠ Enter m3 produced",IF(COUNTIF(CI_Site,$B1524)=0,"⚠ Site not set up in Current Inventory",IF($A1524&gt;AsOfDate,"Future date – not yet deducted","OK")))))))</f>
        <v/>
      </c>
    </row>
    <row r="1525" customFormat="false" ht="15" hidden="false" customHeight="false" outlineLevel="0" collapsed="false">
      <c r="A1525" s="65"/>
      <c r="B1525" s="63"/>
      <c r="C1525" s="70"/>
      <c r="D1525" s="66"/>
      <c r="E1525" s="16" t="str">
        <f aca="false">IF($C1525="","",IFERROR(INDEX(Mix_Desc,MATCH($C1525,Mix_Code,0)),"⚠ Unknown mix code"))</f>
        <v/>
      </c>
      <c r="F1525" s="67" t="str">
        <f aca="false">IF(OR($C1525="",$D1525=""),"",IFERROR($D1525*INDEX(Mix_Eff,MATCH($C1525,Mix_Code,0),1),""))</f>
        <v/>
      </c>
      <c r="G1525" s="67" t="str">
        <f aca="false">IF(OR($C1525="",$D1525=""),"",IFERROR($D1525*INDEX(Mix_Eff,MATCH($C1525,Mix_Code,0),2),""))</f>
        <v/>
      </c>
      <c r="H1525" s="67" t="str">
        <f aca="false">IF(OR($C1525="",$D1525=""),"",IFERROR($D1525*INDEX(Mix_Eff,MATCH($C1525,Mix_Code,0),3),""))</f>
        <v/>
      </c>
      <c r="I1525" s="67" t="str">
        <f aca="false">IF(OR($C1525="",$D1525=""),"",IFERROR($D1525*INDEX(Mix_Eff,MATCH($C1525,Mix_Code,0),4),""))</f>
        <v/>
      </c>
      <c r="J1525" s="67" t="str">
        <f aca="false">IF(OR($C1525="",$D1525=""),"",IFERROR($D1525*INDEX(Mix_Eff,MATCH($C1525,Mix_Code,0),5),""))</f>
        <v/>
      </c>
      <c r="K1525" s="63"/>
      <c r="L1525" s="16" t="str">
        <f aca="false">IF(AND($A1525="",$B1525="",$C1525="",$D1525=""),"",IF($A1525="","⚠ Date missing",IF($B1525="","⚠ Site missing",IF(ISNA(MATCH($C1525,Mix_Code,0)),"⚠ Unknown mix code",IF($D1525="","⚠ Enter m3 produced",IF(COUNTIF(CI_Site,$B1525)=0,"⚠ Site not set up in Current Inventory",IF($A1525&gt;AsOfDate,"Future date – not yet deducted","OK")))))))</f>
        <v/>
      </c>
    </row>
    <row r="1526" customFormat="false" ht="15" hidden="false" customHeight="false" outlineLevel="0" collapsed="false">
      <c r="A1526" s="65"/>
      <c r="B1526" s="63"/>
      <c r="C1526" s="70"/>
      <c r="D1526" s="66"/>
      <c r="E1526" s="16" t="str">
        <f aca="false">IF($C1526="","",IFERROR(INDEX(Mix_Desc,MATCH($C1526,Mix_Code,0)),"⚠ Unknown mix code"))</f>
        <v/>
      </c>
      <c r="F1526" s="67" t="str">
        <f aca="false">IF(OR($C1526="",$D1526=""),"",IFERROR($D1526*INDEX(Mix_Eff,MATCH($C1526,Mix_Code,0),1),""))</f>
        <v/>
      </c>
      <c r="G1526" s="67" t="str">
        <f aca="false">IF(OR($C1526="",$D1526=""),"",IFERROR($D1526*INDEX(Mix_Eff,MATCH($C1526,Mix_Code,0),2),""))</f>
        <v/>
      </c>
      <c r="H1526" s="67" t="str">
        <f aca="false">IF(OR($C1526="",$D1526=""),"",IFERROR($D1526*INDEX(Mix_Eff,MATCH($C1526,Mix_Code,0),3),""))</f>
        <v/>
      </c>
      <c r="I1526" s="67" t="str">
        <f aca="false">IF(OR($C1526="",$D1526=""),"",IFERROR($D1526*INDEX(Mix_Eff,MATCH($C1526,Mix_Code,0),4),""))</f>
        <v/>
      </c>
      <c r="J1526" s="67" t="str">
        <f aca="false">IF(OR($C1526="",$D1526=""),"",IFERROR($D1526*INDEX(Mix_Eff,MATCH($C1526,Mix_Code,0),5),""))</f>
        <v/>
      </c>
      <c r="K1526" s="63"/>
      <c r="L1526" s="16" t="str">
        <f aca="false">IF(AND($A1526="",$B1526="",$C1526="",$D1526=""),"",IF($A1526="","⚠ Date missing",IF($B1526="","⚠ Site missing",IF(ISNA(MATCH($C1526,Mix_Code,0)),"⚠ Unknown mix code",IF($D1526="","⚠ Enter m3 produced",IF(COUNTIF(CI_Site,$B1526)=0,"⚠ Site not set up in Current Inventory",IF($A1526&gt;AsOfDate,"Future date – not yet deducted","OK")))))))</f>
        <v/>
      </c>
    </row>
    <row r="1527" customFormat="false" ht="15" hidden="false" customHeight="false" outlineLevel="0" collapsed="false">
      <c r="A1527" s="65"/>
      <c r="B1527" s="63"/>
      <c r="C1527" s="70"/>
      <c r="D1527" s="66"/>
      <c r="E1527" s="16" t="str">
        <f aca="false">IF($C1527="","",IFERROR(INDEX(Mix_Desc,MATCH($C1527,Mix_Code,0)),"⚠ Unknown mix code"))</f>
        <v/>
      </c>
      <c r="F1527" s="67" t="str">
        <f aca="false">IF(OR($C1527="",$D1527=""),"",IFERROR($D1527*INDEX(Mix_Eff,MATCH($C1527,Mix_Code,0),1),""))</f>
        <v/>
      </c>
      <c r="G1527" s="67" t="str">
        <f aca="false">IF(OR($C1527="",$D1527=""),"",IFERROR($D1527*INDEX(Mix_Eff,MATCH($C1527,Mix_Code,0),2),""))</f>
        <v/>
      </c>
      <c r="H1527" s="67" t="str">
        <f aca="false">IF(OR($C1527="",$D1527=""),"",IFERROR($D1527*INDEX(Mix_Eff,MATCH($C1527,Mix_Code,0),3),""))</f>
        <v/>
      </c>
      <c r="I1527" s="67" t="str">
        <f aca="false">IF(OR($C1527="",$D1527=""),"",IFERROR($D1527*INDEX(Mix_Eff,MATCH($C1527,Mix_Code,0),4),""))</f>
        <v/>
      </c>
      <c r="J1527" s="67" t="str">
        <f aca="false">IF(OR($C1527="",$D1527=""),"",IFERROR($D1527*INDEX(Mix_Eff,MATCH($C1527,Mix_Code,0),5),""))</f>
        <v/>
      </c>
      <c r="K1527" s="63"/>
      <c r="L1527" s="16" t="str">
        <f aca="false">IF(AND($A1527="",$B1527="",$C1527="",$D1527=""),"",IF($A1527="","⚠ Date missing",IF($B1527="","⚠ Site missing",IF(ISNA(MATCH($C1527,Mix_Code,0)),"⚠ Unknown mix code",IF($D1527="","⚠ Enter m3 produced",IF(COUNTIF(CI_Site,$B1527)=0,"⚠ Site not set up in Current Inventory",IF($A1527&gt;AsOfDate,"Future date – not yet deducted","OK")))))))</f>
        <v/>
      </c>
    </row>
    <row r="1528" customFormat="false" ht="15" hidden="false" customHeight="false" outlineLevel="0" collapsed="false">
      <c r="A1528" s="65"/>
      <c r="B1528" s="63"/>
      <c r="C1528" s="70"/>
      <c r="D1528" s="66"/>
      <c r="E1528" s="16" t="str">
        <f aca="false">IF($C1528="","",IFERROR(INDEX(Mix_Desc,MATCH($C1528,Mix_Code,0)),"⚠ Unknown mix code"))</f>
        <v/>
      </c>
      <c r="F1528" s="67" t="str">
        <f aca="false">IF(OR($C1528="",$D1528=""),"",IFERROR($D1528*INDEX(Mix_Eff,MATCH($C1528,Mix_Code,0),1),""))</f>
        <v/>
      </c>
      <c r="G1528" s="67" t="str">
        <f aca="false">IF(OR($C1528="",$D1528=""),"",IFERROR($D1528*INDEX(Mix_Eff,MATCH($C1528,Mix_Code,0),2),""))</f>
        <v/>
      </c>
      <c r="H1528" s="67" t="str">
        <f aca="false">IF(OR($C1528="",$D1528=""),"",IFERROR($D1528*INDEX(Mix_Eff,MATCH($C1528,Mix_Code,0),3),""))</f>
        <v/>
      </c>
      <c r="I1528" s="67" t="str">
        <f aca="false">IF(OR($C1528="",$D1528=""),"",IFERROR($D1528*INDEX(Mix_Eff,MATCH($C1528,Mix_Code,0),4),""))</f>
        <v/>
      </c>
      <c r="J1528" s="67" t="str">
        <f aca="false">IF(OR($C1528="",$D1528=""),"",IFERROR($D1528*INDEX(Mix_Eff,MATCH($C1528,Mix_Code,0),5),""))</f>
        <v/>
      </c>
      <c r="K1528" s="63"/>
      <c r="L1528" s="16" t="str">
        <f aca="false">IF(AND($A1528="",$B1528="",$C1528="",$D1528=""),"",IF($A1528="","⚠ Date missing",IF($B1528="","⚠ Site missing",IF(ISNA(MATCH($C1528,Mix_Code,0)),"⚠ Unknown mix code",IF($D1528="","⚠ Enter m3 produced",IF(COUNTIF(CI_Site,$B1528)=0,"⚠ Site not set up in Current Inventory",IF($A1528&gt;AsOfDate,"Future date – not yet deducted","OK")))))))</f>
        <v/>
      </c>
    </row>
    <row r="1529" customFormat="false" ht="15" hidden="false" customHeight="false" outlineLevel="0" collapsed="false">
      <c r="A1529" s="65"/>
      <c r="B1529" s="63"/>
      <c r="C1529" s="70"/>
      <c r="D1529" s="66"/>
      <c r="E1529" s="16" t="str">
        <f aca="false">IF($C1529="","",IFERROR(INDEX(Mix_Desc,MATCH($C1529,Mix_Code,0)),"⚠ Unknown mix code"))</f>
        <v/>
      </c>
      <c r="F1529" s="67" t="str">
        <f aca="false">IF(OR($C1529="",$D1529=""),"",IFERROR($D1529*INDEX(Mix_Eff,MATCH($C1529,Mix_Code,0),1),""))</f>
        <v/>
      </c>
      <c r="G1529" s="67" t="str">
        <f aca="false">IF(OR($C1529="",$D1529=""),"",IFERROR($D1529*INDEX(Mix_Eff,MATCH($C1529,Mix_Code,0),2),""))</f>
        <v/>
      </c>
      <c r="H1529" s="67" t="str">
        <f aca="false">IF(OR($C1529="",$D1529=""),"",IFERROR($D1529*INDEX(Mix_Eff,MATCH($C1529,Mix_Code,0),3),""))</f>
        <v/>
      </c>
      <c r="I1529" s="67" t="str">
        <f aca="false">IF(OR($C1529="",$D1529=""),"",IFERROR($D1529*INDEX(Mix_Eff,MATCH($C1529,Mix_Code,0),4),""))</f>
        <v/>
      </c>
      <c r="J1529" s="67" t="str">
        <f aca="false">IF(OR($C1529="",$D1529=""),"",IFERROR($D1529*INDEX(Mix_Eff,MATCH($C1529,Mix_Code,0),5),""))</f>
        <v/>
      </c>
      <c r="K1529" s="63"/>
      <c r="L1529" s="16" t="str">
        <f aca="false">IF(AND($A1529="",$B1529="",$C1529="",$D1529=""),"",IF($A1529="","⚠ Date missing",IF($B1529="","⚠ Site missing",IF(ISNA(MATCH($C1529,Mix_Code,0)),"⚠ Unknown mix code",IF($D1529="","⚠ Enter m3 produced",IF(COUNTIF(CI_Site,$B1529)=0,"⚠ Site not set up in Current Inventory",IF($A1529&gt;AsOfDate,"Future date – not yet deducted","OK")))))))</f>
        <v/>
      </c>
    </row>
    <row r="1530" customFormat="false" ht="15" hidden="false" customHeight="false" outlineLevel="0" collapsed="false">
      <c r="A1530" s="65"/>
      <c r="B1530" s="63"/>
      <c r="C1530" s="70"/>
      <c r="D1530" s="66"/>
      <c r="E1530" s="16" t="str">
        <f aca="false">IF($C1530="","",IFERROR(INDEX(Mix_Desc,MATCH($C1530,Mix_Code,0)),"⚠ Unknown mix code"))</f>
        <v/>
      </c>
      <c r="F1530" s="67" t="str">
        <f aca="false">IF(OR($C1530="",$D1530=""),"",IFERROR($D1530*INDEX(Mix_Eff,MATCH($C1530,Mix_Code,0),1),""))</f>
        <v/>
      </c>
      <c r="G1530" s="67" t="str">
        <f aca="false">IF(OR($C1530="",$D1530=""),"",IFERROR($D1530*INDEX(Mix_Eff,MATCH($C1530,Mix_Code,0),2),""))</f>
        <v/>
      </c>
      <c r="H1530" s="67" t="str">
        <f aca="false">IF(OR($C1530="",$D1530=""),"",IFERROR($D1530*INDEX(Mix_Eff,MATCH($C1530,Mix_Code,0),3),""))</f>
        <v/>
      </c>
      <c r="I1530" s="67" t="str">
        <f aca="false">IF(OR($C1530="",$D1530=""),"",IFERROR($D1530*INDEX(Mix_Eff,MATCH($C1530,Mix_Code,0),4),""))</f>
        <v/>
      </c>
      <c r="J1530" s="67" t="str">
        <f aca="false">IF(OR($C1530="",$D1530=""),"",IFERROR($D1530*INDEX(Mix_Eff,MATCH($C1530,Mix_Code,0),5),""))</f>
        <v/>
      </c>
      <c r="K1530" s="63"/>
      <c r="L1530" s="16" t="str">
        <f aca="false">IF(AND($A1530="",$B1530="",$C1530="",$D1530=""),"",IF($A1530="","⚠ Date missing",IF($B1530="","⚠ Site missing",IF(ISNA(MATCH($C1530,Mix_Code,0)),"⚠ Unknown mix code",IF($D1530="","⚠ Enter m3 produced",IF(COUNTIF(CI_Site,$B1530)=0,"⚠ Site not set up in Current Inventory",IF($A1530&gt;AsOfDate,"Future date – not yet deducted","OK")))))))</f>
        <v/>
      </c>
    </row>
    <row r="1531" customFormat="false" ht="15" hidden="false" customHeight="false" outlineLevel="0" collapsed="false">
      <c r="A1531" s="65"/>
      <c r="B1531" s="63"/>
      <c r="C1531" s="70"/>
      <c r="D1531" s="66"/>
      <c r="E1531" s="16" t="str">
        <f aca="false">IF($C1531="","",IFERROR(INDEX(Mix_Desc,MATCH($C1531,Mix_Code,0)),"⚠ Unknown mix code"))</f>
        <v/>
      </c>
      <c r="F1531" s="67" t="str">
        <f aca="false">IF(OR($C1531="",$D1531=""),"",IFERROR($D1531*INDEX(Mix_Eff,MATCH($C1531,Mix_Code,0),1),""))</f>
        <v/>
      </c>
      <c r="G1531" s="67" t="str">
        <f aca="false">IF(OR($C1531="",$D1531=""),"",IFERROR($D1531*INDEX(Mix_Eff,MATCH($C1531,Mix_Code,0),2),""))</f>
        <v/>
      </c>
      <c r="H1531" s="67" t="str">
        <f aca="false">IF(OR($C1531="",$D1531=""),"",IFERROR($D1531*INDEX(Mix_Eff,MATCH($C1531,Mix_Code,0),3),""))</f>
        <v/>
      </c>
      <c r="I1531" s="67" t="str">
        <f aca="false">IF(OR($C1531="",$D1531=""),"",IFERROR($D1531*INDEX(Mix_Eff,MATCH($C1531,Mix_Code,0),4),""))</f>
        <v/>
      </c>
      <c r="J1531" s="67" t="str">
        <f aca="false">IF(OR($C1531="",$D1531=""),"",IFERROR($D1531*INDEX(Mix_Eff,MATCH($C1531,Mix_Code,0),5),""))</f>
        <v/>
      </c>
      <c r="K1531" s="63"/>
      <c r="L1531" s="16" t="str">
        <f aca="false">IF(AND($A1531="",$B1531="",$C1531="",$D1531=""),"",IF($A1531="","⚠ Date missing",IF($B1531="","⚠ Site missing",IF(ISNA(MATCH($C1531,Mix_Code,0)),"⚠ Unknown mix code",IF($D1531="","⚠ Enter m3 produced",IF(COUNTIF(CI_Site,$B1531)=0,"⚠ Site not set up in Current Inventory",IF($A1531&gt;AsOfDate,"Future date – not yet deducted","OK")))))))</f>
        <v/>
      </c>
    </row>
    <row r="1532" customFormat="false" ht="15" hidden="false" customHeight="false" outlineLevel="0" collapsed="false">
      <c r="A1532" s="65"/>
      <c r="B1532" s="63"/>
      <c r="C1532" s="70"/>
      <c r="D1532" s="66"/>
      <c r="E1532" s="16" t="str">
        <f aca="false">IF($C1532="","",IFERROR(INDEX(Mix_Desc,MATCH($C1532,Mix_Code,0)),"⚠ Unknown mix code"))</f>
        <v/>
      </c>
      <c r="F1532" s="67" t="str">
        <f aca="false">IF(OR($C1532="",$D1532=""),"",IFERROR($D1532*INDEX(Mix_Eff,MATCH($C1532,Mix_Code,0),1),""))</f>
        <v/>
      </c>
      <c r="G1532" s="67" t="str">
        <f aca="false">IF(OR($C1532="",$D1532=""),"",IFERROR($D1532*INDEX(Mix_Eff,MATCH($C1532,Mix_Code,0),2),""))</f>
        <v/>
      </c>
      <c r="H1532" s="67" t="str">
        <f aca="false">IF(OR($C1532="",$D1532=""),"",IFERROR($D1532*INDEX(Mix_Eff,MATCH($C1532,Mix_Code,0),3),""))</f>
        <v/>
      </c>
      <c r="I1532" s="67" t="str">
        <f aca="false">IF(OR($C1532="",$D1532=""),"",IFERROR($D1532*INDEX(Mix_Eff,MATCH($C1532,Mix_Code,0),4),""))</f>
        <v/>
      </c>
      <c r="J1532" s="67" t="str">
        <f aca="false">IF(OR($C1532="",$D1532=""),"",IFERROR($D1532*INDEX(Mix_Eff,MATCH($C1532,Mix_Code,0),5),""))</f>
        <v/>
      </c>
      <c r="K1532" s="63"/>
      <c r="L1532" s="16" t="str">
        <f aca="false">IF(AND($A1532="",$B1532="",$C1532="",$D1532=""),"",IF($A1532="","⚠ Date missing",IF($B1532="","⚠ Site missing",IF(ISNA(MATCH($C1532,Mix_Code,0)),"⚠ Unknown mix code",IF($D1532="","⚠ Enter m3 produced",IF(COUNTIF(CI_Site,$B1532)=0,"⚠ Site not set up in Current Inventory",IF($A1532&gt;AsOfDate,"Future date – not yet deducted","OK")))))))</f>
        <v/>
      </c>
    </row>
    <row r="1533" customFormat="false" ht="15" hidden="false" customHeight="false" outlineLevel="0" collapsed="false">
      <c r="A1533" s="65"/>
      <c r="B1533" s="63"/>
      <c r="C1533" s="70"/>
      <c r="D1533" s="66"/>
      <c r="E1533" s="16" t="str">
        <f aca="false">IF($C1533="","",IFERROR(INDEX(Mix_Desc,MATCH($C1533,Mix_Code,0)),"⚠ Unknown mix code"))</f>
        <v/>
      </c>
      <c r="F1533" s="67" t="str">
        <f aca="false">IF(OR($C1533="",$D1533=""),"",IFERROR($D1533*INDEX(Mix_Eff,MATCH($C1533,Mix_Code,0),1),""))</f>
        <v/>
      </c>
      <c r="G1533" s="67" t="str">
        <f aca="false">IF(OR($C1533="",$D1533=""),"",IFERROR($D1533*INDEX(Mix_Eff,MATCH($C1533,Mix_Code,0),2),""))</f>
        <v/>
      </c>
      <c r="H1533" s="67" t="str">
        <f aca="false">IF(OR($C1533="",$D1533=""),"",IFERROR($D1533*INDEX(Mix_Eff,MATCH($C1533,Mix_Code,0),3),""))</f>
        <v/>
      </c>
      <c r="I1533" s="67" t="str">
        <f aca="false">IF(OR($C1533="",$D1533=""),"",IFERROR($D1533*INDEX(Mix_Eff,MATCH($C1533,Mix_Code,0),4),""))</f>
        <v/>
      </c>
      <c r="J1533" s="67" t="str">
        <f aca="false">IF(OR($C1533="",$D1533=""),"",IFERROR($D1533*INDEX(Mix_Eff,MATCH($C1533,Mix_Code,0),5),""))</f>
        <v/>
      </c>
      <c r="K1533" s="63"/>
      <c r="L1533" s="16" t="str">
        <f aca="false">IF(AND($A1533="",$B1533="",$C1533="",$D1533=""),"",IF($A1533="","⚠ Date missing",IF($B1533="","⚠ Site missing",IF(ISNA(MATCH($C1533,Mix_Code,0)),"⚠ Unknown mix code",IF($D1533="","⚠ Enter m3 produced",IF(COUNTIF(CI_Site,$B1533)=0,"⚠ Site not set up in Current Inventory",IF($A1533&gt;AsOfDate,"Future date – not yet deducted","OK")))))))</f>
        <v/>
      </c>
    </row>
    <row r="1534" customFormat="false" ht="15" hidden="false" customHeight="false" outlineLevel="0" collapsed="false">
      <c r="A1534" s="65"/>
      <c r="B1534" s="63"/>
      <c r="C1534" s="70"/>
      <c r="D1534" s="66"/>
      <c r="E1534" s="16" t="str">
        <f aca="false">IF($C1534="","",IFERROR(INDEX(Mix_Desc,MATCH($C1534,Mix_Code,0)),"⚠ Unknown mix code"))</f>
        <v/>
      </c>
      <c r="F1534" s="67" t="str">
        <f aca="false">IF(OR($C1534="",$D1534=""),"",IFERROR($D1534*INDEX(Mix_Eff,MATCH($C1534,Mix_Code,0),1),""))</f>
        <v/>
      </c>
      <c r="G1534" s="67" t="str">
        <f aca="false">IF(OR($C1534="",$D1534=""),"",IFERROR($D1534*INDEX(Mix_Eff,MATCH($C1534,Mix_Code,0),2),""))</f>
        <v/>
      </c>
      <c r="H1534" s="67" t="str">
        <f aca="false">IF(OR($C1534="",$D1534=""),"",IFERROR($D1534*INDEX(Mix_Eff,MATCH($C1534,Mix_Code,0),3),""))</f>
        <v/>
      </c>
      <c r="I1534" s="67" t="str">
        <f aca="false">IF(OR($C1534="",$D1534=""),"",IFERROR($D1534*INDEX(Mix_Eff,MATCH($C1534,Mix_Code,0),4),""))</f>
        <v/>
      </c>
      <c r="J1534" s="67" t="str">
        <f aca="false">IF(OR($C1534="",$D1534=""),"",IFERROR($D1534*INDEX(Mix_Eff,MATCH($C1534,Mix_Code,0),5),""))</f>
        <v/>
      </c>
      <c r="K1534" s="63"/>
      <c r="L1534" s="16" t="str">
        <f aca="false">IF(AND($A1534="",$B1534="",$C1534="",$D1534=""),"",IF($A1534="","⚠ Date missing",IF($B1534="","⚠ Site missing",IF(ISNA(MATCH($C1534,Mix_Code,0)),"⚠ Unknown mix code",IF($D1534="","⚠ Enter m3 produced",IF(COUNTIF(CI_Site,$B1534)=0,"⚠ Site not set up in Current Inventory",IF($A1534&gt;AsOfDate,"Future date – not yet deducted","OK")))))))</f>
        <v/>
      </c>
    </row>
    <row r="1535" customFormat="false" ht="15" hidden="false" customHeight="false" outlineLevel="0" collapsed="false">
      <c r="A1535" s="65"/>
      <c r="B1535" s="63"/>
      <c r="C1535" s="70"/>
      <c r="D1535" s="66"/>
      <c r="E1535" s="16" t="str">
        <f aca="false">IF($C1535="","",IFERROR(INDEX(Mix_Desc,MATCH($C1535,Mix_Code,0)),"⚠ Unknown mix code"))</f>
        <v/>
      </c>
      <c r="F1535" s="67" t="str">
        <f aca="false">IF(OR($C1535="",$D1535=""),"",IFERROR($D1535*INDEX(Mix_Eff,MATCH($C1535,Mix_Code,0),1),""))</f>
        <v/>
      </c>
      <c r="G1535" s="67" t="str">
        <f aca="false">IF(OR($C1535="",$D1535=""),"",IFERROR($D1535*INDEX(Mix_Eff,MATCH($C1535,Mix_Code,0),2),""))</f>
        <v/>
      </c>
      <c r="H1535" s="67" t="str">
        <f aca="false">IF(OR($C1535="",$D1535=""),"",IFERROR($D1535*INDEX(Mix_Eff,MATCH($C1535,Mix_Code,0),3),""))</f>
        <v/>
      </c>
      <c r="I1535" s="67" t="str">
        <f aca="false">IF(OR($C1535="",$D1535=""),"",IFERROR($D1535*INDEX(Mix_Eff,MATCH($C1535,Mix_Code,0),4),""))</f>
        <v/>
      </c>
      <c r="J1535" s="67" t="str">
        <f aca="false">IF(OR($C1535="",$D1535=""),"",IFERROR($D1535*INDEX(Mix_Eff,MATCH($C1535,Mix_Code,0),5),""))</f>
        <v/>
      </c>
      <c r="K1535" s="63"/>
      <c r="L1535" s="16" t="str">
        <f aca="false">IF(AND($A1535="",$B1535="",$C1535="",$D1535=""),"",IF($A1535="","⚠ Date missing",IF($B1535="","⚠ Site missing",IF(ISNA(MATCH($C1535,Mix_Code,0)),"⚠ Unknown mix code",IF($D1535="","⚠ Enter m3 produced",IF(COUNTIF(CI_Site,$B1535)=0,"⚠ Site not set up in Current Inventory",IF($A1535&gt;AsOfDate,"Future date – not yet deducted","OK")))))))</f>
        <v/>
      </c>
    </row>
    <row r="1536" customFormat="false" ht="15" hidden="false" customHeight="false" outlineLevel="0" collapsed="false">
      <c r="A1536" s="65"/>
      <c r="B1536" s="63"/>
      <c r="C1536" s="70"/>
      <c r="D1536" s="66"/>
      <c r="E1536" s="16" t="str">
        <f aca="false">IF($C1536="","",IFERROR(INDEX(Mix_Desc,MATCH($C1536,Mix_Code,0)),"⚠ Unknown mix code"))</f>
        <v/>
      </c>
      <c r="F1536" s="67" t="str">
        <f aca="false">IF(OR($C1536="",$D1536=""),"",IFERROR($D1536*INDEX(Mix_Eff,MATCH($C1536,Mix_Code,0),1),""))</f>
        <v/>
      </c>
      <c r="G1536" s="67" t="str">
        <f aca="false">IF(OR($C1536="",$D1536=""),"",IFERROR($D1536*INDEX(Mix_Eff,MATCH($C1536,Mix_Code,0),2),""))</f>
        <v/>
      </c>
      <c r="H1536" s="67" t="str">
        <f aca="false">IF(OR($C1536="",$D1536=""),"",IFERROR($D1536*INDEX(Mix_Eff,MATCH($C1536,Mix_Code,0),3),""))</f>
        <v/>
      </c>
      <c r="I1536" s="67" t="str">
        <f aca="false">IF(OR($C1536="",$D1536=""),"",IFERROR($D1536*INDEX(Mix_Eff,MATCH($C1536,Mix_Code,0),4),""))</f>
        <v/>
      </c>
      <c r="J1536" s="67" t="str">
        <f aca="false">IF(OR($C1536="",$D1536=""),"",IFERROR($D1536*INDEX(Mix_Eff,MATCH($C1536,Mix_Code,0),5),""))</f>
        <v/>
      </c>
      <c r="K1536" s="63"/>
      <c r="L1536" s="16" t="str">
        <f aca="false">IF(AND($A1536="",$B1536="",$C1536="",$D1536=""),"",IF($A1536="","⚠ Date missing",IF($B1536="","⚠ Site missing",IF(ISNA(MATCH($C1536,Mix_Code,0)),"⚠ Unknown mix code",IF($D1536="","⚠ Enter m3 produced",IF(COUNTIF(CI_Site,$B1536)=0,"⚠ Site not set up in Current Inventory",IF($A1536&gt;AsOfDate,"Future date – not yet deducted","OK")))))))</f>
        <v/>
      </c>
    </row>
    <row r="1537" customFormat="false" ht="15" hidden="false" customHeight="false" outlineLevel="0" collapsed="false">
      <c r="A1537" s="65"/>
      <c r="B1537" s="63"/>
      <c r="C1537" s="70"/>
      <c r="D1537" s="66"/>
      <c r="E1537" s="16" t="str">
        <f aca="false">IF($C1537="","",IFERROR(INDEX(Mix_Desc,MATCH($C1537,Mix_Code,0)),"⚠ Unknown mix code"))</f>
        <v/>
      </c>
      <c r="F1537" s="67" t="str">
        <f aca="false">IF(OR($C1537="",$D1537=""),"",IFERROR($D1537*INDEX(Mix_Eff,MATCH($C1537,Mix_Code,0),1),""))</f>
        <v/>
      </c>
      <c r="G1537" s="67" t="str">
        <f aca="false">IF(OR($C1537="",$D1537=""),"",IFERROR($D1537*INDEX(Mix_Eff,MATCH($C1537,Mix_Code,0),2),""))</f>
        <v/>
      </c>
      <c r="H1537" s="67" t="str">
        <f aca="false">IF(OR($C1537="",$D1537=""),"",IFERROR($D1537*INDEX(Mix_Eff,MATCH($C1537,Mix_Code,0),3),""))</f>
        <v/>
      </c>
      <c r="I1537" s="67" t="str">
        <f aca="false">IF(OR($C1537="",$D1537=""),"",IFERROR($D1537*INDEX(Mix_Eff,MATCH($C1537,Mix_Code,0),4),""))</f>
        <v/>
      </c>
      <c r="J1537" s="67" t="str">
        <f aca="false">IF(OR($C1537="",$D1537=""),"",IFERROR($D1537*INDEX(Mix_Eff,MATCH($C1537,Mix_Code,0),5),""))</f>
        <v/>
      </c>
      <c r="K1537" s="63"/>
      <c r="L1537" s="16" t="str">
        <f aca="false">IF(AND($A1537="",$B1537="",$C1537="",$D1537=""),"",IF($A1537="","⚠ Date missing",IF($B1537="","⚠ Site missing",IF(ISNA(MATCH($C1537,Mix_Code,0)),"⚠ Unknown mix code",IF($D1537="","⚠ Enter m3 produced",IF(COUNTIF(CI_Site,$B1537)=0,"⚠ Site not set up in Current Inventory",IF($A1537&gt;AsOfDate,"Future date – not yet deducted","OK")))))))</f>
        <v/>
      </c>
    </row>
    <row r="1538" customFormat="false" ht="15" hidden="false" customHeight="false" outlineLevel="0" collapsed="false">
      <c r="A1538" s="65"/>
      <c r="B1538" s="63"/>
      <c r="C1538" s="70"/>
      <c r="D1538" s="66"/>
      <c r="E1538" s="16" t="str">
        <f aca="false">IF($C1538="","",IFERROR(INDEX(Mix_Desc,MATCH($C1538,Mix_Code,0)),"⚠ Unknown mix code"))</f>
        <v/>
      </c>
      <c r="F1538" s="67" t="str">
        <f aca="false">IF(OR($C1538="",$D1538=""),"",IFERROR($D1538*INDEX(Mix_Eff,MATCH($C1538,Mix_Code,0),1),""))</f>
        <v/>
      </c>
      <c r="G1538" s="67" t="str">
        <f aca="false">IF(OR($C1538="",$D1538=""),"",IFERROR($D1538*INDEX(Mix_Eff,MATCH($C1538,Mix_Code,0),2),""))</f>
        <v/>
      </c>
      <c r="H1538" s="67" t="str">
        <f aca="false">IF(OR($C1538="",$D1538=""),"",IFERROR($D1538*INDEX(Mix_Eff,MATCH($C1538,Mix_Code,0),3),""))</f>
        <v/>
      </c>
      <c r="I1538" s="67" t="str">
        <f aca="false">IF(OR($C1538="",$D1538=""),"",IFERROR($D1538*INDEX(Mix_Eff,MATCH($C1538,Mix_Code,0),4),""))</f>
        <v/>
      </c>
      <c r="J1538" s="67" t="str">
        <f aca="false">IF(OR($C1538="",$D1538=""),"",IFERROR($D1538*INDEX(Mix_Eff,MATCH($C1538,Mix_Code,0),5),""))</f>
        <v/>
      </c>
      <c r="K1538" s="63"/>
      <c r="L1538" s="16" t="str">
        <f aca="false">IF(AND($A1538="",$B1538="",$C1538="",$D1538=""),"",IF($A1538="","⚠ Date missing",IF($B1538="","⚠ Site missing",IF(ISNA(MATCH($C1538,Mix_Code,0)),"⚠ Unknown mix code",IF($D1538="","⚠ Enter m3 produced",IF(COUNTIF(CI_Site,$B1538)=0,"⚠ Site not set up in Current Inventory",IF($A1538&gt;AsOfDate,"Future date – not yet deducted","OK")))))))</f>
        <v/>
      </c>
    </row>
    <row r="1539" customFormat="false" ht="15" hidden="false" customHeight="false" outlineLevel="0" collapsed="false">
      <c r="A1539" s="65"/>
      <c r="B1539" s="63"/>
      <c r="C1539" s="70"/>
      <c r="D1539" s="66"/>
      <c r="E1539" s="16" t="str">
        <f aca="false">IF($C1539="","",IFERROR(INDEX(Mix_Desc,MATCH($C1539,Mix_Code,0)),"⚠ Unknown mix code"))</f>
        <v/>
      </c>
      <c r="F1539" s="67" t="str">
        <f aca="false">IF(OR($C1539="",$D1539=""),"",IFERROR($D1539*INDEX(Mix_Eff,MATCH($C1539,Mix_Code,0),1),""))</f>
        <v/>
      </c>
      <c r="G1539" s="67" t="str">
        <f aca="false">IF(OR($C1539="",$D1539=""),"",IFERROR($D1539*INDEX(Mix_Eff,MATCH($C1539,Mix_Code,0),2),""))</f>
        <v/>
      </c>
      <c r="H1539" s="67" t="str">
        <f aca="false">IF(OR($C1539="",$D1539=""),"",IFERROR($D1539*INDEX(Mix_Eff,MATCH($C1539,Mix_Code,0),3),""))</f>
        <v/>
      </c>
      <c r="I1539" s="67" t="str">
        <f aca="false">IF(OR($C1539="",$D1539=""),"",IFERROR($D1539*INDEX(Mix_Eff,MATCH($C1539,Mix_Code,0),4),""))</f>
        <v/>
      </c>
      <c r="J1539" s="67" t="str">
        <f aca="false">IF(OR($C1539="",$D1539=""),"",IFERROR($D1539*INDEX(Mix_Eff,MATCH($C1539,Mix_Code,0),5),""))</f>
        <v/>
      </c>
      <c r="K1539" s="63"/>
      <c r="L1539" s="16" t="str">
        <f aca="false">IF(AND($A1539="",$B1539="",$C1539="",$D1539=""),"",IF($A1539="","⚠ Date missing",IF($B1539="","⚠ Site missing",IF(ISNA(MATCH($C1539,Mix_Code,0)),"⚠ Unknown mix code",IF($D1539="","⚠ Enter m3 produced",IF(COUNTIF(CI_Site,$B1539)=0,"⚠ Site not set up in Current Inventory",IF($A1539&gt;AsOfDate,"Future date – not yet deducted","OK")))))))</f>
        <v/>
      </c>
    </row>
    <row r="1540" customFormat="false" ht="15" hidden="false" customHeight="false" outlineLevel="0" collapsed="false">
      <c r="A1540" s="65"/>
      <c r="B1540" s="63"/>
      <c r="C1540" s="70"/>
      <c r="D1540" s="66"/>
      <c r="E1540" s="16" t="str">
        <f aca="false">IF($C1540="","",IFERROR(INDEX(Mix_Desc,MATCH($C1540,Mix_Code,0)),"⚠ Unknown mix code"))</f>
        <v/>
      </c>
      <c r="F1540" s="67" t="str">
        <f aca="false">IF(OR($C1540="",$D1540=""),"",IFERROR($D1540*INDEX(Mix_Eff,MATCH($C1540,Mix_Code,0),1),""))</f>
        <v/>
      </c>
      <c r="G1540" s="67" t="str">
        <f aca="false">IF(OR($C1540="",$D1540=""),"",IFERROR($D1540*INDEX(Mix_Eff,MATCH($C1540,Mix_Code,0),2),""))</f>
        <v/>
      </c>
      <c r="H1540" s="67" t="str">
        <f aca="false">IF(OR($C1540="",$D1540=""),"",IFERROR($D1540*INDEX(Mix_Eff,MATCH($C1540,Mix_Code,0),3),""))</f>
        <v/>
      </c>
      <c r="I1540" s="67" t="str">
        <f aca="false">IF(OR($C1540="",$D1540=""),"",IFERROR($D1540*INDEX(Mix_Eff,MATCH($C1540,Mix_Code,0),4),""))</f>
        <v/>
      </c>
      <c r="J1540" s="67" t="str">
        <f aca="false">IF(OR($C1540="",$D1540=""),"",IFERROR($D1540*INDEX(Mix_Eff,MATCH($C1540,Mix_Code,0),5),""))</f>
        <v/>
      </c>
      <c r="K1540" s="63"/>
      <c r="L1540" s="16" t="str">
        <f aca="false">IF(AND($A1540="",$B1540="",$C1540="",$D1540=""),"",IF($A1540="","⚠ Date missing",IF($B1540="","⚠ Site missing",IF(ISNA(MATCH($C1540,Mix_Code,0)),"⚠ Unknown mix code",IF($D1540="","⚠ Enter m3 produced",IF(COUNTIF(CI_Site,$B1540)=0,"⚠ Site not set up in Current Inventory",IF($A1540&gt;AsOfDate,"Future date – not yet deducted","OK")))))))</f>
        <v/>
      </c>
    </row>
    <row r="1541" customFormat="false" ht="15" hidden="false" customHeight="false" outlineLevel="0" collapsed="false">
      <c r="A1541" s="65"/>
      <c r="B1541" s="63"/>
      <c r="C1541" s="70"/>
      <c r="D1541" s="66"/>
      <c r="E1541" s="16" t="str">
        <f aca="false">IF($C1541="","",IFERROR(INDEX(Mix_Desc,MATCH($C1541,Mix_Code,0)),"⚠ Unknown mix code"))</f>
        <v/>
      </c>
      <c r="F1541" s="67" t="str">
        <f aca="false">IF(OR($C1541="",$D1541=""),"",IFERROR($D1541*INDEX(Mix_Eff,MATCH($C1541,Mix_Code,0),1),""))</f>
        <v/>
      </c>
      <c r="G1541" s="67" t="str">
        <f aca="false">IF(OR($C1541="",$D1541=""),"",IFERROR($D1541*INDEX(Mix_Eff,MATCH($C1541,Mix_Code,0),2),""))</f>
        <v/>
      </c>
      <c r="H1541" s="67" t="str">
        <f aca="false">IF(OR($C1541="",$D1541=""),"",IFERROR($D1541*INDEX(Mix_Eff,MATCH($C1541,Mix_Code,0),3),""))</f>
        <v/>
      </c>
      <c r="I1541" s="67" t="str">
        <f aca="false">IF(OR($C1541="",$D1541=""),"",IFERROR($D1541*INDEX(Mix_Eff,MATCH($C1541,Mix_Code,0),4),""))</f>
        <v/>
      </c>
      <c r="J1541" s="67" t="str">
        <f aca="false">IF(OR($C1541="",$D1541=""),"",IFERROR($D1541*INDEX(Mix_Eff,MATCH($C1541,Mix_Code,0),5),""))</f>
        <v/>
      </c>
      <c r="K1541" s="63"/>
      <c r="L1541" s="16" t="str">
        <f aca="false">IF(AND($A1541="",$B1541="",$C1541="",$D1541=""),"",IF($A1541="","⚠ Date missing",IF($B1541="","⚠ Site missing",IF(ISNA(MATCH($C1541,Mix_Code,0)),"⚠ Unknown mix code",IF($D1541="","⚠ Enter m3 produced",IF(COUNTIF(CI_Site,$B1541)=0,"⚠ Site not set up in Current Inventory",IF($A1541&gt;AsOfDate,"Future date – not yet deducted","OK")))))))</f>
        <v/>
      </c>
    </row>
    <row r="1542" customFormat="false" ht="15" hidden="false" customHeight="false" outlineLevel="0" collapsed="false">
      <c r="A1542" s="65"/>
      <c r="B1542" s="63"/>
      <c r="C1542" s="70"/>
      <c r="D1542" s="66"/>
      <c r="E1542" s="16" t="str">
        <f aca="false">IF($C1542="","",IFERROR(INDEX(Mix_Desc,MATCH($C1542,Mix_Code,0)),"⚠ Unknown mix code"))</f>
        <v/>
      </c>
      <c r="F1542" s="67" t="str">
        <f aca="false">IF(OR($C1542="",$D1542=""),"",IFERROR($D1542*INDEX(Mix_Eff,MATCH($C1542,Mix_Code,0),1),""))</f>
        <v/>
      </c>
      <c r="G1542" s="67" t="str">
        <f aca="false">IF(OR($C1542="",$D1542=""),"",IFERROR($D1542*INDEX(Mix_Eff,MATCH($C1542,Mix_Code,0),2),""))</f>
        <v/>
      </c>
      <c r="H1542" s="67" t="str">
        <f aca="false">IF(OR($C1542="",$D1542=""),"",IFERROR($D1542*INDEX(Mix_Eff,MATCH($C1542,Mix_Code,0),3),""))</f>
        <v/>
      </c>
      <c r="I1542" s="67" t="str">
        <f aca="false">IF(OR($C1542="",$D1542=""),"",IFERROR($D1542*INDEX(Mix_Eff,MATCH($C1542,Mix_Code,0),4),""))</f>
        <v/>
      </c>
      <c r="J1542" s="67" t="str">
        <f aca="false">IF(OR($C1542="",$D1542=""),"",IFERROR($D1542*INDEX(Mix_Eff,MATCH($C1542,Mix_Code,0),5),""))</f>
        <v/>
      </c>
      <c r="K1542" s="63"/>
      <c r="L1542" s="16" t="str">
        <f aca="false">IF(AND($A1542="",$B1542="",$C1542="",$D1542=""),"",IF($A1542="","⚠ Date missing",IF($B1542="","⚠ Site missing",IF(ISNA(MATCH($C1542,Mix_Code,0)),"⚠ Unknown mix code",IF($D1542="","⚠ Enter m3 produced",IF(COUNTIF(CI_Site,$B1542)=0,"⚠ Site not set up in Current Inventory",IF($A1542&gt;AsOfDate,"Future date – not yet deducted","OK")))))))</f>
        <v/>
      </c>
    </row>
    <row r="1543" customFormat="false" ht="15" hidden="false" customHeight="false" outlineLevel="0" collapsed="false">
      <c r="A1543" s="65"/>
      <c r="B1543" s="63"/>
      <c r="C1543" s="70"/>
      <c r="D1543" s="66"/>
      <c r="E1543" s="16" t="str">
        <f aca="false">IF($C1543="","",IFERROR(INDEX(Mix_Desc,MATCH($C1543,Mix_Code,0)),"⚠ Unknown mix code"))</f>
        <v/>
      </c>
      <c r="F1543" s="67" t="str">
        <f aca="false">IF(OR($C1543="",$D1543=""),"",IFERROR($D1543*INDEX(Mix_Eff,MATCH($C1543,Mix_Code,0),1),""))</f>
        <v/>
      </c>
      <c r="G1543" s="67" t="str">
        <f aca="false">IF(OR($C1543="",$D1543=""),"",IFERROR($D1543*INDEX(Mix_Eff,MATCH($C1543,Mix_Code,0),2),""))</f>
        <v/>
      </c>
      <c r="H1543" s="67" t="str">
        <f aca="false">IF(OR($C1543="",$D1543=""),"",IFERROR($D1543*INDEX(Mix_Eff,MATCH($C1543,Mix_Code,0),3),""))</f>
        <v/>
      </c>
      <c r="I1543" s="67" t="str">
        <f aca="false">IF(OR($C1543="",$D1543=""),"",IFERROR($D1543*INDEX(Mix_Eff,MATCH($C1543,Mix_Code,0),4),""))</f>
        <v/>
      </c>
      <c r="J1543" s="67" t="str">
        <f aca="false">IF(OR($C1543="",$D1543=""),"",IFERROR($D1543*INDEX(Mix_Eff,MATCH($C1543,Mix_Code,0),5),""))</f>
        <v/>
      </c>
      <c r="K1543" s="63"/>
      <c r="L1543" s="16" t="str">
        <f aca="false">IF(AND($A1543="",$B1543="",$C1543="",$D1543=""),"",IF($A1543="","⚠ Date missing",IF($B1543="","⚠ Site missing",IF(ISNA(MATCH($C1543,Mix_Code,0)),"⚠ Unknown mix code",IF($D1543="","⚠ Enter m3 produced",IF(COUNTIF(CI_Site,$B1543)=0,"⚠ Site not set up in Current Inventory",IF($A1543&gt;AsOfDate,"Future date – not yet deducted","OK")))))))</f>
        <v/>
      </c>
    </row>
    <row r="1544" customFormat="false" ht="15" hidden="false" customHeight="false" outlineLevel="0" collapsed="false">
      <c r="A1544" s="65"/>
      <c r="B1544" s="63"/>
      <c r="C1544" s="70"/>
      <c r="D1544" s="66"/>
      <c r="E1544" s="16" t="str">
        <f aca="false">IF($C1544="","",IFERROR(INDEX(Mix_Desc,MATCH($C1544,Mix_Code,0)),"⚠ Unknown mix code"))</f>
        <v/>
      </c>
      <c r="F1544" s="67" t="str">
        <f aca="false">IF(OR($C1544="",$D1544=""),"",IFERROR($D1544*INDEX(Mix_Eff,MATCH($C1544,Mix_Code,0),1),""))</f>
        <v/>
      </c>
      <c r="G1544" s="67" t="str">
        <f aca="false">IF(OR($C1544="",$D1544=""),"",IFERROR($D1544*INDEX(Mix_Eff,MATCH($C1544,Mix_Code,0),2),""))</f>
        <v/>
      </c>
      <c r="H1544" s="67" t="str">
        <f aca="false">IF(OR($C1544="",$D1544=""),"",IFERROR($D1544*INDEX(Mix_Eff,MATCH($C1544,Mix_Code,0),3),""))</f>
        <v/>
      </c>
      <c r="I1544" s="67" t="str">
        <f aca="false">IF(OR($C1544="",$D1544=""),"",IFERROR($D1544*INDEX(Mix_Eff,MATCH($C1544,Mix_Code,0),4),""))</f>
        <v/>
      </c>
      <c r="J1544" s="67" t="str">
        <f aca="false">IF(OR($C1544="",$D1544=""),"",IFERROR($D1544*INDEX(Mix_Eff,MATCH($C1544,Mix_Code,0),5),""))</f>
        <v/>
      </c>
      <c r="K1544" s="63"/>
      <c r="L1544" s="16" t="str">
        <f aca="false">IF(AND($A1544="",$B1544="",$C1544="",$D1544=""),"",IF($A1544="","⚠ Date missing",IF($B1544="","⚠ Site missing",IF(ISNA(MATCH($C1544,Mix_Code,0)),"⚠ Unknown mix code",IF($D1544="","⚠ Enter m3 produced",IF(COUNTIF(CI_Site,$B1544)=0,"⚠ Site not set up in Current Inventory",IF($A1544&gt;AsOfDate,"Future date – not yet deducted","OK")))))))</f>
        <v/>
      </c>
    </row>
    <row r="1545" customFormat="false" ht="15" hidden="false" customHeight="false" outlineLevel="0" collapsed="false">
      <c r="A1545" s="65"/>
      <c r="B1545" s="63"/>
      <c r="C1545" s="70"/>
      <c r="D1545" s="66"/>
      <c r="E1545" s="16" t="str">
        <f aca="false">IF($C1545="","",IFERROR(INDEX(Mix_Desc,MATCH($C1545,Mix_Code,0)),"⚠ Unknown mix code"))</f>
        <v/>
      </c>
      <c r="F1545" s="67" t="str">
        <f aca="false">IF(OR($C1545="",$D1545=""),"",IFERROR($D1545*INDEX(Mix_Eff,MATCH($C1545,Mix_Code,0),1),""))</f>
        <v/>
      </c>
      <c r="G1545" s="67" t="str">
        <f aca="false">IF(OR($C1545="",$D1545=""),"",IFERROR($D1545*INDEX(Mix_Eff,MATCH($C1545,Mix_Code,0),2),""))</f>
        <v/>
      </c>
      <c r="H1545" s="67" t="str">
        <f aca="false">IF(OR($C1545="",$D1545=""),"",IFERROR($D1545*INDEX(Mix_Eff,MATCH($C1545,Mix_Code,0),3),""))</f>
        <v/>
      </c>
      <c r="I1545" s="67" t="str">
        <f aca="false">IF(OR($C1545="",$D1545=""),"",IFERROR($D1545*INDEX(Mix_Eff,MATCH($C1545,Mix_Code,0),4),""))</f>
        <v/>
      </c>
      <c r="J1545" s="67" t="str">
        <f aca="false">IF(OR($C1545="",$D1545=""),"",IFERROR($D1545*INDEX(Mix_Eff,MATCH($C1545,Mix_Code,0),5),""))</f>
        <v/>
      </c>
      <c r="K1545" s="63"/>
      <c r="L1545" s="16" t="str">
        <f aca="false">IF(AND($A1545="",$B1545="",$C1545="",$D1545=""),"",IF($A1545="","⚠ Date missing",IF($B1545="","⚠ Site missing",IF(ISNA(MATCH($C1545,Mix_Code,0)),"⚠ Unknown mix code",IF($D1545="","⚠ Enter m3 produced",IF(COUNTIF(CI_Site,$B1545)=0,"⚠ Site not set up in Current Inventory",IF($A1545&gt;AsOfDate,"Future date – not yet deducted","OK")))))))</f>
        <v/>
      </c>
    </row>
    <row r="1546" customFormat="false" ht="15" hidden="false" customHeight="false" outlineLevel="0" collapsed="false">
      <c r="A1546" s="65"/>
      <c r="B1546" s="63"/>
      <c r="C1546" s="70"/>
      <c r="D1546" s="66"/>
      <c r="E1546" s="16" t="str">
        <f aca="false">IF($C1546="","",IFERROR(INDEX(Mix_Desc,MATCH($C1546,Mix_Code,0)),"⚠ Unknown mix code"))</f>
        <v/>
      </c>
      <c r="F1546" s="67" t="str">
        <f aca="false">IF(OR($C1546="",$D1546=""),"",IFERROR($D1546*INDEX(Mix_Eff,MATCH($C1546,Mix_Code,0),1),""))</f>
        <v/>
      </c>
      <c r="G1546" s="67" t="str">
        <f aca="false">IF(OR($C1546="",$D1546=""),"",IFERROR($D1546*INDEX(Mix_Eff,MATCH($C1546,Mix_Code,0),2),""))</f>
        <v/>
      </c>
      <c r="H1546" s="67" t="str">
        <f aca="false">IF(OR($C1546="",$D1546=""),"",IFERROR($D1546*INDEX(Mix_Eff,MATCH($C1546,Mix_Code,0),3),""))</f>
        <v/>
      </c>
      <c r="I1546" s="67" t="str">
        <f aca="false">IF(OR($C1546="",$D1546=""),"",IFERROR($D1546*INDEX(Mix_Eff,MATCH($C1546,Mix_Code,0),4),""))</f>
        <v/>
      </c>
      <c r="J1546" s="67" t="str">
        <f aca="false">IF(OR($C1546="",$D1546=""),"",IFERROR($D1546*INDEX(Mix_Eff,MATCH($C1546,Mix_Code,0),5),""))</f>
        <v/>
      </c>
      <c r="K1546" s="63"/>
      <c r="L1546" s="16" t="str">
        <f aca="false">IF(AND($A1546="",$B1546="",$C1546="",$D1546=""),"",IF($A1546="","⚠ Date missing",IF($B1546="","⚠ Site missing",IF(ISNA(MATCH($C1546,Mix_Code,0)),"⚠ Unknown mix code",IF($D1546="","⚠ Enter m3 produced",IF(COUNTIF(CI_Site,$B1546)=0,"⚠ Site not set up in Current Inventory",IF($A1546&gt;AsOfDate,"Future date – not yet deducted","OK")))))))</f>
        <v/>
      </c>
    </row>
    <row r="1547" customFormat="false" ht="15" hidden="false" customHeight="false" outlineLevel="0" collapsed="false">
      <c r="A1547" s="65"/>
      <c r="B1547" s="63"/>
      <c r="C1547" s="70"/>
      <c r="D1547" s="66"/>
      <c r="E1547" s="16" t="str">
        <f aca="false">IF($C1547="","",IFERROR(INDEX(Mix_Desc,MATCH($C1547,Mix_Code,0)),"⚠ Unknown mix code"))</f>
        <v/>
      </c>
      <c r="F1547" s="67" t="str">
        <f aca="false">IF(OR($C1547="",$D1547=""),"",IFERROR($D1547*INDEX(Mix_Eff,MATCH($C1547,Mix_Code,0),1),""))</f>
        <v/>
      </c>
      <c r="G1547" s="67" t="str">
        <f aca="false">IF(OR($C1547="",$D1547=""),"",IFERROR($D1547*INDEX(Mix_Eff,MATCH($C1547,Mix_Code,0),2),""))</f>
        <v/>
      </c>
      <c r="H1547" s="67" t="str">
        <f aca="false">IF(OR($C1547="",$D1547=""),"",IFERROR($D1547*INDEX(Mix_Eff,MATCH($C1547,Mix_Code,0),3),""))</f>
        <v/>
      </c>
      <c r="I1547" s="67" t="str">
        <f aca="false">IF(OR($C1547="",$D1547=""),"",IFERROR($D1547*INDEX(Mix_Eff,MATCH($C1547,Mix_Code,0),4),""))</f>
        <v/>
      </c>
      <c r="J1547" s="67" t="str">
        <f aca="false">IF(OR($C1547="",$D1547=""),"",IFERROR($D1547*INDEX(Mix_Eff,MATCH($C1547,Mix_Code,0),5),""))</f>
        <v/>
      </c>
      <c r="K1547" s="63"/>
      <c r="L1547" s="16" t="str">
        <f aca="false">IF(AND($A1547="",$B1547="",$C1547="",$D1547=""),"",IF($A1547="","⚠ Date missing",IF($B1547="","⚠ Site missing",IF(ISNA(MATCH($C1547,Mix_Code,0)),"⚠ Unknown mix code",IF($D1547="","⚠ Enter m3 produced",IF(COUNTIF(CI_Site,$B1547)=0,"⚠ Site not set up in Current Inventory",IF($A1547&gt;AsOfDate,"Future date – not yet deducted","OK")))))))</f>
        <v/>
      </c>
    </row>
    <row r="1548" customFormat="false" ht="15" hidden="false" customHeight="false" outlineLevel="0" collapsed="false">
      <c r="A1548" s="65"/>
      <c r="B1548" s="63"/>
      <c r="C1548" s="70"/>
      <c r="D1548" s="66"/>
      <c r="E1548" s="16" t="str">
        <f aca="false">IF($C1548="","",IFERROR(INDEX(Mix_Desc,MATCH($C1548,Mix_Code,0)),"⚠ Unknown mix code"))</f>
        <v/>
      </c>
      <c r="F1548" s="67" t="str">
        <f aca="false">IF(OR($C1548="",$D1548=""),"",IFERROR($D1548*INDEX(Mix_Eff,MATCH($C1548,Mix_Code,0),1),""))</f>
        <v/>
      </c>
      <c r="G1548" s="67" t="str">
        <f aca="false">IF(OR($C1548="",$D1548=""),"",IFERROR($D1548*INDEX(Mix_Eff,MATCH($C1548,Mix_Code,0),2),""))</f>
        <v/>
      </c>
      <c r="H1548" s="67" t="str">
        <f aca="false">IF(OR($C1548="",$D1548=""),"",IFERROR($D1548*INDEX(Mix_Eff,MATCH($C1548,Mix_Code,0),3),""))</f>
        <v/>
      </c>
      <c r="I1548" s="67" t="str">
        <f aca="false">IF(OR($C1548="",$D1548=""),"",IFERROR($D1548*INDEX(Mix_Eff,MATCH($C1548,Mix_Code,0),4),""))</f>
        <v/>
      </c>
      <c r="J1548" s="67" t="str">
        <f aca="false">IF(OR($C1548="",$D1548=""),"",IFERROR($D1548*INDEX(Mix_Eff,MATCH($C1548,Mix_Code,0),5),""))</f>
        <v/>
      </c>
      <c r="K1548" s="63"/>
      <c r="L1548" s="16" t="str">
        <f aca="false">IF(AND($A1548="",$B1548="",$C1548="",$D1548=""),"",IF($A1548="","⚠ Date missing",IF($B1548="","⚠ Site missing",IF(ISNA(MATCH($C1548,Mix_Code,0)),"⚠ Unknown mix code",IF($D1548="","⚠ Enter m3 produced",IF(COUNTIF(CI_Site,$B1548)=0,"⚠ Site not set up in Current Inventory",IF($A1548&gt;AsOfDate,"Future date – not yet deducted","OK")))))))</f>
        <v/>
      </c>
    </row>
    <row r="1549" customFormat="false" ht="15" hidden="false" customHeight="false" outlineLevel="0" collapsed="false">
      <c r="A1549" s="65"/>
      <c r="B1549" s="63"/>
      <c r="C1549" s="70"/>
      <c r="D1549" s="66"/>
      <c r="E1549" s="16" t="str">
        <f aca="false">IF($C1549="","",IFERROR(INDEX(Mix_Desc,MATCH($C1549,Mix_Code,0)),"⚠ Unknown mix code"))</f>
        <v/>
      </c>
      <c r="F1549" s="67" t="str">
        <f aca="false">IF(OR($C1549="",$D1549=""),"",IFERROR($D1549*INDEX(Mix_Eff,MATCH($C1549,Mix_Code,0),1),""))</f>
        <v/>
      </c>
      <c r="G1549" s="67" t="str">
        <f aca="false">IF(OR($C1549="",$D1549=""),"",IFERROR($D1549*INDEX(Mix_Eff,MATCH($C1549,Mix_Code,0),2),""))</f>
        <v/>
      </c>
      <c r="H1549" s="67" t="str">
        <f aca="false">IF(OR($C1549="",$D1549=""),"",IFERROR($D1549*INDEX(Mix_Eff,MATCH($C1549,Mix_Code,0),3),""))</f>
        <v/>
      </c>
      <c r="I1549" s="67" t="str">
        <f aca="false">IF(OR($C1549="",$D1549=""),"",IFERROR($D1549*INDEX(Mix_Eff,MATCH($C1549,Mix_Code,0),4),""))</f>
        <v/>
      </c>
      <c r="J1549" s="67" t="str">
        <f aca="false">IF(OR($C1549="",$D1549=""),"",IFERROR($D1549*INDEX(Mix_Eff,MATCH($C1549,Mix_Code,0),5),""))</f>
        <v/>
      </c>
      <c r="K1549" s="63"/>
      <c r="L1549" s="16" t="str">
        <f aca="false">IF(AND($A1549="",$B1549="",$C1549="",$D1549=""),"",IF($A1549="","⚠ Date missing",IF($B1549="","⚠ Site missing",IF(ISNA(MATCH($C1549,Mix_Code,0)),"⚠ Unknown mix code",IF($D1549="","⚠ Enter m3 produced",IF(COUNTIF(CI_Site,$B1549)=0,"⚠ Site not set up in Current Inventory",IF($A1549&gt;AsOfDate,"Future date – not yet deducted","OK")))))))</f>
        <v/>
      </c>
    </row>
    <row r="1550" customFormat="false" ht="15" hidden="false" customHeight="false" outlineLevel="0" collapsed="false">
      <c r="A1550" s="65"/>
      <c r="B1550" s="63"/>
      <c r="C1550" s="70"/>
      <c r="D1550" s="66"/>
      <c r="E1550" s="16" t="str">
        <f aca="false">IF($C1550="","",IFERROR(INDEX(Mix_Desc,MATCH($C1550,Mix_Code,0)),"⚠ Unknown mix code"))</f>
        <v/>
      </c>
      <c r="F1550" s="67" t="str">
        <f aca="false">IF(OR($C1550="",$D1550=""),"",IFERROR($D1550*INDEX(Mix_Eff,MATCH($C1550,Mix_Code,0),1),""))</f>
        <v/>
      </c>
      <c r="G1550" s="67" t="str">
        <f aca="false">IF(OR($C1550="",$D1550=""),"",IFERROR($D1550*INDEX(Mix_Eff,MATCH($C1550,Mix_Code,0),2),""))</f>
        <v/>
      </c>
      <c r="H1550" s="67" t="str">
        <f aca="false">IF(OR($C1550="",$D1550=""),"",IFERROR($D1550*INDEX(Mix_Eff,MATCH($C1550,Mix_Code,0),3),""))</f>
        <v/>
      </c>
      <c r="I1550" s="67" t="str">
        <f aca="false">IF(OR($C1550="",$D1550=""),"",IFERROR($D1550*INDEX(Mix_Eff,MATCH($C1550,Mix_Code,0),4),""))</f>
        <v/>
      </c>
      <c r="J1550" s="67" t="str">
        <f aca="false">IF(OR($C1550="",$D1550=""),"",IFERROR($D1550*INDEX(Mix_Eff,MATCH($C1550,Mix_Code,0),5),""))</f>
        <v/>
      </c>
      <c r="K1550" s="63"/>
      <c r="L1550" s="16" t="str">
        <f aca="false">IF(AND($A1550="",$B1550="",$C1550="",$D1550=""),"",IF($A1550="","⚠ Date missing",IF($B1550="","⚠ Site missing",IF(ISNA(MATCH($C1550,Mix_Code,0)),"⚠ Unknown mix code",IF($D1550="","⚠ Enter m3 produced",IF(COUNTIF(CI_Site,$B1550)=0,"⚠ Site not set up in Current Inventory",IF($A1550&gt;AsOfDate,"Future date – not yet deducted","OK")))))))</f>
        <v/>
      </c>
    </row>
    <row r="1551" customFormat="false" ht="15" hidden="false" customHeight="false" outlineLevel="0" collapsed="false">
      <c r="A1551" s="65"/>
      <c r="B1551" s="63"/>
      <c r="C1551" s="70"/>
      <c r="D1551" s="66"/>
      <c r="E1551" s="16" t="str">
        <f aca="false">IF($C1551="","",IFERROR(INDEX(Mix_Desc,MATCH($C1551,Mix_Code,0)),"⚠ Unknown mix code"))</f>
        <v/>
      </c>
      <c r="F1551" s="67" t="str">
        <f aca="false">IF(OR($C1551="",$D1551=""),"",IFERROR($D1551*INDEX(Mix_Eff,MATCH($C1551,Mix_Code,0),1),""))</f>
        <v/>
      </c>
      <c r="G1551" s="67" t="str">
        <f aca="false">IF(OR($C1551="",$D1551=""),"",IFERROR($D1551*INDEX(Mix_Eff,MATCH($C1551,Mix_Code,0),2),""))</f>
        <v/>
      </c>
      <c r="H1551" s="67" t="str">
        <f aca="false">IF(OR($C1551="",$D1551=""),"",IFERROR($D1551*INDEX(Mix_Eff,MATCH($C1551,Mix_Code,0),3),""))</f>
        <v/>
      </c>
      <c r="I1551" s="67" t="str">
        <f aca="false">IF(OR($C1551="",$D1551=""),"",IFERROR($D1551*INDEX(Mix_Eff,MATCH($C1551,Mix_Code,0),4),""))</f>
        <v/>
      </c>
      <c r="J1551" s="67" t="str">
        <f aca="false">IF(OR($C1551="",$D1551=""),"",IFERROR($D1551*INDEX(Mix_Eff,MATCH($C1551,Mix_Code,0),5),""))</f>
        <v/>
      </c>
      <c r="K1551" s="63"/>
      <c r="L1551" s="16" t="str">
        <f aca="false">IF(AND($A1551="",$B1551="",$C1551="",$D1551=""),"",IF($A1551="","⚠ Date missing",IF($B1551="","⚠ Site missing",IF(ISNA(MATCH($C1551,Mix_Code,0)),"⚠ Unknown mix code",IF($D1551="","⚠ Enter m3 produced",IF(COUNTIF(CI_Site,$B1551)=0,"⚠ Site not set up in Current Inventory",IF($A1551&gt;AsOfDate,"Future date – not yet deducted","OK")))))))</f>
        <v/>
      </c>
    </row>
    <row r="1552" customFormat="false" ht="15" hidden="false" customHeight="false" outlineLevel="0" collapsed="false">
      <c r="A1552" s="65"/>
      <c r="B1552" s="63"/>
      <c r="C1552" s="70"/>
      <c r="D1552" s="66"/>
      <c r="E1552" s="16" t="str">
        <f aca="false">IF($C1552="","",IFERROR(INDEX(Mix_Desc,MATCH($C1552,Mix_Code,0)),"⚠ Unknown mix code"))</f>
        <v/>
      </c>
      <c r="F1552" s="67" t="str">
        <f aca="false">IF(OR($C1552="",$D1552=""),"",IFERROR($D1552*INDEX(Mix_Eff,MATCH($C1552,Mix_Code,0),1),""))</f>
        <v/>
      </c>
      <c r="G1552" s="67" t="str">
        <f aca="false">IF(OR($C1552="",$D1552=""),"",IFERROR($D1552*INDEX(Mix_Eff,MATCH($C1552,Mix_Code,0),2),""))</f>
        <v/>
      </c>
      <c r="H1552" s="67" t="str">
        <f aca="false">IF(OR($C1552="",$D1552=""),"",IFERROR($D1552*INDEX(Mix_Eff,MATCH($C1552,Mix_Code,0),3),""))</f>
        <v/>
      </c>
      <c r="I1552" s="67" t="str">
        <f aca="false">IF(OR($C1552="",$D1552=""),"",IFERROR($D1552*INDEX(Mix_Eff,MATCH($C1552,Mix_Code,0),4),""))</f>
        <v/>
      </c>
      <c r="J1552" s="67" t="str">
        <f aca="false">IF(OR($C1552="",$D1552=""),"",IFERROR($D1552*INDEX(Mix_Eff,MATCH($C1552,Mix_Code,0),5),""))</f>
        <v/>
      </c>
      <c r="K1552" s="63"/>
      <c r="L1552" s="16" t="str">
        <f aca="false">IF(AND($A1552="",$B1552="",$C1552="",$D1552=""),"",IF($A1552="","⚠ Date missing",IF($B1552="","⚠ Site missing",IF(ISNA(MATCH($C1552,Mix_Code,0)),"⚠ Unknown mix code",IF($D1552="","⚠ Enter m3 produced",IF(COUNTIF(CI_Site,$B1552)=0,"⚠ Site not set up in Current Inventory",IF($A1552&gt;AsOfDate,"Future date – not yet deducted","OK")))))))</f>
        <v/>
      </c>
    </row>
    <row r="1553" customFormat="false" ht="15" hidden="false" customHeight="false" outlineLevel="0" collapsed="false">
      <c r="A1553" s="65"/>
      <c r="B1553" s="63"/>
      <c r="C1553" s="70"/>
      <c r="D1553" s="66"/>
      <c r="E1553" s="16" t="str">
        <f aca="false">IF($C1553="","",IFERROR(INDEX(Mix_Desc,MATCH($C1553,Mix_Code,0)),"⚠ Unknown mix code"))</f>
        <v/>
      </c>
      <c r="F1553" s="67" t="str">
        <f aca="false">IF(OR($C1553="",$D1553=""),"",IFERROR($D1553*INDEX(Mix_Eff,MATCH($C1553,Mix_Code,0),1),""))</f>
        <v/>
      </c>
      <c r="G1553" s="67" t="str">
        <f aca="false">IF(OR($C1553="",$D1553=""),"",IFERROR($D1553*INDEX(Mix_Eff,MATCH($C1553,Mix_Code,0),2),""))</f>
        <v/>
      </c>
      <c r="H1553" s="67" t="str">
        <f aca="false">IF(OR($C1553="",$D1553=""),"",IFERROR($D1553*INDEX(Mix_Eff,MATCH($C1553,Mix_Code,0),3),""))</f>
        <v/>
      </c>
      <c r="I1553" s="67" t="str">
        <f aca="false">IF(OR($C1553="",$D1553=""),"",IFERROR($D1553*INDEX(Mix_Eff,MATCH($C1553,Mix_Code,0),4),""))</f>
        <v/>
      </c>
      <c r="J1553" s="67" t="str">
        <f aca="false">IF(OR($C1553="",$D1553=""),"",IFERROR($D1553*INDEX(Mix_Eff,MATCH($C1553,Mix_Code,0),5),""))</f>
        <v/>
      </c>
      <c r="K1553" s="63"/>
      <c r="L1553" s="16" t="str">
        <f aca="false">IF(AND($A1553="",$B1553="",$C1553="",$D1553=""),"",IF($A1553="","⚠ Date missing",IF($B1553="","⚠ Site missing",IF(ISNA(MATCH($C1553,Mix_Code,0)),"⚠ Unknown mix code",IF($D1553="","⚠ Enter m3 produced",IF(COUNTIF(CI_Site,$B1553)=0,"⚠ Site not set up in Current Inventory",IF($A1553&gt;AsOfDate,"Future date – not yet deducted","OK")))))))</f>
        <v/>
      </c>
    </row>
    <row r="1554" customFormat="false" ht="15" hidden="false" customHeight="false" outlineLevel="0" collapsed="false">
      <c r="A1554" s="65"/>
      <c r="B1554" s="63"/>
      <c r="C1554" s="70"/>
      <c r="D1554" s="66"/>
      <c r="E1554" s="16" t="str">
        <f aca="false">IF($C1554="","",IFERROR(INDEX(Mix_Desc,MATCH($C1554,Mix_Code,0)),"⚠ Unknown mix code"))</f>
        <v/>
      </c>
      <c r="F1554" s="67" t="str">
        <f aca="false">IF(OR($C1554="",$D1554=""),"",IFERROR($D1554*INDEX(Mix_Eff,MATCH($C1554,Mix_Code,0),1),""))</f>
        <v/>
      </c>
      <c r="G1554" s="67" t="str">
        <f aca="false">IF(OR($C1554="",$D1554=""),"",IFERROR($D1554*INDEX(Mix_Eff,MATCH($C1554,Mix_Code,0),2),""))</f>
        <v/>
      </c>
      <c r="H1554" s="67" t="str">
        <f aca="false">IF(OR($C1554="",$D1554=""),"",IFERROR($D1554*INDEX(Mix_Eff,MATCH($C1554,Mix_Code,0),3),""))</f>
        <v/>
      </c>
      <c r="I1554" s="67" t="str">
        <f aca="false">IF(OR($C1554="",$D1554=""),"",IFERROR($D1554*INDEX(Mix_Eff,MATCH($C1554,Mix_Code,0),4),""))</f>
        <v/>
      </c>
      <c r="J1554" s="67" t="str">
        <f aca="false">IF(OR($C1554="",$D1554=""),"",IFERROR($D1554*INDEX(Mix_Eff,MATCH($C1554,Mix_Code,0),5),""))</f>
        <v/>
      </c>
      <c r="K1554" s="63"/>
      <c r="L1554" s="16" t="str">
        <f aca="false">IF(AND($A1554="",$B1554="",$C1554="",$D1554=""),"",IF($A1554="","⚠ Date missing",IF($B1554="","⚠ Site missing",IF(ISNA(MATCH($C1554,Mix_Code,0)),"⚠ Unknown mix code",IF($D1554="","⚠ Enter m3 produced",IF(COUNTIF(CI_Site,$B1554)=0,"⚠ Site not set up in Current Inventory",IF($A1554&gt;AsOfDate,"Future date – not yet deducted","OK")))))))</f>
        <v/>
      </c>
    </row>
    <row r="1555" customFormat="false" ht="15" hidden="false" customHeight="false" outlineLevel="0" collapsed="false">
      <c r="A1555" s="65"/>
      <c r="B1555" s="63"/>
      <c r="C1555" s="70"/>
      <c r="D1555" s="66"/>
      <c r="E1555" s="16" t="str">
        <f aca="false">IF($C1555="","",IFERROR(INDEX(Mix_Desc,MATCH($C1555,Mix_Code,0)),"⚠ Unknown mix code"))</f>
        <v/>
      </c>
      <c r="F1555" s="67" t="str">
        <f aca="false">IF(OR($C1555="",$D1555=""),"",IFERROR($D1555*INDEX(Mix_Eff,MATCH($C1555,Mix_Code,0),1),""))</f>
        <v/>
      </c>
      <c r="G1555" s="67" t="str">
        <f aca="false">IF(OR($C1555="",$D1555=""),"",IFERROR($D1555*INDEX(Mix_Eff,MATCH($C1555,Mix_Code,0),2),""))</f>
        <v/>
      </c>
      <c r="H1555" s="67" t="str">
        <f aca="false">IF(OR($C1555="",$D1555=""),"",IFERROR($D1555*INDEX(Mix_Eff,MATCH($C1555,Mix_Code,0),3),""))</f>
        <v/>
      </c>
      <c r="I1555" s="67" t="str">
        <f aca="false">IF(OR($C1555="",$D1555=""),"",IFERROR($D1555*INDEX(Mix_Eff,MATCH($C1555,Mix_Code,0),4),""))</f>
        <v/>
      </c>
      <c r="J1555" s="67" t="str">
        <f aca="false">IF(OR($C1555="",$D1555=""),"",IFERROR($D1555*INDEX(Mix_Eff,MATCH($C1555,Mix_Code,0),5),""))</f>
        <v/>
      </c>
      <c r="K1555" s="63"/>
      <c r="L1555" s="16" t="str">
        <f aca="false">IF(AND($A1555="",$B1555="",$C1555="",$D1555=""),"",IF($A1555="","⚠ Date missing",IF($B1555="","⚠ Site missing",IF(ISNA(MATCH($C1555,Mix_Code,0)),"⚠ Unknown mix code",IF($D1555="","⚠ Enter m3 produced",IF(COUNTIF(CI_Site,$B1555)=0,"⚠ Site not set up in Current Inventory",IF($A1555&gt;AsOfDate,"Future date – not yet deducted","OK")))))))</f>
        <v/>
      </c>
    </row>
    <row r="1556" customFormat="false" ht="15" hidden="false" customHeight="false" outlineLevel="0" collapsed="false">
      <c r="A1556" s="65"/>
      <c r="B1556" s="63"/>
      <c r="C1556" s="70"/>
      <c r="D1556" s="66"/>
      <c r="E1556" s="16" t="str">
        <f aca="false">IF($C1556="","",IFERROR(INDEX(Mix_Desc,MATCH($C1556,Mix_Code,0)),"⚠ Unknown mix code"))</f>
        <v/>
      </c>
      <c r="F1556" s="67" t="str">
        <f aca="false">IF(OR($C1556="",$D1556=""),"",IFERROR($D1556*INDEX(Mix_Eff,MATCH($C1556,Mix_Code,0),1),""))</f>
        <v/>
      </c>
      <c r="G1556" s="67" t="str">
        <f aca="false">IF(OR($C1556="",$D1556=""),"",IFERROR($D1556*INDEX(Mix_Eff,MATCH($C1556,Mix_Code,0),2),""))</f>
        <v/>
      </c>
      <c r="H1556" s="67" t="str">
        <f aca="false">IF(OR($C1556="",$D1556=""),"",IFERROR($D1556*INDEX(Mix_Eff,MATCH($C1556,Mix_Code,0),3),""))</f>
        <v/>
      </c>
      <c r="I1556" s="67" t="str">
        <f aca="false">IF(OR($C1556="",$D1556=""),"",IFERROR($D1556*INDEX(Mix_Eff,MATCH($C1556,Mix_Code,0),4),""))</f>
        <v/>
      </c>
      <c r="J1556" s="67" t="str">
        <f aca="false">IF(OR($C1556="",$D1556=""),"",IFERROR($D1556*INDEX(Mix_Eff,MATCH($C1556,Mix_Code,0),5),""))</f>
        <v/>
      </c>
      <c r="K1556" s="63"/>
      <c r="L1556" s="16" t="str">
        <f aca="false">IF(AND($A1556="",$B1556="",$C1556="",$D1556=""),"",IF($A1556="","⚠ Date missing",IF($B1556="","⚠ Site missing",IF(ISNA(MATCH($C1556,Mix_Code,0)),"⚠ Unknown mix code",IF($D1556="","⚠ Enter m3 produced",IF(COUNTIF(CI_Site,$B1556)=0,"⚠ Site not set up in Current Inventory",IF($A1556&gt;AsOfDate,"Future date – not yet deducted","OK")))))))</f>
        <v/>
      </c>
    </row>
    <row r="1557" customFormat="false" ht="15" hidden="false" customHeight="false" outlineLevel="0" collapsed="false">
      <c r="A1557" s="65"/>
      <c r="B1557" s="63"/>
      <c r="C1557" s="70"/>
      <c r="D1557" s="66"/>
      <c r="E1557" s="16" t="str">
        <f aca="false">IF($C1557="","",IFERROR(INDEX(Mix_Desc,MATCH($C1557,Mix_Code,0)),"⚠ Unknown mix code"))</f>
        <v/>
      </c>
      <c r="F1557" s="67" t="str">
        <f aca="false">IF(OR($C1557="",$D1557=""),"",IFERROR($D1557*INDEX(Mix_Eff,MATCH($C1557,Mix_Code,0),1),""))</f>
        <v/>
      </c>
      <c r="G1557" s="67" t="str">
        <f aca="false">IF(OR($C1557="",$D1557=""),"",IFERROR($D1557*INDEX(Mix_Eff,MATCH($C1557,Mix_Code,0),2),""))</f>
        <v/>
      </c>
      <c r="H1557" s="67" t="str">
        <f aca="false">IF(OR($C1557="",$D1557=""),"",IFERROR($D1557*INDEX(Mix_Eff,MATCH($C1557,Mix_Code,0),3),""))</f>
        <v/>
      </c>
      <c r="I1557" s="67" t="str">
        <f aca="false">IF(OR($C1557="",$D1557=""),"",IFERROR($D1557*INDEX(Mix_Eff,MATCH($C1557,Mix_Code,0),4),""))</f>
        <v/>
      </c>
      <c r="J1557" s="67" t="str">
        <f aca="false">IF(OR($C1557="",$D1557=""),"",IFERROR($D1557*INDEX(Mix_Eff,MATCH($C1557,Mix_Code,0),5),""))</f>
        <v/>
      </c>
      <c r="K1557" s="63"/>
      <c r="L1557" s="16" t="str">
        <f aca="false">IF(AND($A1557="",$B1557="",$C1557="",$D1557=""),"",IF($A1557="","⚠ Date missing",IF($B1557="","⚠ Site missing",IF(ISNA(MATCH($C1557,Mix_Code,0)),"⚠ Unknown mix code",IF($D1557="","⚠ Enter m3 produced",IF(COUNTIF(CI_Site,$B1557)=0,"⚠ Site not set up in Current Inventory",IF($A1557&gt;AsOfDate,"Future date – not yet deducted","OK")))))))</f>
        <v/>
      </c>
    </row>
    <row r="1558" customFormat="false" ht="15" hidden="false" customHeight="false" outlineLevel="0" collapsed="false">
      <c r="A1558" s="65"/>
      <c r="B1558" s="63"/>
      <c r="C1558" s="70"/>
      <c r="D1558" s="66"/>
      <c r="E1558" s="16" t="str">
        <f aca="false">IF($C1558="","",IFERROR(INDEX(Mix_Desc,MATCH($C1558,Mix_Code,0)),"⚠ Unknown mix code"))</f>
        <v/>
      </c>
      <c r="F1558" s="67" t="str">
        <f aca="false">IF(OR($C1558="",$D1558=""),"",IFERROR($D1558*INDEX(Mix_Eff,MATCH($C1558,Mix_Code,0),1),""))</f>
        <v/>
      </c>
      <c r="G1558" s="67" t="str">
        <f aca="false">IF(OR($C1558="",$D1558=""),"",IFERROR($D1558*INDEX(Mix_Eff,MATCH($C1558,Mix_Code,0),2),""))</f>
        <v/>
      </c>
      <c r="H1558" s="67" t="str">
        <f aca="false">IF(OR($C1558="",$D1558=""),"",IFERROR($D1558*INDEX(Mix_Eff,MATCH($C1558,Mix_Code,0),3),""))</f>
        <v/>
      </c>
      <c r="I1558" s="67" t="str">
        <f aca="false">IF(OR($C1558="",$D1558=""),"",IFERROR($D1558*INDEX(Mix_Eff,MATCH($C1558,Mix_Code,0),4),""))</f>
        <v/>
      </c>
      <c r="J1558" s="67" t="str">
        <f aca="false">IF(OR($C1558="",$D1558=""),"",IFERROR($D1558*INDEX(Mix_Eff,MATCH($C1558,Mix_Code,0),5),""))</f>
        <v/>
      </c>
      <c r="K1558" s="63"/>
      <c r="L1558" s="16" t="str">
        <f aca="false">IF(AND($A1558="",$B1558="",$C1558="",$D1558=""),"",IF($A1558="","⚠ Date missing",IF($B1558="","⚠ Site missing",IF(ISNA(MATCH($C1558,Mix_Code,0)),"⚠ Unknown mix code",IF($D1558="","⚠ Enter m3 produced",IF(COUNTIF(CI_Site,$B1558)=0,"⚠ Site not set up in Current Inventory",IF($A1558&gt;AsOfDate,"Future date – not yet deducted","OK")))))))</f>
        <v/>
      </c>
    </row>
    <row r="1559" customFormat="false" ht="15" hidden="false" customHeight="false" outlineLevel="0" collapsed="false">
      <c r="A1559" s="65"/>
      <c r="B1559" s="63"/>
      <c r="C1559" s="70"/>
      <c r="D1559" s="66"/>
      <c r="E1559" s="16" t="str">
        <f aca="false">IF($C1559="","",IFERROR(INDEX(Mix_Desc,MATCH($C1559,Mix_Code,0)),"⚠ Unknown mix code"))</f>
        <v/>
      </c>
      <c r="F1559" s="67" t="str">
        <f aca="false">IF(OR($C1559="",$D1559=""),"",IFERROR($D1559*INDEX(Mix_Eff,MATCH($C1559,Mix_Code,0),1),""))</f>
        <v/>
      </c>
      <c r="G1559" s="67" t="str">
        <f aca="false">IF(OR($C1559="",$D1559=""),"",IFERROR($D1559*INDEX(Mix_Eff,MATCH($C1559,Mix_Code,0),2),""))</f>
        <v/>
      </c>
      <c r="H1559" s="67" t="str">
        <f aca="false">IF(OR($C1559="",$D1559=""),"",IFERROR($D1559*INDEX(Mix_Eff,MATCH($C1559,Mix_Code,0),3),""))</f>
        <v/>
      </c>
      <c r="I1559" s="67" t="str">
        <f aca="false">IF(OR($C1559="",$D1559=""),"",IFERROR($D1559*INDEX(Mix_Eff,MATCH($C1559,Mix_Code,0),4),""))</f>
        <v/>
      </c>
      <c r="J1559" s="67" t="str">
        <f aca="false">IF(OR($C1559="",$D1559=""),"",IFERROR($D1559*INDEX(Mix_Eff,MATCH($C1559,Mix_Code,0),5),""))</f>
        <v/>
      </c>
      <c r="K1559" s="63"/>
      <c r="L1559" s="16" t="str">
        <f aca="false">IF(AND($A1559="",$B1559="",$C1559="",$D1559=""),"",IF($A1559="","⚠ Date missing",IF($B1559="","⚠ Site missing",IF(ISNA(MATCH($C1559,Mix_Code,0)),"⚠ Unknown mix code",IF($D1559="","⚠ Enter m3 produced",IF(COUNTIF(CI_Site,$B1559)=0,"⚠ Site not set up in Current Inventory",IF($A1559&gt;AsOfDate,"Future date – not yet deducted","OK")))))))</f>
        <v/>
      </c>
    </row>
    <row r="1560" customFormat="false" ht="15" hidden="false" customHeight="false" outlineLevel="0" collapsed="false">
      <c r="A1560" s="65"/>
      <c r="B1560" s="63"/>
      <c r="C1560" s="70"/>
      <c r="D1560" s="66"/>
      <c r="E1560" s="16" t="str">
        <f aca="false">IF($C1560="","",IFERROR(INDEX(Mix_Desc,MATCH($C1560,Mix_Code,0)),"⚠ Unknown mix code"))</f>
        <v/>
      </c>
      <c r="F1560" s="67" t="str">
        <f aca="false">IF(OR($C1560="",$D1560=""),"",IFERROR($D1560*INDEX(Mix_Eff,MATCH($C1560,Mix_Code,0),1),""))</f>
        <v/>
      </c>
      <c r="G1560" s="67" t="str">
        <f aca="false">IF(OR($C1560="",$D1560=""),"",IFERROR($D1560*INDEX(Mix_Eff,MATCH($C1560,Mix_Code,0),2),""))</f>
        <v/>
      </c>
      <c r="H1560" s="67" t="str">
        <f aca="false">IF(OR($C1560="",$D1560=""),"",IFERROR($D1560*INDEX(Mix_Eff,MATCH($C1560,Mix_Code,0),3),""))</f>
        <v/>
      </c>
      <c r="I1560" s="67" t="str">
        <f aca="false">IF(OR($C1560="",$D1560=""),"",IFERROR($D1560*INDEX(Mix_Eff,MATCH($C1560,Mix_Code,0),4),""))</f>
        <v/>
      </c>
      <c r="J1560" s="67" t="str">
        <f aca="false">IF(OR($C1560="",$D1560=""),"",IFERROR($D1560*INDEX(Mix_Eff,MATCH($C1560,Mix_Code,0),5),""))</f>
        <v/>
      </c>
      <c r="K1560" s="63"/>
      <c r="L1560" s="16" t="str">
        <f aca="false">IF(AND($A1560="",$B1560="",$C1560="",$D1560=""),"",IF($A1560="","⚠ Date missing",IF($B1560="","⚠ Site missing",IF(ISNA(MATCH($C1560,Mix_Code,0)),"⚠ Unknown mix code",IF($D1560="","⚠ Enter m3 produced",IF(COUNTIF(CI_Site,$B1560)=0,"⚠ Site not set up in Current Inventory",IF($A1560&gt;AsOfDate,"Future date – not yet deducted","OK")))))))</f>
        <v/>
      </c>
    </row>
    <row r="1561" customFormat="false" ht="15" hidden="false" customHeight="false" outlineLevel="0" collapsed="false">
      <c r="A1561" s="65"/>
      <c r="B1561" s="63"/>
      <c r="C1561" s="70"/>
      <c r="D1561" s="66"/>
      <c r="E1561" s="16" t="str">
        <f aca="false">IF($C1561="","",IFERROR(INDEX(Mix_Desc,MATCH($C1561,Mix_Code,0)),"⚠ Unknown mix code"))</f>
        <v/>
      </c>
      <c r="F1561" s="67" t="str">
        <f aca="false">IF(OR($C1561="",$D1561=""),"",IFERROR($D1561*INDEX(Mix_Eff,MATCH($C1561,Mix_Code,0),1),""))</f>
        <v/>
      </c>
      <c r="G1561" s="67" t="str">
        <f aca="false">IF(OR($C1561="",$D1561=""),"",IFERROR($D1561*INDEX(Mix_Eff,MATCH($C1561,Mix_Code,0),2),""))</f>
        <v/>
      </c>
      <c r="H1561" s="67" t="str">
        <f aca="false">IF(OR($C1561="",$D1561=""),"",IFERROR($D1561*INDEX(Mix_Eff,MATCH($C1561,Mix_Code,0),3),""))</f>
        <v/>
      </c>
      <c r="I1561" s="67" t="str">
        <f aca="false">IF(OR($C1561="",$D1561=""),"",IFERROR($D1561*INDEX(Mix_Eff,MATCH($C1561,Mix_Code,0),4),""))</f>
        <v/>
      </c>
      <c r="J1561" s="67" t="str">
        <f aca="false">IF(OR($C1561="",$D1561=""),"",IFERROR($D1561*INDEX(Mix_Eff,MATCH($C1561,Mix_Code,0),5),""))</f>
        <v/>
      </c>
      <c r="K1561" s="63"/>
      <c r="L1561" s="16" t="str">
        <f aca="false">IF(AND($A1561="",$B1561="",$C1561="",$D1561=""),"",IF($A1561="","⚠ Date missing",IF($B1561="","⚠ Site missing",IF(ISNA(MATCH($C1561,Mix_Code,0)),"⚠ Unknown mix code",IF($D1561="","⚠ Enter m3 produced",IF(COUNTIF(CI_Site,$B1561)=0,"⚠ Site not set up in Current Inventory",IF($A1561&gt;AsOfDate,"Future date – not yet deducted","OK")))))))</f>
        <v/>
      </c>
    </row>
    <row r="1562" customFormat="false" ht="15" hidden="false" customHeight="false" outlineLevel="0" collapsed="false">
      <c r="A1562" s="65"/>
      <c r="B1562" s="63"/>
      <c r="C1562" s="70"/>
      <c r="D1562" s="66"/>
      <c r="E1562" s="16" t="str">
        <f aca="false">IF($C1562="","",IFERROR(INDEX(Mix_Desc,MATCH($C1562,Mix_Code,0)),"⚠ Unknown mix code"))</f>
        <v/>
      </c>
      <c r="F1562" s="67" t="str">
        <f aca="false">IF(OR($C1562="",$D1562=""),"",IFERROR($D1562*INDEX(Mix_Eff,MATCH($C1562,Mix_Code,0),1),""))</f>
        <v/>
      </c>
      <c r="G1562" s="67" t="str">
        <f aca="false">IF(OR($C1562="",$D1562=""),"",IFERROR($D1562*INDEX(Mix_Eff,MATCH($C1562,Mix_Code,0),2),""))</f>
        <v/>
      </c>
      <c r="H1562" s="67" t="str">
        <f aca="false">IF(OR($C1562="",$D1562=""),"",IFERROR($D1562*INDEX(Mix_Eff,MATCH($C1562,Mix_Code,0),3),""))</f>
        <v/>
      </c>
      <c r="I1562" s="67" t="str">
        <f aca="false">IF(OR($C1562="",$D1562=""),"",IFERROR($D1562*INDEX(Mix_Eff,MATCH($C1562,Mix_Code,0),4),""))</f>
        <v/>
      </c>
      <c r="J1562" s="67" t="str">
        <f aca="false">IF(OR($C1562="",$D1562=""),"",IFERROR($D1562*INDEX(Mix_Eff,MATCH($C1562,Mix_Code,0),5),""))</f>
        <v/>
      </c>
      <c r="K1562" s="63"/>
      <c r="L1562" s="16" t="str">
        <f aca="false">IF(AND($A1562="",$B1562="",$C1562="",$D1562=""),"",IF($A1562="","⚠ Date missing",IF($B1562="","⚠ Site missing",IF(ISNA(MATCH($C1562,Mix_Code,0)),"⚠ Unknown mix code",IF($D1562="","⚠ Enter m3 produced",IF(COUNTIF(CI_Site,$B1562)=0,"⚠ Site not set up in Current Inventory",IF($A1562&gt;AsOfDate,"Future date – not yet deducted","OK")))))))</f>
        <v/>
      </c>
    </row>
    <row r="1563" customFormat="false" ht="15" hidden="false" customHeight="false" outlineLevel="0" collapsed="false">
      <c r="A1563" s="65"/>
      <c r="B1563" s="63"/>
      <c r="C1563" s="70"/>
      <c r="D1563" s="66"/>
      <c r="E1563" s="16" t="str">
        <f aca="false">IF($C1563="","",IFERROR(INDEX(Mix_Desc,MATCH($C1563,Mix_Code,0)),"⚠ Unknown mix code"))</f>
        <v/>
      </c>
      <c r="F1563" s="67" t="str">
        <f aca="false">IF(OR($C1563="",$D1563=""),"",IFERROR($D1563*INDEX(Mix_Eff,MATCH($C1563,Mix_Code,0),1),""))</f>
        <v/>
      </c>
      <c r="G1563" s="67" t="str">
        <f aca="false">IF(OR($C1563="",$D1563=""),"",IFERROR($D1563*INDEX(Mix_Eff,MATCH($C1563,Mix_Code,0),2),""))</f>
        <v/>
      </c>
      <c r="H1563" s="67" t="str">
        <f aca="false">IF(OR($C1563="",$D1563=""),"",IFERROR($D1563*INDEX(Mix_Eff,MATCH($C1563,Mix_Code,0),3),""))</f>
        <v/>
      </c>
      <c r="I1563" s="67" t="str">
        <f aca="false">IF(OR($C1563="",$D1563=""),"",IFERROR($D1563*INDEX(Mix_Eff,MATCH($C1563,Mix_Code,0),4),""))</f>
        <v/>
      </c>
      <c r="J1563" s="67" t="str">
        <f aca="false">IF(OR($C1563="",$D1563=""),"",IFERROR($D1563*INDEX(Mix_Eff,MATCH($C1563,Mix_Code,0),5),""))</f>
        <v/>
      </c>
      <c r="K1563" s="63"/>
      <c r="L1563" s="16" t="str">
        <f aca="false">IF(AND($A1563="",$B1563="",$C1563="",$D1563=""),"",IF($A1563="","⚠ Date missing",IF($B1563="","⚠ Site missing",IF(ISNA(MATCH($C1563,Mix_Code,0)),"⚠ Unknown mix code",IF($D1563="","⚠ Enter m3 produced",IF(COUNTIF(CI_Site,$B1563)=0,"⚠ Site not set up in Current Inventory",IF($A1563&gt;AsOfDate,"Future date – not yet deducted","OK")))))))</f>
        <v/>
      </c>
    </row>
    <row r="1564" customFormat="false" ht="15" hidden="false" customHeight="false" outlineLevel="0" collapsed="false">
      <c r="A1564" s="65"/>
      <c r="B1564" s="63"/>
      <c r="C1564" s="70"/>
      <c r="D1564" s="66"/>
      <c r="E1564" s="16" t="str">
        <f aca="false">IF($C1564="","",IFERROR(INDEX(Mix_Desc,MATCH($C1564,Mix_Code,0)),"⚠ Unknown mix code"))</f>
        <v/>
      </c>
      <c r="F1564" s="67" t="str">
        <f aca="false">IF(OR($C1564="",$D1564=""),"",IFERROR($D1564*INDEX(Mix_Eff,MATCH($C1564,Mix_Code,0),1),""))</f>
        <v/>
      </c>
      <c r="G1564" s="67" t="str">
        <f aca="false">IF(OR($C1564="",$D1564=""),"",IFERROR($D1564*INDEX(Mix_Eff,MATCH($C1564,Mix_Code,0),2),""))</f>
        <v/>
      </c>
      <c r="H1564" s="67" t="str">
        <f aca="false">IF(OR($C1564="",$D1564=""),"",IFERROR($D1564*INDEX(Mix_Eff,MATCH($C1564,Mix_Code,0),3),""))</f>
        <v/>
      </c>
      <c r="I1564" s="67" t="str">
        <f aca="false">IF(OR($C1564="",$D1564=""),"",IFERROR($D1564*INDEX(Mix_Eff,MATCH($C1564,Mix_Code,0),4),""))</f>
        <v/>
      </c>
      <c r="J1564" s="67" t="str">
        <f aca="false">IF(OR($C1564="",$D1564=""),"",IFERROR($D1564*INDEX(Mix_Eff,MATCH($C1564,Mix_Code,0),5),""))</f>
        <v/>
      </c>
      <c r="K1564" s="63"/>
      <c r="L1564" s="16" t="str">
        <f aca="false">IF(AND($A1564="",$B1564="",$C1564="",$D1564=""),"",IF($A1564="","⚠ Date missing",IF($B1564="","⚠ Site missing",IF(ISNA(MATCH($C1564,Mix_Code,0)),"⚠ Unknown mix code",IF($D1564="","⚠ Enter m3 produced",IF(COUNTIF(CI_Site,$B1564)=0,"⚠ Site not set up in Current Inventory",IF($A1564&gt;AsOfDate,"Future date – not yet deducted","OK")))))))</f>
        <v/>
      </c>
    </row>
    <row r="1565" customFormat="false" ht="15" hidden="false" customHeight="false" outlineLevel="0" collapsed="false">
      <c r="A1565" s="65"/>
      <c r="B1565" s="63"/>
      <c r="C1565" s="70"/>
      <c r="D1565" s="66"/>
      <c r="E1565" s="16" t="str">
        <f aca="false">IF($C1565="","",IFERROR(INDEX(Mix_Desc,MATCH($C1565,Mix_Code,0)),"⚠ Unknown mix code"))</f>
        <v/>
      </c>
      <c r="F1565" s="67" t="str">
        <f aca="false">IF(OR($C1565="",$D1565=""),"",IFERROR($D1565*INDEX(Mix_Eff,MATCH($C1565,Mix_Code,0),1),""))</f>
        <v/>
      </c>
      <c r="G1565" s="67" t="str">
        <f aca="false">IF(OR($C1565="",$D1565=""),"",IFERROR($D1565*INDEX(Mix_Eff,MATCH($C1565,Mix_Code,0),2),""))</f>
        <v/>
      </c>
      <c r="H1565" s="67" t="str">
        <f aca="false">IF(OR($C1565="",$D1565=""),"",IFERROR($D1565*INDEX(Mix_Eff,MATCH($C1565,Mix_Code,0),3),""))</f>
        <v/>
      </c>
      <c r="I1565" s="67" t="str">
        <f aca="false">IF(OR($C1565="",$D1565=""),"",IFERROR($D1565*INDEX(Mix_Eff,MATCH($C1565,Mix_Code,0),4),""))</f>
        <v/>
      </c>
      <c r="J1565" s="67" t="str">
        <f aca="false">IF(OR($C1565="",$D1565=""),"",IFERROR($D1565*INDEX(Mix_Eff,MATCH($C1565,Mix_Code,0),5),""))</f>
        <v/>
      </c>
      <c r="K1565" s="63"/>
      <c r="L1565" s="16" t="str">
        <f aca="false">IF(AND($A1565="",$B1565="",$C1565="",$D1565=""),"",IF($A1565="","⚠ Date missing",IF($B1565="","⚠ Site missing",IF(ISNA(MATCH($C1565,Mix_Code,0)),"⚠ Unknown mix code",IF($D1565="","⚠ Enter m3 produced",IF(COUNTIF(CI_Site,$B1565)=0,"⚠ Site not set up in Current Inventory",IF($A1565&gt;AsOfDate,"Future date – not yet deducted","OK")))))))</f>
        <v/>
      </c>
    </row>
    <row r="1566" customFormat="false" ht="15" hidden="false" customHeight="false" outlineLevel="0" collapsed="false">
      <c r="A1566" s="65"/>
      <c r="B1566" s="63"/>
      <c r="C1566" s="70"/>
      <c r="D1566" s="66"/>
      <c r="E1566" s="16" t="str">
        <f aca="false">IF($C1566="","",IFERROR(INDEX(Mix_Desc,MATCH($C1566,Mix_Code,0)),"⚠ Unknown mix code"))</f>
        <v/>
      </c>
      <c r="F1566" s="67" t="str">
        <f aca="false">IF(OR($C1566="",$D1566=""),"",IFERROR($D1566*INDEX(Mix_Eff,MATCH($C1566,Mix_Code,0),1),""))</f>
        <v/>
      </c>
      <c r="G1566" s="67" t="str">
        <f aca="false">IF(OR($C1566="",$D1566=""),"",IFERROR($D1566*INDEX(Mix_Eff,MATCH($C1566,Mix_Code,0),2),""))</f>
        <v/>
      </c>
      <c r="H1566" s="67" t="str">
        <f aca="false">IF(OR($C1566="",$D1566=""),"",IFERROR($D1566*INDEX(Mix_Eff,MATCH($C1566,Mix_Code,0),3),""))</f>
        <v/>
      </c>
      <c r="I1566" s="67" t="str">
        <f aca="false">IF(OR($C1566="",$D1566=""),"",IFERROR($D1566*INDEX(Mix_Eff,MATCH($C1566,Mix_Code,0),4),""))</f>
        <v/>
      </c>
      <c r="J1566" s="67" t="str">
        <f aca="false">IF(OR($C1566="",$D1566=""),"",IFERROR($D1566*INDEX(Mix_Eff,MATCH($C1566,Mix_Code,0),5),""))</f>
        <v/>
      </c>
      <c r="K1566" s="63"/>
      <c r="L1566" s="16" t="str">
        <f aca="false">IF(AND($A1566="",$B1566="",$C1566="",$D1566=""),"",IF($A1566="","⚠ Date missing",IF($B1566="","⚠ Site missing",IF(ISNA(MATCH($C1566,Mix_Code,0)),"⚠ Unknown mix code",IF($D1566="","⚠ Enter m3 produced",IF(COUNTIF(CI_Site,$B1566)=0,"⚠ Site not set up in Current Inventory",IF($A1566&gt;AsOfDate,"Future date – not yet deducted","OK")))))))</f>
        <v/>
      </c>
    </row>
    <row r="1567" customFormat="false" ht="15" hidden="false" customHeight="false" outlineLevel="0" collapsed="false">
      <c r="A1567" s="65"/>
      <c r="B1567" s="63"/>
      <c r="C1567" s="70"/>
      <c r="D1567" s="66"/>
      <c r="E1567" s="16" t="str">
        <f aca="false">IF($C1567="","",IFERROR(INDEX(Mix_Desc,MATCH($C1567,Mix_Code,0)),"⚠ Unknown mix code"))</f>
        <v/>
      </c>
      <c r="F1567" s="67" t="str">
        <f aca="false">IF(OR($C1567="",$D1567=""),"",IFERROR($D1567*INDEX(Mix_Eff,MATCH($C1567,Mix_Code,0),1),""))</f>
        <v/>
      </c>
      <c r="G1567" s="67" t="str">
        <f aca="false">IF(OR($C1567="",$D1567=""),"",IFERROR($D1567*INDEX(Mix_Eff,MATCH($C1567,Mix_Code,0),2),""))</f>
        <v/>
      </c>
      <c r="H1567" s="67" t="str">
        <f aca="false">IF(OR($C1567="",$D1567=""),"",IFERROR($D1567*INDEX(Mix_Eff,MATCH($C1567,Mix_Code,0),3),""))</f>
        <v/>
      </c>
      <c r="I1567" s="67" t="str">
        <f aca="false">IF(OR($C1567="",$D1567=""),"",IFERROR($D1567*INDEX(Mix_Eff,MATCH($C1567,Mix_Code,0),4),""))</f>
        <v/>
      </c>
      <c r="J1567" s="67" t="str">
        <f aca="false">IF(OR($C1567="",$D1567=""),"",IFERROR($D1567*INDEX(Mix_Eff,MATCH($C1567,Mix_Code,0),5),""))</f>
        <v/>
      </c>
      <c r="K1567" s="63"/>
      <c r="L1567" s="16" t="str">
        <f aca="false">IF(AND($A1567="",$B1567="",$C1567="",$D1567=""),"",IF($A1567="","⚠ Date missing",IF($B1567="","⚠ Site missing",IF(ISNA(MATCH($C1567,Mix_Code,0)),"⚠ Unknown mix code",IF($D1567="","⚠ Enter m3 produced",IF(COUNTIF(CI_Site,$B1567)=0,"⚠ Site not set up in Current Inventory",IF($A1567&gt;AsOfDate,"Future date – not yet deducted","OK")))))))</f>
        <v/>
      </c>
    </row>
    <row r="1568" customFormat="false" ht="15" hidden="false" customHeight="false" outlineLevel="0" collapsed="false">
      <c r="A1568" s="65"/>
      <c r="B1568" s="63"/>
      <c r="C1568" s="70"/>
      <c r="D1568" s="66"/>
      <c r="E1568" s="16" t="str">
        <f aca="false">IF($C1568="","",IFERROR(INDEX(Mix_Desc,MATCH($C1568,Mix_Code,0)),"⚠ Unknown mix code"))</f>
        <v/>
      </c>
      <c r="F1568" s="67" t="str">
        <f aca="false">IF(OR($C1568="",$D1568=""),"",IFERROR($D1568*INDEX(Mix_Eff,MATCH($C1568,Mix_Code,0),1),""))</f>
        <v/>
      </c>
      <c r="G1568" s="67" t="str">
        <f aca="false">IF(OR($C1568="",$D1568=""),"",IFERROR($D1568*INDEX(Mix_Eff,MATCH($C1568,Mix_Code,0),2),""))</f>
        <v/>
      </c>
      <c r="H1568" s="67" t="str">
        <f aca="false">IF(OR($C1568="",$D1568=""),"",IFERROR($D1568*INDEX(Mix_Eff,MATCH($C1568,Mix_Code,0),3),""))</f>
        <v/>
      </c>
      <c r="I1568" s="67" t="str">
        <f aca="false">IF(OR($C1568="",$D1568=""),"",IFERROR($D1568*INDEX(Mix_Eff,MATCH($C1568,Mix_Code,0),4),""))</f>
        <v/>
      </c>
      <c r="J1568" s="67" t="str">
        <f aca="false">IF(OR($C1568="",$D1568=""),"",IFERROR($D1568*INDEX(Mix_Eff,MATCH($C1568,Mix_Code,0),5),""))</f>
        <v/>
      </c>
      <c r="K1568" s="63"/>
      <c r="L1568" s="16" t="str">
        <f aca="false">IF(AND($A1568="",$B1568="",$C1568="",$D1568=""),"",IF($A1568="","⚠ Date missing",IF($B1568="","⚠ Site missing",IF(ISNA(MATCH($C1568,Mix_Code,0)),"⚠ Unknown mix code",IF($D1568="","⚠ Enter m3 produced",IF(COUNTIF(CI_Site,$B1568)=0,"⚠ Site not set up in Current Inventory",IF($A1568&gt;AsOfDate,"Future date – not yet deducted","OK")))))))</f>
        <v/>
      </c>
    </row>
    <row r="1569" customFormat="false" ht="15" hidden="false" customHeight="false" outlineLevel="0" collapsed="false">
      <c r="A1569" s="65"/>
      <c r="B1569" s="63"/>
      <c r="C1569" s="70"/>
      <c r="D1569" s="66"/>
      <c r="E1569" s="16" t="str">
        <f aca="false">IF($C1569="","",IFERROR(INDEX(Mix_Desc,MATCH($C1569,Mix_Code,0)),"⚠ Unknown mix code"))</f>
        <v/>
      </c>
      <c r="F1569" s="67" t="str">
        <f aca="false">IF(OR($C1569="",$D1569=""),"",IFERROR($D1569*INDEX(Mix_Eff,MATCH($C1569,Mix_Code,0),1),""))</f>
        <v/>
      </c>
      <c r="G1569" s="67" t="str">
        <f aca="false">IF(OR($C1569="",$D1569=""),"",IFERROR($D1569*INDEX(Mix_Eff,MATCH($C1569,Mix_Code,0),2),""))</f>
        <v/>
      </c>
      <c r="H1569" s="67" t="str">
        <f aca="false">IF(OR($C1569="",$D1569=""),"",IFERROR($D1569*INDEX(Mix_Eff,MATCH($C1569,Mix_Code,0),3),""))</f>
        <v/>
      </c>
      <c r="I1569" s="67" t="str">
        <f aca="false">IF(OR($C1569="",$D1569=""),"",IFERROR($D1569*INDEX(Mix_Eff,MATCH($C1569,Mix_Code,0),4),""))</f>
        <v/>
      </c>
      <c r="J1569" s="67" t="str">
        <f aca="false">IF(OR($C1569="",$D1569=""),"",IFERROR($D1569*INDEX(Mix_Eff,MATCH($C1569,Mix_Code,0),5),""))</f>
        <v/>
      </c>
      <c r="K1569" s="63"/>
      <c r="L1569" s="16" t="str">
        <f aca="false">IF(AND($A1569="",$B1569="",$C1569="",$D1569=""),"",IF($A1569="","⚠ Date missing",IF($B1569="","⚠ Site missing",IF(ISNA(MATCH($C1569,Mix_Code,0)),"⚠ Unknown mix code",IF($D1569="","⚠ Enter m3 produced",IF(COUNTIF(CI_Site,$B1569)=0,"⚠ Site not set up in Current Inventory",IF($A1569&gt;AsOfDate,"Future date – not yet deducted","OK")))))))</f>
        <v/>
      </c>
    </row>
    <row r="1570" customFormat="false" ht="15" hidden="false" customHeight="false" outlineLevel="0" collapsed="false">
      <c r="A1570" s="65"/>
      <c r="B1570" s="63"/>
      <c r="C1570" s="70"/>
      <c r="D1570" s="66"/>
      <c r="E1570" s="16" t="str">
        <f aca="false">IF($C1570="","",IFERROR(INDEX(Mix_Desc,MATCH($C1570,Mix_Code,0)),"⚠ Unknown mix code"))</f>
        <v/>
      </c>
      <c r="F1570" s="67" t="str">
        <f aca="false">IF(OR($C1570="",$D1570=""),"",IFERROR($D1570*INDEX(Mix_Eff,MATCH($C1570,Mix_Code,0),1),""))</f>
        <v/>
      </c>
      <c r="G1570" s="67" t="str">
        <f aca="false">IF(OR($C1570="",$D1570=""),"",IFERROR($D1570*INDEX(Mix_Eff,MATCH($C1570,Mix_Code,0),2),""))</f>
        <v/>
      </c>
      <c r="H1570" s="67" t="str">
        <f aca="false">IF(OR($C1570="",$D1570=""),"",IFERROR($D1570*INDEX(Mix_Eff,MATCH($C1570,Mix_Code,0),3),""))</f>
        <v/>
      </c>
      <c r="I1570" s="67" t="str">
        <f aca="false">IF(OR($C1570="",$D1570=""),"",IFERROR($D1570*INDEX(Mix_Eff,MATCH($C1570,Mix_Code,0),4),""))</f>
        <v/>
      </c>
      <c r="J1570" s="67" t="str">
        <f aca="false">IF(OR($C1570="",$D1570=""),"",IFERROR($D1570*INDEX(Mix_Eff,MATCH($C1570,Mix_Code,0),5),""))</f>
        <v/>
      </c>
      <c r="K1570" s="63"/>
      <c r="L1570" s="16" t="str">
        <f aca="false">IF(AND($A1570="",$B1570="",$C1570="",$D1570=""),"",IF($A1570="","⚠ Date missing",IF($B1570="","⚠ Site missing",IF(ISNA(MATCH($C1570,Mix_Code,0)),"⚠ Unknown mix code",IF($D1570="","⚠ Enter m3 produced",IF(COUNTIF(CI_Site,$B1570)=0,"⚠ Site not set up in Current Inventory",IF($A1570&gt;AsOfDate,"Future date – not yet deducted","OK")))))))</f>
        <v/>
      </c>
    </row>
    <row r="1571" customFormat="false" ht="15" hidden="false" customHeight="false" outlineLevel="0" collapsed="false">
      <c r="A1571" s="65"/>
      <c r="B1571" s="63"/>
      <c r="C1571" s="70"/>
      <c r="D1571" s="66"/>
      <c r="E1571" s="16" t="str">
        <f aca="false">IF($C1571="","",IFERROR(INDEX(Mix_Desc,MATCH($C1571,Mix_Code,0)),"⚠ Unknown mix code"))</f>
        <v/>
      </c>
      <c r="F1571" s="67" t="str">
        <f aca="false">IF(OR($C1571="",$D1571=""),"",IFERROR($D1571*INDEX(Mix_Eff,MATCH($C1571,Mix_Code,0),1),""))</f>
        <v/>
      </c>
      <c r="G1571" s="67" t="str">
        <f aca="false">IF(OR($C1571="",$D1571=""),"",IFERROR($D1571*INDEX(Mix_Eff,MATCH($C1571,Mix_Code,0),2),""))</f>
        <v/>
      </c>
      <c r="H1571" s="67" t="str">
        <f aca="false">IF(OR($C1571="",$D1571=""),"",IFERROR($D1571*INDEX(Mix_Eff,MATCH($C1571,Mix_Code,0),3),""))</f>
        <v/>
      </c>
      <c r="I1571" s="67" t="str">
        <f aca="false">IF(OR($C1571="",$D1571=""),"",IFERROR($D1571*INDEX(Mix_Eff,MATCH($C1571,Mix_Code,0),4),""))</f>
        <v/>
      </c>
      <c r="J1571" s="67" t="str">
        <f aca="false">IF(OR($C1571="",$D1571=""),"",IFERROR($D1571*INDEX(Mix_Eff,MATCH($C1571,Mix_Code,0),5),""))</f>
        <v/>
      </c>
      <c r="K1571" s="63"/>
      <c r="L1571" s="16" t="str">
        <f aca="false">IF(AND($A1571="",$B1571="",$C1571="",$D1571=""),"",IF($A1571="","⚠ Date missing",IF($B1571="","⚠ Site missing",IF(ISNA(MATCH($C1571,Mix_Code,0)),"⚠ Unknown mix code",IF($D1571="","⚠ Enter m3 produced",IF(COUNTIF(CI_Site,$B1571)=0,"⚠ Site not set up in Current Inventory",IF($A1571&gt;AsOfDate,"Future date – not yet deducted","OK")))))))</f>
        <v/>
      </c>
    </row>
    <row r="1572" customFormat="false" ht="15" hidden="false" customHeight="false" outlineLevel="0" collapsed="false">
      <c r="A1572" s="65"/>
      <c r="B1572" s="63"/>
      <c r="C1572" s="70"/>
      <c r="D1572" s="66"/>
      <c r="E1572" s="16" t="str">
        <f aca="false">IF($C1572="","",IFERROR(INDEX(Mix_Desc,MATCH($C1572,Mix_Code,0)),"⚠ Unknown mix code"))</f>
        <v/>
      </c>
      <c r="F1572" s="67" t="str">
        <f aca="false">IF(OR($C1572="",$D1572=""),"",IFERROR($D1572*INDEX(Mix_Eff,MATCH($C1572,Mix_Code,0),1),""))</f>
        <v/>
      </c>
      <c r="G1572" s="67" t="str">
        <f aca="false">IF(OR($C1572="",$D1572=""),"",IFERROR($D1572*INDEX(Mix_Eff,MATCH($C1572,Mix_Code,0),2),""))</f>
        <v/>
      </c>
      <c r="H1572" s="67" t="str">
        <f aca="false">IF(OR($C1572="",$D1572=""),"",IFERROR($D1572*INDEX(Mix_Eff,MATCH($C1572,Mix_Code,0),3),""))</f>
        <v/>
      </c>
      <c r="I1572" s="67" t="str">
        <f aca="false">IF(OR($C1572="",$D1572=""),"",IFERROR($D1572*INDEX(Mix_Eff,MATCH($C1572,Mix_Code,0),4),""))</f>
        <v/>
      </c>
      <c r="J1572" s="67" t="str">
        <f aca="false">IF(OR($C1572="",$D1572=""),"",IFERROR($D1572*INDEX(Mix_Eff,MATCH($C1572,Mix_Code,0),5),""))</f>
        <v/>
      </c>
      <c r="K1572" s="63"/>
      <c r="L1572" s="16" t="str">
        <f aca="false">IF(AND($A1572="",$B1572="",$C1572="",$D1572=""),"",IF($A1572="","⚠ Date missing",IF($B1572="","⚠ Site missing",IF(ISNA(MATCH($C1572,Mix_Code,0)),"⚠ Unknown mix code",IF($D1572="","⚠ Enter m3 produced",IF(COUNTIF(CI_Site,$B1572)=0,"⚠ Site not set up in Current Inventory",IF($A1572&gt;AsOfDate,"Future date – not yet deducted","OK")))))))</f>
        <v/>
      </c>
    </row>
    <row r="1573" customFormat="false" ht="15" hidden="false" customHeight="false" outlineLevel="0" collapsed="false">
      <c r="A1573" s="65"/>
      <c r="B1573" s="63"/>
      <c r="C1573" s="70"/>
      <c r="D1573" s="66"/>
      <c r="E1573" s="16" t="str">
        <f aca="false">IF($C1573="","",IFERROR(INDEX(Mix_Desc,MATCH($C1573,Mix_Code,0)),"⚠ Unknown mix code"))</f>
        <v/>
      </c>
      <c r="F1573" s="67" t="str">
        <f aca="false">IF(OR($C1573="",$D1573=""),"",IFERROR($D1573*INDEX(Mix_Eff,MATCH($C1573,Mix_Code,0),1),""))</f>
        <v/>
      </c>
      <c r="G1573" s="67" t="str">
        <f aca="false">IF(OR($C1573="",$D1573=""),"",IFERROR($D1573*INDEX(Mix_Eff,MATCH($C1573,Mix_Code,0),2),""))</f>
        <v/>
      </c>
      <c r="H1573" s="67" t="str">
        <f aca="false">IF(OR($C1573="",$D1573=""),"",IFERROR($D1573*INDEX(Mix_Eff,MATCH($C1573,Mix_Code,0),3),""))</f>
        <v/>
      </c>
      <c r="I1573" s="67" t="str">
        <f aca="false">IF(OR($C1573="",$D1573=""),"",IFERROR($D1573*INDEX(Mix_Eff,MATCH($C1573,Mix_Code,0),4),""))</f>
        <v/>
      </c>
      <c r="J1573" s="67" t="str">
        <f aca="false">IF(OR($C1573="",$D1573=""),"",IFERROR($D1573*INDEX(Mix_Eff,MATCH($C1573,Mix_Code,0),5),""))</f>
        <v/>
      </c>
      <c r="K1573" s="63"/>
      <c r="L1573" s="16" t="str">
        <f aca="false">IF(AND($A1573="",$B1573="",$C1573="",$D1573=""),"",IF($A1573="","⚠ Date missing",IF($B1573="","⚠ Site missing",IF(ISNA(MATCH($C1573,Mix_Code,0)),"⚠ Unknown mix code",IF($D1573="","⚠ Enter m3 produced",IF(COUNTIF(CI_Site,$B1573)=0,"⚠ Site not set up in Current Inventory",IF($A1573&gt;AsOfDate,"Future date – not yet deducted","OK")))))))</f>
        <v/>
      </c>
    </row>
    <row r="1574" customFormat="false" ht="15" hidden="false" customHeight="false" outlineLevel="0" collapsed="false">
      <c r="A1574" s="65"/>
      <c r="B1574" s="63"/>
      <c r="C1574" s="70"/>
      <c r="D1574" s="66"/>
      <c r="E1574" s="16" t="str">
        <f aca="false">IF($C1574="","",IFERROR(INDEX(Mix_Desc,MATCH($C1574,Mix_Code,0)),"⚠ Unknown mix code"))</f>
        <v/>
      </c>
      <c r="F1574" s="67" t="str">
        <f aca="false">IF(OR($C1574="",$D1574=""),"",IFERROR($D1574*INDEX(Mix_Eff,MATCH($C1574,Mix_Code,0),1),""))</f>
        <v/>
      </c>
      <c r="G1574" s="67" t="str">
        <f aca="false">IF(OR($C1574="",$D1574=""),"",IFERROR($D1574*INDEX(Mix_Eff,MATCH($C1574,Mix_Code,0),2),""))</f>
        <v/>
      </c>
      <c r="H1574" s="67" t="str">
        <f aca="false">IF(OR($C1574="",$D1574=""),"",IFERROR($D1574*INDEX(Mix_Eff,MATCH($C1574,Mix_Code,0),3),""))</f>
        <v/>
      </c>
      <c r="I1574" s="67" t="str">
        <f aca="false">IF(OR($C1574="",$D1574=""),"",IFERROR($D1574*INDEX(Mix_Eff,MATCH($C1574,Mix_Code,0),4),""))</f>
        <v/>
      </c>
      <c r="J1574" s="67" t="str">
        <f aca="false">IF(OR($C1574="",$D1574=""),"",IFERROR($D1574*INDEX(Mix_Eff,MATCH($C1574,Mix_Code,0),5),""))</f>
        <v/>
      </c>
      <c r="K1574" s="63"/>
      <c r="L1574" s="16" t="str">
        <f aca="false">IF(AND($A1574="",$B1574="",$C1574="",$D1574=""),"",IF($A1574="","⚠ Date missing",IF($B1574="","⚠ Site missing",IF(ISNA(MATCH($C1574,Mix_Code,0)),"⚠ Unknown mix code",IF($D1574="","⚠ Enter m3 produced",IF(COUNTIF(CI_Site,$B1574)=0,"⚠ Site not set up in Current Inventory",IF($A1574&gt;AsOfDate,"Future date – not yet deducted","OK")))))))</f>
        <v/>
      </c>
    </row>
    <row r="1575" customFormat="false" ht="15" hidden="false" customHeight="false" outlineLevel="0" collapsed="false">
      <c r="A1575" s="65"/>
      <c r="B1575" s="63"/>
      <c r="C1575" s="70"/>
      <c r="D1575" s="66"/>
      <c r="E1575" s="16" t="str">
        <f aca="false">IF($C1575="","",IFERROR(INDEX(Mix_Desc,MATCH($C1575,Mix_Code,0)),"⚠ Unknown mix code"))</f>
        <v/>
      </c>
      <c r="F1575" s="67" t="str">
        <f aca="false">IF(OR($C1575="",$D1575=""),"",IFERROR($D1575*INDEX(Mix_Eff,MATCH($C1575,Mix_Code,0),1),""))</f>
        <v/>
      </c>
      <c r="G1575" s="67" t="str">
        <f aca="false">IF(OR($C1575="",$D1575=""),"",IFERROR($D1575*INDEX(Mix_Eff,MATCH($C1575,Mix_Code,0),2),""))</f>
        <v/>
      </c>
      <c r="H1575" s="67" t="str">
        <f aca="false">IF(OR($C1575="",$D1575=""),"",IFERROR($D1575*INDEX(Mix_Eff,MATCH($C1575,Mix_Code,0),3),""))</f>
        <v/>
      </c>
      <c r="I1575" s="67" t="str">
        <f aca="false">IF(OR($C1575="",$D1575=""),"",IFERROR($D1575*INDEX(Mix_Eff,MATCH($C1575,Mix_Code,0),4),""))</f>
        <v/>
      </c>
      <c r="J1575" s="67" t="str">
        <f aca="false">IF(OR($C1575="",$D1575=""),"",IFERROR($D1575*INDEX(Mix_Eff,MATCH($C1575,Mix_Code,0),5),""))</f>
        <v/>
      </c>
      <c r="K1575" s="63"/>
      <c r="L1575" s="16" t="str">
        <f aca="false">IF(AND($A1575="",$B1575="",$C1575="",$D1575=""),"",IF($A1575="","⚠ Date missing",IF($B1575="","⚠ Site missing",IF(ISNA(MATCH($C1575,Mix_Code,0)),"⚠ Unknown mix code",IF($D1575="","⚠ Enter m3 produced",IF(COUNTIF(CI_Site,$B1575)=0,"⚠ Site not set up in Current Inventory",IF($A1575&gt;AsOfDate,"Future date – not yet deducted","OK")))))))</f>
        <v/>
      </c>
    </row>
    <row r="1576" customFormat="false" ht="15" hidden="false" customHeight="false" outlineLevel="0" collapsed="false">
      <c r="A1576" s="65"/>
      <c r="B1576" s="63"/>
      <c r="C1576" s="70"/>
      <c r="D1576" s="66"/>
      <c r="E1576" s="16" t="str">
        <f aca="false">IF($C1576="","",IFERROR(INDEX(Mix_Desc,MATCH($C1576,Mix_Code,0)),"⚠ Unknown mix code"))</f>
        <v/>
      </c>
      <c r="F1576" s="67" t="str">
        <f aca="false">IF(OR($C1576="",$D1576=""),"",IFERROR($D1576*INDEX(Mix_Eff,MATCH($C1576,Mix_Code,0),1),""))</f>
        <v/>
      </c>
      <c r="G1576" s="67" t="str">
        <f aca="false">IF(OR($C1576="",$D1576=""),"",IFERROR($D1576*INDEX(Mix_Eff,MATCH($C1576,Mix_Code,0),2),""))</f>
        <v/>
      </c>
      <c r="H1576" s="67" t="str">
        <f aca="false">IF(OR($C1576="",$D1576=""),"",IFERROR($D1576*INDEX(Mix_Eff,MATCH($C1576,Mix_Code,0),3),""))</f>
        <v/>
      </c>
      <c r="I1576" s="67" t="str">
        <f aca="false">IF(OR($C1576="",$D1576=""),"",IFERROR($D1576*INDEX(Mix_Eff,MATCH($C1576,Mix_Code,0),4),""))</f>
        <v/>
      </c>
      <c r="J1576" s="67" t="str">
        <f aca="false">IF(OR($C1576="",$D1576=""),"",IFERROR($D1576*INDEX(Mix_Eff,MATCH($C1576,Mix_Code,0),5),""))</f>
        <v/>
      </c>
      <c r="K1576" s="63"/>
      <c r="L1576" s="16" t="str">
        <f aca="false">IF(AND($A1576="",$B1576="",$C1576="",$D1576=""),"",IF($A1576="","⚠ Date missing",IF($B1576="","⚠ Site missing",IF(ISNA(MATCH($C1576,Mix_Code,0)),"⚠ Unknown mix code",IF($D1576="","⚠ Enter m3 produced",IF(COUNTIF(CI_Site,$B1576)=0,"⚠ Site not set up in Current Inventory",IF($A1576&gt;AsOfDate,"Future date – not yet deducted","OK")))))))</f>
        <v/>
      </c>
    </row>
    <row r="1577" customFormat="false" ht="15" hidden="false" customHeight="false" outlineLevel="0" collapsed="false">
      <c r="A1577" s="65"/>
      <c r="B1577" s="63"/>
      <c r="C1577" s="70"/>
      <c r="D1577" s="66"/>
      <c r="E1577" s="16" t="str">
        <f aca="false">IF($C1577="","",IFERROR(INDEX(Mix_Desc,MATCH($C1577,Mix_Code,0)),"⚠ Unknown mix code"))</f>
        <v/>
      </c>
      <c r="F1577" s="67" t="str">
        <f aca="false">IF(OR($C1577="",$D1577=""),"",IFERROR($D1577*INDEX(Mix_Eff,MATCH($C1577,Mix_Code,0),1),""))</f>
        <v/>
      </c>
      <c r="G1577" s="67" t="str">
        <f aca="false">IF(OR($C1577="",$D1577=""),"",IFERROR($D1577*INDEX(Mix_Eff,MATCH($C1577,Mix_Code,0),2),""))</f>
        <v/>
      </c>
      <c r="H1577" s="67" t="str">
        <f aca="false">IF(OR($C1577="",$D1577=""),"",IFERROR($D1577*INDEX(Mix_Eff,MATCH($C1577,Mix_Code,0),3),""))</f>
        <v/>
      </c>
      <c r="I1577" s="67" t="str">
        <f aca="false">IF(OR($C1577="",$D1577=""),"",IFERROR($D1577*INDEX(Mix_Eff,MATCH($C1577,Mix_Code,0),4),""))</f>
        <v/>
      </c>
      <c r="J1577" s="67" t="str">
        <f aca="false">IF(OR($C1577="",$D1577=""),"",IFERROR($D1577*INDEX(Mix_Eff,MATCH($C1577,Mix_Code,0),5),""))</f>
        <v/>
      </c>
      <c r="K1577" s="63"/>
      <c r="L1577" s="16" t="str">
        <f aca="false">IF(AND($A1577="",$B1577="",$C1577="",$D1577=""),"",IF($A1577="","⚠ Date missing",IF($B1577="","⚠ Site missing",IF(ISNA(MATCH($C1577,Mix_Code,0)),"⚠ Unknown mix code",IF($D1577="","⚠ Enter m3 produced",IF(COUNTIF(CI_Site,$B1577)=0,"⚠ Site not set up in Current Inventory",IF($A1577&gt;AsOfDate,"Future date – not yet deducted","OK")))))))</f>
        <v/>
      </c>
    </row>
    <row r="1578" customFormat="false" ht="15" hidden="false" customHeight="false" outlineLevel="0" collapsed="false">
      <c r="A1578" s="65"/>
      <c r="B1578" s="63"/>
      <c r="C1578" s="70"/>
      <c r="D1578" s="66"/>
      <c r="E1578" s="16" t="str">
        <f aca="false">IF($C1578="","",IFERROR(INDEX(Mix_Desc,MATCH($C1578,Mix_Code,0)),"⚠ Unknown mix code"))</f>
        <v/>
      </c>
      <c r="F1578" s="67" t="str">
        <f aca="false">IF(OR($C1578="",$D1578=""),"",IFERROR($D1578*INDEX(Mix_Eff,MATCH($C1578,Mix_Code,0),1),""))</f>
        <v/>
      </c>
      <c r="G1578" s="67" t="str">
        <f aca="false">IF(OR($C1578="",$D1578=""),"",IFERROR($D1578*INDEX(Mix_Eff,MATCH($C1578,Mix_Code,0),2),""))</f>
        <v/>
      </c>
      <c r="H1578" s="67" t="str">
        <f aca="false">IF(OR($C1578="",$D1578=""),"",IFERROR($D1578*INDEX(Mix_Eff,MATCH($C1578,Mix_Code,0),3),""))</f>
        <v/>
      </c>
      <c r="I1578" s="67" t="str">
        <f aca="false">IF(OR($C1578="",$D1578=""),"",IFERROR($D1578*INDEX(Mix_Eff,MATCH($C1578,Mix_Code,0),4),""))</f>
        <v/>
      </c>
      <c r="J1578" s="67" t="str">
        <f aca="false">IF(OR($C1578="",$D1578=""),"",IFERROR($D1578*INDEX(Mix_Eff,MATCH($C1578,Mix_Code,0),5),""))</f>
        <v/>
      </c>
      <c r="K1578" s="63"/>
      <c r="L1578" s="16" t="str">
        <f aca="false">IF(AND($A1578="",$B1578="",$C1578="",$D1578=""),"",IF($A1578="","⚠ Date missing",IF($B1578="","⚠ Site missing",IF(ISNA(MATCH($C1578,Mix_Code,0)),"⚠ Unknown mix code",IF($D1578="","⚠ Enter m3 produced",IF(COUNTIF(CI_Site,$B1578)=0,"⚠ Site not set up in Current Inventory",IF($A1578&gt;AsOfDate,"Future date – not yet deducted","OK")))))))</f>
        <v/>
      </c>
    </row>
    <row r="1579" customFormat="false" ht="15" hidden="false" customHeight="false" outlineLevel="0" collapsed="false">
      <c r="A1579" s="65"/>
      <c r="B1579" s="63"/>
      <c r="C1579" s="70"/>
      <c r="D1579" s="66"/>
      <c r="E1579" s="16" t="str">
        <f aca="false">IF($C1579="","",IFERROR(INDEX(Mix_Desc,MATCH($C1579,Mix_Code,0)),"⚠ Unknown mix code"))</f>
        <v/>
      </c>
      <c r="F1579" s="67" t="str">
        <f aca="false">IF(OR($C1579="",$D1579=""),"",IFERROR($D1579*INDEX(Mix_Eff,MATCH($C1579,Mix_Code,0),1),""))</f>
        <v/>
      </c>
      <c r="G1579" s="67" t="str">
        <f aca="false">IF(OR($C1579="",$D1579=""),"",IFERROR($D1579*INDEX(Mix_Eff,MATCH($C1579,Mix_Code,0),2),""))</f>
        <v/>
      </c>
      <c r="H1579" s="67" t="str">
        <f aca="false">IF(OR($C1579="",$D1579=""),"",IFERROR($D1579*INDEX(Mix_Eff,MATCH($C1579,Mix_Code,0),3),""))</f>
        <v/>
      </c>
      <c r="I1579" s="67" t="str">
        <f aca="false">IF(OR($C1579="",$D1579=""),"",IFERROR($D1579*INDEX(Mix_Eff,MATCH($C1579,Mix_Code,0),4),""))</f>
        <v/>
      </c>
      <c r="J1579" s="67" t="str">
        <f aca="false">IF(OR($C1579="",$D1579=""),"",IFERROR($D1579*INDEX(Mix_Eff,MATCH($C1579,Mix_Code,0),5),""))</f>
        <v/>
      </c>
      <c r="K1579" s="63"/>
      <c r="L1579" s="16" t="str">
        <f aca="false">IF(AND($A1579="",$B1579="",$C1579="",$D1579=""),"",IF($A1579="","⚠ Date missing",IF($B1579="","⚠ Site missing",IF(ISNA(MATCH($C1579,Mix_Code,0)),"⚠ Unknown mix code",IF($D1579="","⚠ Enter m3 produced",IF(COUNTIF(CI_Site,$B1579)=0,"⚠ Site not set up in Current Inventory",IF($A1579&gt;AsOfDate,"Future date – not yet deducted","OK")))))))</f>
        <v/>
      </c>
    </row>
    <row r="1580" customFormat="false" ht="15" hidden="false" customHeight="false" outlineLevel="0" collapsed="false">
      <c r="A1580" s="65"/>
      <c r="B1580" s="63"/>
      <c r="C1580" s="70"/>
      <c r="D1580" s="66"/>
      <c r="E1580" s="16" t="str">
        <f aca="false">IF($C1580="","",IFERROR(INDEX(Mix_Desc,MATCH($C1580,Mix_Code,0)),"⚠ Unknown mix code"))</f>
        <v/>
      </c>
      <c r="F1580" s="67" t="str">
        <f aca="false">IF(OR($C1580="",$D1580=""),"",IFERROR($D1580*INDEX(Mix_Eff,MATCH($C1580,Mix_Code,0),1),""))</f>
        <v/>
      </c>
      <c r="G1580" s="67" t="str">
        <f aca="false">IF(OR($C1580="",$D1580=""),"",IFERROR($D1580*INDEX(Mix_Eff,MATCH($C1580,Mix_Code,0),2),""))</f>
        <v/>
      </c>
      <c r="H1580" s="67" t="str">
        <f aca="false">IF(OR($C1580="",$D1580=""),"",IFERROR($D1580*INDEX(Mix_Eff,MATCH($C1580,Mix_Code,0),3),""))</f>
        <v/>
      </c>
      <c r="I1580" s="67" t="str">
        <f aca="false">IF(OR($C1580="",$D1580=""),"",IFERROR($D1580*INDEX(Mix_Eff,MATCH($C1580,Mix_Code,0),4),""))</f>
        <v/>
      </c>
      <c r="J1580" s="67" t="str">
        <f aca="false">IF(OR($C1580="",$D1580=""),"",IFERROR($D1580*INDEX(Mix_Eff,MATCH($C1580,Mix_Code,0),5),""))</f>
        <v/>
      </c>
      <c r="K1580" s="63"/>
      <c r="L1580" s="16" t="str">
        <f aca="false">IF(AND($A1580="",$B1580="",$C1580="",$D1580=""),"",IF($A1580="","⚠ Date missing",IF($B1580="","⚠ Site missing",IF(ISNA(MATCH($C1580,Mix_Code,0)),"⚠ Unknown mix code",IF($D1580="","⚠ Enter m3 produced",IF(COUNTIF(CI_Site,$B1580)=0,"⚠ Site not set up in Current Inventory",IF($A1580&gt;AsOfDate,"Future date – not yet deducted","OK")))))))</f>
        <v/>
      </c>
    </row>
    <row r="1581" customFormat="false" ht="15" hidden="false" customHeight="false" outlineLevel="0" collapsed="false">
      <c r="A1581" s="65"/>
      <c r="B1581" s="63"/>
      <c r="C1581" s="70"/>
      <c r="D1581" s="66"/>
      <c r="E1581" s="16" t="str">
        <f aca="false">IF($C1581="","",IFERROR(INDEX(Mix_Desc,MATCH($C1581,Mix_Code,0)),"⚠ Unknown mix code"))</f>
        <v/>
      </c>
      <c r="F1581" s="67" t="str">
        <f aca="false">IF(OR($C1581="",$D1581=""),"",IFERROR($D1581*INDEX(Mix_Eff,MATCH($C1581,Mix_Code,0),1),""))</f>
        <v/>
      </c>
      <c r="G1581" s="67" t="str">
        <f aca="false">IF(OR($C1581="",$D1581=""),"",IFERROR($D1581*INDEX(Mix_Eff,MATCH($C1581,Mix_Code,0),2),""))</f>
        <v/>
      </c>
      <c r="H1581" s="67" t="str">
        <f aca="false">IF(OR($C1581="",$D1581=""),"",IFERROR($D1581*INDEX(Mix_Eff,MATCH($C1581,Mix_Code,0),3),""))</f>
        <v/>
      </c>
      <c r="I1581" s="67" t="str">
        <f aca="false">IF(OR($C1581="",$D1581=""),"",IFERROR($D1581*INDEX(Mix_Eff,MATCH($C1581,Mix_Code,0),4),""))</f>
        <v/>
      </c>
      <c r="J1581" s="67" t="str">
        <f aca="false">IF(OR($C1581="",$D1581=""),"",IFERROR($D1581*INDEX(Mix_Eff,MATCH($C1581,Mix_Code,0),5),""))</f>
        <v/>
      </c>
      <c r="K1581" s="63"/>
      <c r="L1581" s="16" t="str">
        <f aca="false">IF(AND($A1581="",$B1581="",$C1581="",$D1581=""),"",IF($A1581="","⚠ Date missing",IF($B1581="","⚠ Site missing",IF(ISNA(MATCH($C1581,Mix_Code,0)),"⚠ Unknown mix code",IF($D1581="","⚠ Enter m3 produced",IF(COUNTIF(CI_Site,$B1581)=0,"⚠ Site not set up in Current Inventory",IF($A1581&gt;AsOfDate,"Future date – not yet deducted","OK")))))))</f>
        <v/>
      </c>
    </row>
    <row r="1582" customFormat="false" ht="15" hidden="false" customHeight="false" outlineLevel="0" collapsed="false">
      <c r="A1582" s="65"/>
      <c r="B1582" s="63"/>
      <c r="C1582" s="70"/>
      <c r="D1582" s="66"/>
      <c r="E1582" s="16" t="str">
        <f aca="false">IF($C1582="","",IFERROR(INDEX(Mix_Desc,MATCH($C1582,Mix_Code,0)),"⚠ Unknown mix code"))</f>
        <v/>
      </c>
      <c r="F1582" s="67" t="str">
        <f aca="false">IF(OR($C1582="",$D1582=""),"",IFERROR($D1582*INDEX(Mix_Eff,MATCH($C1582,Mix_Code,0),1),""))</f>
        <v/>
      </c>
      <c r="G1582" s="67" t="str">
        <f aca="false">IF(OR($C1582="",$D1582=""),"",IFERROR($D1582*INDEX(Mix_Eff,MATCH($C1582,Mix_Code,0),2),""))</f>
        <v/>
      </c>
      <c r="H1582" s="67" t="str">
        <f aca="false">IF(OR($C1582="",$D1582=""),"",IFERROR($D1582*INDEX(Mix_Eff,MATCH($C1582,Mix_Code,0),3),""))</f>
        <v/>
      </c>
      <c r="I1582" s="67" t="str">
        <f aca="false">IF(OR($C1582="",$D1582=""),"",IFERROR($D1582*INDEX(Mix_Eff,MATCH($C1582,Mix_Code,0),4),""))</f>
        <v/>
      </c>
      <c r="J1582" s="67" t="str">
        <f aca="false">IF(OR($C1582="",$D1582=""),"",IFERROR($D1582*INDEX(Mix_Eff,MATCH($C1582,Mix_Code,0),5),""))</f>
        <v/>
      </c>
      <c r="K1582" s="63"/>
      <c r="L1582" s="16" t="str">
        <f aca="false">IF(AND($A1582="",$B1582="",$C1582="",$D1582=""),"",IF($A1582="","⚠ Date missing",IF($B1582="","⚠ Site missing",IF(ISNA(MATCH($C1582,Mix_Code,0)),"⚠ Unknown mix code",IF($D1582="","⚠ Enter m3 produced",IF(COUNTIF(CI_Site,$B1582)=0,"⚠ Site not set up in Current Inventory",IF($A1582&gt;AsOfDate,"Future date – not yet deducted","OK")))))))</f>
        <v/>
      </c>
    </row>
    <row r="1583" customFormat="false" ht="15" hidden="false" customHeight="false" outlineLevel="0" collapsed="false">
      <c r="A1583" s="65"/>
      <c r="B1583" s="63"/>
      <c r="C1583" s="70"/>
      <c r="D1583" s="66"/>
      <c r="E1583" s="16" t="str">
        <f aca="false">IF($C1583="","",IFERROR(INDEX(Mix_Desc,MATCH($C1583,Mix_Code,0)),"⚠ Unknown mix code"))</f>
        <v/>
      </c>
      <c r="F1583" s="67" t="str">
        <f aca="false">IF(OR($C1583="",$D1583=""),"",IFERROR($D1583*INDEX(Mix_Eff,MATCH($C1583,Mix_Code,0),1),""))</f>
        <v/>
      </c>
      <c r="G1583" s="67" t="str">
        <f aca="false">IF(OR($C1583="",$D1583=""),"",IFERROR($D1583*INDEX(Mix_Eff,MATCH($C1583,Mix_Code,0),2),""))</f>
        <v/>
      </c>
      <c r="H1583" s="67" t="str">
        <f aca="false">IF(OR($C1583="",$D1583=""),"",IFERROR($D1583*INDEX(Mix_Eff,MATCH($C1583,Mix_Code,0),3),""))</f>
        <v/>
      </c>
      <c r="I1583" s="67" t="str">
        <f aca="false">IF(OR($C1583="",$D1583=""),"",IFERROR($D1583*INDEX(Mix_Eff,MATCH($C1583,Mix_Code,0),4),""))</f>
        <v/>
      </c>
      <c r="J1583" s="67" t="str">
        <f aca="false">IF(OR($C1583="",$D1583=""),"",IFERROR($D1583*INDEX(Mix_Eff,MATCH($C1583,Mix_Code,0),5),""))</f>
        <v/>
      </c>
      <c r="K1583" s="63"/>
      <c r="L1583" s="16" t="str">
        <f aca="false">IF(AND($A1583="",$B1583="",$C1583="",$D1583=""),"",IF($A1583="","⚠ Date missing",IF($B1583="","⚠ Site missing",IF(ISNA(MATCH($C1583,Mix_Code,0)),"⚠ Unknown mix code",IF($D1583="","⚠ Enter m3 produced",IF(COUNTIF(CI_Site,$B1583)=0,"⚠ Site not set up in Current Inventory",IF($A1583&gt;AsOfDate,"Future date – not yet deducted","OK")))))))</f>
        <v/>
      </c>
    </row>
    <row r="1584" customFormat="false" ht="15" hidden="false" customHeight="false" outlineLevel="0" collapsed="false">
      <c r="A1584" s="65"/>
      <c r="B1584" s="63"/>
      <c r="C1584" s="70"/>
      <c r="D1584" s="66"/>
      <c r="E1584" s="16" t="str">
        <f aca="false">IF($C1584="","",IFERROR(INDEX(Mix_Desc,MATCH($C1584,Mix_Code,0)),"⚠ Unknown mix code"))</f>
        <v/>
      </c>
      <c r="F1584" s="67" t="str">
        <f aca="false">IF(OR($C1584="",$D1584=""),"",IFERROR($D1584*INDEX(Mix_Eff,MATCH($C1584,Mix_Code,0),1),""))</f>
        <v/>
      </c>
      <c r="G1584" s="67" t="str">
        <f aca="false">IF(OR($C1584="",$D1584=""),"",IFERROR($D1584*INDEX(Mix_Eff,MATCH($C1584,Mix_Code,0),2),""))</f>
        <v/>
      </c>
      <c r="H1584" s="67" t="str">
        <f aca="false">IF(OR($C1584="",$D1584=""),"",IFERROR($D1584*INDEX(Mix_Eff,MATCH($C1584,Mix_Code,0),3),""))</f>
        <v/>
      </c>
      <c r="I1584" s="67" t="str">
        <f aca="false">IF(OR($C1584="",$D1584=""),"",IFERROR($D1584*INDEX(Mix_Eff,MATCH($C1584,Mix_Code,0),4),""))</f>
        <v/>
      </c>
      <c r="J1584" s="67" t="str">
        <f aca="false">IF(OR($C1584="",$D1584=""),"",IFERROR($D1584*INDEX(Mix_Eff,MATCH($C1584,Mix_Code,0),5),""))</f>
        <v/>
      </c>
      <c r="K1584" s="63"/>
      <c r="L1584" s="16" t="str">
        <f aca="false">IF(AND($A1584="",$B1584="",$C1584="",$D1584=""),"",IF($A1584="","⚠ Date missing",IF($B1584="","⚠ Site missing",IF(ISNA(MATCH($C1584,Mix_Code,0)),"⚠ Unknown mix code",IF($D1584="","⚠ Enter m3 produced",IF(COUNTIF(CI_Site,$B1584)=0,"⚠ Site not set up in Current Inventory",IF($A1584&gt;AsOfDate,"Future date – not yet deducted","OK")))))))</f>
        <v/>
      </c>
    </row>
    <row r="1585" customFormat="false" ht="15" hidden="false" customHeight="false" outlineLevel="0" collapsed="false">
      <c r="A1585" s="65"/>
      <c r="B1585" s="63"/>
      <c r="C1585" s="70"/>
      <c r="D1585" s="66"/>
      <c r="E1585" s="16" t="str">
        <f aca="false">IF($C1585="","",IFERROR(INDEX(Mix_Desc,MATCH($C1585,Mix_Code,0)),"⚠ Unknown mix code"))</f>
        <v/>
      </c>
      <c r="F1585" s="67" t="str">
        <f aca="false">IF(OR($C1585="",$D1585=""),"",IFERROR($D1585*INDEX(Mix_Eff,MATCH($C1585,Mix_Code,0),1),""))</f>
        <v/>
      </c>
      <c r="G1585" s="67" t="str">
        <f aca="false">IF(OR($C1585="",$D1585=""),"",IFERROR($D1585*INDEX(Mix_Eff,MATCH($C1585,Mix_Code,0),2),""))</f>
        <v/>
      </c>
      <c r="H1585" s="67" t="str">
        <f aca="false">IF(OR($C1585="",$D1585=""),"",IFERROR($D1585*INDEX(Mix_Eff,MATCH($C1585,Mix_Code,0),3),""))</f>
        <v/>
      </c>
      <c r="I1585" s="67" t="str">
        <f aca="false">IF(OR($C1585="",$D1585=""),"",IFERROR($D1585*INDEX(Mix_Eff,MATCH($C1585,Mix_Code,0),4),""))</f>
        <v/>
      </c>
      <c r="J1585" s="67" t="str">
        <f aca="false">IF(OR($C1585="",$D1585=""),"",IFERROR($D1585*INDEX(Mix_Eff,MATCH($C1585,Mix_Code,0),5),""))</f>
        <v/>
      </c>
      <c r="K1585" s="63"/>
      <c r="L1585" s="16" t="str">
        <f aca="false">IF(AND($A1585="",$B1585="",$C1585="",$D1585=""),"",IF($A1585="","⚠ Date missing",IF($B1585="","⚠ Site missing",IF(ISNA(MATCH($C1585,Mix_Code,0)),"⚠ Unknown mix code",IF($D1585="","⚠ Enter m3 produced",IF(COUNTIF(CI_Site,$B1585)=0,"⚠ Site not set up in Current Inventory",IF($A1585&gt;AsOfDate,"Future date – not yet deducted","OK")))))))</f>
        <v/>
      </c>
    </row>
    <row r="1586" customFormat="false" ht="15" hidden="false" customHeight="false" outlineLevel="0" collapsed="false">
      <c r="A1586" s="65"/>
      <c r="B1586" s="63"/>
      <c r="C1586" s="70"/>
      <c r="D1586" s="66"/>
      <c r="E1586" s="16" t="str">
        <f aca="false">IF($C1586="","",IFERROR(INDEX(Mix_Desc,MATCH($C1586,Mix_Code,0)),"⚠ Unknown mix code"))</f>
        <v/>
      </c>
      <c r="F1586" s="67" t="str">
        <f aca="false">IF(OR($C1586="",$D1586=""),"",IFERROR($D1586*INDEX(Mix_Eff,MATCH($C1586,Mix_Code,0),1),""))</f>
        <v/>
      </c>
      <c r="G1586" s="67" t="str">
        <f aca="false">IF(OR($C1586="",$D1586=""),"",IFERROR($D1586*INDEX(Mix_Eff,MATCH($C1586,Mix_Code,0),2),""))</f>
        <v/>
      </c>
      <c r="H1586" s="67" t="str">
        <f aca="false">IF(OR($C1586="",$D1586=""),"",IFERROR($D1586*INDEX(Mix_Eff,MATCH($C1586,Mix_Code,0),3),""))</f>
        <v/>
      </c>
      <c r="I1586" s="67" t="str">
        <f aca="false">IF(OR($C1586="",$D1586=""),"",IFERROR($D1586*INDEX(Mix_Eff,MATCH($C1586,Mix_Code,0),4),""))</f>
        <v/>
      </c>
      <c r="J1586" s="67" t="str">
        <f aca="false">IF(OR($C1586="",$D1586=""),"",IFERROR($D1586*INDEX(Mix_Eff,MATCH($C1586,Mix_Code,0),5),""))</f>
        <v/>
      </c>
      <c r="K1586" s="63"/>
      <c r="L1586" s="16" t="str">
        <f aca="false">IF(AND($A1586="",$B1586="",$C1586="",$D1586=""),"",IF($A1586="","⚠ Date missing",IF($B1586="","⚠ Site missing",IF(ISNA(MATCH($C1586,Mix_Code,0)),"⚠ Unknown mix code",IF($D1586="","⚠ Enter m3 produced",IF(COUNTIF(CI_Site,$B1586)=0,"⚠ Site not set up in Current Inventory",IF($A1586&gt;AsOfDate,"Future date – not yet deducted","OK")))))))</f>
        <v/>
      </c>
    </row>
    <row r="1587" customFormat="false" ht="15" hidden="false" customHeight="false" outlineLevel="0" collapsed="false">
      <c r="A1587" s="65"/>
      <c r="B1587" s="63"/>
      <c r="C1587" s="70"/>
      <c r="D1587" s="66"/>
      <c r="E1587" s="16" t="str">
        <f aca="false">IF($C1587="","",IFERROR(INDEX(Mix_Desc,MATCH($C1587,Mix_Code,0)),"⚠ Unknown mix code"))</f>
        <v/>
      </c>
      <c r="F1587" s="67" t="str">
        <f aca="false">IF(OR($C1587="",$D1587=""),"",IFERROR($D1587*INDEX(Mix_Eff,MATCH($C1587,Mix_Code,0),1),""))</f>
        <v/>
      </c>
      <c r="G1587" s="67" t="str">
        <f aca="false">IF(OR($C1587="",$D1587=""),"",IFERROR($D1587*INDEX(Mix_Eff,MATCH($C1587,Mix_Code,0),2),""))</f>
        <v/>
      </c>
      <c r="H1587" s="67" t="str">
        <f aca="false">IF(OR($C1587="",$D1587=""),"",IFERROR($D1587*INDEX(Mix_Eff,MATCH($C1587,Mix_Code,0),3),""))</f>
        <v/>
      </c>
      <c r="I1587" s="67" t="str">
        <f aca="false">IF(OR($C1587="",$D1587=""),"",IFERROR($D1587*INDEX(Mix_Eff,MATCH($C1587,Mix_Code,0),4),""))</f>
        <v/>
      </c>
      <c r="J1587" s="67" t="str">
        <f aca="false">IF(OR($C1587="",$D1587=""),"",IFERROR($D1587*INDEX(Mix_Eff,MATCH($C1587,Mix_Code,0),5),""))</f>
        <v/>
      </c>
      <c r="K1587" s="63"/>
      <c r="L1587" s="16" t="str">
        <f aca="false">IF(AND($A1587="",$B1587="",$C1587="",$D1587=""),"",IF($A1587="","⚠ Date missing",IF($B1587="","⚠ Site missing",IF(ISNA(MATCH($C1587,Mix_Code,0)),"⚠ Unknown mix code",IF($D1587="","⚠ Enter m3 produced",IF(COUNTIF(CI_Site,$B1587)=0,"⚠ Site not set up in Current Inventory",IF($A1587&gt;AsOfDate,"Future date – not yet deducted","OK")))))))</f>
        <v/>
      </c>
    </row>
    <row r="1588" customFormat="false" ht="15" hidden="false" customHeight="false" outlineLevel="0" collapsed="false">
      <c r="A1588" s="65"/>
      <c r="B1588" s="63"/>
      <c r="C1588" s="70"/>
      <c r="D1588" s="66"/>
      <c r="E1588" s="16" t="str">
        <f aca="false">IF($C1588="","",IFERROR(INDEX(Mix_Desc,MATCH($C1588,Mix_Code,0)),"⚠ Unknown mix code"))</f>
        <v/>
      </c>
      <c r="F1588" s="67" t="str">
        <f aca="false">IF(OR($C1588="",$D1588=""),"",IFERROR($D1588*INDEX(Mix_Eff,MATCH($C1588,Mix_Code,0),1),""))</f>
        <v/>
      </c>
      <c r="G1588" s="67" t="str">
        <f aca="false">IF(OR($C1588="",$D1588=""),"",IFERROR($D1588*INDEX(Mix_Eff,MATCH($C1588,Mix_Code,0),2),""))</f>
        <v/>
      </c>
      <c r="H1588" s="67" t="str">
        <f aca="false">IF(OR($C1588="",$D1588=""),"",IFERROR($D1588*INDEX(Mix_Eff,MATCH($C1588,Mix_Code,0),3),""))</f>
        <v/>
      </c>
      <c r="I1588" s="67" t="str">
        <f aca="false">IF(OR($C1588="",$D1588=""),"",IFERROR($D1588*INDEX(Mix_Eff,MATCH($C1588,Mix_Code,0),4),""))</f>
        <v/>
      </c>
      <c r="J1588" s="67" t="str">
        <f aca="false">IF(OR($C1588="",$D1588=""),"",IFERROR($D1588*INDEX(Mix_Eff,MATCH($C1588,Mix_Code,0),5),""))</f>
        <v/>
      </c>
      <c r="K1588" s="63"/>
      <c r="L1588" s="16" t="str">
        <f aca="false">IF(AND($A1588="",$B1588="",$C1588="",$D1588=""),"",IF($A1588="","⚠ Date missing",IF($B1588="","⚠ Site missing",IF(ISNA(MATCH($C1588,Mix_Code,0)),"⚠ Unknown mix code",IF($D1588="","⚠ Enter m3 produced",IF(COUNTIF(CI_Site,$B1588)=0,"⚠ Site not set up in Current Inventory",IF($A1588&gt;AsOfDate,"Future date – not yet deducted","OK")))))))</f>
        <v/>
      </c>
    </row>
    <row r="1589" customFormat="false" ht="15" hidden="false" customHeight="false" outlineLevel="0" collapsed="false">
      <c r="A1589" s="65"/>
      <c r="B1589" s="63"/>
      <c r="C1589" s="70"/>
      <c r="D1589" s="66"/>
      <c r="E1589" s="16" t="str">
        <f aca="false">IF($C1589="","",IFERROR(INDEX(Mix_Desc,MATCH($C1589,Mix_Code,0)),"⚠ Unknown mix code"))</f>
        <v/>
      </c>
      <c r="F1589" s="67" t="str">
        <f aca="false">IF(OR($C1589="",$D1589=""),"",IFERROR($D1589*INDEX(Mix_Eff,MATCH($C1589,Mix_Code,0),1),""))</f>
        <v/>
      </c>
      <c r="G1589" s="67" t="str">
        <f aca="false">IF(OR($C1589="",$D1589=""),"",IFERROR($D1589*INDEX(Mix_Eff,MATCH($C1589,Mix_Code,0),2),""))</f>
        <v/>
      </c>
      <c r="H1589" s="67" t="str">
        <f aca="false">IF(OR($C1589="",$D1589=""),"",IFERROR($D1589*INDEX(Mix_Eff,MATCH($C1589,Mix_Code,0),3),""))</f>
        <v/>
      </c>
      <c r="I1589" s="67" t="str">
        <f aca="false">IF(OR($C1589="",$D1589=""),"",IFERROR($D1589*INDEX(Mix_Eff,MATCH($C1589,Mix_Code,0),4),""))</f>
        <v/>
      </c>
      <c r="J1589" s="67" t="str">
        <f aca="false">IF(OR($C1589="",$D1589=""),"",IFERROR($D1589*INDEX(Mix_Eff,MATCH($C1589,Mix_Code,0),5),""))</f>
        <v/>
      </c>
      <c r="K1589" s="63"/>
      <c r="L1589" s="16" t="str">
        <f aca="false">IF(AND($A1589="",$B1589="",$C1589="",$D1589=""),"",IF($A1589="","⚠ Date missing",IF($B1589="","⚠ Site missing",IF(ISNA(MATCH($C1589,Mix_Code,0)),"⚠ Unknown mix code",IF($D1589="","⚠ Enter m3 produced",IF(COUNTIF(CI_Site,$B1589)=0,"⚠ Site not set up in Current Inventory",IF($A1589&gt;AsOfDate,"Future date – not yet deducted","OK")))))))</f>
        <v/>
      </c>
    </row>
    <row r="1590" customFormat="false" ht="15" hidden="false" customHeight="false" outlineLevel="0" collapsed="false">
      <c r="A1590" s="65"/>
      <c r="B1590" s="63"/>
      <c r="C1590" s="70"/>
      <c r="D1590" s="66"/>
      <c r="E1590" s="16" t="str">
        <f aca="false">IF($C1590="","",IFERROR(INDEX(Mix_Desc,MATCH($C1590,Mix_Code,0)),"⚠ Unknown mix code"))</f>
        <v/>
      </c>
      <c r="F1590" s="67" t="str">
        <f aca="false">IF(OR($C1590="",$D1590=""),"",IFERROR($D1590*INDEX(Mix_Eff,MATCH($C1590,Mix_Code,0),1),""))</f>
        <v/>
      </c>
      <c r="G1590" s="67" t="str">
        <f aca="false">IF(OR($C1590="",$D1590=""),"",IFERROR($D1590*INDEX(Mix_Eff,MATCH($C1590,Mix_Code,0),2),""))</f>
        <v/>
      </c>
      <c r="H1590" s="67" t="str">
        <f aca="false">IF(OR($C1590="",$D1590=""),"",IFERROR($D1590*INDEX(Mix_Eff,MATCH($C1590,Mix_Code,0),3),""))</f>
        <v/>
      </c>
      <c r="I1590" s="67" t="str">
        <f aca="false">IF(OR($C1590="",$D1590=""),"",IFERROR($D1590*INDEX(Mix_Eff,MATCH($C1590,Mix_Code,0),4),""))</f>
        <v/>
      </c>
      <c r="J1590" s="67" t="str">
        <f aca="false">IF(OR($C1590="",$D1590=""),"",IFERROR($D1590*INDEX(Mix_Eff,MATCH($C1590,Mix_Code,0),5),""))</f>
        <v/>
      </c>
      <c r="K1590" s="63"/>
      <c r="L1590" s="16" t="str">
        <f aca="false">IF(AND($A1590="",$B1590="",$C1590="",$D1590=""),"",IF($A1590="","⚠ Date missing",IF($B1590="","⚠ Site missing",IF(ISNA(MATCH($C1590,Mix_Code,0)),"⚠ Unknown mix code",IF($D1590="","⚠ Enter m3 produced",IF(COUNTIF(CI_Site,$B1590)=0,"⚠ Site not set up in Current Inventory",IF($A1590&gt;AsOfDate,"Future date – not yet deducted","OK")))))))</f>
        <v/>
      </c>
    </row>
    <row r="1591" customFormat="false" ht="15" hidden="false" customHeight="false" outlineLevel="0" collapsed="false">
      <c r="A1591" s="65"/>
      <c r="B1591" s="63"/>
      <c r="C1591" s="70"/>
      <c r="D1591" s="66"/>
      <c r="E1591" s="16" t="str">
        <f aca="false">IF($C1591="","",IFERROR(INDEX(Mix_Desc,MATCH($C1591,Mix_Code,0)),"⚠ Unknown mix code"))</f>
        <v/>
      </c>
      <c r="F1591" s="67" t="str">
        <f aca="false">IF(OR($C1591="",$D1591=""),"",IFERROR($D1591*INDEX(Mix_Eff,MATCH($C1591,Mix_Code,0),1),""))</f>
        <v/>
      </c>
      <c r="G1591" s="67" t="str">
        <f aca="false">IF(OR($C1591="",$D1591=""),"",IFERROR($D1591*INDEX(Mix_Eff,MATCH($C1591,Mix_Code,0),2),""))</f>
        <v/>
      </c>
      <c r="H1591" s="67" t="str">
        <f aca="false">IF(OR($C1591="",$D1591=""),"",IFERROR($D1591*INDEX(Mix_Eff,MATCH($C1591,Mix_Code,0),3),""))</f>
        <v/>
      </c>
      <c r="I1591" s="67" t="str">
        <f aca="false">IF(OR($C1591="",$D1591=""),"",IFERROR($D1591*INDEX(Mix_Eff,MATCH($C1591,Mix_Code,0),4),""))</f>
        <v/>
      </c>
      <c r="J1591" s="67" t="str">
        <f aca="false">IF(OR($C1591="",$D1591=""),"",IFERROR($D1591*INDEX(Mix_Eff,MATCH($C1591,Mix_Code,0),5),""))</f>
        <v/>
      </c>
      <c r="K1591" s="63"/>
      <c r="L1591" s="16" t="str">
        <f aca="false">IF(AND($A1591="",$B1591="",$C1591="",$D1591=""),"",IF($A1591="","⚠ Date missing",IF($B1591="","⚠ Site missing",IF(ISNA(MATCH($C1591,Mix_Code,0)),"⚠ Unknown mix code",IF($D1591="","⚠ Enter m3 produced",IF(COUNTIF(CI_Site,$B1591)=0,"⚠ Site not set up in Current Inventory",IF($A1591&gt;AsOfDate,"Future date – not yet deducted","OK")))))))</f>
        <v/>
      </c>
    </row>
    <row r="1592" customFormat="false" ht="15" hidden="false" customHeight="false" outlineLevel="0" collapsed="false">
      <c r="A1592" s="65"/>
      <c r="B1592" s="63"/>
      <c r="C1592" s="70"/>
      <c r="D1592" s="66"/>
      <c r="E1592" s="16" t="str">
        <f aca="false">IF($C1592="","",IFERROR(INDEX(Mix_Desc,MATCH($C1592,Mix_Code,0)),"⚠ Unknown mix code"))</f>
        <v/>
      </c>
      <c r="F1592" s="67" t="str">
        <f aca="false">IF(OR($C1592="",$D1592=""),"",IFERROR($D1592*INDEX(Mix_Eff,MATCH($C1592,Mix_Code,0),1),""))</f>
        <v/>
      </c>
      <c r="G1592" s="67" t="str">
        <f aca="false">IF(OR($C1592="",$D1592=""),"",IFERROR($D1592*INDEX(Mix_Eff,MATCH($C1592,Mix_Code,0),2),""))</f>
        <v/>
      </c>
      <c r="H1592" s="67" t="str">
        <f aca="false">IF(OR($C1592="",$D1592=""),"",IFERROR($D1592*INDEX(Mix_Eff,MATCH($C1592,Mix_Code,0),3),""))</f>
        <v/>
      </c>
      <c r="I1592" s="67" t="str">
        <f aca="false">IF(OR($C1592="",$D1592=""),"",IFERROR($D1592*INDEX(Mix_Eff,MATCH($C1592,Mix_Code,0),4),""))</f>
        <v/>
      </c>
      <c r="J1592" s="67" t="str">
        <f aca="false">IF(OR($C1592="",$D1592=""),"",IFERROR($D1592*INDEX(Mix_Eff,MATCH($C1592,Mix_Code,0),5),""))</f>
        <v/>
      </c>
      <c r="K1592" s="63"/>
      <c r="L1592" s="16" t="str">
        <f aca="false">IF(AND($A1592="",$B1592="",$C1592="",$D1592=""),"",IF($A1592="","⚠ Date missing",IF($B1592="","⚠ Site missing",IF(ISNA(MATCH($C1592,Mix_Code,0)),"⚠ Unknown mix code",IF($D1592="","⚠ Enter m3 produced",IF(COUNTIF(CI_Site,$B1592)=0,"⚠ Site not set up in Current Inventory",IF($A1592&gt;AsOfDate,"Future date – not yet deducted","OK")))))))</f>
        <v/>
      </c>
    </row>
    <row r="1593" customFormat="false" ht="15" hidden="false" customHeight="false" outlineLevel="0" collapsed="false">
      <c r="A1593" s="65"/>
      <c r="B1593" s="63"/>
      <c r="C1593" s="70"/>
      <c r="D1593" s="66"/>
      <c r="E1593" s="16" t="str">
        <f aca="false">IF($C1593="","",IFERROR(INDEX(Mix_Desc,MATCH($C1593,Mix_Code,0)),"⚠ Unknown mix code"))</f>
        <v/>
      </c>
      <c r="F1593" s="67" t="str">
        <f aca="false">IF(OR($C1593="",$D1593=""),"",IFERROR($D1593*INDEX(Mix_Eff,MATCH($C1593,Mix_Code,0),1),""))</f>
        <v/>
      </c>
      <c r="G1593" s="67" t="str">
        <f aca="false">IF(OR($C1593="",$D1593=""),"",IFERROR($D1593*INDEX(Mix_Eff,MATCH($C1593,Mix_Code,0),2),""))</f>
        <v/>
      </c>
      <c r="H1593" s="67" t="str">
        <f aca="false">IF(OR($C1593="",$D1593=""),"",IFERROR($D1593*INDEX(Mix_Eff,MATCH($C1593,Mix_Code,0),3),""))</f>
        <v/>
      </c>
      <c r="I1593" s="67" t="str">
        <f aca="false">IF(OR($C1593="",$D1593=""),"",IFERROR($D1593*INDEX(Mix_Eff,MATCH($C1593,Mix_Code,0),4),""))</f>
        <v/>
      </c>
      <c r="J1593" s="67" t="str">
        <f aca="false">IF(OR($C1593="",$D1593=""),"",IFERROR($D1593*INDEX(Mix_Eff,MATCH($C1593,Mix_Code,0),5),""))</f>
        <v/>
      </c>
      <c r="K1593" s="63"/>
      <c r="L1593" s="16" t="str">
        <f aca="false">IF(AND($A1593="",$B1593="",$C1593="",$D1593=""),"",IF($A1593="","⚠ Date missing",IF($B1593="","⚠ Site missing",IF(ISNA(MATCH($C1593,Mix_Code,0)),"⚠ Unknown mix code",IF($D1593="","⚠ Enter m3 produced",IF(COUNTIF(CI_Site,$B1593)=0,"⚠ Site not set up in Current Inventory",IF($A1593&gt;AsOfDate,"Future date – not yet deducted","OK")))))))</f>
        <v/>
      </c>
    </row>
    <row r="1594" customFormat="false" ht="15" hidden="false" customHeight="false" outlineLevel="0" collapsed="false">
      <c r="A1594" s="65"/>
      <c r="B1594" s="63"/>
      <c r="C1594" s="70"/>
      <c r="D1594" s="66"/>
      <c r="E1594" s="16" t="str">
        <f aca="false">IF($C1594="","",IFERROR(INDEX(Mix_Desc,MATCH($C1594,Mix_Code,0)),"⚠ Unknown mix code"))</f>
        <v/>
      </c>
      <c r="F1594" s="67" t="str">
        <f aca="false">IF(OR($C1594="",$D1594=""),"",IFERROR($D1594*INDEX(Mix_Eff,MATCH($C1594,Mix_Code,0),1),""))</f>
        <v/>
      </c>
      <c r="G1594" s="67" t="str">
        <f aca="false">IF(OR($C1594="",$D1594=""),"",IFERROR($D1594*INDEX(Mix_Eff,MATCH($C1594,Mix_Code,0),2),""))</f>
        <v/>
      </c>
      <c r="H1594" s="67" t="str">
        <f aca="false">IF(OR($C1594="",$D1594=""),"",IFERROR($D1594*INDEX(Mix_Eff,MATCH($C1594,Mix_Code,0),3),""))</f>
        <v/>
      </c>
      <c r="I1594" s="67" t="str">
        <f aca="false">IF(OR($C1594="",$D1594=""),"",IFERROR($D1594*INDEX(Mix_Eff,MATCH($C1594,Mix_Code,0),4),""))</f>
        <v/>
      </c>
      <c r="J1594" s="67" t="str">
        <f aca="false">IF(OR($C1594="",$D1594=""),"",IFERROR($D1594*INDEX(Mix_Eff,MATCH($C1594,Mix_Code,0),5),""))</f>
        <v/>
      </c>
      <c r="K1594" s="63"/>
      <c r="L1594" s="16" t="str">
        <f aca="false">IF(AND($A1594="",$B1594="",$C1594="",$D1594=""),"",IF($A1594="","⚠ Date missing",IF($B1594="","⚠ Site missing",IF(ISNA(MATCH($C1594,Mix_Code,0)),"⚠ Unknown mix code",IF($D1594="","⚠ Enter m3 produced",IF(COUNTIF(CI_Site,$B1594)=0,"⚠ Site not set up in Current Inventory",IF($A1594&gt;AsOfDate,"Future date – not yet deducted","OK")))))))</f>
        <v/>
      </c>
    </row>
    <row r="1595" customFormat="false" ht="15" hidden="false" customHeight="false" outlineLevel="0" collapsed="false">
      <c r="A1595" s="65"/>
      <c r="B1595" s="63"/>
      <c r="C1595" s="70"/>
      <c r="D1595" s="66"/>
      <c r="E1595" s="16" t="str">
        <f aca="false">IF($C1595="","",IFERROR(INDEX(Mix_Desc,MATCH($C1595,Mix_Code,0)),"⚠ Unknown mix code"))</f>
        <v/>
      </c>
      <c r="F1595" s="67" t="str">
        <f aca="false">IF(OR($C1595="",$D1595=""),"",IFERROR($D1595*INDEX(Mix_Eff,MATCH($C1595,Mix_Code,0),1),""))</f>
        <v/>
      </c>
      <c r="G1595" s="67" t="str">
        <f aca="false">IF(OR($C1595="",$D1595=""),"",IFERROR($D1595*INDEX(Mix_Eff,MATCH($C1595,Mix_Code,0),2),""))</f>
        <v/>
      </c>
      <c r="H1595" s="67" t="str">
        <f aca="false">IF(OR($C1595="",$D1595=""),"",IFERROR($D1595*INDEX(Mix_Eff,MATCH($C1595,Mix_Code,0),3),""))</f>
        <v/>
      </c>
      <c r="I1595" s="67" t="str">
        <f aca="false">IF(OR($C1595="",$D1595=""),"",IFERROR($D1595*INDEX(Mix_Eff,MATCH($C1595,Mix_Code,0),4),""))</f>
        <v/>
      </c>
      <c r="J1595" s="67" t="str">
        <f aca="false">IF(OR($C1595="",$D1595=""),"",IFERROR($D1595*INDEX(Mix_Eff,MATCH($C1595,Mix_Code,0),5),""))</f>
        <v/>
      </c>
      <c r="K1595" s="63"/>
      <c r="L1595" s="16" t="str">
        <f aca="false">IF(AND($A1595="",$B1595="",$C1595="",$D1595=""),"",IF($A1595="","⚠ Date missing",IF($B1595="","⚠ Site missing",IF(ISNA(MATCH($C1595,Mix_Code,0)),"⚠ Unknown mix code",IF($D1595="","⚠ Enter m3 produced",IF(COUNTIF(CI_Site,$B1595)=0,"⚠ Site not set up in Current Inventory",IF($A1595&gt;AsOfDate,"Future date – not yet deducted","OK")))))))</f>
        <v/>
      </c>
    </row>
    <row r="1596" customFormat="false" ht="15" hidden="false" customHeight="false" outlineLevel="0" collapsed="false">
      <c r="A1596" s="65"/>
      <c r="B1596" s="63"/>
      <c r="C1596" s="70"/>
      <c r="D1596" s="66"/>
      <c r="E1596" s="16" t="str">
        <f aca="false">IF($C1596="","",IFERROR(INDEX(Mix_Desc,MATCH($C1596,Mix_Code,0)),"⚠ Unknown mix code"))</f>
        <v/>
      </c>
      <c r="F1596" s="67" t="str">
        <f aca="false">IF(OR($C1596="",$D1596=""),"",IFERROR($D1596*INDEX(Mix_Eff,MATCH($C1596,Mix_Code,0),1),""))</f>
        <v/>
      </c>
      <c r="G1596" s="67" t="str">
        <f aca="false">IF(OR($C1596="",$D1596=""),"",IFERROR($D1596*INDEX(Mix_Eff,MATCH($C1596,Mix_Code,0),2),""))</f>
        <v/>
      </c>
      <c r="H1596" s="67" t="str">
        <f aca="false">IF(OR($C1596="",$D1596=""),"",IFERROR($D1596*INDEX(Mix_Eff,MATCH($C1596,Mix_Code,0),3),""))</f>
        <v/>
      </c>
      <c r="I1596" s="67" t="str">
        <f aca="false">IF(OR($C1596="",$D1596=""),"",IFERROR($D1596*INDEX(Mix_Eff,MATCH($C1596,Mix_Code,0),4),""))</f>
        <v/>
      </c>
      <c r="J1596" s="67" t="str">
        <f aca="false">IF(OR($C1596="",$D1596=""),"",IFERROR($D1596*INDEX(Mix_Eff,MATCH($C1596,Mix_Code,0),5),""))</f>
        <v/>
      </c>
      <c r="K1596" s="63"/>
      <c r="L1596" s="16" t="str">
        <f aca="false">IF(AND($A1596="",$B1596="",$C1596="",$D1596=""),"",IF($A1596="","⚠ Date missing",IF($B1596="","⚠ Site missing",IF(ISNA(MATCH($C1596,Mix_Code,0)),"⚠ Unknown mix code",IF($D1596="","⚠ Enter m3 produced",IF(COUNTIF(CI_Site,$B1596)=0,"⚠ Site not set up in Current Inventory",IF($A1596&gt;AsOfDate,"Future date – not yet deducted","OK")))))))</f>
        <v/>
      </c>
    </row>
    <row r="1597" customFormat="false" ht="15" hidden="false" customHeight="false" outlineLevel="0" collapsed="false">
      <c r="A1597" s="65"/>
      <c r="B1597" s="63"/>
      <c r="C1597" s="70"/>
      <c r="D1597" s="66"/>
      <c r="E1597" s="16" t="str">
        <f aca="false">IF($C1597="","",IFERROR(INDEX(Mix_Desc,MATCH($C1597,Mix_Code,0)),"⚠ Unknown mix code"))</f>
        <v/>
      </c>
      <c r="F1597" s="67" t="str">
        <f aca="false">IF(OR($C1597="",$D1597=""),"",IFERROR($D1597*INDEX(Mix_Eff,MATCH($C1597,Mix_Code,0),1),""))</f>
        <v/>
      </c>
      <c r="G1597" s="67" t="str">
        <f aca="false">IF(OR($C1597="",$D1597=""),"",IFERROR($D1597*INDEX(Mix_Eff,MATCH($C1597,Mix_Code,0),2),""))</f>
        <v/>
      </c>
      <c r="H1597" s="67" t="str">
        <f aca="false">IF(OR($C1597="",$D1597=""),"",IFERROR($D1597*INDEX(Mix_Eff,MATCH($C1597,Mix_Code,0),3),""))</f>
        <v/>
      </c>
      <c r="I1597" s="67" t="str">
        <f aca="false">IF(OR($C1597="",$D1597=""),"",IFERROR($D1597*INDEX(Mix_Eff,MATCH($C1597,Mix_Code,0),4),""))</f>
        <v/>
      </c>
      <c r="J1597" s="67" t="str">
        <f aca="false">IF(OR($C1597="",$D1597=""),"",IFERROR($D1597*INDEX(Mix_Eff,MATCH($C1597,Mix_Code,0),5),""))</f>
        <v/>
      </c>
      <c r="K1597" s="63"/>
      <c r="L1597" s="16" t="str">
        <f aca="false">IF(AND($A1597="",$B1597="",$C1597="",$D1597=""),"",IF($A1597="","⚠ Date missing",IF($B1597="","⚠ Site missing",IF(ISNA(MATCH($C1597,Mix_Code,0)),"⚠ Unknown mix code",IF($D1597="","⚠ Enter m3 produced",IF(COUNTIF(CI_Site,$B1597)=0,"⚠ Site not set up in Current Inventory",IF($A1597&gt;AsOfDate,"Future date – not yet deducted","OK")))))))</f>
        <v/>
      </c>
    </row>
    <row r="1598" customFormat="false" ht="15" hidden="false" customHeight="false" outlineLevel="0" collapsed="false">
      <c r="A1598" s="65"/>
      <c r="B1598" s="63"/>
      <c r="C1598" s="70"/>
      <c r="D1598" s="66"/>
      <c r="E1598" s="16" t="str">
        <f aca="false">IF($C1598="","",IFERROR(INDEX(Mix_Desc,MATCH($C1598,Mix_Code,0)),"⚠ Unknown mix code"))</f>
        <v/>
      </c>
      <c r="F1598" s="67" t="str">
        <f aca="false">IF(OR($C1598="",$D1598=""),"",IFERROR($D1598*INDEX(Mix_Eff,MATCH($C1598,Mix_Code,0),1),""))</f>
        <v/>
      </c>
      <c r="G1598" s="67" t="str">
        <f aca="false">IF(OR($C1598="",$D1598=""),"",IFERROR($D1598*INDEX(Mix_Eff,MATCH($C1598,Mix_Code,0),2),""))</f>
        <v/>
      </c>
      <c r="H1598" s="67" t="str">
        <f aca="false">IF(OR($C1598="",$D1598=""),"",IFERROR($D1598*INDEX(Mix_Eff,MATCH($C1598,Mix_Code,0),3),""))</f>
        <v/>
      </c>
      <c r="I1598" s="67" t="str">
        <f aca="false">IF(OR($C1598="",$D1598=""),"",IFERROR($D1598*INDEX(Mix_Eff,MATCH($C1598,Mix_Code,0),4),""))</f>
        <v/>
      </c>
      <c r="J1598" s="67" t="str">
        <f aca="false">IF(OR($C1598="",$D1598=""),"",IFERROR($D1598*INDEX(Mix_Eff,MATCH($C1598,Mix_Code,0),5),""))</f>
        <v/>
      </c>
      <c r="K1598" s="63"/>
      <c r="L1598" s="16" t="str">
        <f aca="false">IF(AND($A1598="",$B1598="",$C1598="",$D1598=""),"",IF($A1598="","⚠ Date missing",IF($B1598="","⚠ Site missing",IF(ISNA(MATCH($C1598,Mix_Code,0)),"⚠ Unknown mix code",IF($D1598="","⚠ Enter m3 produced",IF(COUNTIF(CI_Site,$B1598)=0,"⚠ Site not set up in Current Inventory",IF($A1598&gt;AsOfDate,"Future date – not yet deducted","OK")))))))</f>
        <v/>
      </c>
    </row>
    <row r="1599" customFormat="false" ht="15" hidden="false" customHeight="false" outlineLevel="0" collapsed="false">
      <c r="A1599" s="65"/>
      <c r="B1599" s="63"/>
      <c r="C1599" s="70"/>
      <c r="D1599" s="66"/>
      <c r="E1599" s="16" t="str">
        <f aca="false">IF($C1599="","",IFERROR(INDEX(Mix_Desc,MATCH($C1599,Mix_Code,0)),"⚠ Unknown mix code"))</f>
        <v/>
      </c>
      <c r="F1599" s="67" t="str">
        <f aca="false">IF(OR($C1599="",$D1599=""),"",IFERROR($D1599*INDEX(Mix_Eff,MATCH($C1599,Mix_Code,0),1),""))</f>
        <v/>
      </c>
      <c r="G1599" s="67" t="str">
        <f aca="false">IF(OR($C1599="",$D1599=""),"",IFERROR($D1599*INDEX(Mix_Eff,MATCH($C1599,Mix_Code,0),2),""))</f>
        <v/>
      </c>
      <c r="H1599" s="67" t="str">
        <f aca="false">IF(OR($C1599="",$D1599=""),"",IFERROR($D1599*INDEX(Mix_Eff,MATCH($C1599,Mix_Code,0),3),""))</f>
        <v/>
      </c>
      <c r="I1599" s="67" t="str">
        <f aca="false">IF(OR($C1599="",$D1599=""),"",IFERROR($D1599*INDEX(Mix_Eff,MATCH($C1599,Mix_Code,0),4),""))</f>
        <v/>
      </c>
      <c r="J1599" s="67" t="str">
        <f aca="false">IF(OR($C1599="",$D1599=""),"",IFERROR($D1599*INDEX(Mix_Eff,MATCH($C1599,Mix_Code,0),5),""))</f>
        <v/>
      </c>
      <c r="K1599" s="63"/>
      <c r="L1599" s="16" t="str">
        <f aca="false">IF(AND($A1599="",$B1599="",$C1599="",$D1599=""),"",IF($A1599="","⚠ Date missing",IF($B1599="","⚠ Site missing",IF(ISNA(MATCH($C1599,Mix_Code,0)),"⚠ Unknown mix code",IF($D1599="","⚠ Enter m3 produced",IF(COUNTIF(CI_Site,$B1599)=0,"⚠ Site not set up in Current Inventory",IF($A1599&gt;AsOfDate,"Future date – not yet deducted","OK")))))))</f>
        <v/>
      </c>
    </row>
    <row r="1600" customFormat="false" ht="15" hidden="false" customHeight="false" outlineLevel="0" collapsed="false">
      <c r="A1600" s="65"/>
      <c r="B1600" s="63"/>
      <c r="C1600" s="70"/>
      <c r="D1600" s="66"/>
      <c r="E1600" s="16" t="str">
        <f aca="false">IF($C1600="","",IFERROR(INDEX(Mix_Desc,MATCH($C1600,Mix_Code,0)),"⚠ Unknown mix code"))</f>
        <v/>
      </c>
      <c r="F1600" s="67" t="str">
        <f aca="false">IF(OR($C1600="",$D1600=""),"",IFERROR($D1600*INDEX(Mix_Eff,MATCH($C1600,Mix_Code,0),1),""))</f>
        <v/>
      </c>
      <c r="G1600" s="67" t="str">
        <f aca="false">IF(OR($C1600="",$D1600=""),"",IFERROR($D1600*INDEX(Mix_Eff,MATCH($C1600,Mix_Code,0),2),""))</f>
        <v/>
      </c>
      <c r="H1600" s="67" t="str">
        <f aca="false">IF(OR($C1600="",$D1600=""),"",IFERROR($D1600*INDEX(Mix_Eff,MATCH($C1600,Mix_Code,0),3),""))</f>
        <v/>
      </c>
      <c r="I1600" s="67" t="str">
        <f aca="false">IF(OR($C1600="",$D1600=""),"",IFERROR($D1600*INDEX(Mix_Eff,MATCH($C1600,Mix_Code,0),4),""))</f>
        <v/>
      </c>
      <c r="J1600" s="67" t="str">
        <f aca="false">IF(OR($C1600="",$D1600=""),"",IFERROR($D1600*INDEX(Mix_Eff,MATCH($C1600,Mix_Code,0),5),""))</f>
        <v/>
      </c>
      <c r="K1600" s="63"/>
      <c r="L1600" s="16" t="str">
        <f aca="false">IF(AND($A1600="",$B1600="",$C1600="",$D1600=""),"",IF($A1600="","⚠ Date missing",IF($B1600="","⚠ Site missing",IF(ISNA(MATCH($C1600,Mix_Code,0)),"⚠ Unknown mix code",IF($D1600="","⚠ Enter m3 produced",IF(COUNTIF(CI_Site,$B1600)=0,"⚠ Site not set up in Current Inventory",IF($A1600&gt;AsOfDate,"Future date – not yet deducted","OK")))))))</f>
        <v/>
      </c>
    </row>
    <row r="1601" customFormat="false" ht="15" hidden="false" customHeight="false" outlineLevel="0" collapsed="false">
      <c r="A1601" s="65"/>
      <c r="B1601" s="63"/>
      <c r="C1601" s="70"/>
      <c r="D1601" s="66"/>
      <c r="E1601" s="16" t="str">
        <f aca="false">IF($C1601="","",IFERROR(INDEX(Mix_Desc,MATCH($C1601,Mix_Code,0)),"⚠ Unknown mix code"))</f>
        <v/>
      </c>
      <c r="F1601" s="67" t="str">
        <f aca="false">IF(OR($C1601="",$D1601=""),"",IFERROR($D1601*INDEX(Mix_Eff,MATCH($C1601,Mix_Code,0),1),""))</f>
        <v/>
      </c>
      <c r="G1601" s="67" t="str">
        <f aca="false">IF(OR($C1601="",$D1601=""),"",IFERROR($D1601*INDEX(Mix_Eff,MATCH($C1601,Mix_Code,0),2),""))</f>
        <v/>
      </c>
      <c r="H1601" s="67" t="str">
        <f aca="false">IF(OR($C1601="",$D1601=""),"",IFERROR($D1601*INDEX(Mix_Eff,MATCH($C1601,Mix_Code,0),3),""))</f>
        <v/>
      </c>
      <c r="I1601" s="67" t="str">
        <f aca="false">IF(OR($C1601="",$D1601=""),"",IFERROR($D1601*INDEX(Mix_Eff,MATCH($C1601,Mix_Code,0),4),""))</f>
        <v/>
      </c>
      <c r="J1601" s="67" t="str">
        <f aca="false">IF(OR($C1601="",$D1601=""),"",IFERROR($D1601*INDEX(Mix_Eff,MATCH($C1601,Mix_Code,0),5),""))</f>
        <v/>
      </c>
      <c r="K1601" s="63"/>
      <c r="L1601" s="16" t="str">
        <f aca="false">IF(AND($A1601="",$B1601="",$C1601="",$D1601=""),"",IF($A1601="","⚠ Date missing",IF($B1601="","⚠ Site missing",IF(ISNA(MATCH($C1601,Mix_Code,0)),"⚠ Unknown mix code",IF($D1601="","⚠ Enter m3 produced",IF(COUNTIF(CI_Site,$B1601)=0,"⚠ Site not set up in Current Inventory",IF($A1601&gt;AsOfDate,"Future date – not yet deducted","OK")))))))</f>
        <v/>
      </c>
    </row>
    <row r="1602" customFormat="false" ht="15" hidden="false" customHeight="false" outlineLevel="0" collapsed="false">
      <c r="A1602" s="65"/>
      <c r="B1602" s="63"/>
      <c r="C1602" s="70"/>
      <c r="D1602" s="66"/>
      <c r="E1602" s="16" t="str">
        <f aca="false">IF($C1602="","",IFERROR(INDEX(Mix_Desc,MATCH($C1602,Mix_Code,0)),"⚠ Unknown mix code"))</f>
        <v/>
      </c>
      <c r="F1602" s="67" t="str">
        <f aca="false">IF(OR($C1602="",$D1602=""),"",IFERROR($D1602*INDEX(Mix_Eff,MATCH($C1602,Mix_Code,0),1),""))</f>
        <v/>
      </c>
      <c r="G1602" s="67" t="str">
        <f aca="false">IF(OR($C1602="",$D1602=""),"",IFERROR($D1602*INDEX(Mix_Eff,MATCH($C1602,Mix_Code,0),2),""))</f>
        <v/>
      </c>
      <c r="H1602" s="67" t="str">
        <f aca="false">IF(OR($C1602="",$D1602=""),"",IFERROR($D1602*INDEX(Mix_Eff,MATCH($C1602,Mix_Code,0),3),""))</f>
        <v/>
      </c>
      <c r="I1602" s="67" t="str">
        <f aca="false">IF(OR($C1602="",$D1602=""),"",IFERROR($D1602*INDEX(Mix_Eff,MATCH($C1602,Mix_Code,0),4),""))</f>
        <v/>
      </c>
      <c r="J1602" s="67" t="str">
        <f aca="false">IF(OR($C1602="",$D1602=""),"",IFERROR($D1602*INDEX(Mix_Eff,MATCH($C1602,Mix_Code,0),5),""))</f>
        <v/>
      </c>
      <c r="K1602" s="63"/>
      <c r="L1602" s="16" t="str">
        <f aca="false">IF(AND($A1602="",$B1602="",$C1602="",$D1602=""),"",IF($A1602="","⚠ Date missing",IF($B1602="","⚠ Site missing",IF(ISNA(MATCH($C1602,Mix_Code,0)),"⚠ Unknown mix code",IF($D1602="","⚠ Enter m3 produced",IF(COUNTIF(CI_Site,$B1602)=0,"⚠ Site not set up in Current Inventory",IF($A1602&gt;AsOfDate,"Future date – not yet deducted","OK")))))))</f>
        <v/>
      </c>
    </row>
    <row r="1603" customFormat="false" ht="15" hidden="false" customHeight="false" outlineLevel="0" collapsed="false">
      <c r="A1603" s="65"/>
      <c r="B1603" s="63"/>
      <c r="C1603" s="70"/>
      <c r="D1603" s="66"/>
      <c r="E1603" s="16" t="str">
        <f aca="false">IF($C1603="","",IFERROR(INDEX(Mix_Desc,MATCH($C1603,Mix_Code,0)),"⚠ Unknown mix code"))</f>
        <v/>
      </c>
      <c r="F1603" s="67" t="str">
        <f aca="false">IF(OR($C1603="",$D1603=""),"",IFERROR($D1603*INDEX(Mix_Eff,MATCH($C1603,Mix_Code,0),1),""))</f>
        <v/>
      </c>
      <c r="G1603" s="67" t="str">
        <f aca="false">IF(OR($C1603="",$D1603=""),"",IFERROR($D1603*INDEX(Mix_Eff,MATCH($C1603,Mix_Code,0),2),""))</f>
        <v/>
      </c>
      <c r="H1603" s="67" t="str">
        <f aca="false">IF(OR($C1603="",$D1603=""),"",IFERROR($D1603*INDEX(Mix_Eff,MATCH($C1603,Mix_Code,0),3),""))</f>
        <v/>
      </c>
      <c r="I1603" s="67" t="str">
        <f aca="false">IF(OR($C1603="",$D1603=""),"",IFERROR($D1603*INDEX(Mix_Eff,MATCH($C1603,Mix_Code,0),4),""))</f>
        <v/>
      </c>
      <c r="J1603" s="67" t="str">
        <f aca="false">IF(OR($C1603="",$D1603=""),"",IFERROR($D1603*INDEX(Mix_Eff,MATCH($C1603,Mix_Code,0),5),""))</f>
        <v/>
      </c>
      <c r="K1603" s="63"/>
      <c r="L1603" s="16" t="str">
        <f aca="false">IF(AND($A1603="",$B1603="",$C1603="",$D1603=""),"",IF($A1603="","⚠ Date missing",IF($B1603="","⚠ Site missing",IF(ISNA(MATCH($C1603,Mix_Code,0)),"⚠ Unknown mix code",IF($D1603="","⚠ Enter m3 produced",IF(COUNTIF(CI_Site,$B1603)=0,"⚠ Site not set up in Current Inventory",IF($A1603&gt;AsOfDate,"Future date – not yet deducted","OK")))))))</f>
        <v/>
      </c>
    </row>
    <row r="1604" customFormat="false" ht="15" hidden="false" customHeight="false" outlineLevel="0" collapsed="false">
      <c r="A1604" s="65"/>
      <c r="B1604" s="63"/>
      <c r="C1604" s="70"/>
      <c r="D1604" s="66"/>
      <c r="E1604" s="16" t="str">
        <f aca="false">IF($C1604="","",IFERROR(INDEX(Mix_Desc,MATCH($C1604,Mix_Code,0)),"⚠ Unknown mix code"))</f>
        <v/>
      </c>
      <c r="F1604" s="67" t="str">
        <f aca="false">IF(OR($C1604="",$D1604=""),"",IFERROR($D1604*INDEX(Mix_Eff,MATCH($C1604,Mix_Code,0),1),""))</f>
        <v/>
      </c>
      <c r="G1604" s="67" t="str">
        <f aca="false">IF(OR($C1604="",$D1604=""),"",IFERROR($D1604*INDEX(Mix_Eff,MATCH($C1604,Mix_Code,0),2),""))</f>
        <v/>
      </c>
      <c r="H1604" s="67" t="str">
        <f aca="false">IF(OR($C1604="",$D1604=""),"",IFERROR($D1604*INDEX(Mix_Eff,MATCH($C1604,Mix_Code,0),3),""))</f>
        <v/>
      </c>
      <c r="I1604" s="67" t="str">
        <f aca="false">IF(OR($C1604="",$D1604=""),"",IFERROR($D1604*INDEX(Mix_Eff,MATCH($C1604,Mix_Code,0),4),""))</f>
        <v/>
      </c>
      <c r="J1604" s="67" t="str">
        <f aca="false">IF(OR($C1604="",$D1604=""),"",IFERROR($D1604*INDEX(Mix_Eff,MATCH($C1604,Mix_Code,0),5),""))</f>
        <v/>
      </c>
      <c r="K1604" s="63"/>
      <c r="L1604" s="16" t="str">
        <f aca="false">IF(AND($A1604="",$B1604="",$C1604="",$D1604=""),"",IF($A1604="","⚠ Date missing",IF($B1604="","⚠ Site missing",IF(ISNA(MATCH($C1604,Mix_Code,0)),"⚠ Unknown mix code",IF($D1604="","⚠ Enter m3 produced",IF(COUNTIF(CI_Site,$B1604)=0,"⚠ Site not set up in Current Inventory",IF($A1604&gt;AsOfDate,"Future date – not yet deducted","OK")))))))</f>
        <v/>
      </c>
    </row>
    <row r="1605" customFormat="false" ht="15" hidden="false" customHeight="false" outlineLevel="0" collapsed="false">
      <c r="A1605" s="65"/>
      <c r="B1605" s="63"/>
      <c r="C1605" s="70"/>
      <c r="D1605" s="66"/>
      <c r="E1605" s="16" t="str">
        <f aca="false">IF($C1605="","",IFERROR(INDEX(Mix_Desc,MATCH($C1605,Mix_Code,0)),"⚠ Unknown mix code"))</f>
        <v/>
      </c>
      <c r="F1605" s="67" t="str">
        <f aca="false">IF(OR($C1605="",$D1605=""),"",IFERROR($D1605*INDEX(Mix_Eff,MATCH($C1605,Mix_Code,0),1),""))</f>
        <v/>
      </c>
      <c r="G1605" s="67" t="str">
        <f aca="false">IF(OR($C1605="",$D1605=""),"",IFERROR($D1605*INDEX(Mix_Eff,MATCH($C1605,Mix_Code,0),2),""))</f>
        <v/>
      </c>
      <c r="H1605" s="67" t="str">
        <f aca="false">IF(OR($C1605="",$D1605=""),"",IFERROR($D1605*INDEX(Mix_Eff,MATCH($C1605,Mix_Code,0),3),""))</f>
        <v/>
      </c>
      <c r="I1605" s="67" t="str">
        <f aca="false">IF(OR($C1605="",$D1605=""),"",IFERROR($D1605*INDEX(Mix_Eff,MATCH($C1605,Mix_Code,0),4),""))</f>
        <v/>
      </c>
      <c r="J1605" s="67" t="str">
        <f aca="false">IF(OR($C1605="",$D1605=""),"",IFERROR($D1605*INDEX(Mix_Eff,MATCH($C1605,Mix_Code,0),5),""))</f>
        <v/>
      </c>
      <c r="K1605" s="63"/>
      <c r="L1605" s="16" t="str">
        <f aca="false">IF(AND($A1605="",$B1605="",$C1605="",$D1605=""),"",IF($A1605="","⚠ Date missing",IF($B1605="","⚠ Site missing",IF(ISNA(MATCH($C1605,Mix_Code,0)),"⚠ Unknown mix code",IF($D1605="","⚠ Enter m3 produced",IF(COUNTIF(CI_Site,$B1605)=0,"⚠ Site not set up in Current Inventory",IF($A1605&gt;AsOfDate,"Future date – not yet deducted","OK")))))))</f>
        <v/>
      </c>
    </row>
    <row r="1606" customFormat="false" ht="15" hidden="false" customHeight="false" outlineLevel="0" collapsed="false">
      <c r="A1606" s="65"/>
      <c r="B1606" s="63"/>
      <c r="C1606" s="70"/>
      <c r="D1606" s="66"/>
      <c r="E1606" s="16" t="str">
        <f aca="false">IF($C1606="","",IFERROR(INDEX(Mix_Desc,MATCH($C1606,Mix_Code,0)),"⚠ Unknown mix code"))</f>
        <v/>
      </c>
      <c r="F1606" s="67" t="str">
        <f aca="false">IF(OR($C1606="",$D1606=""),"",IFERROR($D1606*INDEX(Mix_Eff,MATCH($C1606,Mix_Code,0),1),""))</f>
        <v/>
      </c>
      <c r="G1606" s="67" t="str">
        <f aca="false">IF(OR($C1606="",$D1606=""),"",IFERROR($D1606*INDEX(Mix_Eff,MATCH($C1606,Mix_Code,0),2),""))</f>
        <v/>
      </c>
      <c r="H1606" s="67" t="str">
        <f aca="false">IF(OR($C1606="",$D1606=""),"",IFERROR($D1606*INDEX(Mix_Eff,MATCH($C1606,Mix_Code,0),3),""))</f>
        <v/>
      </c>
      <c r="I1606" s="67" t="str">
        <f aca="false">IF(OR($C1606="",$D1606=""),"",IFERROR($D1606*INDEX(Mix_Eff,MATCH($C1606,Mix_Code,0),4),""))</f>
        <v/>
      </c>
      <c r="J1606" s="67" t="str">
        <f aca="false">IF(OR($C1606="",$D1606=""),"",IFERROR($D1606*INDEX(Mix_Eff,MATCH($C1606,Mix_Code,0),5),""))</f>
        <v/>
      </c>
      <c r="K1606" s="63"/>
      <c r="L1606" s="16" t="str">
        <f aca="false">IF(AND($A1606="",$B1606="",$C1606="",$D1606=""),"",IF($A1606="","⚠ Date missing",IF($B1606="","⚠ Site missing",IF(ISNA(MATCH($C1606,Mix_Code,0)),"⚠ Unknown mix code",IF($D1606="","⚠ Enter m3 produced",IF(COUNTIF(CI_Site,$B1606)=0,"⚠ Site not set up in Current Inventory",IF($A1606&gt;AsOfDate,"Future date – not yet deducted","OK")))))))</f>
        <v/>
      </c>
    </row>
    <row r="1607" customFormat="false" ht="15" hidden="false" customHeight="false" outlineLevel="0" collapsed="false">
      <c r="A1607" s="65"/>
      <c r="B1607" s="63"/>
      <c r="C1607" s="70"/>
      <c r="D1607" s="66"/>
      <c r="E1607" s="16" t="str">
        <f aca="false">IF($C1607="","",IFERROR(INDEX(Mix_Desc,MATCH($C1607,Mix_Code,0)),"⚠ Unknown mix code"))</f>
        <v/>
      </c>
      <c r="F1607" s="67" t="str">
        <f aca="false">IF(OR($C1607="",$D1607=""),"",IFERROR($D1607*INDEX(Mix_Eff,MATCH($C1607,Mix_Code,0),1),""))</f>
        <v/>
      </c>
      <c r="G1607" s="67" t="str">
        <f aca="false">IF(OR($C1607="",$D1607=""),"",IFERROR($D1607*INDEX(Mix_Eff,MATCH($C1607,Mix_Code,0),2),""))</f>
        <v/>
      </c>
      <c r="H1607" s="67" t="str">
        <f aca="false">IF(OR($C1607="",$D1607=""),"",IFERROR($D1607*INDEX(Mix_Eff,MATCH($C1607,Mix_Code,0),3),""))</f>
        <v/>
      </c>
      <c r="I1607" s="67" t="str">
        <f aca="false">IF(OR($C1607="",$D1607=""),"",IFERROR($D1607*INDEX(Mix_Eff,MATCH($C1607,Mix_Code,0),4),""))</f>
        <v/>
      </c>
      <c r="J1607" s="67" t="str">
        <f aca="false">IF(OR($C1607="",$D1607=""),"",IFERROR($D1607*INDEX(Mix_Eff,MATCH($C1607,Mix_Code,0),5),""))</f>
        <v/>
      </c>
      <c r="K1607" s="63"/>
      <c r="L1607" s="16" t="str">
        <f aca="false">IF(AND($A1607="",$B1607="",$C1607="",$D1607=""),"",IF($A1607="","⚠ Date missing",IF($B1607="","⚠ Site missing",IF(ISNA(MATCH($C1607,Mix_Code,0)),"⚠ Unknown mix code",IF($D1607="","⚠ Enter m3 produced",IF(COUNTIF(CI_Site,$B1607)=0,"⚠ Site not set up in Current Inventory",IF($A1607&gt;AsOfDate,"Future date – not yet deducted","OK")))))))</f>
        <v/>
      </c>
    </row>
    <row r="1608" customFormat="false" ht="15" hidden="false" customHeight="false" outlineLevel="0" collapsed="false">
      <c r="A1608" s="65"/>
      <c r="B1608" s="63"/>
      <c r="C1608" s="70"/>
      <c r="D1608" s="66"/>
      <c r="E1608" s="16" t="str">
        <f aca="false">IF($C1608="","",IFERROR(INDEX(Mix_Desc,MATCH($C1608,Mix_Code,0)),"⚠ Unknown mix code"))</f>
        <v/>
      </c>
      <c r="F1608" s="67" t="str">
        <f aca="false">IF(OR($C1608="",$D1608=""),"",IFERROR($D1608*INDEX(Mix_Eff,MATCH($C1608,Mix_Code,0),1),""))</f>
        <v/>
      </c>
      <c r="G1608" s="67" t="str">
        <f aca="false">IF(OR($C1608="",$D1608=""),"",IFERROR($D1608*INDEX(Mix_Eff,MATCH($C1608,Mix_Code,0),2),""))</f>
        <v/>
      </c>
      <c r="H1608" s="67" t="str">
        <f aca="false">IF(OR($C1608="",$D1608=""),"",IFERROR($D1608*INDEX(Mix_Eff,MATCH($C1608,Mix_Code,0),3),""))</f>
        <v/>
      </c>
      <c r="I1608" s="67" t="str">
        <f aca="false">IF(OR($C1608="",$D1608=""),"",IFERROR($D1608*INDEX(Mix_Eff,MATCH($C1608,Mix_Code,0),4),""))</f>
        <v/>
      </c>
      <c r="J1608" s="67" t="str">
        <f aca="false">IF(OR($C1608="",$D1608=""),"",IFERROR($D1608*INDEX(Mix_Eff,MATCH($C1608,Mix_Code,0),5),""))</f>
        <v/>
      </c>
      <c r="K1608" s="63"/>
      <c r="L1608" s="16" t="str">
        <f aca="false">IF(AND($A1608="",$B1608="",$C1608="",$D1608=""),"",IF($A1608="","⚠ Date missing",IF($B1608="","⚠ Site missing",IF(ISNA(MATCH($C1608,Mix_Code,0)),"⚠ Unknown mix code",IF($D1608="","⚠ Enter m3 produced",IF(COUNTIF(CI_Site,$B1608)=0,"⚠ Site not set up in Current Inventory",IF($A1608&gt;AsOfDate,"Future date – not yet deducted","OK")))))))</f>
        <v/>
      </c>
    </row>
    <row r="1609" customFormat="false" ht="15" hidden="false" customHeight="false" outlineLevel="0" collapsed="false">
      <c r="A1609" s="65"/>
      <c r="B1609" s="63"/>
      <c r="C1609" s="70"/>
      <c r="D1609" s="66"/>
      <c r="E1609" s="16" t="str">
        <f aca="false">IF($C1609="","",IFERROR(INDEX(Mix_Desc,MATCH($C1609,Mix_Code,0)),"⚠ Unknown mix code"))</f>
        <v/>
      </c>
      <c r="F1609" s="67" t="str">
        <f aca="false">IF(OR($C1609="",$D1609=""),"",IFERROR($D1609*INDEX(Mix_Eff,MATCH($C1609,Mix_Code,0),1),""))</f>
        <v/>
      </c>
      <c r="G1609" s="67" t="str">
        <f aca="false">IF(OR($C1609="",$D1609=""),"",IFERROR($D1609*INDEX(Mix_Eff,MATCH($C1609,Mix_Code,0),2),""))</f>
        <v/>
      </c>
      <c r="H1609" s="67" t="str">
        <f aca="false">IF(OR($C1609="",$D1609=""),"",IFERROR($D1609*INDEX(Mix_Eff,MATCH($C1609,Mix_Code,0),3),""))</f>
        <v/>
      </c>
      <c r="I1609" s="67" t="str">
        <f aca="false">IF(OR($C1609="",$D1609=""),"",IFERROR($D1609*INDEX(Mix_Eff,MATCH($C1609,Mix_Code,0),4),""))</f>
        <v/>
      </c>
      <c r="J1609" s="67" t="str">
        <f aca="false">IF(OR($C1609="",$D1609=""),"",IFERROR($D1609*INDEX(Mix_Eff,MATCH($C1609,Mix_Code,0),5),""))</f>
        <v/>
      </c>
      <c r="K1609" s="63"/>
      <c r="L1609" s="16" t="str">
        <f aca="false">IF(AND($A1609="",$B1609="",$C1609="",$D1609=""),"",IF($A1609="","⚠ Date missing",IF($B1609="","⚠ Site missing",IF(ISNA(MATCH($C1609,Mix_Code,0)),"⚠ Unknown mix code",IF($D1609="","⚠ Enter m3 produced",IF(COUNTIF(CI_Site,$B1609)=0,"⚠ Site not set up in Current Inventory",IF($A1609&gt;AsOfDate,"Future date – not yet deducted","OK")))))))</f>
        <v/>
      </c>
    </row>
    <row r="1610" customFormat="false" ht="15" hidden="false" customHeight="false" outlineLevel="0" collapsed="false">
      <c r="A1610" s="65"/>
      <c r="B1610" s="63"/>
      <c r="C1610" s="70"/>
      <c r="D1610" s="66"/>
      <c r="E1610" s="16" t="str">
        <f aca="false">IF($C1610="","",IFERROR(INDEX(Mix_Desc,MATCH($C1610,Mix_Code,0)),"⚠ Unknown mix code"))</f>
        <v/>
      </c>
      <c r="F1610" s="67" t="str">
        <f aca="false">IF(OR($C1610="",$D1610=""),"",IFERROR($D1610*INDEX(Mix_Eff,MATCH($C1610,Mix_Code,0),1),""))</f>
        <v/>
      </c>
      <c r="G1610" s="67" t="str">
        <f aca="false">IF(OR($C1610="",$D1610=""),"",IFERROR($D1610*INDEX(Mix_Eff,MATCH($C1610,Mix_Code,0),2),""))</f>
        <v/>
      </c>
      <c r="H1610" s="67" t="str">
        <f aca="false">IF(OR($C1610="",$D1610=""),"",IFERROR($D1610*INDEX(Mix_Eff,MATCH($C1610,Mix_Code,0),3),""))</f>
        <v/>
      </c>
      <c r="I1610" s="67" t="str">
        <f aca="false">IF(OR($C1610="",$D1610=""),"",IFERROR($D1610*INDEX(Mix_Eff,MATCH($C1610,Mix_Code,0),4),""))</f>
        <v/>
      </c>
      <c r="J1610" s="67" t="str">
        <f aca="false">IF(OR($C1610="",$D1610=""),"",IFERROR($D1610*INDEX(Mix_Eff,MATCH($C1610,Mix_Code,0),5),""))</f>
        <v/>
      </c>
      <c r="K1610" s="63"/>
      <c r="L1610" s="16" t="str">
        <f aca="false">IF(AND($A1610="",$B1610="",$C1610="",$D1610=""),"",IF($A1610="","⚠ Date missing",IF($B1610="","⚠ Site missing",IF(ISNA(MATCH($C1610,Mix_Code,0)),"⚠ Unknown mix code",IF($D1610="","⚠ Enter m3 produced",IF(COUNTIF(CI_Site,$B1610)=0,"⚠ Site not set up in Current Inventory",IF($A1610&gt;AsOfDate,"Future date – not yet deducted","OK")))))))</f>
        <v/>
      </c>
    </row>
    <row r="1611" customFormat="false" ht="15" hidden="false" customHeight="false" outlineLevel="0" collapsed="false">
      <c r="A1611" s="65"/>
      <c r="B1611" s="63"/>
      <c r="C1611" s="70"/>
      <c r="D1611" s="66"/>
      <c r="E1611" s="16" t="str">
        <f aca="false">IF($C1611="","",IFERROR(INDEX(Mix_Desc,MATCH($C1611,Mix_Code,0)),"⚠ Unknown mix code"))</f>
        <v/>
      </c>
      <c r="F1611" s="67" t="str">
        <f aca="false">IF(OR($C1611="",$D1611=""),"",IFERROR($D1611*INDEX(Mix_Eff,MATCH($C1611,Mix_Code,0),1),""))</f>
        <v/>
      </c>
      <c r="G1611" s="67" t="str">
        <f aca="false">IF(OR($C1611="",$D1611=""),"",IFERROR($D1611*INDEX(Mix_Eff,MATCH($C1611,Mix_Code,0),2),""))</f>
        <v/>
      </c>
      <c r="H1611" s="67" t="str">
        <f aca="false">IF(OR($C1611="",$D1611=""),"",IFERROR($D1611*INDEX(Mix_Eff,MATCH($C1611,Mix_Code,0),3),""))</f>
        <v/>
      </c>
      <c r="I1611" s="67" t="str">
        <f aca="false">IF(OR($C1611="",$D1611=""),"",IFERROR($D1611*INDEX(Mix_Eff,MATCH($C1611,Mix_Code,0),4),""))</f>
        <v/>
      </c>
      <c r="J1611" s="67" t="str">
        <f aca="false">IF(OR($C1611="",$D1611=""),"",IFERROR($D1611*INDEX(Mix_Eff,MATCH($C1611,Mix_Code,0),5),""))</f>
        <v/>
      </c>
      <c r="K1611" s="63"/>
      <c r="L1611" s="16" t="str">
        <f aca="false">IF(AND($A1611="",$B1611="",$C1611="",$D1611=""),"",IF($A1611="","⚠ Date missing",IF($B1611="","⚠ Site missing",IF(ISNA(MATCH($C1611,Mix_Code,0)),"⚠ Unknown mix code",IF($D1611="","⚠ Enter m3 produced",IF(COUNTIF(CI_Site,$B1611)=0,"⚠ Site not set up in Current Inventory",IF($A1611&gt;AsOfDate,"Future date – not yet deducted","OK")))))))</f>
        <v/>
      </c>
    </row>
    <row r="1612" customFormat="false" ht="15" hidden="false" customHeight="false" outlineLevel="0" collapsed="false">
      <c r="A1612" s="65"/>
      <c r="B1612" s="63"/>
      <c r="C1612" s="70"/>
      <c r="D1612" s="66"/>
      <c r="E1612" s="16" t="str">
        <f aca="false">IF($C1612="","",IFERROR(INDEX(Mix_Desc,MATCH($C1612,Mix_Code,0)),"⚠ Unknown mix code"))</f>
        <v/>
      </c>
      <c r="F1612" s="67" t="str">
        <f aca="false">IF(OR($C1612="",$D1612=""),"",IFERROR($D1612*INDEX(Mix_Eff,MATCH($C1612,Mix_Code,0),1),""))</f>
        <v/>
      </c>
      <c r="G1612" s="67" t="str">
        <f aca="false">IF(OR($C1612="",$D1612=""),"",IFERROR($D1612*INDEX(Mix_Eff,MATCH($C1612,Mix_Code,0),2),""))</f>
        <v/>
      </c>
      <c r="H1612" s="67" t="str">
        <f aca="false">IF(OR($C1612="",$D1612=""),"",IFERROR($D1612*INDEX(Mix_Eff,MATCH($C1612,Mix_Code,0),3),""))</f>
        <v/>
      </c>
      <c r="I1612" s="67" t="str">
        <f aca="false">IF(OR($C1612="",$D1612=""),"",IFERROR($D1612*INDEX(Mix_Eff,MATCH($C1612,Mix_Code,0),4),""))</f>
        <v/>
      </c>
      <c r="J1612" s="67" t="str">
        <f aca="false">IF(OR($C1612="",$D1612=""),"",IFERROR($D1612*INDEX(Mix_Eff,MATCH($C1612,Mix_Code,0),5),""))</f>
        <v/>
      </c>
      <c r="K1612" s="63"/>
      <c r="L1612" s="16" t="str">
        <f aca="false">IF(AND($A1612="",$B1612="",$C1612="",$D1612=""),"",IF($A1612="","⚠ Date missing",IF($B1612="","⚠ Site missing",IF(ISNA(MATCH($C1612,Mix_Code,0)),"⚠ Unknown mix code",IF($D1612="","⚠ Enter m3 produced",IF(COUNTIF(CI_Site,$B1612)=0,"⚠ Site not set up in Current Inventory",IF($A1612&gt;AsOfDate,"Future date – not yet deducted","OK")))))))</f>
        <v/>
      </c>
    </row>
    <row r="1613" customFormat="false" ht="15" hidden="false" customHeight="false" outlineLevel="0" collapsed="false">
      <c r="A1613" s="65"/>
      <c r="B1613" s="63"/>
      <c r="C1613" s="70"/>
      <c r="D1613" s="66"/>
      <c r="E1613" s="16" t="str">
        <f aca="false">IF($C1613="","",IFERROR(INDEX(Mix_Desc,MATCH($C1613,Mix_Code,0)),"⚠ Unknown mix code"))</f>
        <v/>
      </c>
      <c r="F1613" s="67" t="str">
        <f aca="false">IF(OR($C1613="",$D1613=""),"",IFERROR($D1613*INDEX(Mix_Eff,MATCH($C1613,Mix_Code,0),1),""))</f>
        <v/>
      </c>
      <c r="G1613" s="67" t="str">
        <f aca="false">IF(OR($C1613="",$D1613=""),"",IFERROR($D1613*INDEX(Mix_Eff,MATCH($C1613,Mix_Code,0),2),""))</f>
        <v/>
      </c>
      <c r="H1613" s="67" t="str">
        <f aca="false">IF(OR($C1613="",$D1613=""),"",IFERROR($D1613*INDEX(Mix_Eff,MATCH($C1613,Mix_Code,0),3),""))</f>
        <v/>
      </c>
      <c r="I1613" s="67" t="str">
        <f aca="false">IF(OR($C1613="",$D1613=""),"",IFERROR($D1613*INDEX(Mix_Eff,MATCH($C1613,Mix_Code,0),4),""))</f>
        <v/>
      </c>
      <c r="J1613" s="67" t="str">
        <f aca="false">IF(OR($C1613="",$D1613=""),"",IFERROR($D1613*INDEX(Mix_Eff,MATCH($C1613,Mix_Code,0),5),""))</f>
        <v/>
      </c>
      <c r="K1613" s="63"/>
      <c r="L1613" s="16" t="str">
        <f aca="false">IF(AND($A1613="",$B1613="",$C1613="",$D1613=""),"",IF($A1613="","⚠ Date missing",IF($B1613="","⚠ Site missing",IF(ISNA(MATCH($C1613,Mix_Code,0)),"⚠ Unknown mix code",IF($D1613="","⚠ Enter m3 produced",IF(COUNTIF(CI_Site,$B1613)=0,"⚠ Site not set up in Current Inventory",IF($A1613&gt;AsOfDate,"Future date – not yet deducted","OK")))))))</f>
        <v/>
      </c>
    </row>
    <row r="1614" customFormat="false" ht="15" hidden="false" customHeight="false" outlineLevel="0" collapsed="false">
      <c r="A1614" s="65"/>
      <c r="B1614" s="63"/>
      <c r="C1614" s="70"/>
      <c r="D1614" s="66"/>
      <c r="E1614" s="16" t="str">
        <f aca="false">IF($C1614="","",IFERROR(INDEX(Mix_Desc,MATCH($C1614,Mix_Code,0)),"⚠ Unknown mix code"))</f>
        <v/>
      </c>
      <c r="F1614" s="67" t="str">
        <f aca="false">IF(OR($C1614="",$D1614=""),"",IFERROR($D1614*INDEX(Mix_Eff,MATCH($C1614,Mix_Code,0),1),""))</f>
        <v/>
      </c>
      <c r="G1614" s="67" t="str">
        <f aca="false">IF(OR($C1614="",$D1614=""),"",IFERROR($D1614*INDEX(Mix_Eff,MATCH($C1614,Mix_Code,0),2),""))</f>
        <v/>
      </c>
      <c r="H1614" s="67" t="str">
        <f aca="false">IF(OR($C1614="",$D1614=""),"",IFERROR($D1614*INDEX(Mix_Eff,MATCH($C1614,Mix_Code,0),3),""))</f>
        <v/>
      </c>
      <c r="I1614" s="67" t="str">
        <f aca="false">IF(OR($C1614="",$D1614=""),"",IFERROR($D1614*INDEX(Mix_Eff,MATCH($C1614,Mix_Code,0),4),""))</f>
        <v/>
      </c>
      <c r="J1614" s="67" t="str">
        <f aca="false">IF(OR($C1614="",$D1614=""),"",IFERROR($D1614*INDEX(Mix_Eff,MATCH($C1614,Mix_Code,0),5),""))</f>
        <v/>
      </c>
      <c r="K1614" s="63"/>
      <c r="L1614" s="16" t="str">
        <f aca="false">IF(AND($A1614="",$B1614="",$C1614="",$D1614=""),"",IF($A1614="","⚠ Date missing",IF($B1614="","⚠ Site missing",IF(ISNA(MATCH($C1614,Mix_Code,0)),"⚠ Unknown mix code",IF($D1614="","⚠ Enter m3 produced",IF(COUNTIF(CI_Site,$B1614)=0,"⚠ Site not set up in Current Inventory",IF($A1614&gt;AsOfDate,"Future date – not yet deducted","OK")))))))</f>
        <v/>
      </c>
    </row>
    <row r="1615" customFormat="false" ht="15" hidden="false" customHeight="false" outlineLevel="0" collapsed="false">
      <c r="A1615" s="65"/>
      <c r="B1615" s="63"/>
      <c r="C1615" s="70"/>
      <c r="D1615" s="66"/>
      <c r="E1615" s="16" t="str">
        <f aca="false">IF($C1615="","",IFERROR(INDEX(Mix_Desc,MATCH($C1615,Mix_Code,0)),"⚠ Unknown mix code"))</f>
        <v/>
      </c>
      <c r="F1615" s="67" t="str">
        <f aca="false">IF(OR($C1615="",$D1615=""),"",IFERROR($D1615*INDEX(Mix_Eff,MATCH($C1615,Mix_Code,0),1),""))</f>
        <v/>
      </c>
      <c r="G1615" s="67" t="str">
        <f aca="false">IF(OR($C1615="",$D1615=""),"",IFERROR($D1615*INDEX(Mix_Eff,MATCH($C1615,Mix_Code,0),2),""))</f>
        <v/>
      </c>
      <c r="H1615" s="67" t="str">
        <f aca="false">IF(OR($C1615="",$D1615=""),"",IFERROR($D1615*INDEX(Mix_Eff,MATCH($C1615,Mix_Code,0),3),""))</f>
        <v/>
      </c>
      <c r="I1615" s="67" t="str">
        <f aca="false">IF(OR($C1615="",$D1615=""),"",IFERROR($D1615*INDEX(Mix_Eff,MATCH($C1615,Mix_Code,0),4),""))</f>
        <v/>
      </c>
      <c r="J1615" s="67" t="str">
        <f aca="false">IF(OR($C1615="",$D1615=""),"",IFERROR($D1615*INDEX(Mix_Eff,MATCH($C1615,Mix_Code,0),5),""))</f>
        <v/>
      </c>
      <c r="K1615" s="63"/>
      <c r="L1615" s="16" t="str">
        <f aca="false">IF(AND($A1615="",$B1615="",$C1615="",$D1615=""),"",IF($A1615="","⚠ Date missing",IF($B1615="","⚠ Site missing",IF(ISNA(MATCH($C1615,Mix_Code,0)),"⚠ Unknown mix code",IF($D1615="","⚠ Enter m3 produced",IF(COUNTIF(CI_Site,$B1615)=0,"⚠ Site not set up in Current Inventory",IF($A1615&gt;AsOfDate,"Future date – not yet deducted","OK")))))))</f>
        <v/>
      </c>
    </row>
    <row r="1616" customFormat="false" ht="15" hidden="false" customHeight="false" outlineLevel="0" collapsed="false">
      <c r="A1616" s="65"/>
      <c r="B1616" s="63"/>
      <c r="C1616" s="70"/>
      <c r="D1616" s="66"/>
      <c r="E1616" s="16" t="str">
        <f aca="false">IF($C1616="","",IFERROR(INDEX(Mix_Desc,MATCH($C1616,Mix_Code,0)),"⚠ Unknown mix code"))</f>
        <v/>
      </c>
      <c r="F1616" s="67" t="str">
        <f aca="false">IF(OR($C1616="",$D1616=""),"",IFERROR($D1616*INDEX(Mix_Eff,MATCH($C1616,Mix_Code,0),1),""))</f>
        <v/>
      </c>
      <c r="G1616" s="67" t="str">
        <f aca="false">IF(OR($C1616="",$D1616=""),"",IFERROR($D1616*INDEX(Mix_Eff,MATCH($C1616,Mix_Code,0),2),""))</f>
        <v/>
      </c>
      <c r="H1616" s="67" t="str">
        <f aca="false">IF(OR($C1616="",$D1616=""),"",IFERROR($D1616*INDEX(Mix_Eff,MATCH($C1616,Mix_Code,0),3),""))</f>
        <v/>
      </c>
      <c r="I1616" s="67" t="str">
        <f aca="false">IF(OR($C1616="",$D1616=""),"",IFERROR($D1616*INDEX(Mix_Eff,MATCH($C1616,Mix_Code,0),4),""))</f>
        <v/>
      </c>
      <c r="J1616" s="67" t="str">
        <f aca="false">IF(OR($C1616="",$D1616=""),"",IFERROR($D1616*INDEX(Mix_Eff,MATCH($C1616,Mix_Code,0),5),""))</f>
        <v/>
      </c>
      <c r="K1616" s="63"/>
      <c r="L1616" s="16" t="str">
        <f aca="false">IF(AND($A1616="",$B1616="",$C1616="",$D1616=""),"",IF($A1616="","⚠ Date missing",IF($B1616="","⚠ Site missing",IF(ISNA(MATCH($C1616,Mix_Code,0)),"⚠ Unknown mix code",IF($D1616="","⚠ Enter m3 produced",IF(COUNTIF(CI_Site,$B1616)=0,"⚠ Site not set up in Current Inventory",IF($A1616&gt;AsOfDate,"Future date – not yet deducted","OK")))))))</f>
        <v/>
      </c>
    </row>
    <row r="1617" customFormat="false" ht="15" hidden="false" customHeight="false" outlineLevel="0" collapsed="false">
      <c r="A1617" s="65"/>
      <c r="B1617" s="63"/>
      <c r="C1617" s="70"/>
      <c r="D1617" s="66"/>
      <c r="E1617" s="16" t="str">
        <f aca="false">IF($C1617="","",IFERROR(INDEX(Mix_Desc,MATCH($C1617,Mix_Code,0)),"⚠ Unknown mix code"))</f>
        <v/>
      </c>
      <c r="F1617" s="67" t="str">
        <f aca="false">IF(OR($C1617="",$D1617=""),"",IFERROR($D1617*INDEX(Mix_Eff,MATCH($C1617,Mix_Code,0),1),""))</f>
        <v/>
      </c>
      <c r="G1617" s="67" t="str">
        <f aca="false">IF(OR($C1617="",$D1617=""),"",IFERROR($D1617*INDEX(Mix_Eff,MATCH($C1617,Mix_Code,0),2),""))</f>
        <v/>
      </c>
      <c r="H1617" s="67" t="str">
        <f aca="false">IF(OR($C1617="",$D1617=""),"",IFERROR($D1617*INDEX(Mix_Eff,MATCH($C1617,Mix_Code,0),3),""))</f>
        <v/>
      </c>
      <c r="I1617" s="67" t="str">
        <f aca="false">IF(OR($C1617="",$D1617=""),"",IFERROR($D1617*INDEX(Mix_Eff,MATCH($C1617,Mix_Code,0),4),""))</f>
        <v/>
      </c>
      <c r="J1617" s="67" t="str">
        <f aca="false">IF(OR($C1617="",$D1617=""),"",IFERROR($D1617*INDEX(Mix_Eff,MATCH($C1617,Mix_Code,0),5),""))</f>
        <v/>
      </c>
      <c r="K1617" s="63"/>
      <c r="L1617" s="16" t="str">
        <f aca="false">IF(AND($A1617="",$B1617="",$C1617="",$D1617=""),"",IF($A1617="","⚠ Date missing",IF($B1617="","⚠ Site missing",IF(ISNA(MATCH($C1617,Mix_Code,0)),"⚠ Unknown mix code",IF($D1617="","⚠ Enter m3 produced",IF(COUNTIF(CI_Site,$B1617)=0,"⚠ Site not set up in Current Inventory",IF($A1617&gt;AsOfDate,"Future date – not yet deducted","OK")))))))</f>
        <v/>
      </c>
    </row>
    <row r="1618" customFormat="false" ht="15" hidden="false" customHeight="false" outlineLevel="0" collapsed="false">
      <c r="A1618" s="65"/>
      <c r="B1618" s="63"/>
      <c r="C1618" s="70"/>
      <c r="D1618" s="66"/>
      <c r="E1618" s="16" t="str">
        <f aca="false">IF($C1618="","",IFERROR(INDEX(Mix_Desc,MATCH($C1618,Mix_Code,0)),"⚠ Unknown mix code"))</f>
        <v/>
      </c>
      <c r="F1618" s="67" t="str">
        <f aca="false">IF(OR($C1618="",$D1618=""),"",IFERROR($D1618*INDEX(Mix_Eff,MATCH($C1618,Mix_Code,0),1),""))</f>
        <v/>
      </c>
      <c r="G1618" s="67" t="str">
        <f aca="false">IF(OR($C1618="",$D1618=""),"",IFERROR($D1618*INDEX(Mix_Eff,MATCH($C1618,Mix_Code,0),2),""))</f>
        <v/>
      </c>
      <c r="H1618" s="67" t="str">
        <f aca="false">IF(OR($C1618="",$D1618=""),"",IFERROR($D1618*INDEX(Mix_Eff,MATCH($C1618,Mix_Code,0),3),""))</f>
        <v/>
      </c>
      <c r="I1618" s="67" t="str">
        <f aca="false">IF(OR($C1618="",$D1618=""),"",IFERROR($D1618*INDEX(Mix_Eff,MATCH($C1618,Mix_Code,0),4),""))</f>
        <v/>
      </c>
      <c r="J1618" s="67" t="str">
        <f aca="false">IF(OR($C1618="",$D1618=""),"",IFERROR($D1618*INDEX(Mix_Eff,MATCH($C1618,Mix_Code,0),5),""))</f>
        <v/>
      </c>
      <c r="K1618" s="63"/>
      <c r="L1618" s="16" t="str">
        <f aca="false">IF(AND($A1618="",$B1618="",$C1618="",$D1618=""),"",IF($A1618="","⚠ Date missing",IF($B1618="","⚠ Site missing",IF(ISNA(MATCH($C1618,Mix_Code,0)),"⚠ Unknown mix code",IF($D1618="","⚠ Enter m3 produced",IF(COUNTIF(CI_Site,$B1618)=0,"⚠ Site not set up in Current Inventory",IF($A1618&gt;AsOfDate,"Future date – not yet deducted","OK")))))))</f>
        <v/>
      </c>
    </row>
    <row r="1619" customFormat="false" ht="15" hidden="false" customHeight="false" outlineLevel="0" collapsed="false">
      <c r="A1619" s="65"/>
      <c r="B1619" s="63"/>
      <c r="C1619" s="70"/>
      <c r="D1619" s="66"/>
      <c r="E1619" s="16" t="str">
        <f aca="false">IF($C1619="","",IFERROR(INDEX(Mix_Desc,MATCH($C1619,Mix_Code,0)),"⚠ Unknown mix code"))</f>
        <v/>
      </c>
      <c r="F1619" s="67" t="str">
        <f aca="false">IF(OR($C1619="",$D1619=""),"",IFERROR($D1619*INDEX(Mix_Eff,MATCH($C1619,Mix_Code,0),1),""))</f>
        <v/>
      </c>
      <c r="G1619" s="67" t="str">
        <f aca="false">IF(OR($C1619="",$D1619=""),"",IFERROR($D1619*INDEX(Mix_Eff,MATCH($C1619,Mix_Code,0),2),""))</f>
        <v/>
      </c>
      <c r="H1619" s="67" t="str">
        <f aca="false">IF(OR($C1619="",$D1619=""),"",IFERROR($D1619*INDEX(Mix_Eff,MATCH($C1619,Mix_Code,0),3),""))</f>
        <v/>
      </c>
      <c r="I1619" s="67" t="str">
        <f aca="false">IF(OR($C1619="",$D1619=""),"",IFERROR($D1619*INDEX(Mix_Eff,MATCH($C1619,Mix_Code,0),4),""))</f>
        <v/>
      </c>
      <c r="J1619" s="67" t="str">
        <f aca="false">IF(OR($C1619="",$D1619=""),"",IFERROR($D1619*INDEX(Mix_Eff,MATCH($C1619,Mix_Code,0),5),""))</f>
        <v/>
      </c>
      <c r="K1619" s="63"/>
      <c r="L1619" s="16" t="str">
        <f aca="false">IF(AND($A1619="",$B1619="",$C1619="",$D1619=""),"",IF($A1619="","⚠ Date missing",IF($B1619="","⚠ Site missing",IF(ISNA(MATCH($C1619,Mix_Code,0)),"⚠ Unknown mix code",IF($D1619="","⚠ Enter m3 produced",IF(COUNTIF(CI_Site,$B1619)=0,"⚠ Site not set up in Current Inventory",IF($A1619&gt;AsOfDate,"Future date – not yet deducted","OK")))))))</f>
        <v/>
      </c>
    </row>
    <row r="1620" customFormat="false" ht="15" hidden="false" customHeight="false" outlineLevel="0" collapsed="false">
      <c r="A1620" s="65"/>
      <c r="B1620" s="63"/>
      <c r="C1620" s="70"/>
      <c r="D1620" s="66"/>
      <c r="E1620" s="16" t="str">
        <f aca="false">IF($C1620="","",IFERROR(INDEX(Mix_Desc,MATCH($C1620,Mix_Code,0)),"⚠ Unknown mix code"))</f>
        <v/>
      </c>
      <c r="F1620" s="67" t="str">
        <f aca="false">IF(OR($C1620="",$D1620=""),"",IFERROR($D1620*INDEX(Mix_Eff,MATCH($C1620,Mix_Code,0),1),""))</f>
        <v/>
      </c>
      <c r="G1620" s="67" t="str">
        <f aca="false">IF(OR($C1620="",$D1620=""),"",IFERROR($D1620*INDEX(Mix_Eff,MATCH($C1620,Mix_Code,0),2),""))</f>
        <v/>
      </c>
      <c r="H1620" s="67" t="str">
        <f aca="false">IF(OR($C1620="",$D1620=""),"",IFERROR($D1620*INDEX(Mix_Eff,MATCH($C1620,Mix_Code,0),3),""))</f>
        <v/>
      </c>
      <c r="I1620" s="67" t="str">
        <f aca="false">IF(OR($C1620="",$D1620=""),"",IFERROR($D1620*INDEX(Mix_Eff,MATCH($C1620,Mix_Code,0),4),""))</f>
        <v/>
      </c>
      <c r="J1620" s="67" t="str">
        <f aca="false">IF(OR($C1620="",$D1620=""),"",IFERROR($D1620*INDEX(Mix_Eff,MATCH($C1620,Mix_Code,0),5),""))</f>
        <v/>
      </c>
      <c r="K1620" s="63"/>
      <c r="L1620" s="16" t="str">
        <f aca="false">IF(AND($A1620="",$B1620="",$C1620="",$D1620=""),"",IF($A1620="","⚠ Date missing",IF($B1620="","⚠ Site missing",IF(ISNA(MATCH($C1620,Mix_Code,0)),"⚠ Unknown mix code",IF($D1620="","⚠ Enter m3 produced",IF(COUNTIF(CI_Site,$B1620)=0,"⚠ Site not set up in Current Inventory",IF($A1620&gt;AsOfDate,"Future date – not yet deducted","OK")))))))</f>
        <v/>
      </c>
    </row>
    <row r="1621" customFormat="false" ht="15" hidden="false" customHeight="false" outlineLevel="0" collapsed="false">
      <c r="A1621" s="65"/>
      <c r="B1621" s="63"/>
      <c r="C1621" s="70"/>
      <c r="D1621" s="66"/>
      <c r="E1621" s="16" t="str">
        <f aca="false">IF($C1621="","",IFERROR(INDEX(Mix_Desc,MATCH($C1621,Mix_Code,0)),"⚠ Unknown mix code"))</f>
        <v/>
      </c>
      <c r="F1621" s="67" t="str">
        <f aca="false">IF(OR($C1621="",$D1621=""),"",IFERROR($D1621*INDEX(Mix_Eff,MATCH($C1621,Mix_Code,0),1),""))</f>
        <v/>
      </c>
      <c r="G1621" s="67" t="str">
        <f aca="false">IF(OR($C1621="",$D1621=""),"",IFERROR($D1621*INDEX(Mix_Eff,MATCH($C1621,Mix_Code,0),2),""))</f>
        <v/>
      </c>
      <c r="H1621" s="67" t="str">
        <f aca="false">IF(OR($C1621="",$D1621=""),"",IFERROR($D1621*INDEX(Mix_Eff,MATCH($C1621,Mix_Code,0),3),""))</f>
        <v/>
      </c>
      <c r="I1621" s="67" t="str">
        <f aca="false">IF(OR($C1621="",$D1621=""),"",IFERROR($D1621*INDEX(Mix_Eff,MATCH($C1621,Mix_Code,0),4),""))</f>
        <v/>
      </c>
      <c r="J1621" s="67" t="str">
        <f aca="false">IF(OR($C1621="",$D1621=""),"",IFERROR($D1621*INDEX(Mix_Eff,MATCH($C1621,Mix_Code,0),5),""))</f>
        <v/>
      </c>
      <c r="K1621" s="63"/>
      <c r="L1621" s="16" t="str">
        <f aca="false">IF(AND($A1621="",$B1621="",$C1621="",$D1621=""),"",IF($A1621="","⚠ Date missing",IF($B1621="","⚠ Site missing",IF(ISNA(MATCH($C1621,Mix_Code,0)),"⚠ Unknown mix code",IF($D1621="","⚠ Enter m3 produced",IF(COUNTIF(CI_Site,$B1621)=0,"⚠ Site not set up in Current Inventory",IF($A1621&gt;AsOfDate,"Future date – not yet deducted","OK")))))))</f>
        <v/>
      </c>
    </row>
    <row r="1622" customFormat="false" ht="15" hidden="false" customHeight="false" outlineLevel="0" collapsed="false">
      <c r="A1622" s="65"/>
      <c r="B1622" s="63"/>
      <c r="C1622" s="70"/>
      <c r="D1622" s="66"/>
      <c r="E1622" s="16" t="str">
        <f aca="false">IF($C1622="","",IFERROR(INDEX(Mix_Desc,MATCH($C1622,Mix_Code,0)),"⚠ Unknown mix code"))</f>
        <v/>
      </c>
      <c r="F1622" s="67" t="str">
        <f aca="false">IF(OR($C1622="",$D1622=""),"",IFERROR($D1622*INDEX(Mix_Eff,MATCH($C1622,Mix_Code,0),1),""))</f>
        <v/>
      </c>
      <c r="G1622" s="67" t="str">
        <f aca="false">IF(OR($C1622="",$D1622=""),"",IFERROR($D1622*INDEX(Mix_Eff,MATCH($C1622,Mix_Code,0),2),""))</f>
        <v/>
      </c>
      <c r="H1622" s="67" t="str">
        <f aca="false">IF(OR($C1622="",$D1622=""),"",IFERROR($D1622*INDEX(Mix_Eff,MATCH($C1622,Mix_Code,0),3),""))</f>
        <v/>
      </c>
      <c r="I1622" s="67" t="str">
        <f aca="false">IF(OR($C1622="",$D1622=""),"",IFERROR($D1622*INDEX(Mix_Eff,MATCH($C1622,Mix_Code,0),4),""))</f>
        <v/>
      </c>
      <c r="J1622" s="67" t="str">
        <f aca="false">IF(OR($C1622="",$D1622=""),"",IFERROR($D1622*INDEX(Mix_Eff,MATCH($C1622,Mix_Code,0),5),""))</f>
        <v/>
      </c>
      <c r="K1622" s="63"/>
      <c r="L1622" s="16" t="str">
        <f aca="false">IF(AND($A1622="",$B1622="",$C1622="",$D1622=""),"",IF($A1622="","⚠ Date missing",IF($B1622="","⚠ Site missing",IF(ISNA(MATCH($C1622,Mix_Code,0)),"⚠ Unknown mix code",IF($D1622="","⚠ Enter m3 produced",IF(COUNTIF(CI_Site,$B1622)=0,"⚠ Site not set up in Current Inventory",IF($A1622&gt;AsOfDate,"Future date – not yet deducted","OK")))))))</f>
        <v/>
      </c>
    </row>
    <row r="1623" customFormat="false" ht="15" hidden="false" customHeight="false" outlineLevel="0" collapsed="false">
      <c r="A1623" s="65"/>
      <c r="B1623" s="63"/>
      <c r="C1623" s="70"/>
      <c r="D1623" s="66"/>
      <c r="E1623" s="16" t="str">
        <f aca="false">IF($C1623="","",IFERROR(INDEX(Mix_Desc,MATCH($C1623,Mix_Code,0)),"⚠ Unknown mix code"))</f>
        <v/>
      </c>
      <c r="F1623" s="67" t="str">
        <f aca="false">IF(OR($C1623="",$D1623=""),"",IFERROR($D1623*INDEX(Mix_Eff,MATCH($C1623,Mix_Code,0),1),""))</f>
        <v/>
      </c>
      <c r="G1623" s="67" t="str">
        <f aca="false">IF(OR($C1623="",$D1623=""),"",IFERROR($D1623*INDEX(Mix_Eff,MATCH($C1623,Mix_Code,0),2),""))</f>
        <v/>
      </c>
      <c r="H1623" s="67" t="str">
        <f aca="false">IF(OR($C1623="",$D1623=""),"",IFERROR($D1623*INDEX(Mix_Eff,MATCH($C1623,Mix_Code,0),3),""))</f>
        <v/>
      </c>
      <c r="I1623" s="67" t="str">
        <f aca="false">IF(OR($C1623="",$D1623=""),"",IFERROR($D1623*INDEX(Mix_Eff,MATCH($C1623,Mix_Code,0),4),""))</f>
        <v/>
      </c>
      <c r="J1623" s="67" t="str">
        <f aca="false">IF(OR($C1623="",$D1623=""),"",IFERROR($D1623*INDEX(Mix_Eff,MATCH($C1623,Mix_Code,0),5),""))</f>
        <v/>
      </c>
      <c r="K1623" s="63"/>
      <c r="L1623" s="16" t="str">
        <f aca="false">IF(AND($A1623="",$B1623="",$C1623="",$D1623=""),"",IF($A1623="","⚠ Date missing",IF($B1623="","⚠ Site missing",IF(ISNA(MATCH($C1623,Mix_Code,0)),"⚠ Unknown mix code",IF($D1623="","⚠ Enter m3 produced",IF(COUNTIF(CI_Site,$B1623)=0,"⚠ Site not set up in Current Inventory",IF($A1623&gt;AsOfDate,"Future date – not yet deducted","OK")))))))</f>
        <v/>
      </c>
    </row>
    <row r="1624" customFormat="false" ht="15" hidden="false" customHeight="false" outlineLevel="0" collapsed="false">
      <c r="A1624" s="65"/>
      <c r="B1624" s="63"/>
      <c r="C1624" s="70"/>
      <c r="D1624" s="66"/>
      <c r="E1624" s="16" t="str">
        <f aca="false">IF($C1624="","",IFERROR(INDEX(Mix_Desc,MATCH($C1624,Mix_Code,0)),"⚠ Unknown mix code"))</f>
        <v/>
      </c>
      <c r="F1624" s="67" t="str">
        <f aca="false">IF(OR($C1624="",$D1624=""),"",IFERROR($D1624*INDEX(Mix_Eff,MATCH($C1624,Mix_Code,0),1),""))</f>
        <v/>
      </c>
      <c r="G1624" s="67" t="str">
        <f aca="false">IF(OR($C1624="",$D1624=""),"",IFERROR($D1624*INDEX(Mix_Eff,MATCH($C1624,Mix_Code,0),2),""))</f>
        <v/>
      </c>
      <c r="H1624" s="67" t="str">
        <f aca="false">IF(OR($C1624="",$D1624=""),"",IFERROR($D1624*INDEX(Mix_Eff,MATCH($C1624,Mix_Code,0),3),""))</f>
        <v/>
      </c>
      <c r="I1624" s="67" t="str">
        <f aca="false">IF(OR($C1624="",$D1624=""),"",IFERROR($D1624*INDEX(Mix_Eff,MATCH($C1624,Mix_Code,0),4),""))</f>
        <v/>
      </c>
      <c r="J1624" s="67" t="str">
        <f aca="false">IF(OR($C1624="",$D1624=""),"",IFERROR($D1624*INDEX(Mix_Eff,MATCH($C1624,Mix_Code,0),5),""))</f>
        <v/>
      </c>
      <c r="K1624" s="63"/>
      <c r="L1624" s="16" t="str">
        <f aca="false">IF(AND($A1624="",$B1624="",$C1624="",$D1624=""),"",IF($A1624="","⚠ Date missing",IF($B1624="","⚠ Site missing",IF(ISNA(MATCH($C1624,Mix_Code,0)),"⚠ Unknown mix code",IF($D1624="","⚠ Enter m3 produced",IF(COUNTIF(CI_Site,$B1624)=0,"⚠ Site not set up in Current Inventory",IF($A1624&gt;AsOfDate,"Future date – not yet deducted","OK")))))))</f>
        <v/>
      </c>
    </row>
    <row r="1625" customFormat="false" ht="15" hidden="false" customHeight="false" outlineLevel="0" collapsed="false">
      <c r="A1625" s="65"/>
      <c r="B1625" s="63"/>
      <c r="C1625" s="70"/>
      <c r="D1625" s="66"/>
      <c r="E1625" s="16" t="str">
        <f aca="false">IF($C1625="","",IFERROR(INDEX(Mix_Desc,MATCH($C1625,Mix_Code,0)),"⚠ Unknown mix code"))</f>
        <v/>
      </c>
      <c r="F1625" s="67" t="str">
        <f aca="false">IF(OR($C1625="",$D1625=""),"",IFERROR($D1625*INDEX(Mix_Eff,MATCH($C1625,Mix_Code,0),1),""))</f>
        <v/>
      </c>
      <c r="G1625" s="67" t="str">
        <f aca="false">IF(OR($C1625="",$D1625=""),"",IFERROR($D1625*INDEX(Mix_Eff,MATCH($C1625,Mix_Code,0),2),""))</f>
        <v/>
      </c>
      <c r="H1625" s="67" t="str">
        <f aca="false">IF(OR($C1625="",$D1625=""),"",IFERROR($D1625*INDEX(Mix_Eff,MATCH($C1625,Mix_Code,0),3),""))</f>
        <v/>
      </c>
      <c r="I1625" s="67" t="str">
        <f aca="false">IF(OR($C1625="",$D1625=""),"",IFERROR($D1625*INDEX(Mix_Eff,MATCH($C1625,Mix_Code,0),4),""))</f>
        <v/>
      </c>
      <c r="J1625" s="67" t="str">
        <f aca="false">IF(OR($C1625="",$D1625=""),"",IFERROR($D1625*INDEX(Mix_Eff,MATCH($C1625,Mix_Code,0),5),""))</f>
        <v/>
      </c>
      <c r="K1625" s="63"/>
      <c r="L1625" s="16" t="str">
        <f aca="false">IF(AND($A1625="",$B1625="",$C1625="",$D1625=""),"",IF($A1625="","⚠ Date missing",IF($B1625="","⚠ Site missing",IF(ISNA(MATCH($C1625,Mix_Code,0)),"⚠ Unknown mix code",IF($D1625="","⚠ Enter m3 produced",IF(COUNTIF(CI_Site,$B1625)=0,"⚠ Site not set up in Current Inventory",IF($A1625&gt;AsOfDate,"Future date – not yet deducted","OK")))))))</f>
        <v/>
      </c>
    </row>
    <row r="1626" customFormat="false" ht="15" hidden="false" customHeight="false" outlineLevel="0" collapsed="false">
      <c r="A1626" s="65"/>
      <c r="B1626" s="63"/>
      <c r="C1626" s="70"/>
      <c r="D1626" s="66"/>
      <c r="E1626" s="16" t="str">
        <f aca="false">IF($C1626="","",IFERROR(INDEX(Mix_Desc,MATCH($C1626,Mix_Code,0)),"⚠ Unknown mix code"))</f>
        <v/>
      </c>
      <c r="F1626" s="67" t="str">
        <f aca="false">IF(OR($C1626="",$D1626=""),"",IFERROR($D1626*INDEX(Mix_Eff,MATCH($C1626,Mix_Code,0),1),""))</f>
        <v/>
      </c>
      <c r="G1626" s="67" t="str">
        <f aca="false">IF(OR($C1626="",$D1626=""),"",IFERROR($D1626*INDEX(Mix_Eff,MATCH($C1626,Mix_Code,0),2),""))</f>
        <v/>
      </c>
      <c r="H1626" s="67" t="str">
        <f aca="false">IF(OR($C1626="",$D1626=""),"",IFERROR($D1626*INDEX(Mix_Eff,MATCH($C1626,Mix_Code,0),3),""))</f>
        <v/>
      </c>
      <c r="I1626" s="67" t="str">
        <f aca="false">IF(OR($C1626="",$D1626=""),"",IFERROR($D1626*INDEX(Mix_Eff,MATCH($C1626,Mix_Code,0),4),""))</f>
        <v/>
      </c>
      <c r="J1626" s="67" t="str">
        <f aca="false">IF(OR($C1626="",$D1626=""),"",IFERROR($D1626*INDEX(Mix_Eff,MATCH($C1626,Mix_Code,0),5),""))</f>
        <v/>
      </c>
      <c r="K1626" s="63"/>
      <c r="L1626" s="16" t="str">
        <f aca="false">IF(AND($A1626="",$B1626="",$C1626="",$D1626=""),"",IF($A1626="","⚠ Date missing",IF($B1626="","⚠ Site missing",IF(ISNA(MATCH($C1626,Mix_Code,0)),"⚠ Unknown mix code",IF($D1626="","⚠ Enter m3 produced",IF(COUNTIF(CI_Site,$B1626)=0,"⚠ Site not set up in Current Inventory",IF($A1626&gt;AsOfDate,"Future date – not yet deducted","OK")))))))</f>
        <v/>
      </c>
    </row>
    <row r="1627" customFormat="false" ht="15" hidden="false" customHeight="false" outlineLevel="0" collapsed="false">
      <c r="A1627" s="65"/>
      <c r="B1627" s="63"/>
      <c r="C1627" s="70"/>
      <c r="D1627" s="66"/>
      <c r="E1627" s="16" t="str">
        <f aca="false">IF($C1627="","",IFERROR(INDEX(Mix_Desc,MATCH($C1627,Mix_Code,0)),"⚠ Unknown mix code"))</f>
        <v/>
      </c>
      <c r="F1627" s="67" t="str">
        <f aca="false">IF(OR($C1627="",$D1627=""),"",IFERROR($D1627*INDEX(Mix_Eff,MATCH($C1627,Mix_Code,0),1),""))</f>
        <v/>
      </c>
      <c r="G1627" s="67" t="str">
        <f aca="false">IF(OR($C1627="",$D1627=""),"",IFERROR($D1627*INDEX(Mix_Eff,MATCH($C1627,Mix_Code,0),2),""))</f>
        <v/>
      </c>
      <c r="H1627" s="67" t="str">
        <f aca="false">IF(OR($C1627="",$D1627=""),"",IFERROR($D1627*INDEX(Mix_Eff,MATCH($C1627,Mix_Code,0),3),""))</f>
        <v/>
      </c>
      <c r="I1627" s="67" t="str">
        <f aca="false">IF(OR($C1627="",$D1627=""),"",IFERROR($D1627*INDEX(Mix_Eff,MATCH($C1627,Mix_Code,0),4),""))</f>
        <v/>
      </c>
      <c r="J1627" s="67" t="str">
        <f aca="false">IF(OR($C1627="",$D1627=""),"",IFERROR($D1627*INDEX(Mix_Eff,MATCH($C1627,Mix_Code,0),5),""))</f>
        <v/>
      </c>
      <c r="K1627" s="63"/>
      <c r="L1627" s="16" t="str">
        <f aca="false">IF(AND($A1627="",$B1627="",$C1627="",$D1627=""),"",IF($A1627="","⚠ Date missing",IF($B1627="","⚠ Site missing",IF(ISNA(MATCH($C1627,Mix_Code,0)),"⚠ Unknown mix code",IF($D1627="","⚠ Enter m3 produced",IF(COUNTIF(CI_Site,$B1627)=0,"⚠ Site not set up in Current Inventory",IF($A1627&gt;AsOfDate,"Future date – not yet deducted","OK")))))))</f>
        <v/>
      </c>
    </row>
    <row r="1628" customFormat="false" ht="15" hidden="false" customHeight="false" outlineLevel="0" collapsed="false">
      <c r="A1628" s="65"/>
      <c r="B1628" s="63"/>
      <c r="C1628" s="70"/>
      <c r="D1628" s="66"/>
      <c r="E1628" s="16" t="str">
        <f aca="false">IF($C1628="","",IFERROR(INDEX(Mix_Desc,MATCH($C1628,Mix_Code,0)),"⚠ Unknown mix code"))</f>
        <v/>
      </c>
      <c r="F1628" s="67" t="str">
        <f aca="false">IF(OR($C1628="",$D1628=""),"",IFERROR($D1628*INDEX(Mix_Eff,MATCH($C1628,Mix_Code,0),1),""))</f>
        <v/>
      </c>
      <c r="G1628" s="67" t="str">
        <f aca="false">IF(OR($C1628="",$D1628=""),"",IFERROR($D1628*INDEX(Mix_Eff,MATCH($C1628,Mix_Code,0),2),""))</f>
        <v/>
      </c>
      <c r="H1628" s="67" t="str">
        <f aca="false">IF(OR($C1628="",$D1628=""),"",IFERROR($D1628*INDEX(Mix_Eff,MATCH($C1628,Mix_Code,0),3),""))</f>
        <v/>
      </c>
      <c r="I1628" s="67" t="str">
        <f aca="false">IF(OR($C1628="",$D1628=""),"",IFERROR($D1628*INDEX(Mix_Eff,MATCH($C1628,Mix_Code,0),4),""))</f>
        <v/>
      </c>
      <c r="J1628" s="67" t="str">
        <f aca="false">IF(OR($C1628="",$D1628=""),"",IFERROR($D1628*INDEX(Mix_Eff,MATCH($C1628,Mix_Code,0),5),""))</f>
        <v/>
      </c>
      <c r="K1628" s="63"/>
      <c r="L1628" s="16" t="str">
        <f aca="false">IF(AND($A1628="",$B1628="",$C1628="",$D1628=""),"",IF($A1628="","⚠ Date missing",IF($B1628="","⚠ Site missing",IF(ISNA(MATCH($C1628,Mix_Code,0)),"⚠ Unknown mix code",IF($D1628="","⚠ Enter m3 produced",IF(COUNTIF(CI_Site,$B1628)=0,"⚠ Site not set up in Current Inventory",IF($A1628&gt;AsOfDate,"Future date – not yet deducted","OK")))))))</f>
        <v/>
      </c>
    </row>
    <row r="1629" customFormat="false" ht="15" hidden="false" customHeight="false" outlineLevel="0" collapsed="false">
      <c r="A1629" s="65"/>
      <c r="B1629" s="63"/>
      <c r="C1629" s="70"/>
      <c r="D1629" s="66"/>
      <c r="E1629" s="16" t="str">
        <f aca="false">IF($C1629="","",IFERROR(INDEX(Mix_Desc,MATCH($C1629,Mix_Code,0)),"⚠ Unknown mix code"))</f>
        <v/>
      </c>
      <c r="F1629" s="67" t="str">
        <f aca="false">IF(OR($C1629="",$D1629=""),"",IFERROR($D1629*INDEX(Mix_Eff,MATCH($C1629,Mix_Code,0),1),""))</f>
        <v/>
      </c>
      <c r="G1629" s="67" t="str">
        <f aca="false">IF(OR($C1629="",$D1629=""),"",IFERROR($D1629*INDEX(Mix_Eff,MATCH($C1629,Mix_Code,0),2),""))</f>
        <v/>
      </c>
      <c r="H1629" s="67" t="str">
        <f aca="false">IF(OR($C1629="",$D1629=""),"",IFERROR($D1629*INDEX(Mix_Eff,MATCH($C1629,Mix_Code,0),3),""))</f>
        <v/>
      </c>
      <c r="I1629" s="67" t="str">
        <f aca="false">IF(OR($C1629="",$D1629=""),"",IFERROR($D1629*INDEX(Mix_Eff,MATCH($C1629,Mix_Code,0),4),""))</f>
        <v/>
      </c>
      <c r="J1629" s="67" t="str">
        <f aca="false">IF(OR($C1629="",$D1629=""),"",IFERROR($D1629*INDEX(Mix_Eff,MATCH($C1629,Mix_Code,0),5),""))</f>
        <v/>
      </c>
      <c r="K1629" s="63"/>
      <c r="L1629" s="16" t="str">
        <f aca="false">IF(AND($A1629="",$B1629="",$C1629="",$D1629=""),"",IF($A1629="","⚠ Date missing",IF($B1629="","⚠ Site missing",IF(ISNA(MATCH($C1629,Mix_Code,0)),"⚠ Unknown mix code",IF($D1629="","⚠ Enter m3 produced",IF(COUNTIF(CI_Site,$B1629)=0,"⚠ Site not set up in Current Inventory",IF($A1629&gt;AsOfDate,"Future date – not yet deducted","OK")))))))</f>
        <v/>
      </c>
    </row>
    <row r="1630" customFormat="false" ht="15" hidden="false" customHeight="false" outlineLevel="0" collapsed="false">
      <c r="A1630" s="65"/>
      <c r="B1630" s="63"/>
      <c r="C1630" s="70"/>
      <c r="D1630" s="66"/>
      <c r="E1630" s="16" t="str">
        <f aca="false">IF($C1630="","",IFERROR(INDEX(Mix_Desc,MATCH($C1630,Mix_Code,0)),"⚠ Unknown mix code"))</f>
        <v/>
      </c>
      <c r="F1630" s="67" t="str">
        <f aca="false">IF(OR($C1630="",$D1630=""),"",IFERROR($D1630*INDEX(Mix_Eff,MATCH($C1630,Mix_Code,0),1),""))</f>
        <v/>
      </c>
      <c r="G1630" s="67" t="str">
        <f aca="false">IF(OR($C1630="",$D1630=""),"",IFERROR($D1630*INDEX(Mix_Eff,MATCH($C1630,Mix_Code,0),2),""))</f>
        <v/>
      </c>
      <c r="H1630" s="67" t="str">
        <f aca="false">IF(OR($C1630="",$D1630=""),"",IFERROR($D1630*INDEX(Mix_Eff,MATCH($C1630,Mix_Code,0),3),""))</f>
        <v/>
      </c>
      <c r="I1630" s="67" t="str">
        <f aca="false">IF(OR($C1630="",$D1630=""),"",IFERROR($D1630*INDEX(Mix_Eff,MATCH($C1630,Mix_Code,0),4),""))</f>
        <v/>
      </c>
      <c r="J1630" s="67" t="str">
        <f aca="false">IF(OR($C1630="",$D1630=""),"",IFERROR($D1630*INDEX(Mix_Eff,MATCH($C1630,Mix_Code,0),5),""))</f>
        <v/>
      </c>
      <c r="K1630" s="63"/>
      <c r="L1630" s="16" t="str">
        <f aca="false">IF(AND($A1630="",$B1630="",$C1630="",$D1630=""),"",IF($A1630="","⚠ Date missing",IF($B1630="","⚠ Site missing",IF(ISNA(MATCH($C1630,Mix_Code,0)),"⚠ Unknown mix code",IF($D1630="","⚠ Enter m3 produced",IF(COUNTIF(CI_Site,$B1630)=0,"⚠ Site not set up in Current Inventory",IF($A1630&gt;AsOfDate,"Future date – not yet deducted","OK")))))))</f>
        <v/>
      </c>
    </row>
    <row r="1631" customFormat="false" ht="15" hidden="false" customHeight="false" outlineLevel="0" collapsed="false">
      <c r="A1631" s="65"/>
      <c r="B1631" s="63"/>
      <c r="C1631" s="70"/>
      <c r="D1631" s="66"/>
      <c r="E1631" s="16" t="str">
        <f aca="false">IF($C1631="","",IFERROR(INDEX(Mix_Desc,MATCH($C1631,Mix_Code,0)),"⚠ Unknown mix code"))</f>
        <v/>
      </c>
      <c r="F1631" s="67" t="str">
        <f aca="false">IF(OR($C1631="",$D1631=""),"",IFERROR($D1631*INDEX(Mix_Eff,MATCH($C1631,Mix_Code,0),1),""))</f>
        <v/>
      </c>
      <c r="G1631" s="67" t="str">
        <f aca="false">IF(OR($C1631="",$D1631=""),"",IFERROR($D1631*INDEX(Mix_Eff,MATCH($C1631,Mix_Code,0),2),""))</f>
        <v/>
      </c>
      <c r="H1631" s="67" t="str">
        <f aca="false">IF(OR($C1631="",$D1631=""),"",IFERROR($D1631*INDEX(Mix_Eff,MATCH($C1631,Mix_Code,0),3),""))</f>
        <v/>
      </c>
      <c r="I1631" s="67" t="str">
        <f aca="false">IF(OR($C1631="",$D1631=""),"",IFERROR($D1631*INDEX(Mix_Eff,MATCH($C1631,Mix_Code,0),4),""))</f>
        <v/>
      </c>
      <c r="J1631" s="67" t="str">
        <f aca="false">IF(OR($C1631="",$D1631=""),"",IFERROR($D1631*INDEX(Mix_Eff,MATCH($C1631,Mix_Code,0),5),""))</f>
        <v/>
      </c>
      <c r="K1631" s="63"/>
      <c r="L1631" s="16" t="str">
        <f aca="false">IF(AND($A1631="",$B1631="",$C1631="",$D1631=""),"",IF($A1631="","⚠ Date missing",IF($B1631="","⚠ Site missing",IF(ISNA(MATCH($C1631,Mix_Code,0)),"⚠ Unknown mix code",IF($D1631="","⚠ Enter m3 produced",IF(COUNTIF(CI_Site,$B1631)=0,"⚠ Site not set up in Current Inventory",IF($A1631&gt;AsOfDate,"Future date – not yet deducted","OK")))))))</f>
        <v/>
      </c>
    </row>
    <row r="1632" customFormat="false" ht="15" hidden="false" customHeight="false" outlineLevel="0" collapsed="false">
      <c r="A1632" s="65"/>
      <c r="B1632" s="63"/>
      <c r="C1632" s="70"/>
      <c r="D1632" s="66"/>
      <c r="E1632" s="16" t="str">
        <f aca="false">IF($C1632="","",IFERROR(INDEX(Mix_Desc,MATCH($C1632,Mix_Code,0)),"⚠ Unknown mix code"))</f>
        <v/>
      </c>
      <c r="F1632" s="67" t="str">
        <f aca="false">IF(OR($C1632="",$D1632=""),"",IFERROR($D1632*INDEX(Mix_Eff,MATCH($C1632,Mix_Code,0),1),""))</f>
        <v/>
      </c>
      <c r="G1632" s="67" t="str">
        <f aca="false">IF(OR($C1632="",$D1632=""),"",IFERROR($D1632*INDEX(Mix_Eff,MATCH($C1632,Mix_Code,0),2),""))</f>
        <v/>
      </c>
      <c r="H1632" s="67" t="str">
        <f aca="false">IF(OR($C1632="",$D1632=""),"",IFERROR($D1632*INDEX(Mix_Eff,MATCH($C1632,Mix_Code,0),3),""))</f>
        <v/>
      </c>
      <c r="I1632" s="67" t="str">
        <f aca="false">IF(OR($C1632="",$D1632=""),"",IFERROR($D1632*INDEX(Mix_Eff,MATCH($C1632,Mix_Code,0),4),""))</f>
        <v/>
      </c>
      <c r="J1632" s="67" t="str">
        <f aca="false">IF(OR($C1632="",$D1632=""),"",IFERROR($D1632*INDEX(Mix_Eff,MATCH($C1632,Mix_Code,0),5),""))</f>
        <v/>
      </c>
      <c r="K1632" s="63"/>
      <c r="L1632" s="16" t="str">
        <f aca="false">IF(AND($A1632="",$B1632="",$C1632="",$D1632=""),"",IF($A1632="","⚠ Date missing",IF($B1632="","⚠ Site missing",IF(ISNA(MATCH($C1632,Mix_Code,0)),"⚠ Unknown mix code",IF($D1632="","⚠ Enter m3 produced",IF(COUNTIF(CI_Site,$B1632)=0,"⚠ Site not set up in Current Inventory",IF($A1632&gt;AsOfDate,"Future date – not yet deducted","OK")))))))</f>
        <v/>
      </c>
    </row>
    <row r="1633" customFormat="false" ht="15" hidden="false" customHeight="false" outlineLevel="0" collapsed="false">
      <c r="A1633" s="65"/>
      <c r="B1633" s="63"/>
      <c r="C1633" s="70"/>
      <c r="D1633" s="66"/>
      <c r="E1633" s="16" t="str">
        <f aca="false">IF($C1633="","",IFERROR(INDEX(Mix_Desc,MATCH($C1633,Mix_Code,0)),"⚠ Unknown mix code"))</f>
        <v/>
      </c>
      <c r="F1633" s="67" t="str">
        <f aca="false">IF(OR($C1633="",$D1633=""),"",IFERROR($D1633*INDEX(Mix_Eff,MATCH($C1633,Mix_Code,0),1),""))</f>
        <v/>
      </c>
      <c r="G1633" s="67" t="str">
        <f aca="false">IF(OR($C1633="",$D1633=""),"",IFERROR($D1633*INDEX(Mix_Eff,MATCH($C1633,Mix_Code,0),2),""))</f>
        <v/>
      </c>
      <c r="H1633" s="67" t="str">
        <f aca="false">IF(OR($C1633="",$D1633=""),"",IFERROR($D1633*INDEX(Mix_Eff,MATCH($C1633,Mix_Code,0),3),""))</f>
        <v/>
      </c>
      <c r="I1633" s="67" t="str">
        <f aca="false">IF(OR($C1633="",$D1633=""),"",IFERROR($D1633*INDEX(Mix_Eff,MATCH($C1633,Mix_Code,0),4),""))</f>
        <v/>
      </c>
      <c r="J1633" s="67" t="str">
        <f aca="false">IF(OR($C1633="",$D1633=""),"",IFERROR($D1633*INDEX(Mix_Eff,MATCH($C1633,Mix_Code,0),5),""))</f>
        <v/>
      </c>
      <c r="K1633" s="63"/>
      <c r="L1633" s="16" t="str">
        <f aca="false">IF(AND($A1633="",$B1633="",$C1633="",$D1633=""),"",IF($A1633="","⚠ Date missing",IF($B1633="","⚠ Site missing",IF(ISNA(MATCH($C1633,Mix_Code,0)),"⚠ Unknown mix code",IF($D1633="","⚠ Enter m3 produced",IF(COUNTIF(CI_Site,$B1633)=0,"⚠ Site not set up in Current Inventory",IF($A1633&gt;AsOfDate,"Future date – not yet deducted","OK")))))))</f>
        <v/>
      </c>
    </row>
    <row r="1634" customFormat="false" ht="15" hidden="false" customHeight="false" outlineLevel="0" collapsed="false">
      <c r="A1634" s="65"/>
      <c r="B1634" s="63"/>
      <c r="C1634" s="70"/>
      <c r="D1634" s="66"/>
      <c r="E1634" s="16" t="str">
        <f aca="false">IF($C1634="","",IFERROR(INDEX(Mix_Desc,MATCH($C1634,Mix_Code,0)),"⚠ Unknown mix code"))</f>
        <v/>
      </c>
      <c r="F1634" s="67" t="str">
        <f aca="false">IF(OR($C1634="",$D1634=""),"",IFERROR($D1634*INDEX(Mix_Eff,MATCH($C1634,Mix_Code,0),1),""))</f>
        <v/>
      </c>
      <c r="G1634" s="67" t="str">
        <f aca="false">IF(OR($C1634="",$D1634=""),"",IFERROR($D1634*INDEX(Mix_Eff,MATCH($C1634,Mix_Code,0),2),""))</f>
        <v/>
      </c>
      <c r="H1634" s="67" t="str">
        <f aca="false">IF(OR($C1634="",$D1634=""),"",IFERROR($D1634*INDEX(Mix_Eff,MATCH($C1634,Mix_Code,0),3),""))</f>
        <v/>
      </c>
      <c r="I1634" s="67" t="str">
        <f aca="false">IF(OR($C1634="",$D1634=""),"",IFERROR($D1634*INDEX(Mix_Eff,MATCH($C1634,Mix_Code,0),4),""))</f>
        <v/>
      </c>
      <c r="J1634" s="67" t="str">
        <f aca="false">IF(OR($C1634="",$D1634=""),"",IFERROR($D1634*INDEX(Mix_Eff,MATCH($C1634,Mix_Code,0),5),""))</f>
        <v/>
      </c>
      <c r="K1634" s="63"/>
      <c r="L1634" s="16" t="str">
        <f aca="false">IF(AND($A1634="",$B1634="",$C1634="",$D1634=""),"",IF($A1634="","⚠ Date missing",IF($B1634="","⚠ Site missing",IF(ISNA(MATCH($C1634,Mix_Code,0)),"⚠ Unknown mix code",IF($D1634="","⚠ Enter m3 produced",IF(COUNTIF(CI_Site,$B1634)=0,"⚠ Site not set up in Current Inventory",IF($A1634&gt;AsOfDate,"Future date – not yet deducted","OK")))))))</f>
        <v/>
      </c>
    </row>
    <row r="1635" customFormat="false" ht="15" hidden="false" customHeight="false" outlineLevel="0" collapsed="false">
      <c r="A1635" s="65"/>
      <c r="B1635" s="63"/>
      <c r="C1635" s="70"/>
      <c r="D1635" s="66"/>
      <c r="E1635" s="16" t="str">
        <f aca="false">IF($C1635="","",IFERROR(INDEX(Mix_Desc,MATCH($C1635,Mix_Code,0)),"⚠ Unknown mix code"))</f>
        <v/>
      </c>
      <c r="F1635" s="67" t="str">
        <f aca="false">IF(OR($C1635="",$D1635=""),"",IFERROR($D1635*INDEX(Mix_Eff,MATCH($C1635,Mix_Code,0),1),""))</f>
        <v/>
      </c>
      <c r="G1635" s="67" t="str">
        <f aca="false">IF(OR($C1635="",$D1635=""),"",IFERROR($D1635*INDEX(Mix_Eff,MATCH($C1635,Mix_Code,0),2),""))</f>
        <v/>
      </c>
      <c r="H1635" s="67" t="str">
        <f aca="false">IF(OR($C1635="",$D1635=""),"",IFERROR($D1635*INDEX(Mix_Eff,MATCH($C1635,Mix_Code,0),3),""))</f>
        <v/>
      </c>
      <c r="I1635" s="67" t="str">
        <f aca="false">IF(OR($C1635="",$D1635=""),"",IFERROR($D1635*INDEX(Mix_Eff,MATCH($C1635,Mix_Code,0),4),""))</f>
        <v/>
      </c>
      <c r="J1635" s="67" t="str">
        <f aca="false">IF(OR($C1635="",$D1635=""),"",IFERROR($D1635*INDEX(Mix_Eff,MATCH($C1635,Mix_Code,0),5),""))</f>
        <v/>
      </c>
      <c r="K1635" s="63"/>
      <c r="L1635" s="16" t="str">
        <f aca="false">IF(AND($A1635="",$B1635="",$C1635="",$D1635=""),"",IF($A1635="","⚠ Date missing",IF($B1635="","⚠ Site missing",IF(ISNA(MATCH($C1635,Mix_Code,0)),"⚠ Unknown mix code",IF($D1635="","⚠ Enter m3 produced",IF(COUNTIF(CI_Site,$B1635)=0,"⚠ Site not set up in Current Inventory",IF($A1635&gt;AsOfDate,"Future date – not yet deducted","OK")))))))</f>
        <v/>
      </c>
    </row>
    <row r="1636" customFormat="false" ht="15" hidden="false" customHeight="false" outlineLevel="0" collapsed="false">
      <c r="A1636" s="65"/>
      <c r="B1636" s="63"/>
      <c r="C1636" s="70"/>
      <c r="D1636" s="66"/>
      <c r="E1636" s="16" t="str">
        <f aca="false">IF($C1636="","",IFERROR(INDEX(Mix_Desc,MATCH($C1636,Mix_Code,0)),"⚠ Unknown mix code"))</f>
        <v/>
      </c>
      <c r="F1636" s="67" t="str">
        <f aca="false">IF(OR($C1636="",$D1636=""),"",IFERROR($D1636*INDEX(Mix_Eff,MATCH($C1636,Mix_Code,0),1),""))</f>
        <v/>
      </c>
      <c r="G1636" s="67" t="str">
        <f aca="false">IF(OR($C1636="",$D1636=""),"",IFERROR($D1636*INDEX(Mix_Eff,MATCH($C1636,Mix_Code,0),2),""))</f>
        <v/>
      </c>
      <c r="H1636" s="67" t="str">
        <f aca="false">IF(OR($C1636="",$D1636=""),"",IFERROR($D1636*INDEX(Mix_Eff,MATCH($C1636,Mix_Code,0),3),""))</f>
        <v/>
      </c>
      <c r="I1636" s="67" t="str">
        <f aca="false">IF(OR($C1636="",$D1636=""),"",IFERROR($D1636*INDEX(Mix_Eff,MATCH($C1636,Mix_Code,0),4),""))</f>
        <v/>
      </c>
      <c r="J1636" s="67" t="str">
        <f aca="false">IF(OR($C1636="",$D1636=""),"",IFERROR($D1636*INDEX(Mix_Eff,MATCH($C1636,Mix_Code,0),5),""))</f>
        <v/>
      </c>
      <c r="K1636" s="63"/>
      <c r="L1636" s="16" t="str">
        <f aca="false">IF(AND($A1636="",$B1636="",$C1636="",$D1636=""),"",IF($A1636="","⚠ Date missing",IF($B1636="","⚠ Site missing",IF(ISNA(MATCH($C1636,Mix_Code,0)),"⚠ Unknown mix code",IF($D1636="","⚠ Enter m3 produced",IF(COUNTIF(CI_Site,$B1636)=0,"⚠ Site not set up in Current Inventory",IF($A1636&gt;AsOfDate,"Future date – not yet deducted","OK")))))))</f>
        <v/>
      </c>
    </row>
    <row r="1637" customFormat="false" ht="15" hidden="false" customHeight="false" outlineLevel="0" collapsed="false">
      <c r="A1637" s="65"/>
      <c r="B1637" s="63"/>
      <c r="C1637" s="70"/>
      <c r="D1637" s="66"/>
      <c r="E1637" s="16" t="str">
        <f aca="false">IF($C1637="","",IFERROR(INDEX(Mix_Desc,MATCH($C1637,Mix_Code,0)),"⚠ Unknown mix code"))</f>
        <v/>
      </c>
      <c r="F1637" s="67" t="str">
        <f aca="false">IF(OR($C1637="",$D1637=""),"",IFERROR($D1637*INDEX(Mix_Eff,MATCH($C1637,Mix_Code,0),1),""))</f>
        <v/>
      </c>
      <c r="G1637" s="67" t="str">
        <f aca="false">IF(OR($C1637="",$D1637=""),"",IFERROR($D1637*INDEX(Mix_Eff,MATCH($C1637,Mix_Code,0),2),""))</f>
        <v/>
      </c>
      <c r="H1637" s="67" t="str">
        <f aca="false">IF(OR($C1637="",$D1637=""),"",IFERROR($D1637*INDEX(Mix_Eff,MATCH($C1637,Mix_Code,0),3),""))</f>
        <v/>
      </c>
      <c r="I1637" s="67" t="str">
        <f aca="false">IF(OR($C1637="",$D1637=""),"",IFERROR($D1637*INDEX(Mix_Eff,MATCH($C1637,Mix_Code,0),4),""))</f>
        <v/>
      </c>
      <c r="J1637" s="67" t="str">
        <f aca="false">IF(OR($C1637="",$D1637=""),"",IFERROR($D1637*INDEX(Mix_Eff,MATCH($C1637,Mix_Code,0),5),""))</f>
        <v/>
      </c>
      <c r="K1637" s="63"/>
      <c r="L1637" s="16" t="str">
        <f aca="false">IF(AND($A1637="",$B1637="",$C1637="",$D1637=""),"",IF($A1637="","⚠ Date missing",IF($B1637="","⚠ Site missing",IF(ISNA(MATCH($C1637,Mix_Code,0)),"⚠ Unknown mix code",IF($D1637="","⚠ Enter m3 produced",IF(COUNTIF(CI_Site,$B1637)=0,"⚠ Site not set up in Current Inventory",IF($A1637&gt;AsOfDate,"Future date – not yet deducted","OK")))))))</f>
        <v/>
      </c>
    </row>
    <row r="1638" customFormat="false" ht="15" hidden="false" customHeight="false" outlineLevel="0" collapsed="false">
      <c r="A1638" s="65"/>
      <c r="B1638" s="63"/>
      <c r="C1638" s="70"/>
      <c r="D1638" s="66"/>
      <c r="E1638" s="16" t="str">
        <f aca="false">IF($C1638="","",IFERROR(INDEX(Mix_Desc,MATCH($C1638,Mix_Code,0)),"⚠ Unknown mix code"))</f>
        <v/>
      </c>
      <c r="F1638" s="67" t="str">
        <f aca="false">IF(OR($C1638="",$D1638=""),"",IFERROR($D1638*INDEX(Mix_Eff,MATCH($C1638,Mix_Code,0),1),""))</f>
        <v/>
      </c>
      <c r="G1638" s="67" t="str">
        <f aca="false">IF(OR($C1638="",$D1638=""),"",IFERROR($D1638*INDEX(Mix_Eff,MATCH($C1638,Mix_Code,0),2),""))</f>
        <v/>
      </c>
      <c r="H1638" s="67" t="str">
        <f aca="false">IF(OR($C1638="",$D1638=""),"",IFERROR($D1638*INDEX(Mix_Eff,MATCH($C1638,Mix_Code,0),3),""))</f>
        <v/>
      </c>
      <c r="I1638" s="67" t="str">
        <f aca="false">IF(OR($C1638="",$D1638=""),"",IFERROR($D1638*INDEX(Mix_Eff,MATCH($C1638,Mix_Code,0),4),""))</f>
        <v/>
      </c>
      <c r="J1638" s="67" t="str">
        <f aca="false">IF(OR($C1638="",$D1638=""),"",IFERROR($D1638*INDEX(Mix_Eff,MATCH($C1638,Mix_Code,0),5),""))</f>
        <v/>
      </c>
      <c r="K1638" s="63"/>
      <c r="L1638" s="16" t="str">
        <f aca="false">IF(AND($A1638="",$B1638="",$C1638="",$D1638=""),"",IF($A1638="","⚠ Date missing",IF($B1638="","⚠ Site missing",IF(ISNA(MATCH($C1638,Mix_Code,0)),"⚠ Unknown mix code",IF($D1638="","⚠ Enter m3 produced",IF(COUNTIF(CI_Site,$B1638)=0,"⚠ Site not set up in Current Inventory",IF($A1638&gt;AsOfDate,"Future date – not yet deducted","OK")))))))</f>
        <v/>
      </c>
    </row>
    <row r="1639" customFormat="false" ht="15" hidden="false" customHeight="false" outlineLevel="0" collapsed="false">
      <c r="A1639" s="65"/>
      <c r="B1639" s="63"/>
      <c r="C1639" s="70"/>
      <c r="D1639" s="66"/>
      <c r="E1639" s="16" t="str">
        <f aca="false">IF($C1639="","",IFERROR(INDEX(Mix_Desc,MATCH($C1639,Mix_Code,0)),"⚠ Unknown mix code"))</f>
        <v/>
      </c>
      <c r="F1639" s="67" t="str">
        <f aca="false">IF(OR($C1639="",$D1639=""),"",IFERROR($D1639*INDEX(Mix_Eff,MATCH($C1639,Mix_Code,0),1),""))</f>
        <v/>
      </c>
      <c r="G1639" s="67" t="str">
        <f aca="false">IF(OR($C1639="",$D1639=""),"",IFERROR($D1639*INDEX(Mix_Eff,MATCH($C1639,Mix_Code,0),2),""))</f>
        <v/>
      </c>
      <c r="H1639" s="67" t="str">
        <f aca="false">IF(OR($C1639="",$D1639=""),"",IFERROR($D1639*INDEX(Mix_Eff,MATCH($C1639,Mix_Code,0),3),""))</f>
        <v/>
      </c>
      <c r="I1639" s="67" t="str">
        <f aca="false">IF(OR($C1639="",$D1639=""),"",IFERROR($D1639*INDEX(Mix_Eff,MATCH($C1639,Mix_Code,0),4),""))</f>
        <v/>
      </c>
      <c r="J1639" s="67" t="str">
        <f aca="false">IF(OR($C1639="",$D1639=""),"",IFERROR($D1639*INDEX(Mix_Eff,MATCH($C1639,Mix_Code,0),5),""))</f>
        <v/>
      </c>
      <c r="K1639" s="63"/>
      <c r="L1639" s="16" t="str">
        <f aca="false">IF(AND($A1639="",$B1639="",$C1639="",$D1639=""),"",IF($A1639="","⚠ Date missing",IF($B1639="","⚠ Site missing",IF(ISNA(MATCH($C1639,Mix_Code,0)),"⚠ Unknown mix code",IF($D1639="","⚠ Enter m3 produced",IF(COUNTIF(CI_Site,$B1639)=0,"⚠ Site not set up in Current Inventory",IF($A1639&gt;AsOfDate,"Future date – not yet deducted","OK")))))))</f>
        <v/>
      </c>
    </row>
    <row r="1640" customFormat="false" ht="15" hidden="false" customHeight="false" outlineLevel="0" collapsed="false">
      <c r="A1640" s="65"/>
      <c r="B1640" s="63"/>
      <c r="C1640" s="70"/>
      <c r="D1640" s="66"/>
      <c r="E1640" s="16" t="str">
        <f aca="false">IF($C1640="","",IFERROR(INDEX(Mix_Desc,MATCH($C1640,Mix_Code,0)),"⚠ Unknown mix code"))</f>
        <v/>
      </c>
      <c r="F1640" s="67" t="str">
        <f aca="false">IF(OR($C1640="",$D1640=""),"",IFERROR($D1640*INDEX(Mix_Eff,MATCH($C1640,Mix_Code,0),1),""))</f>
        <v/>
      </c>
      <c r="G1640" s="67" t="str">
        <f aca="false">IF(OR($C1640="",$D1640=""),"",IFERROR($D1640*INDEX(Mix_Eff,MATCH($C1640,Mix_Code,0),2),""))</f>
        <v/>
      </c>
      <c r="H1640" s="67" t="str">
        <f aca="false">IF(OR($C1640="",$D1640=""),"",IFERROR($D1640*INDEX(Mix_Eff,MATCH($C1640,Mix_Code,0),3),""))</f>
        <v/>
      </c>
      <c r="I1640" s="67" t="str">
        <f aca="false">IF(OR($C1640="",$D1640=""),"",IFERROR($D1640*INDEX(Mix_Eff,MATCH($C1640,Mix_Code,0),4),""))</f>
        <v/>
      </c>
      <c r="J1640" s="67" t="str">
        <f aca="false">IF(OR($C1640="",$D1640=""),"",IFERROR($D1640*INDEX(Mix_Eff,MATCH($C1640,Mix_Code,0),5),""))</f>
        <v/>
      </c>
      <c r="K1640" s="63"/>
      <c r="L1640" s="16" t="str">
        <f aca="false">IF(AND($A1640="",$B1640="",$C1640="",$D1640=""),"",IF($A1640="","⚠ Date missing",IF($B1640="","⚠ Site missing",IF(ISNA(MATCH($C1640,Mix_Code,0)),"⚠ Unknown mix code",IF($D1640="","⚠ Enter m3 produced",IF(COUNTIF(CI_Site,$B1640)=0,"⚠ Site not set up in Current Inventory",IF($A1640&gt;AsOfDate,"Future date – not yet deducted","OK")))))))</f>
        <v/>
      </c>
    </row>
    <row r="1641" customFormat="false" ht="15" hidden="false" customHeight="false" outlineLevel="0" collapsed="false">
      <c r="A1641" s="65"/>
      <c r="B1641" s="63"/>
      <c r="C1641" s="70"/>
      <c r="D1641" s="66"/>
      <c r="E1641" s="16" t="str">
        <f aca="false">IF($C1641="","",IFERROR(INDEX(Mix_Desc,MATCH($C1641,Mix_Code,0)),"⚠ Unknown mix code"))</f>
        <v/>
      </c>
      <c r="F1641" s="67" t="str">
        <f aca="false">IF(OR($C1641="",$D1641=""),"",IFERROR($D1641*INDEX(Mix_Eff,MATCH($C1641,Mix_Code,0),1),""))</f>
        <v/>
      </c>
      <c r="G1641" s="67" t="str">
        <f aca="false">IF(OR($C1641="",$D1641=""),"",IFERROR($D1641*INDEX(Mix_Eff,MATCH($C1641,Mix_Code,0),2),""))</f>
        <v/>
      </c>
      <c r="H1641" s="67" t="str">
        <f aca="false">IF(OR($C1641="",$D1641=""),"",IFERROR($D1641*INDEX(Mix_Eff,MATCH($C1641,Mix_Code,0),3),""))</f>
        <v/>
      </c>
      <c r="I1641" s="67" t="str">
        <f aca="false">IF(OR($C1641="",$D1641=""),"",IFERROR($D1641*INDEX(Mix_Eff,MATCH($C1641,Mix_Code,0),4),""))</f>
        <v/>
      </c>
      <c r="J1641" s="67" t="str">
        <f aca="false">IF(OR($C1641="",$D1641=""),"",IFERROR($D1641*INDEX(Mix_Eff,MATCH($C1641,Mix_Code,0),5),""))</f>
        <v/>
      </c>
      <c r="K1641" s="63"/>
      <c r="L1641" s="16" t="str">
        <f aca="false">IF(AND($A1641="",$B1641="",$C1641="",$D1641=""),"",IF($A1641="","⚠ Date missing",IF($B1641="","⚠ Site missing",IF(ISNA(MATCH($C1641,Mix_Code,0)),"⚠ Unknown mix code",IF($D1641="","⚠ Enter m3 produced",IF(COUNTIF(CI_Site,$B1641)=0,"⚠ Site not set up in Current Inventory",IF($A1641&gt;AsOfDate,"Future date – not yet deducted","OK")))))))</f>
        <v/>
      </c>
    </row>
    <row r="1642" customFormat="false" ht="15" hidden="false" customHeight="false" outlineLevel="0" collapsed="false">
      <c r="A1642" s="65"/>
      <c r="B1642" s="63"/>
      <c r="C1642" s="70"/>
      <c r="D1642" s="66"/>
      <c r="E1642" s="16" t="str">
        <f aca="false">IF($C1642="","",IFERROR(INDEX(Mix_Desc,MATCH($C1642,Mix_Code,0)),"⚠ Unknown mix code"))</f>
        <v/>
      </c>
      <c r="F1642" s="67" t="str">
        <f aca="false">IF(OR($C1642="",$D1642=""),"",IFERROR($D1642*INDEX(Mix_Eff,MATCH($C1642,Mix_Code,0),1),""))</f>
        <v/>
      </c>
      <c r="G1642" s="67" t="str">
        <f aca="false">IF(OR($C1642="",$D1642=""),"",IFERROR($D1642*INDEX(Mix_Eff,MATCH($C1642,Mix_Code,0),2),""))</f>
        <v/>
      </c>
      <c r="H1642" s="67" t="str">
        <f aca="false">IF(OR($C1642="",$D1642=""),"",IFERROR($D1642*INDEX(Mix_Eff,MATCH($C1642,Mix_Code,0),3),""))</f>
        <v/>
      </c>
      <c r="I1642" s="67" t="str">
        <f aca="false">IF(OR($C1642="",$D1642=""),"",IFERROR($D1642*INDEX(Mix_Eff,MATCH($C1642,Mix_Code,0),4),""))</f>
        <v/>
      </c>
      <c r="J1642" s="67" t="str">
        <f aca="false">IF(OR($C1642="",$D1642=""),"",IFERROR($D1642*INDEX(Mix_Eff,MATCH($C1642,Mix_Code,0),5),""))</f>
        <v/>
      </c>
      <c r="K1642" s="63"/>
      <c r="L1642" s="16" t="str">
        <f aca="false">IF(AND($A1642="",$B1642="",$C1642="",$D1642=""),"",IF($A1642="","⚠ Date missing",IF($B1642="","⚠ Site missing",IF(ISNA(MATCH($C1642,Mix_Code,0)),"⚠ Unknown mix code",IF($D1642="","⚠ Enter m3 produced",IF(COUNTIF(CI_Site,$B1642)=0,"⚠ Site not set up in Current Inventory",IF($A1642&gt;AsOfDate,"Future date – not yet deducted","OK")))))))</f>
        <v/>
      </c>
    </row>
    <row r="1643" customFormat="false" ht="15" hidden="false" customHeight="false" outlineLevel="0" collapsed="false">
      <c r="A1643" s="65"/>
      <c r="B1643" s="63"/>
      <c r="C1643" s="70"/>
      <c r="D1643" s="66"/>
      <c r="E1643" s="16" t="str">
        <f aca="false">IF($C1643="","",IFERROR(INDEX(Mix_Desc,MATCH($C1643,Mix_Code,0)),"⚠ Unknown mix code"))</f>
        <v/>
      </c>
      <c r="F1643" s="67" t="str">
        <f aca="false">IF(OR($C1643="",$D1643=""),"",IFERROR($D1643*INDEX(Mix_Eff,MATCH($C1643,Mix_Code,0),1),""))</f>
        <v/>
      </c>
      <c r="G1643" s="67" t="str">
        <f aca="false">IF(OR($C1643="",$D1643=""),"",IFERROR($D1643*INDEX(Mix_Eff,MATCH($C1643,Mix_Code,0),2),""))</f>
        <v/>
      </c>
      <c r="H1643" s="67" t="str">
        <f aca="false">IF(OR($C1643="",$D1643=""),"",IFERROR($D1643*INDEX(Mix_Eff,MATCH($C1643,Mix_Code,0),3),""))</f>
        <v/>
      </c>
      <c r="I1643" s="67" t="str">
        <f aca="false">IF(OR($C1643="",$D1643=""),"",IFERROR($D1643*INDEX(Mix_Eff,MATCH($C1643,Mix_Code,0),4),""))</f>
        <v/>
      </c>
      <c r="J1643" s="67" t="str">
        <f aca="false">IF(OR($C1643="",$D1643=""),"",IFERROR($D1643*INDEX(Mix_Eff,MATCH($C1643,Mix_Code,0),5),""))</f>
        <v/>
      </c>
      <c r="K1643" s="63"/>
      <c r="L1643" s="16" t="str">
        <f aca="false">IF(AND($A1643="",$B1643="",$C1643="",$D1643=""),"",IF($A1643="","⚠ Date missing",IF($B1643="","⚠ Site missing",IF(ISNA(MATCH($C1643,Mix_Code,0)),"⚠ Unknown mix code",IF($D1643="","⚠ Enter m3 produced",IF(COUNTIF(CI_Site,$B1643)=0,"⚠ Site not set up in Current Inventory",IF($A1643&gt;AsOfDate,"Future date – not yet deducted","OK")))))))</f>
        <v/>
      </c>
    </row>
    <row r="1644" customFormat="false" ht="15" hidden="false" customHeight="false" outlineLevel="0" collapsed="false">
      <c r="A1644" s="65"/>
      <c r="B1644" s="63"/>
      <c r="C1644" s="70"/>
      <c r="D1644" s="66"/>
      <c r="E1644" s="16" t="str">
        <f aca="false">IF($C1644="","",IFERROR(INDEX(Mix_Desc,MATCH($C1644,Mix_Code,0)),"⚠ Unknown mix code"))</f>
        <v/>
      </c>
      <c r="F1644" s="67" t="str">
        <f aca="false">IF(OR($C1644="",$D1644=""),"",IFERROR($D1644*INDEX(Mix_Eff,MATCH($C1644,Mix_Code,0),1),""))</f>
        <v/>
      </c>
      <c r="G1644" s="67" t="str">
        <f aca="false">IF(OR($C1644="",$D1644=""),"",IFERROR($D1644*INDEX(Mix_Eff,MATCH($C1644,Mix_Code,0),2),""))</f>
        <v/>
      </c>
      <c r="H1644" s="67" t="str">
        <f aca="false">IF(OR($C1644="",$D1644=""),"",IFERROR($D1644*INDEX(Mix_Eff,MATCH($C1644,Mix_Code,0),3),""))</f>
        <v/>
      </c>
      <c r="I1644" s="67" t="str">
        <f aca="false">IF(OR($C1644="",$D1644=""),"",IFERROR($D1644*INDEX(Mix_Eff,MATCH($C1644,Mix_Code,0),4),""))</f>
        <v/>
      </c>
      <c r="J1644" s="67" t="str">
        <f aca="false">IF(OR($C1644="",$D1644=""),"",IFERROR($D1644*INDEX(Mix_Eff,MATCH($C1644,Mix_Code,0),5),""))</f>
        <v/>
      </c>
      <c r="K1644" s="63"/>
      <c r="L1644" s="16" t="str">
        <f aca="false">IF(AND($A1644="",$B1644="",$C1644="",$D1644=""),"",IF($A1644="","⚠ Date missing",IF($B1644="","⚠ Site missing",IF(ISNA(MATCH($C1644,Mix_Code,0)),"⚠ Unknown mix code",IF($D1644="","⚠ Enter m3 produced",IF(COUNTIF(CI_Site,$B1644)=0,"⚠ Site not set up in Current Inventory",IF($A1644&gt;AsOfDate,"Future date – not yet deducted","OK")))))))</f>
        <v/>
      </c>
    </row>
    <row r="1645" customFormat="false" ht="15" hidden="false" customHeight="false" outlineLevel="0" collapsed="false">
      <c r="A1645" s="65"/>
      <c r="B1645" s="63"/>
      <c r="C1645" s="70"/>
      <c r="D1645" s="66"/>
      <c r="E1645" s="16" t="str">
        <f aca="false">IF($C1645="","",IFERROR(INDEX(Mix_Desc,MATCH($C1645,Mix_Code,0)),"⚠ Unknown mix code"))</f>
        <v/>
      </c>
      <c r="F1645" s="67" t="str">
        <f aca="false">IF(OR($C1645="",$D1645=""),"",IFERROR($D1645*INDEX(Mix_Eff,MATCH($C1645,Mix_Code,0),1),""))</f>
        <v/>
      </c>
      <c r="G1645" s="67" t="str">
        <f aca="false">IF(OR($C1645="",$D1645=""),"",IFERROR($D1645*INDEX(Mix_Eff,MATCH($C1645,Mix_Code,0),2),""))</f>
        <v/>
      </c>
      <c r="H1645" s="67" t="str">
        <f aca="false">IF(OR($C1645="",$D1645=""),"",IFERROR($D1645*INDEX(Mix_Eff,MATCH($C1645,Mix_Code,0),3),""))</f>
        <v/>
      </c>
      <c r="I1645" s="67" t="str">
        <f aca="false">IF(OR($C1645="",$D1645=""),"",IFERROR($D1645*INDEX(Mix_Eff,MATCH($C1645,Mix_Code,0),4),""))</f>
        <v/>
      </c>
      <c r="J1645" s="67" t="str">
        <f aca="false">IF(OR($C1645="",$D1645=""),"",IFERROR($D1645*INDEX(Mix_Eff,MATCH($C1645,Mix_Code,0),5),""))</f>
        <v/>
      </c>
      <c r="K1645" s="63"/>
      <c r="L1645" s="16" t="str">
        <f aca="false">IF(AND($A1645="",$B1645="",$C1645="",$D1645=""),"",IF($A1645="","⚠ Date missing",IF($B1645="","⚠ Site missing",IF(ISNA(MATCH($C1645,Mix_Code,0)),"⚠ Unknown mix code",IF($D1645="","⚠ Enter m3 produced",IF(COUNTIF(CI_Site,$B1645)=0,"⚠ Site not set up in Current Inventory",IF($A1645&gt;AsOfDate,"Future date – not yet deducted","OK")))))))</f>
        <v/>
      </c>
    </row>
    <row r="1646" customFormat="false" ht="15" hidden="false" customHeight="false" outlineLevel="0" collapsed="false">
      <c r="A1646" s="65"/>
      <c r="B1646" s="63"/>
      <c r="C1646" s="70"/>
      <c r="D1646" s="66"/>
      <c r="E1646" s="16" t="str">
        <f aca="false">IF($C1646="","",IFERROR(INDEX(Mix_Desc,MATCH($C1646,Mix_Code,0)),"⚠ Unknown mix code"))</f>
        <v/>
      </c>
      <c r="F1646" s="67" t="str">
        <f aca="false">IF(OR($C1646="",$D1646=""),"",IFERROR($D1646*INDEX(Mix_Eff,MATCH($C1646,Mix_Code,0),1),""))</f>
        <v/>
      </c>
      <c r="G1646" s="67" t="str">
        <f aca="false">IF(OR($C1646="",$D1646=""),"",IFERROR($D1646*INDEX(Mix_Eff,MATCH($C1646,Mix_Code,0),2),""))</f>
        <v/>
      </c>
      <c r="H1646" s="67" t="str">
        <f aca="false">IF(OR($C1646="",$D1646=""),"",IFERROR($D1646*INDEX(Mix_Eff,MATCH($C1646,Mix_Code,0),3),""))</f>
        <v/>
      </c>
      <c r="I1646" s="67" t="str">
        <f aca="false">IF(OR($C1646="",$D1646=""),"",IFERROR($D1646*INDEX(Mix_Eff,MATCH($C1646,Mix_Code,0),4),""))</f>
        <v/>
      </c>
      <c r="J1646" s="67" t="str">
        <f aca="false">IF(OR($C1646="",$D1646=""),"",IFERROR($D1646*INDEX(Mix_Eff,MATCH($C1646,Mix_Code,0),5),""))</f>
        <v/>
      </c>
      <c r="K1646" s="63"/>
      <c r="L1646" s="16" t="str">
        <f aca="false">IF(AND($A1646="",$B1646="",$C1646="",$D1646=""),"",IF($A1646="","⚠ Date missing",IF($B1646="","⚠ Site missing",IF(ISNA(MATCH($C1646,Mix_Code,0)),"⚠ Unknown mix code",IF($D1646="","⚠ Enter m3 produced",IF(COUNTIF(CI_Site,$B1646)=0,"⚠ Site not set up in Current Inventory",IF($A1646&gt;AsOfDate,"Future date – not yet deducted","OK")))))))</f>
        <v/>
      </c>
    </row>
    <row r="1647" customFormat="false" ht="15" hidden="false" customHeight="false" outlineLevel="0" collapsed="false">
      <c r="A1647" s="65"/>
      <c r="B1647" s="63"/>
      <c r="C1647" s="70"/>
      <c r="D1647" s="66"/>
      <c r="E1647" s="16" t="str">
        <f aca="false">IF($C1647="","",IFERROR(INDEX(Mix_Desc,MATCH($C1647,Mix_Code,0)),"⚠ Unknown mix code"))</f>
        <v/>
      </c>
      <c r="F1647" s="67" t="str">
        <f aca="false">IF(OR($C1647="",$D1647=""),"",IFERROR($D1647*INDEX(Mix_Eff,MATCH($C1647,Mix_Code,0),1),""))</f>
        <v/>
      </c>
      <c r="G1647" s="67" t="str">
        <f aca="false">IF(OR($C1647="",$D1647=""),"",IFERROR($D1647*INDEX(Mix_Eff,MATCH($C1647,Mix_Code,0),2),""))</f>
        <v/>
      </c>
      <c r="H1647" s="67" t="str">
        <f aca="false">IF(OR($C1647="",$D1647=""),"",IFERROR($D1647*INDEX(Mix_Eff,MATCH($C1647,Mix_Code,0),3),""))</f>
        <v/>
      </c>
      <c r="I1647" s="67" t="str">
        <f aca="false">IF(OR($C1647="",$D1647=""),"",IFERROR($D1647*INDEX(Mix_Eff,MATCH($C1647,Mix_Code,0),4),""))</f>
        <v/>
      </c>
      <c r="J1647" s="67" t="str">
        <f aca="false">IF(OR($C1647="",$D1647=""),"",IFERROR($D1647*INDEX(Mix_Eff,MATCH($C1647,Mix_Code,0),5),""))</f>
        <v/>
      </c>
      <c r="K1647" s="63"/>
      <c r="L1647" s="16" t="str">
        <f aca="false">IF(AND($A1647="",$B1647="",$C1647="",$D1647=""),"",IF($A1647="","⚠ Date missing",IF($B1647="","⚠ Site missing",IF(ISNA(MATCH($C1647,Mix_Code,0)),"⚠ Unknown mix code",IF($D1647="","⚠ Enter m3 produced",IF(COUNTIF(CI_Site,$B1647)=0,"⚠ Site not set up in Current Inventory",IF($A1647&gt;AsOfDate,"Future date – not yet deducted","OK")))))))</f>
        <v/>
      </c>
    </row>
    <row r="1648" customFormat="false" ht="15" hidden="false" customHeight="false" outlineLevel="0" collapsed="false">
      <c r="A1648" s="65"/>
      <c r="B1648" s="63"/>
      <c r="C1648" s="70"/>
      <c r="D1648" s="66"/>
      <c r="E1648" s="16" t="str">
        <f aca="false">IF($C1648="","",IFERROR(INDEX(Mix_Desc,MATCH($C1648,Mix_Code,0)),"⚠ Unknown mix code"))</f>
        <v/>
      </c>
      <c r="F1648" s="67" t="str">
        <f aca="false">IF(OR($C1648="",$D1648=""),"",IFERROR($D1648*INDEX(Mix_Eff,MATCH($C1648,Mix_Code,0),1),""))</f>
        <v/>
      </c>
      <c r="G1648" s="67" t="str">
        <f aca="false">IF(OR($C1648="",$D1648=""),"",IFERROR($D1648*INDEX(Mix_Eff,MATCH($C1648,Mix_Code,0),2),""))</f>
        <v/>
      </c>
      <c r="H1648" s="67" t="str">
        <f aca="false">IF(OR($C1648="",$D1648=""),"",IFERROR($D1648*INDEX(Mix_Eff,MATCH($C1648,Mix_Code,0),3),""))</f>
        <v/>
      </c>
      <c r="I1648" s="67" t="str">
        <f aca="false">IF(OR($C1648="",$D1648=""),"",IFERROR($D1648*INDEX(Mix_Eff,MATCH($C1648,Mix_Code,0),4),""))</f>
        <v/>
      </c>
      <c r="J1648" s="67" t="str">
        <f aca="false">IF(OR($C1648="",$D1648=""),"",IFERROR($D1648*INDEX(Mix_Eff,MATCH($C1648,Mix_Code,0),5),""))</f>
        <v/>
      </c>
      <c r="K1648" s="63"/>
      <c r="L1648" s="16" t="str">
        <f aca="false">IF(AND($A1648="",$B1648="",$C1648="",$D1648=""),"",IF($A1648="","⚠ Date missing",IF($B1648="","⚠ Site missing",IF(ISNA(MATCH($C1648,Mix_Code,0)),"⚠ Unknown mix code",IF($D1648="","⚠ Enter m3 produced",IF(COUNTIF(CI_Site,$B1648)=0,"⚠ Site not set up in Current Inventory",IF($A1648&gt;AsOfDate,"Future date – not yet deducted","OK")))))))</f>
        <v/>
      </c>
    </row>
    <row r="1649" customFormat="false" ht="15" hidden="false" customHeight="false" outlineLevel="0" collapsed="false">
      <c r="A1649" s="65"/>
      <c r="B1649" s="63"/>
      <c r="C1649" s="70"/>
      <c r="D1649" s="66"/>
      <c r="E1649" s="16" t="str">
        <f aca="false">IF($C1649="","",IFERROR(INDEX(Mix_Desc,MATCH($C1649,Mix_Code,0)),"⚠ Unknown mix code"))</f>
        <v/>
      </c>
      <c r="F1649" s="67" t="str">
        <f aca="false">IF(OR($C1649="",$D1649=""),"",IFERROR($D1649*INDEX(Mix_Eff,MATCH($C1649,Mix_Code,0),1),""))</f>
        <v/>
      </c>
      <c r="G1649" s="67" t="str">
        <f aca="false">IF(OR($C1649="",$D1649=""),"",IFERROR($D1649*INDEX(Mix_Eff,MATCH($C1649,Mix_Code,0),2),""))</f>
        <v/>
      </c>
      <c r="H1649" s="67" t="str">
        <f aca="false">IF(OR($C1649="",$D1649=""),"",IFERROR($D1649*INDEX(Mix_Eff,MATCH($C1649,Mix_Code,0),3),""))</f>
        <v/>
      </c>
      <c r="I1649" s="67" t="str">
        <f aca="false">IF(OR($C1649="",$D1649=""),"",IFERROR($D1649*INDEX(Mix_Eff,MATCH($C1649,Mix_Code,0),4),""))</f>
        <v/>
      </c>
      <c r="J1649" s="67" t="str">
        <f aca="false">IF(OR($C1649="",$D1649=""),"",IFERROR($D1649*INDEX(Mix_Eff,MATCH($C1649,Mix_Code,0),5),""))</f>
        <v/>
      </c>
      <c r="K1649" s="63"/>
      <c r="L1649" s="16" t="str">
        <f aca="false">IF(AND($A1649="",$B1649="",$C1649="",$D1649=""),"",IF($A1649="","⚠ Date missing",IF($B1649="","⚠ Site missing",IF(ISNA(MATCH($C1649,Mix_Code,0)),"⚠ Unknown mix code",IF($D1649="","⚠ Enter m3 produced",IF(COUNTIF(CI_Site,$B1649)=0,"⚠ Site not set up in Current Inventory",IF($A1649&gt;AsOfDate,"Future date – not yet deducted","OK")))))))</f>
        <v/>
      </c>
    </row>
    <row r="1650" customFormat="false" ht="15" hidden="false" customHeight="false" outlineLevel="0" collapsed="false">
      <c r="A1650" s="65"/>
      <c r="B1650" s="63"/>
      <c r="C1650" s="70"/>
      <c r="D1650" s="66"/>
      <c r="E1650" s="16" t="str">
        <f aca="false">IF($C1650="","",IFERROR(INDEX(Mix_Desc,MATCH($C1650,Mix_Code,0)),"⚠ Unknown mix code"))</f>
        <v/>
      </c>
      <c r="F1650" s="67" t="str">
        <f aca="false">IF(OR($C1650="",$D1650=""),"",IFERROR($D1650*INDEX(Mix_Eff,MATCH($C1650,Mix_Code,0),1),""))</f>
        <v/>
      </c>
      <c r="G1650" s="67" t="str">
        <f aca="false">IF(OR($C1650="",$D1650=""),"",IFERROR($D1650*INDEX(Mix_Eff,MATCH($C1650,Mix_Code,0),2),""))</f>
        <v/>
      </c>
      <c r="H1650" s="67" t="str">
        <f aca="false">IF(OR($C1650="",$D1650=""),"",IFERROR($D1650*INDEX(Mix_Eff,MATCH($C1650,Mix_Code,0),3),""))</f>
        <v/>
      </c>
      <c r="I1650" s="67" t="str">
        <f aca="false">IF(OR($C1650="",$D1650=""),"",IFERROR($D1650*INDEX(Mix_Eff,MATCH($C1650,Mix_Code,0),4),""))</f>
        <v/>
      </c>
      <c r="J1650" s="67" t="str">
        <f aca="false">IF(OR($C1650="",$D1650=""),"",IFERROR($D1650*INDEX(Mix_Eff,MATCH($C1650,Mix_Code,0),5),""))</f>
        <v/>
      </c>
      <c r="K1650" s="63"/>
      <c r="L1650" s="16" t="str">
        <f aca="false">IF(AND($A1650="",$B1650="",$C1650="",$D1650=""),"",IF($A1650="","⚠ Date missing",IF($B1650="","⚠ Site missing",IF(ISNA(MATCH($C1650,Mix_Code,0)),"⚠ Unknown mix code",IF($D1650="","⚠ Enter m3 produced",IF(COUNTIF(CI_Site,$B1650)=0,"⚠ Site not set up in Current Inventory",IF($A1650&gt;AsOfDate,"Future date – not yet deducted","OK")))))))</f>
        <v/>
      </c>
    </row>
    <row r="1651" customFormat="false" ht="15" hidden="false" customHeight="false" outlineLevel="0" collapsed="false">
      <c r="A1651" s="65"/>
      <c r="B1651" s="63"/>
      <c r="C1651" s="70"/>
      <c r="D1651" s="66"/>
      <c r="E1651" s="16" t="str">
        <f aca="false">IF($C1651="","",IFERROR(INDEX(Mix_Desc,MATCH($C1651,Mix_Code,0)),"⚠ Unknown mix code"))</f>
        <v/>
      </c>
      <c r="F1651" s="67" t="str">
        <f aca="false">IF(OR($C1651="",$D1651=""),"",IFERROR($D1651*INDEX(Mix_Eff,MATCH($C1651,Mix_Code,0),1),""))</f>
        <v/>
      </c>
      <c r="G1651" s="67" t="str">
        <f aca="false">IF(OR($C1651="",$D1651=""),"",IFERROR($D1651*INDEX(Mix_Eff,MATCH($C1651,Mix_Code,0),2),""))</f>
        <v/>
      </c>
      <c r="H1651" s="67" t="str">
        <f aca="false">IF(OR($C1651="",$D1651=""),"",IFERROR($D1651*INDEX(Mix_Eff,MATCH($C1651,Mix_Code,0),3),""))</f>
        <v/>
      </c>
      <c r="I1651" s="67" t="str">
        <f aca="false">IF(OR($C1651="",$D1651=""),"",IFERROR($D1651*INDEX(Mix_Eff,MATCH($C1651,Mix_Code,0),4),""))</f>
        <v/>
      </c>
      <c r="J1651" s="67" t="str">
        <f aca="false">IF(OR($C1651="",$D1651=""),"",IFERROR($D1651*INDEX(Mix_Eff,MATCH($C1651,Mix_Code,0),5),""))</f>
        <v/>
      </c>
      <c r="K1651" s="63"/>
      <c r="L1651" s="16" t="str">
        <f aca="false">IF(AND($A1651="",$B1651="",$C1651="",$D1651=""),"",IF($A1651="","⚠ Date missing",IF($B1651="","⚠ Site missing",IF(ISNA(MATCH($C1651,Mix_Code,0)),"⚠ Unknown mix code",IF($D1651="","⚠ Enter m3 produced",IF(COUNTIF(CI_Site,$B1651)=0,"⚠ Site not set up in Current Inventory",IF($A1651&gt;AsOfDate,"Future date – not yet deducted","OK")))))))</f>
        <v/>
      </c>
    </row>
    <row r="1652" customFormat="false" ht="15" hidden="false" customHeight="false" outlineLevel="0" collapsed="false">
      <c r="A1652" s="65"/>
      <c r="B1652" s="63"/>
      <c r="C1652" s="70"/>
      <c r="D1652" s="66"/>
      <c r="E1652" s="16" t="str">
        <f aca="false">IF($C1652="","",IFERROR(INDEX(Mix_Desc,MATCH($C1652,Mix_Code,0)),"⚠ Unknown mix code"))</f>
        <v/>
      </c>
      <c r="F1652" s="67" t="str">
        <f aca="false">IF(OR($C1652="",$D1652=""),"",IFERROR($D1652*INDEX(Mix_Eff,MATCH($C1652,Mix_Code,0),1),""))</f>
        <v/>
      </c>
      <c r="G1652" s="67" t="str">
        <f aca="false">IF(OR($C1652="",$D1652=""),"",IFERROR($D1652*INDEX(Mix_Eff,MATCH($C1652,Mix_Code,0),2),""))</f>
        <v/>
      </c>
      <c r="H1652" s="67" t="str">
        <f aca="false">IF(OR($C1652="",$D1652=""),"",IFERROR($D1652*INDEX(Mix_Eff,MATCH($C1652,Mix_Code,0),3),""))</f>
        <v/>
      </c>
      <c r="I1652" s="67" t="str">
        <f aca="false">IF(OR($C1652="",$D1652=""),"",IFERROR($D1652*INDEX(Mix_Eff,MATCH($C1652,Mix_Code,0),4),""))</f>
        <v/>
      </c>
      <c r="J1652" s="67" t="str">
        <f aca="false">IF(OR($C1652="",$D1652=""),"",IFERROR($D1652*INDEX(Mix_Eff,MATCH($C1652,Mix_Code,0),5),""))</f>
        <v/>
      </c>
      <c r="K1652" s="63"/>
      <c r="L1652" s="16" t="str">
        <f aca="false">IF(AND($A1652="",$B1652="",$C1652="",$D1652=""),"",IF($A1652="","⚠ Date missing",IF($B1652="","⚠ Site missing",IF(ISNA(MATCH($C1652,Mix_Code,0)),"⚠ Unknown mix code",IF($D1652="","⚠ Enter m3 produced",IF(COUNTIF(CI_Site,$B1652)=0,"⚠ Site not set up in Current Inventory",IF($A1652&gt;AsOfDate,"Future date – not yet deducted","OK")))))))</f>
        <v/>
      </c>
    </row>
    <row r="1653" customFormat="false" ht="15" hidden="false" customHeight="false" outlineLevel="0" collapsed="false">
      <c r="A1653" s="65"/>
      <c r="B1653" s="63"/>
      <c r="C1653" s="70"/>
      <c r="D1653" s="66"/>
      <c r="E1653" s="16" t="str">
        <f aca="false">IF($C1653="","",IFERROR(INDEX(Mix_Desc,MATCH($C1653,Mix_Code,0)),"⚠ Unknown mix code"))</f>
        <v/>
      </c>
      <c r="F1653" s="67" t="str">
        <f aca="false">IF(OR($C1653="",$D1653=""),"",IFERROR($D1653*INDEX(Mix_Eff,MATCH($C1653,Mix_Code,0),1),""))</f>
        <v/>
      </c>
      <c r="G1653" s="67" t="str">
        <f aca="false">IF(OR($C1653="",$D1653=""),"",IFERROR($D1653*INDEX(Mix_Eff,MATCH($C1653,Mix_Code,0),2),""))</f>
        <v/>
      </c>
      <c r="H1653" s="67" t="str">
        <f aca="false">IF(OR($C1653="",$D1653=""),"",IFERROR($D1653*INDEX(Mix_Eff,MATCH($C1653,Mix_Code,0),3),""))</f>
        <v/>
      </c>
      <c r="I1653" s="67" t="str">
        <f aca="false">IF(OR($C1653="",$D1653=""),"",IFERROR($D1653*INDEX(Mix_Eff,MATCH($C1653,Mix_Code,0),4),""))</f>
        <v/>
      </c>
      <c r="J1653" s="67" t="str">
        <f aca="false">IF(OR($C1653="",$D1653=""),"",IFERROR($D1653*INDEX(Mix_Eff,MATCH($C1653,Mix_Code,0),5),""))</f>
        <v/>
      </c>
      <c r="K1653" s="63"/>
      <c r="L1653" s="16" t="str">
        <f aca="false">IF(AND($A1653="",$B1653="",$C1653="",$D1653=""),"",IF($A1653="","⚠ Date missing",IF($B1653="","⚠ Site missing",IF(ISNA(MATCH($C1653,Mix_Code,0)),"⚠ Unknown mix code",IF($D1653="","⚠ Enter m3 produced",IF(COUNTIF(CI_Site,$B1653)=0,"⚠ Site not set up in Current Inventory",IF($A1653&gt;AsOfDate,"Future date – not yet deducted","OK")))))))</f>
        <v/>
      </c>
    </row>
    <row r="1654" customFormat="false" ht="15" hidden="false" customHeight="false" outlineLevel="0" collapsed="false">
      <c r="A1654" s="65"/>
      <c r="B1654" s="63"/>
      <c r="C1654" s="70"/>
      <c r="D1654" s="66"/>
      <c r="E1654" s="16" t="str">
        <f aca="false">IF($C1654="","",IFERROR(INDEX(Mix_Desc,MATCH($C1654,Mix_Code,0)),"⚠ Unknown mix code"))</f>
        <v/>
      </c>
      <c r="F1654" s="67" t="str">
        <f aca="false">IF(OR($C1654="",$D1654=""),"",IFERROR($D1654*INDEX(Mix_Eff,MATCH($C1654,Mix_Code,0),1),""))</f>
        <v/>
      </c>
      <c r="G1654" s="67" t="str">
        <f aca="false">IF(OR($C1654="",$D1654=""),"",IFERROR($D1654*INDEX(Mix_Eff,MATCH($C1654,Mix_Code,0),2),""))</f>
        <v/>
      </c>
      <c r="H1654" s="67" t="str">
        <f aca="false">IF(OR($C1654="",$D1654=""),"",IFERROR($D1654*INDEX(Mix_Eff,MATCH($C1654,Mix_Code,0),3),""))</f>
        <v/>
      </c>
      <c r="I1654" s="67" t="str">
        <f aca="false">IF(OR($C1654="",$D1654=""),"",IFERROR($D1654*INDEX(Mix_Eff,MATCH($C1654,Mix_Code,0),4),""))</f>
        <v/>
      </c>
      <c r="J1654" s="67" t="str">
        <f aca="false">IF(OR($C1654="",$D1654=""),"",IFERROR($D1654*INDEX(Mix_Eff,MATCH($C1654,Mix_Code,0),5),""))</f>
        <v/>
      </c>
      <c r="K1654" s="63"/>
      <c r="L1654" s="16" t="str">
        <f aca="false">IF(AND($A1654="",$B1654="",$C1654="",$D1654=""),"",IF($A1654="","⚠ Date missing",IF($B1654="","⚠ Site missing",IF(ISNA(MATCH($C1654,Mix_Code,0)),"⚠ Unknown mix code",IF($D1654="","⚠ Enter m3 produced",IF(COUNTIF(CI_Site,$B1654)=0,"⚠ Site not set up in Current Inventory",IF($A1654&gt;AsOfDate,"Future date – not yet deducted","OK")))))))</f>
        <v/>
      </c>
    </row>
    <row r="1655" customFormat="false" ht="15" hidden="false" customHeight="false" outlineLevel="0" collapsed="false">
      <c r="A1655" s="65"/>
      <c r="B1655" s="63"/>
      <c r="C1655" s="70"/>
      <c r="D1655" s="66"/>
      <c r="E1655" s="16" t="str">
        <f aca="false">IF($C1655="","",IFERROR(INDEX(Mix_Desc,MATCH($C1655,Mix_Code,0)),"⚠ Unknown mix code"))</f>
        <v/>
      </c>
      <c r="F1655" s="67" t="str">
        <f aca="false">IF(OR($C1655="",$D1655=""),"",IFERROR($D1655*INDEX(Mix_Eff,MATCH($C1655,Mix_Code,0),1),""))</f>
        <v/>
      </c>
      <c r="G1655" s="67" t="str">
        <f aca="false">IF(OR($C1655="",$D1655=""),"",IFERROR($D1655*INDEX(Mix_Eff,MATCH($C1655,Mix_Code,0),2),""))</f>
        <v/>
      </c>
      <c r="H1655" s="67" t="str">
        <f aca="false">IF(OR($C1655="",$D1655=""),"",IFERROR($D1655*INDEX(Mix_Eff,MATCH($C1655,Mix_Code,0),3),""))</f>
        <v/>
      </c>
      <c r="I1655" s="67" t="str">
        <f aca="false">IF(OR($C1655="",$D1655=""),"",IFERROR($D1655*INDEX(Mix_Eff,MATCH($C1655,Mix_Code,0),4),""))</f>
        <v/>
      </c>
      <c r="J1655" s="67" t="str">
        <f aca="false">IF(OR($C1655="",$D1655=""),"",IFERROR($D1655*INDEX(Mix_Eff,MATCH($C1655,Mix_Code,0),5),""))</f>
        <v/>
      </c>
      <c r="K1655" s="63"/>
      <c r="L1655" s="16" t="str">
        <f aca="false">IF(AND($A1655="",$B1655="",$C1655="",$D1655=""),"",IF($A1655="","⚠ Date missing",IF($B1655="","⚠ Site missing",IF(ISNA(MATCH($C1655,Mix_Code,0)),"⚠ Unknown mix code",IF($D1655="","⚠ Enter m3 produced",IF(COUNTIF(CI_Site,$B1655)=0,"⚠ Site not set up in Current Inventory",IF($A1655&gt;AsOfDate,"Future date – not yet deducted","OK")))))))</f>
        <v/>
      </c>
    </row>
    <row r="1656" customFormat="false" ht="15" hidden="false" customHeight="false" outlineLevel="0" collapsed="false">
      <c r="A1656" s="65"/>
      <c r="B1656" s="63"/>
      <c r="C1656" s="70"/>
      <c r="D1656" s="66"/>
      <c r="E1656" s="16" t="str">
        <f aca="false">IF($C1656="","",IFERROR(INDEX(Mix_Desc,MATCH($C1656,Mix_Code,0)),"⚠ Unknown mix code"))</f>
        <v/>
      </c>
      <c r="F1656" s="67" t="str">
        <f aca="false">IF(OR($C1656="",$D1656=""),"",IFERROR($D1656*INDEX(Mix_Eff,MATCH($C1656,Mix_Code,0),1),""))</f>
        <v/>
      </c>
      <c r="G1656" s="67" t="str">
        <f aca="false">IF(OR($C1656="",$D1656=""),"",IFERROR($D1656*INDEX(Mix_Eff,MATCH($C1656,Mix_Code,0),2),""))</f>
        <v/>
      </c>
      <c r="H1656" s="67" t="str">
        <f aca="false">IF(OR($C1656="",$D1656=""),"",IFERROR($D1656*INDEX(Mix_Eff,MATCH($C1656,Mix_Code,0),3),""))</f>
        <v/>
      </c>
      <c r="I1656" s="67" t="str">
        <f aca="false">IF(OR($C1656="",$D1656=""),"",IFERROR($D1656*INDEX(Mix_Eff,MATCH($C1656,Mix_Code,0),4),""))</f>
        <v/>
      </c>
      <c r="J1656" s="67" t="str">
        <f aca="false">IF(OR($C1656="",$D1656=""),"",IFERROR($D1656*INDEX(Mix_Eff,MATCH($C1656,Mix_Code,0),5),""))</f>
        <v/>
      </c>
      <c r="K1656" s="63"/>
      <c r="L1656" s="16" t="str">
        <f aca="false">IF(AND($A1656="",$B1656="",$C1656="",$D1656=""),"",IF($A1656="","⚠ Date missing",IF($B1656="","⚠ Site missing",IF(ISNA(MATCH($C1656,Mix_Code,0)),"⚠ Unknown mix code",IF($D1656="","⚠ Enter m3 produced",IF(COUNTIF(CI_Site,$B1656)=0,"⚠ Site not set up in Current Inventory",IF($A1656&gt;AsOfDate,"Future date – not yet deducted","OK")))))))</f>
        <v/>
      </c>
    </row>
    <row r="1657" customFormat="false" ht="15" hidden="false" customHeight="false" outlineLevel="0" collapsed="false">
      <c r="A1657" s="65"/>
      <c r="B1657" s="63"/>
      <c r="C1657" s="70"/>
      <c r="D1657" s="66"/>
      <c r="E1657" s="16" t="str">
        <f aca="false">IF($C1657="","",IFERROR(INDEX(Mix_Desc,MATCH($C1657,Mix_Code,0)),"⚠ Unknown mix code"))</f>
        <v/>
      </c>
      <c r="F1657" s="67" t="str">
        <f aca="false">IF(OR($C1657="",$D1657=""),"",IFERROR($D1657*INDEX(Mix_Eff,MATCH($C1657,Mix_Code,0),1),""))</f>
        <v/>
      </c>
      <c r="G1657" s="67" t="str">
        <f aca="false">IF(OR($C1657="",$D1657=""),"",IFERROR($D1657*INDEX(Mix_Eff,MATCH($C1657,Mix_Code,0),2),""))</f>
        <v/>
      </c>
      <c r="H1657" s="67" t="str">
        <f aca="false">IF(OR($C1657="",$D1657=""),"",IFERROR($D1657*INDEX(Mix_Eff,MATCH($C1657,Mix_Code,0),3),""))</f>
        <v/>
      </c>
      <c r="I1657" s="67" t="str">
        <f aca="false">IF(OR($C1657="",$D1657=""),"",IFERROR($D1657*INDEX(Mix_Eff,MATCH($C1657,Mix_Code,0),4),""))</f>
        <v/>
      </c>
      <c r="J1657" s="67" t="str">
        <f aca="false">IF(OR($C1657="",$D1657=""),"",IFERROR($D1657*INDEX(Mix_Eff,MATCH($C1657,Mix_Code,0),5),""))</f>
        <v/>
      </c>
      <c r="K1657" s="63"/>
      <c r="L1657" s="16" t="str">
        <f aca="false">IF(AND($A1657="",$B1657="",$C1657="",$D1657=""),"",IF($A1657="","⚠ Date missing",IF($B1657="","⚠ Site missing",IF(ISNA(MATCH($C1657,Mix_Code,0)),"⚠ Unknown mix code",IF($D1657="","⚠ Enter m3 produced",IF(COUNTIF(CI_Site,$B1657)=0,"⚠ Site not set up in Current Inventory",IF($A1657&gt;AsOfDate,"Future date – not yet deducted","OK")))))))</f>
        <v/>
      </c>
    </row>
    <row r="1658" customFormat="false" ht="15" hidden="false" customHeight="false" outlineLevel="0" collapsed="false">
      <c r="A1658" s="65"/>
      <c r="B1658" s="63"/>
      <c r="C1658" s="70"/>
      <c r="D1658" s="66"/>
      <c r="E1658" s="16" t="str">
        <f aca="false">IF($C1658="","",IFERROR(INDEX(Mix_Desc,MATCH($C1658,Mix_Code,0)),"⚠ Unknown mix code"))</f>
        <v/>
      </c>
      <c r="F1658" s="67" t="str">
        <f aca="false">IF(OR($C1658="",$D1658=""),"",IFERROR($D1658*INDEX(Mix_Eff,MATCH($C1658,Mix_Code,0),1),""))</f>
        <v/>
      </c>
      <c r="G1658" s="67" t="str">
        <f aca="false">IF(OR($C1658="",$D1658=""),"",IFERROR($D1658*INDEX(Mix_Eff,MATCH($C1658,Mix_Code,0),2),""))</f>
        <v/>
      </c>
      <c r="H1658" s="67" t="str">
        <f aca="false">IF(OR($C1658="",$D1658=""),"",IFERROR($D1658*INDEX(Mix_Eff,MATCH($C1658,Mix_Code,0),3),""))</f>
        <v/>
      </c>
      <c r="I1658" s="67" t="str">
        <f aca="false">IF(OR($C1658="",$D1658=""),"",IFERROR($D1658*INDEX(Mix_Eff,MATCH($C1658,Mix_Code,0),4),""))</f>
        <v/>
      </c>
      <c r="J1658" s="67" t="str">
        <f aca="false">IF(OR($C1658="",$D1658=""),"",IFERROR($D1658*INDEX(Mix_Eff,MATCH($C1658,Mix_Code,0),5),""))</f>
        <v/>
      </c>
      <c r="K1658" s="63"/>
      <c r="L1658" s="16" t="str">
        <f aca="false">IF(AND($A1658="",$B1658="",$C1658="",$D1658=""),"",IF($A1658="","⚠ Date missing",IF($B1658="","⚠ Site missing",IF(ISNA(MATCH($C1658,Mix_Code,0)),"⚠ Unknown mix code",IF($D1658="","⚠ Enter m3 produced",IF(COUNTIF(CI_Site,$B1658)=0,"⚠ Site not set up in Current Inventory",IF($A1658&gt;AsOfDate,"Future date – not yet deducted","OK")))))))</f>
        <v/>
      </c>
    </row>
    <row r="1659" customFormat="false" ht="15" hidden="false" customHeight="false" outlineLevel="0" collapsed="false">
      <c r="A1659" s="65"/>
      <c r="B1659" s="63"/>
      <c r="C1659" s="70"/>
      <c r="D1659" s="66"/>
      <c r="E1659" s="16" t="str">
        <f aca="false">IF($C1659="","",IFERROR(INDEX(Mix_Desc,MATCH($C1659,Mix_Code,0)),"⚠ Unknown mix code"))</f>
        <v/>
      </c>
      <c r="F1659" s="67" t="str">
        <f aca="false">IF(OR($C1659="",$D1659=""),"",IFERROR($D1659*INDEX(Mix_Eff,MATCH($C1659,Mix_Code,0),1),""))</f>
        <v/>
      </c>
      <c r="G1659" s="67" t="str">
        <f aca="false">IF(OR($C1659="",$D1659=""),"",IFERROR($D1659*INDEX(Mix_Eff,MATCH($C1659,Mix_Code,0),2),""))</f>
        <v/>
      </c>
      <c r="H1659" s="67" t="str">
        <f aca="false">IF(OR($C1659="",$D1659=""),"",IFERROR($D1659*INDEX(Mix_Eff,MATCH($C1659,Mix_Code,0),3),""))</f>
        <v/>
      </c>
      <c r="I1659" s="67" t="str">
        <f aca="false">IF(OR($C1659="",$D1659=""),"",IFERROR($D1659*INDEX(Mix_Eff,MATCH($C1659,Mix_Code,0),4),""))</f>
        <v/>
      </c>
      <c r="J1659" s="67" t="str">
        <f aca="false">IF(OR($C1659="",$D1659=""),"",IFERROR($D1659*INDEX(Mix_Eff,MATCH($C1659,Mix_Code,0),5),""))</f>
        <v/>
      </c>
      <c r="K1659" s="63"/>
      <c r="L1659" s="16" t="str">
        <f aca="false">IF(AND($A1659="",$B1659="",$C1659="",$D1659=""),"",IF($A1659="","⚠ Date missing",IF($B1659="","⚠ Site missing",IF(ISNA(MATCH($C1659,Mix_Code,0)),"⚠ Unknown mix code",IF($D1659="","⚠ Enter m3 produced",IF(COUNTIF(CI_Site,$B1659)=0,"⚠ Site not set up in Current Inventory",IF($A1659&gt;AsOfDate,"Future date – not yet deducted","OK")))))))</f>
        <v/>
      </c>
    </row>
    <row r="1660" customFormat="false" ht="15" hidden="false" customHeight="false" outlineLevel="0" collapsed="false">
      <c r="A1660" s="65"/>
      <c r="B1660" s="63"/>
      <c r="C1660" s="70"/>
      <c r="D1660" s="66"/>
      <c r="E1660" s="16" t="str">
        <f aca="false">IF($C1660="","",IFERROR(INDEX(Mix_Desc,MATCH($C1660,Mix_Code,0)),"⚠ Unknown mix code"))</f>
        <v/>
      </c>
      <c r="F1660" s="67" t="str">
        <f aca="false">IF(OR($C1660="",$D1660=""),"",IFERROR($D1660*INDEX(Mix_Eff,MATCH($C1660,Mix_Code,0),1),""))</f>
        <v/>
      </c>
      <c r="G1660" s="67" t="str">
        <f aca="false">IF(OR($C1660="",$D1660=""),"",IFERROR($D1660*INDEX(Mix_Eff,MATCH($C1660,Mix_Code,0),2),""))</f>
        <v/>
      </c>
      <c r="H1660" s="67" t="str">
        <f aca="false">IF(OR($C1660="",$D1660=""),"",IFERROR($D1660*INDEX(Mix_Eff,MATCH($C1660,Mix_Code,0),3),""))</f>
        <v/>
      </c>
      <c r="I1660" s="67" t="str">
        <f aca="false">IF(OR($C1660="",$D1660=""),"",IFERROR($D1660*INDEX(Mix_Eff,MATCH($C1660,Mix_Code,0),4),""))</f>
        <v/>
      </c>
      <c r="J1660" s="67" t="str">
        <f aca="false">IF(OR($C1660="",$D1660=""),"",IFERROR($D1660*INDEX(Mix_Eff,MATCH($C1660,Mix_Code,0),5),""))</f>
        <v/>
      </c>
      <c r="K1660" s="63"/>
      <c r="L1660" s="16" t="str">
        <f aca="false">IF(AND($A1660="",$B1660="",$C1660="",$D1660=""),"",IF($A1660="","⚠ Date missing",IF($B1660="","⚠ Site missing",IF(ISNA(MATCH($C1660,Mix_Code,0)),"⚠ Unknown mix code",IF($D1660="","⚠ Enter m3 produced",IF(COUNTIF(CI_Site,$B1660)=0,"⚠ Site not set up in Current Inventory",IF($A1660&gt;AsOfDate,"Future date – not yet deducted","OK")))))))</f>
        <v/>
      </c>
    </row>
    <row r="1661" customFormat="false" ht="15" hidden="false" customHeight="false" outlineLevel="0" collapsed="false">
      <c r="A1661" s="65"/>
      <c r="B1661" s="63"/>
      <c r="C1661" s="70"/>
      <c r="D1661" s="66"/>
      <c r="E1661" s="16" t="str">
        <f aca="false">IF($C1661="","",IFERROR(INDEX(Mix_Desc,MATCH($C1661,Mix_Code,0)),"⚠ Unknown mix code"))</f>
        <v/>
      </c>
      <c r="F1661" s="67" t="str">
        <f aca="false">IF(OR($C1661="",$D1661=""),"",IFERROR($D1661*INDEX(Mix_Eff,MATCH($C1661,Mix_Code,0),1),""))</f>
        <v/>
      </c>
      <c r="G1661" s="67" t="str">
        <f aca="false">IF(OR($C1661="",$D1661=""),"",IFERROR($D1661*INDEX(Mix_Eff,MATCH($C1661,Mix_Code,0),2),""))</f>
        <v/>
      </c>
      <c r="H1661" s="67" t="str">
        <f aca="false">IF(OR($C1661="",$D1661=""),"",IFERROR($D1661*INDEX(Mix_Eff,MATCH($C1661,Mix_Code,0),3),""))</f>
        <v/>
      </c>
      <c r="I1661" s="67" t="str">
        <f aca="false">IF(OR($C1661="",$D1661=""),"",IFERROR($D1661*INDEX(Mix_Eff,MATCH($C1661,Mix_Code,0),4),""))</f>
        <v/>
      </c>
      <c r="J1661" s="67" t="str">
        <f aca="false">IF(OR($C1661="",$D1661=""),"",IFERROR($D1661*INDEX(Mix_Eff,MATCH($C1661,Mix_Code,0),5),""))</f>
        <v/>
      </c>
      <c r="K1661" s="63"/>
      <c r="L1661" s="16" t="str">
        <f aca="false">IF(AND($A1661="",$B1661="",$C1661="",$D1661=""),"",IF($A1661="","⚠ Date missing",IF($B1661="","⚠ Site missing",IF(ISNA(MATCH($C1661,Mix_Code,0)),"⚠ Unknown mix code",IF($D1661="","⚠ Enter m3 produced",IF(COUNTIF(CI_Site,$B1661)=0,"⚠ Site not set up in Current Inventory",IF($A1661&gt;AsOfDate,"Future date – not yet deducted","OK")))))))</f>
        <v/>
      </c>
    </row>
    <row r="1662" customFormat="false" ht="15" hidden="false" customHeight="false" outlineLevel="0" collapsed="false">
      <c r="A1662" s="65"/>
      <c r="B1662" s="63"/>
      <c r="C1662" s="70"/>
      <c r="D1662" s="66"/>
      <c r="E1662" s="16" t="str">
        <f aca="false">IF($C1662="","",IFERROR(INDEX(Mix_Desc,MATCH($C1662,Mix_Code,0)),"⚠ Unknown mix code"))</f>
        <v/>
      </c>
      <c r="F1662" s="67" t="str">
        <f aca="false">IF(OR($C1662="",$D1662=""),"",IFERROR($D1662*INDEX(Mix_Eff,MATCH($C1662,Mix_Code,0),1),""))</f>
        <v/>
      </c>
      <c r="G1662" s="67" t="str">
        <f aca="false">IF(OR($C1662="",$D1662=""),"",IFERROR($D1662*INDEX(Mix_Eff,MATCH($C1662,Mix_Code,0),2),""))</f>
        <v/>
      </c>
      <c r="H1662" s="67" t="str">
        <f aca="false">IF(OR($C1662="",$D1662=""),"",IFERROR($D1662*INDEX(Mix_Eff,MATCH($C1662,Mix_Code,0),3),""))</f>
        <v/>
      </c>
      <c r="I1662" s="67" t="str">
        <f aca="false">IF(OR($C1662="",$D1662=""),"",IFERROR($D1662*INDEX(Mix_Eff,MATCH($C1662,Mix_Code,0),4),""))</f>
        <v/>
      </c>
      <c r="J1662" s="67" t="str">
        <f aca="false">IF(OR($C1662="",$D1662=""),"",IFERROR($D1662*INDEX(Mix_Eff,MATCH($C1662,Mix_Code,0),5),""))</f>
        <v/>
      </c>
      <c r="K1662" s="63"/>
      <c r="L1662" s="16" t="str">
        <f aca="false">IF(AND($A1662="",$B1662="",$C1662="",$D1662=""),"",IF($A1662="","⚠ Date missing",IF($B1662="","⚠ Site missing",IF(ISNA(MATCH($C1662,Mix_Code,0)),"⚠ Unknown mix code",IF($D1662="","⚠ Enter m3 produced",IF(COUNTIF(CI_Site,$B1662)=0,"⚠ Site not set up in Current Inventory",IF($A1662&gt;AsOfDate,"Future date – not yet deducted","OK")))))))</f>
        <v/>
      </c>
    </row>
    <row r="1663" customFormat="false" ht="15" hidden="false" customHeight="false" outlineLevel="0" collapsed="false">
      <c r="A1663" s="65"/>
      <c r="B1663" s="63"/>
      <c r="C1663" s="70"/>
      <c r="D1663" s="66"/>
      <c r="E1663" s="16" t="str">
        <f aca="false">IF($C1663="","",IFERROR(INDEX(Mix_Desc,MATCH($C1663,Mix_Code,0)),"⚠ Unknown mix code"))</f>
        <v/>
      </c>
      <c r="F1663" s="67" t="str">
        <f aca="false">IF(OR($C1663="",$D1663=""),"",IFERROR($D1663*INDEX(Mix_Eff,MATCH($C1663,Mix_Code,0),1),""))</f>
        <v/>
      </c>
      <c r="G1663" s="67" t="str">
        <f aca="false">IF(OR($C1663="",$D1663=""),"",IFERROR($D1663*INDEX(Mix_Eff,MATCH($C1663,Mix_Code,0),2),""))</f>
        <v/>
      </c>
      <c r="H1663" s="67" t="str">
        <f aca="false">IF(OR($C1663="",$D1663=""),"",IFERROR($D1663*INDEX(Mix_Eff,MATCH($C1663,Mix_Code,0),3),""))</f>
        <v/>
      </c>
      <c r="I1663" s="67" t="str">
        <f aca="false">IF(OR($C1663="",$D1663=""),"",IFERROR($D1663*INDEX(Mix_Eff,MATCH($C1663,Mix_Code,0),4),""))</f>
        <v/>
      </c>
      <c r="J1663" s="67" t="str">
        <f aca="false">IF(OR($C1663="",$D1663=""),"",IFERROR($D1663*INDEX(Mix_Eff,MATCH($C1663,Mix_Code,0),5),""))</f>
        <v/>
      </c>
      <c r="K1663" s="63"/>
      <c r="L1663" s="16" t="str">
        <f aca="false">IF(AND($A1663="",$B1663="",$C1663="",$D1663=""),"",IF($A1663="","⚠ Date missing",IF($B1663="","⚠ Site missing",IF(ISNA(MATCH($C1663,Mix_Code,0)),"⚠ Unknown mix code",IF($D1663="","⚠ Enter m3 produced",IF(COUNTIF(CI_Site,$B1663)=0,"⚠ Site not set up in Current Inventory",IF($A1663&gt;AsOfDate,"Future date – not yet deducted","OK")))))))</f>
        <v/>
      </c>
    </row>
    <row r="1664" customFormat="false" ht="15" hidden="false" customHeight="false" outlineLevel="0" collapsed="false">
      <c r="A1664" s="65"/>
      <c r="B1664" s="63"/>
      <c r="C1664" s="70"/>
      <c r="D1664" s="66"/>
      <c r="E1664" s="16" t="str">
        <f aca="false">IF($C1664="","",IFERROR(INDEX(Mix_Desc,MATCH($C1664,Mix_Code,0)),"⚠ Unknown mix code"))</f>
        <v/>
      </c>
      <c r="F1664" s="67" t="str">
        <f aca="false">IF(OR($C1664="",$D1664=""),"",IFERROR($D1664*INDEX(Mix_Eff,MATCH($C1664,Mix_Code,0),1),""))</f>
        <v/>
      </c>
      <c r="G1664" s="67" t="str">
        <f aca="false">IF(OR($C1664="",$D1664=""),"",IFERROR($D1664*INDEX(Mix_Eff,MATCH($C1664,Mix_Code,0),2),""))</f>
        <v/>
      </c>
      <c r="H1664" s="67" t="str">
        <f aca="false">IF(OR($C1664="",$D1664=""),"",IFERROR($D1664*INDEX(Mix_Eff,MATCH($C1664,Mix_Code,0),3),""))</f>
        <v/>
      </c>
      <c r="I1664" s="67" t="str">
        <f aca="false">IF(OR($C1664="",$D1664=""),"",IFERROR($D1664*INDEX(Mix_Eff,MATCH($C1664,Mix_Code,0),4),""))</f>
        <v/>
      </c>
      <c r="J1664" s="67" t="str">
        <f aca="false">IF(OR($C1664="",$D1664=""),"",IFERROR($D1664*INDEX(Mix_Eff,MATCH($C1664,Mix_Code,0),5),""))</f>
        <v/>
      </c>
      <c r="K1664" s="63"/>
      <c r="L1664" s="16" t="str">
        <f aca="false">IF(AND($A1664="",$B1664="",$C1664="",$D1664=""),"",IF($A1664="","⚠ Date missing",IF($B1664="","⚠ Site missing",IF(ISNA(MATCH($C1664,Mix_Code,0)),"⚠ Unknown mix code",IF($D1664="","⚠ Enter m3 produced",IF(COUNTIF(CI_Site,$B1664)=0,"⚠ Site not set up in Current Inventory",IF($A1664&gt;AsOfDate,"Future date – not yet deducted","OK")))))))</f>
        <v/>
      </c>
    </row>
    <row r="1665" customFormat="false" ht="15" hidden="false" customHeight="false" outlineLevel="0" collapsed="false">
      <c r="A1665" s="65"/>
      <c r="B1665" s="63"/>
      <c r="C1665" s="70"/>
      <c r="D1665" s="66"/>
      <c r="E1665" s="16" t="str">
        <f aca="false">IF($C1665="","",IFERROR(INDEX(Mix_Desc,MATCH($C1665,Mix_Code,0)),"⚠ Unknown mix code"))</f>
        <v/>
      </c>
      <c r="F1665" s="67" t="str">
        <f aca="false">IF(OR($C1665="",$D1665=""),"",IFERROR($D1665*INDEX(Mix_Eff,MATCH($C1665,Mix_Code,0),1),""))</f>
        <v/>
      </c>
      <c r="G1665" s="67" t="str">
        <f aca="false">IF(OR($C1665="",$D1665=""),"",IFERROR($D1665*INDEX(Mix_Eff,MATCH($C1665,Mix_Code,0),2),""))</f>
        <v/>
      </c>
      <c r="H1665" s="67" t="str">
        <f aca="false">IF(OR($C1665="",$D1665=""),"",IFERROR($D1665*INDEX(Mix_Eff,MATCH($C1665,Mix_Code,0),3),""))</f>
        <v/>
      </c>
      <c r="I1665" s="67" t="str">
        <f aca="false">IF(OR($C1665="",$D1665=""),"",IFERROR($D1665*INDEX(Mix_Eff,MATCH($C1665,Mix_Code,0),4),""))</f>
        <v/>
      </c>
      <c r="J1665" s="67" t="str">
        <f aca="false">IF(OR($C1665="",$D1665=""),"",IFERROR($D1665*INDEX(Mix_Eff,MATCH($C1665,Mix_Code,0),5),""))</f>
        <v/>
      </c>
      <c r="K1665" s="63"/>
      <c r="L1665" s="16" t="str">
        <f aca="false">IF(AND($A1665="",$B1665="",$C1665="",$D1665=""),"",IF($A1665="","⚠ Date missing",IF($B1665="","⚠ Site missing",IF(ISNA(MATCH($C1665,Mix_Code,0)),"⚠ Unknown mix code",IF($D1665="","⚠ Enter m3 produced",IF(COUNTIF(CI_Site,$B1665)=0,"⚠ Site not set up in Current Inventory",IF($A1665&gt;AsOfDate,"Future date – not yet deducted","OK")))))))</f>
        <v/>
      </c>
    </row>
    <row r="1666" customFormat="false" ht="15" hidden="false" customHeight="false" outlineLevel="0" collapsed="false">
      <c r="A1666" s="65"/>
      <c r="B1666" s="63"/>
      <c r="C1666" s="70"/>
      <c r="D1666" s="66"/>
      <c r="E1666" s="16" t="str">
        <f aca="false">IF($C1666="","",IFERROR(INDEX(Mix_Desc,MATCH($C1666,Mix_Code,0)),"⚠ Unknown mix code"))</f>
        <v/>
      </c>
      <c r="F1666" s="67" t="str">
        <f aca="false">IF(OR($C1666="",$D1666=""),"",IFERROR($D1666*INDEX(Mix_Eff,MATCH($C1666,Mix_Code,0),1),""))</f>
        <v/>
      </c>
      <c r="G1666" s="67" t="str">
        <f aca="false">IF(OR($C1666="",$D1666=""),"",IFERROR($D1666*INDEX(Mix_Eff,MATCH($C1666,Mix_Code,0),2),""))</f>
        <v/>
      </c>
      <c r="H1666" s="67" t="str">
        <f aca="false">IF(OR($C1666="",$D1666=""),"",IFERROR($D1666*INDEX(Mix_Eff,MATCH($C1666,Mix_Code,0),3),""))</f>
        <v/>
      </c>
      <c r="I1666" s="67" t="str">
        <f aca="false">IF(OR($C1666="",$D1666=""),"",IFERROR($D1666*INDEX(Mix_Eff,MATCH($C1666,Mix_Code,0),4),""))</f>
        <v/>
      </c>
      <c r="J1666" s="67" t="str">
        <f aca="false">IF(OR($C1666="",$D1666=""),"",IFERROR($D1666*INDEX(Mix_Eff,MATCH($C1666,Mix_Code,0),5),""))</f>
        <v/>
      </c>
      <c r="K1666" s="63"/>
      <c r="L1666" s="16" t="str">
        <f aca="false">IF(AND($A1666="",$B1666="",$C1666="",$D1666=""),"",IF($A1666="","⚠ Date missing",IF($B1666="","⚠ Site missing",IF(ISNA(MATCH($C1666,Mix_Code,0)),"⚠ Unknown mix code",IF($D1666="","⚠ Enter m3 produced",IF(COUNTIF(CI_Site,$B1666)=0,"⚠ Site not set up in Current Inventory",IF($A1666&gt;AsOfDate,"Future date – not yet deducted","OK")))))))</f>
        <v/>
      </c>
    </row>
    <row r="1667" customFormat="false" ht="15" hidden="false" customHeight="false" outlineLevel="0" collapsed="false">
      <c r="A1667" s="65"/>
      <c r="B1667" s="63"/>
      <c r="C1667" s="70"/>
      <c r="D1667" s="66"/>
      <c r="E1667" s="16" t="str">
        <f aca="false">IF($C1667="","",IFERROR(INDEX(Mix_Desc,MATCH($C1667,Mix_Code,0)),"⚠ Unknown mix code"))</f>
        <v/>
      </c>
      <c r="F1667" s="67" t="str">
        <f aca="false">IF(OR($C1667="",$D1667=""),"",IFERROR($D1667*INDEX(Mix_Eff,MATCH($C1667,Mix_Code,0),1),""))</f>
        <v/>
      </c>
      <c r="G1667" s="67" t="str">
        <f aca="false">IF(OR($C1667="",$D1667=""),"",IFERROR($D1667*INDEX(Mix_Eff,MATCH($C1667,Mix_Code,0),2),""))</f>
        <v/>
      </c>
      <c r="H1667" s="67" t="str">
        <f aca="false">IF(OR($C1667="",$D1667=""),"",IFERROR($D1667*INDEX(Mix_Eff,MATCH($C1667,Mix_Code,0),3),""))</f>
        <v/>
      </c>
      <c r="I1667" s="67" t="str">
        <f aca="false">IF(OR($C1667="",$D1667=""),"",IFERROR($D1667*INDEX(Mix_Eff,MATCH($C1667,Mix_Code,0),4),""))</f>
        <v/>
      </c>
      <c r="J1667" s="67" t="str">
        <f aca="false">IF(OR($C1667="",$D1667=""),"",IFERROR($D1667*INDEX(Mix_Eff,MATCH($C1667,Mix_Code,0),5),""))</f>
        <v/>
      </c>
      <c r="K1667" s="63"/>
      <c r="L1667" s="16" t="str">
        <f aca="false">IF(AND($A1667="",$B1667="",$C1667="",$D1667=""),"",IF($A1667="","⚠ Date missing",IF($B1667="","⚠ Site missing",IF(ISNA(MATCH($C1667,Mix_Code,0)),"⚠ Unknown mix code",IF($D1667="","⚠ Enter m3 produced",IF(COUNTIF(CI_Site,$B1667)=0,"⚠ Site not set up in Current Inventory",IF($A1667&gt;AsOfDate,"Future date – not yet deducted","OK")))))))</f>
        <v/>
      </c>
    </row>
    <row r="1668" customFormat="false" ht="15" hidden="false" customHeight="false" outlineLevel="0" collapsed="false">
      <c r="A1668" s="65"/>
      <c r="B1668" s="63"/>
      <c r="C1668" s="70"/>
      <c r="D1668" s="66"/>
      <c r="E1668" s="16" t="str">
        <f aca="false">IF($C1668="","",IFERROR(INDEX(Mix_Desc,MATCH($C1668,Mix_Code,0)),"⚠ Unknown mix code"))</f>
        <v/>
      </c>
      <c r="F1668" s="67" t="str">
        <f aca="false">IF(OR($C1668="",$D1668=""),"",IFERROR($D1668*INDEX(Mix_Eff,MATCH($C1668,Mix_Code,0),1),""))</f>
        <v/>
      </c>
      <c r="G1668" s="67" t="str">
        <f aca="false">IF(OR($C1668="",$D1668=""),"",IFERROR($D1668*INDEX(Mix_Eff,MATCH($C1668,Mix_Code,0),2),""))</f>
        <v/>
      </c>
      <c r="H1668" s="67" t="str">
        <f aca="false">IF(OR($C1668="",$D1668=""),"",IFERROR($D1668*INDEX(Mix_Eff,MATCH($C1668,Mix_Code,0),3),""))</f>
        <v/>
      </c>
      <c r="I1668" s="67" t="str">
        <f aca="false">IF(OR($C1668="",$D1668=""),"",IFERROR($D1668*INDEX(Mix_Eff,MATCH($C1668,Mix_Code,0),4),""))</f>
        <v/>
      </c>
      <c r="J1668" s="67" t="str">
        <f aca="false">IF(OR($C1668="",$D1668=""),"",IFERROR($D1668*INDEX(Mix_Eff,MATCH($C1668,Mix_Code,0),5),""))</f>
        <v/>
      </c>
      <c r="K1668" s="63"/>
      <c r="L1668" s="16" t="str">
        <f aca="false">IF(AND($A1668="",$B1668="",$C1668="",$D1668=""),"",IF($A1668="","⚠ Date missing",IF($B1668="","⚠ Site missing",IF(ISNA(MATCH($C1668,Mix_Code,0)),"⚠ Unknown mix code",IF($D1668="","⚠ Enter m3 produced",IF(COUNTIF(CI_Site,$B1668)=0,"⚠ Site not set up in Current Inventory",IF($A1668&gt;AsOfDate,"Future date – not yet deducted","OK")))))))</f>
        <v/>
      </c>
    </row>
    <row r="1669" customFormat="false" ht="15" hidden="false" customHeight="false" outlineLevel="0" collapsed="false">
      <c r="A1669" s="65"/>
      <c r="B1669" s="63"/>
      <c r="C1669" s="70"/>
      <c r="D1669" s="66"/>
      <c r="E1669" s="16" t="str">
        <f aca="false">IF($C1669="","",IFERROR(INDEX(Mix_Desc,MATCH($C1669,Mix_Code,0)),"⚠ Unknown mix code"))</f>
        <v/>
      </c>
      <c r="F1669" s="67" t="str">
        <f aca="false">IF(OR($C1669="",$D1669=""),"",IFERROR($D1669*INDEX(Mix_Eff,MATCH($C1669,Mix_Code,0),1),""))</f>
        <v/>
      </c>
      <c r="G1669" s="67" t="str">
        <f aca="false">IF(OR($C1669="",$D1669=""),"",IFERROR($D1669*INDEX(Mix_Eff,MATCH($C1669,Mix_Code,0),2),""))</f>
        <v/>
      </c>
      <c r="H1669" s="67" t="str">
        <f aca="false">IF(OR($C1669="",$D1669=""),"",IFERROR($D1669*INDEX(Mix_Eff,MATCH($C1669,Mix_Code,0),3),""))</f>
        <v/>
      </c>
      <c r="I1669" s="67" t="str">
        <f aca="false">IF(OR($C1669="",$D1669=""),"",IFERROR($D1669*INDEX(Mix_Eff,MATCH($C1669,Mix_Code,0),4),""))</f>
        <v/>
      </c>
      <c r="J1669" s="67" t="str">
        <f aca="false">IF(OR($C1669="",$D1669=""),"",IFERROR($D1669*INDEX(Mix_Eff,MATCH($C1669,Mix_Code,0),5),""))</f>
        <v/>
      </c>
      <c r="K1669" s="63"/>
      <c r="L1669" s="16" t="str">
        <f aca="false">IF(AND($A1669="",$B1669="",$C1669="",$D1669=""),"",IF($A1669="","⚠ Date missing",IF($B1669="","⚠ Site missing",IF(ISNA(MATCH($C1669,Mix_Code,0)),"⚠ Unknown mix code",IF($D1669="","⚠ Enter m3 produced",IF(COUNTIF(CI_Site,$B1669)=0,"⚠ Site not set up in Current Inventory",IF($A1669&gt;AsOfDate,"Future date – not yet deducted","OK")))))))</f>
        <v/>
      </c>
    </row>
    <row r="1670" customFormat="false" ht="15" hidden="false" customHeight="false" outlineLevel="0" collapsed="false">
      <c r="A1670" s="65"/>
      <c r="B1670" s="63"/>
      <c r="C1670" s="70"/>
      <c r="D1670" s="66"/>
      <c r="E1670" s="16" t="str">
        <f aca="false">IF($C1670="","",IFERROR(INDEX(Mix_Desc,MATCH($C1670,Mix_Code,0)),"⚠ Unknown mix code"))</f>
        <v/>
      </c>
      <c r="F1670" s="67" t="str">
        <f aca="false">IF(OR($C1670="",$D1670=""),"",IFERROR($D1670*INDEX(Mix_Eff,MATCH($C1670,Mix_Code,0),1),""))</f>
        <v/>
      </c>
      <c r="G1670" s="67" t="str">
        <f aca="false">IF(OR($C1670="",$D1670=""),"",IFERROR($D1670*INDEX(Mix_Eff,MATCH($C1670,Mix_Code,0),2),""))</f>
        <v/>
      </c>
      <c r="H1670" s="67" t="str">
        <f aca="false">IF(OR($C1670="",$D1670=""),"",IFERROR($D1670*INDEX(Mix_Eff,MATCH($C1670,Mix_Code,0),3),""))</f>
        <v/>
      </c>
      <c r="I1670" s="67" t="str">
        <f aca="false">IF(OR($C1670="",$D1670=""),"",IFERROR($D1670*INDEX(Mix_Eff,MATCH($C1670,Mix_Code,0),4),""))</f>
        <v/>
      </c>
      <c r="J1670" s="67" t="str">
        <f aca="false">IF(OR($C1670="",$D1670=""),"",IFERROR($D1670*INDEX(Mix_Eff,MATCH($C1670,Mix_Code,0),5),""))</f>
        <v/>
      </c>
      <c r="K1670" s="63"/>
      <c r="L1670" s="16" t="str">
        <f aca="false">IF(AND($A1670="",$B1670="",$C1670="",$D1670=""),"",IF($A1670="","⚠ Date missing",IF($B1670="","⚠ Site missing",IF(ISNA(MATCH($C1670,Mix_Code,0)),"⚠ Unknown mix code",IF($D1670="","⚠ Enter m3 produced",IF(COUNTIF(CI_Site,$B1670)=0,"⚠ Site not set up in Current Inventory",IF($A1670&gt;AsOfDate,"Future date – not yet deducted","OK")))))))</f>
        <v/>
      </c>
    </row>
    <row r="1671" customFormat="false" ht="15" hidden="false" customHeight="false" outlineLevel="0" collapsed="false">
      <c r="A1671" s="65"/>
      <c r="B1671" s="63"/>
      <c r="C1671" s="70"/>
      <c r="D1671" s="66"/>
      <c r="E1671" s="16" t="str">
        <f aca="false">IF($C1671="","",IFERROR(INDEX(Mix_Desc,MATCH($C1671,Mix_Code,0)),"⚠ Unknown mix code"))</f>
        <v/>
      </c>
      <c r="F1671" s="67" t="str">
        <f aca="false">IF(OR($C1671="",$D1671=""),"",IFERROR($D1671*INDEX(Mix_Eff,MATCH($C1671,Mix_Code,0),1),""))</f>
        <v/>
      </c>
      <c r="G1671" s="67" t="str">
        <f aca="false">IF(OR($C1671="",$D1671=""),"",IFERROR($D1671*INDEX(Mix_Eff,MATCH($C1671,Mix_Code,0),2),""))</f>
        <v/>
      </c>
      <c r="H1671" s="67" t="str">
        <f aca="false">IF(OR($C1671="",$D1671=""),"",IFERROR($D1671*INDEX(Mix_Eff,MATCH($C1671,Mix_Code,0),3),""))</f>
        <v/>
      </c>
      <c r="I1671" s="67" t="str">
        <f aca="false">IF(OR($C1671="",$D1671=""),"",IFERROR($D1671*INDEX(Mix_Eff,MATCH($C1671,Mix_Code,0),4),""))</f>
        <v/>
      </c>
      <c r="J1671" s="67" t="str">
        <f aca="false">IF(OR($C1671="",$D1671=""),"",IFERROR($D1671*INDEX(Mix_Eff,MATCH($C1671,Mix_Code,0),5),""))</f>
        <v/>
      </c>
      <c r="K1671" s="63"/>
      <c r="L1671" s="16" t="str">
        <f aca="false">IF(AND($A1671="",$B1671="",$C1671="",$D1671=""),"",IF($A1671="","⚠ Date missing",IF($B1671="","⚠ Site missing",IF(ISNA(MATCH($C1671,Mix_Code,0)),"⚠ Unknown mix code",IF($D1671="","⚠ Enter m3 produced",IF(COUNTIF(CI_Site,$B1671)=0,"⚠ Site not set up in Current Inventory",IF($A1671&gt;AsOfDate,"Future date – not yet deducted","OK")))))))</f>
        <v/>
      </c>
    </row>
    <row r="1672" customFormat="false" ht="15" hidden="false" customHeight="false" outlineLevel="0" collapsed="false">
      <c r="A1672" s="65"/>
      <c r="B1672" s="63"/>
      <c r="C1672" s="70"/>
      <c r="D1672" s="66"/>
      <c r="E1672" s="16" t="str">
        <f aca="false">IF($C1672="","",IFERROR(INDEX(Mix_Desc,MATCH($C1672,Mix_Code,0)),"⚠ Unknown mix code"))</f>
        <v/>
      </c>
      <c r="F1672" s="67" t="str">
        <f aca="false">IF(OR($C1672="",$D1672=""),"",IFERROR($D1672*INDEX(Mix_Eff,MATCH($C1672,Mix_Code,0),1),""))</f>
        <v/>
      </c>
      <c r="G1672" s="67" t="str">
        <f aca="false">IF(OR($C1672="",$D1672=""),"",IFERROR($D1672*INDEX(Mix_Eff,MATCH($C1672,Mix_Code,0),2),""))</f>
        <v/>
      </c>
      <c r="H1672" s="67" t="str">
        <f aca="false">IF(OR($C1672="",$D1672=""),"",IFERROR($D1672*INDEX(Mix_Eff,MATCH($C1672,Mix_Code,0),3),""))</f>
        <v/>
      </c>
      <c r="I1672" s="67" t="str">
        <f aca="false">IF(OR($C1672="",$D1672=""),"",IFERROR($D1672*INDEX(Mix_Eff,MATCH($C1672,Mix_Code,0),4),""))</f>
        <v/>
      </c>
      <c r="J1672" s="67" t="str">
        <f aca="false">IF(OR($C1672="",$D1672=""),"",IFERROR($D1672*INDEX(Mix_Eff,MATCH($C1672,Mix_Code,0),5),""))</f>
        <v/>
      </c>
      <c r="K1672" s="63"/>
      <c r="L1672" s="16" t="str">
        <f aca="false">IF(AND($A1672="",$B1672="",$C1672="",$D1672=""),"",IF($A1672="","⚠ Date missing",IF($B1672="","⚠ Site missing",IF(ISNA(MATCH($C1672,Mix_Code,0)),"⚠ Unknown mix code",IF($D1672="","⚠ Enter m3 produced",IF(COUNTIF(CI_Site,$B1672)=0,"⚠ Site not set up in Current Inventory",IF($A1672&gt;AsOfDate,"Future date – not yet deducted","OK")))))))</f>
        <v/>
      </c>
    </row>
    <row r="1673" customFormat="false" ht="15" hidden="false" customHeight="false" outlineLevel="0" collapsed="false">
      <c r="A1673" s="65"/>
      <c r="B1673" s="63"/>
      <c r="C1673" s="70"/>
      <c r="D1673" s="66"/>
      <c r="E1673" s="16" t="str">
        <f aca="false">IF($C1673="","",IFERROR(INDEX(Mix_Desc,MATCH($C1673,Mix_Code,0)),"⚠ Unknown mix code"))</f>
        <v/>
      </c>
      <c r="F1673" s="67" t="str">
        <f aca="false">IF(OR($C1673="",$D1673=""),"",IFERROR($D1673*INDEX(Mix_Eff,MATCH($C1673,Mix_Code,0),1),""))</f>
        <v/>
      </c>
      <c r="G1673" s="67" t="str">
        <f aca="false">IF(OR($C1673="",$D1673=""),"",IFERROR($D1673*INDEX(Mix_Eff,MATCH($C1673,Mix_Code,0),2),""))</f>
        <v/>
      </c>
      <c r="H1673" s="67" t="str">
        <f aca="false">IF(OR($C1673="",$D1673=""),"",IFERROR($D1673*INDEX(Mix_Eff,MATCH($C1673,Mix_Code,0),3),""))</f>
        <v/>
      </c>
      <c r="I1673" s="67" t="str">
        <f aca="false">IF(OR($C1673="",$D1673=""),"",IFERROR($D1673*INDEX(Mix_Eff,MATCH($C1673,Mix_Code,0),4),""))</f>
        <v/>
      </c>
      <c r="J1673" s="67" t="str">
        <f aca="false">IF(OR($C1673="",$D1673=""),"",IFERROR($D1673*INDEX(Mix_Eff,MATCH($C1673,Mix_Code,0),5),""))</f>
        <v/>
      </c>
      <c r="K1673" s="63"/>
      <c r="L1673" s="16" t="str">
        <f aca="false">IF(AND($A1673="",$B1673="",$C1673="",$D1673=""),"",IF($A1673="","⚠ Date missing",IF($B1673="","⚠ Site missing",IF(ISNA(MATCH($C1673,Mix_Code,0)),"⚠ Unknown mix code",IF($D1673="","⚠ Enter m3 produced",IF(COUNTIF(CI_Site,$B1673)=0,"⚠ Site not set up in Current Inventory",IF($A1673&gt;AsOfDate,"Future date – not yet deducted","OK")))))))</f>
        <v/>
      </c>
    </row>
    <row r="1674" customFormat="false" ht="15" hidden="false" customHeight="false" outlineLevel="0" collapsed="false">
      <c r="A1674" s="65"/>
      <c r="B1674" s="63"/>
      <c r="C1674" s="70"/>
      <c r="D1674" s="66"/>
      <c r="E1674" s="16" t="str">
        <f aca="false">IF($C1674="","",IFERROR(INDEX(Mix_Desc,MATCH($C1674,Mix_Code,0)),"⚠ Unknown mix code"))</f>
        <v/>
      </c>
      <c r="F1674" s="67" t="str">
        <f aca="false">IF(OR($C1674="",$D1674=""),"",IFERROR($D1674*INDEX(Mix_Eff,MATCH($C1674,Mix_Code,0),1),""))</f>
        <v/>
      </c>
      <c r="G1674" s="67" t="str">
        <f aca="false">IF(OR($C1674="",$D1674=""),"",IFERROR($D1674*INDEX(Mix_Eff,MATCH($C1674,Mix_Code,0),2),""))</f>
        <v/>
      </c>
      <c r="H1674" s="67" t="str">
        <f aca="false">IF(OR($C1674="",$D1674=""),"",IFERROR($D1674*INDEX(Mix_Eff,MATCH($C1674,Mix_Code,0),3),""))</f>
        <v/>
      </c>
      <c r="I1674" s="67" t="str">
        <f aca="false">IF(OR($C1674="",$D1674=""),"",IFERROR($D1674*INDEX(Mix_Eff,MATCH($C1674,Mix_Code,0),4),""))</f>
        <v/>
      </c>
      <c r="J1674" s="67" t="str">
        <f aca="false">IF(OR($C1674="",$D1674=""),"",IFERROR($D1674*INDEX(Mix_Eff,MATCH($C1674,Mix_Code,0),5),""))</f>
        <v/>
      </c>
      <c r="K1674" s="63"/>
      <c r="L1674" s="16" t="str">
        <f aca="false">IF(AND($A1674="",$B1674="",$C1674="",$D1674=""),"",IF($A1674="","⚠ Date missing",IF($B1674="","⚠ Site missing",IF(ISNA(MATCH($C1674,Mix_Code,0)),"⚠ Unknown mix code",IF($D1674="","⚠ Enter m3 produced",IF(COUNTIF(CI_Site,$B1674)=0,"⚠ Site not set up in Current Inventory",IF($A1674&gt;AsOfDate,"Future date – not yet deducted","OK")))))))</f>
        <v/>
      </c>
    </row>
    <row r="1675" customFormat="false" ht="15" hidden="false" customHeight="false" outlineLevel="0" collapsed="false">
      <c r="A1675" s="65"/>
      <c r="B1675" s="63"/>
      <c r="C1675" s="70"/>
      <c r="D1675" s="66"/>
      <c r="E1675" s="16" t="str">
        <f aca="false">IF($C1675="","",IFERROR(INDEX(Mix_Desc,MATCH($C1675,Mix_Code,0)),"⚠ Unknown mix code"))</f>
        <v/>
      </c>
      <c r="F1675" s="67" t="str">
        <f aca="false">IF(OR($C1675="",$D1675=""),"",IFERROR($D1675*INDEX(Mix_Eff,MATCH($C1675,Mix_Code,0),1),""))</f>
        <v/>
      </c>
      <c r="G1675" s="67" t="str">
        <f aca="false">IF(OR($C1675="",$D1675=""),"",IFERROR($D1675*INDEX(Mix_Eff,MATCH($C1675,Mix_Code,0),2),""))</f>
        <v/>
      </c>
      <c r="H1675" s="67" t="str">
        <f aca="false">IF(OR($C1675="",$D1675=""),"",IFERROR($D1675*INDEX(Mix_Eff,MATCH($C1675,Mix_Code,0),3),""))</f>
        <v/>
      </c>
      <c r="I1675" s="67" t="str">
        <f aca="false">IF(OR($C1675="",$D1675=""),"",IFERROR($D1675*INDEX(Mix_Eff,MATCH($C1675,Mix_Code,0),4),""))</f>
        <v/>
      </c>
      <c r="J1675" s="67" t="str">
        <f aca="false">IF(OR($C1675="",$D1675=""),"",IFERROR($D1675*INDEX(Mix_Eff,MATCH($C1675,Mix_Code,0),5),""))</f>
        <v/>
      </c>
      <c r="K1675" s="63"/>
      <c r="L1675" s="16" t="str">
        <f aca="false">IF(AND($A1675="",$B1675="",$C1675="",$D1675=""),"",IF($A1675="","⚠ Date missing",IF($B1675="","⚠ Site missing",IF(ISNA(MATCH($C1675,Mix_Code,0)),"⚠ Unknown mix code",IF($D1675="","⚠ Enter m3 produced",IF(COUNTIF(CI_Site,$B1675)=0,"⚠ Site not set up in Current Inventory",IF($A1675&gt;AsOfDate,"Future date – not yet deducted","OK")))))))</f>
        <v/>
      </c>
    </row>
    <row r="1676" customFormat="false" ht="15" hidden="false" customHeight="false" outlineLevel="0" collapsed="false">
      <c r="A1676" s="65"/>
      <c r="B1676" s="63"/>
      <c r="C1676" s="70"/>
      <c r="D1676" s="66"/>
      <c r="E1676" s="16" t="str">
        <f aca="false">IF($C1676="","",IFERROR(INDEX(Mix_Desc,MATCH($C1676,Mix_Code,0)),"⚠ Unknown mix code"))</f>
        <v/>
      </c>
      <c r="F1676" s="67" t="str">
        <f aca="false">IF(OR($C1676="",$D1676=""),"",IFERROR($D1676*INDEX(Mix_Eff,MATCH($C1676,Mix_Code,0),1),""))</f>
        <v/>
      </c>
      <c r="G1676" s="67" t="str">
        <f aca="false">IF(OR($C1676="",$D1676=""),"",IFERROR($D1676*INDEX(Mix_Eff,MATCH($C1676,Mix_Code,0),2),""))</f>
        <v/>
      </c>
      <c r="H1676" s="67" t="str">
        <f aca="false">IF(OR($C1676="",$D1676=""),"",IFERROR($D1676*INDEX(Mix_Eff,MATCH($C1676,Mix_Code,0),3),""))</f>
        <v/>
      </c>
      <c r="I1676" s="67" t="str">
        <f aca="false">IF(OR($C1676="",$D1676=""),"",IFERROR($D1676*INDEX(Mix_Eff,MATCH($C1676,Mix_Code,0),4),""))</f>
        <v/>
      </c>
      <c r="J1676" s="67" t="str">
        <f aca="false">IF(OR($C1676="",$D1676=""),"",IFERROR($D1676*INDEX(Mix_Eff,MATCH($C1676,Mix_Code,0),5),""))</f>
        <v/>
      </c>
      <c r="K1676" s="63"/>
      <c r="L1676" s="16" t="str">
        <f aca="false">IF(AND($A1676="",$B1676="",$C1676="",$D1676=""),"",IF($A1676="","⚠ Date missing",IF($B1676="","⚠ Site missing",IF(ISNA(MATCH($C1676,Mix_Code,0)),"⚠ Unknown mix code",IF($D1676="","⚠ Enter m3 produced",IF(COUNTIF(CI_Site,$B1676)=0,"⚠ Site not set up in Current Inventory",IF($A1676&gt;AsOfDate,"Future date – not yet deducted","OK")))))))</f>
        <v/>
      </c>
    </row>
    <row r="1677" customFormat="false" ht="15" hidden="false" customHeight="false" outlineLevel="0" collapsed="false">
      <c r="A1677" s="65"/>
      <c r="B1677" s="63"/>
      <c r="C1677" s="70"/>
      <c r="D1677" s="66"/>
      <c r="E1677" s="16" t="str">
        <f aca="false">IF($C1677="","",IFERROR(INDEX(Mix_Desc,MATCH($C1677,Mix_Code,0)),"⚠ Unknown mix code"))</f>
        <v/>
      </c>
      <c r="F1677" s="67" t="str">
        <f aca="false">IF(OR($C1677="",$D1677=""),"",IFERROR($D1677*INDEX(Mix_Eff,MATCH($C1677,Mix_Code,0),1),""))</f>
        <v/>
      </c>
      <c r="G1677" s="67" t="str">
        <f aca="false">IF(OR($C1677="",$D1677=""),"",IFERROR($D1677*INDEX(Mix_Eff,MATCH($C1677,Mix_Code,0),2),""))</f>
        <v/>
      </c>
      <c r="H1677" s="67" t="str">
        <f aca="false">IF(OR($C1677="",$D1677=""),"",IFERROR($D1677*INDEX(Mix_Eff,MATCH($C1677,Mix_Code,0),3),""))</f>
        <v/>
      </c>
      <c r="I1677" s="67" t="str">
        <f aca="false">IF(OR($C1677="",$D1677=""),"",IFERROR($D1677*INDEX(Mix_Eff,MATCH($C1677,Mix_Code,0),4),""))</f>
        <v/>
      </c>
      <c r="J1677" s="67" t="str">
        <f aca="false">IF(OR($C1677="",$D1677=""),"",IFERROR($D1677*INDEX(Mix_Eff,MATCH($C1677,Mix_Code,0),5),""))</f>
        <v/>
      </c>
      <c r="K1677" s="63"/>
      <c r="L1677" s="16" t="str">
        <f aca="false">IF(AND($A1677="",$B1677="",$C1677="",$D1677=""),"",IF($A1677="","⚠ Date missing",IF($B1677="","⚠ Site missing",IF(ISNA(MATCH($C1677,Mix_Code,0)),"⚠ Unknown mix code",IF($D1677="","⚠ Enter m3 produced",IF(COUNTIF(CI_Site,$B1677)=0,"⚠ Site not set up in Current Inventory",IF($A1677&gt;AsOfDate,"Future date – not yet deducted","OK")))))))</f>
        <v/>
      </c>
    </row>
    <row r="1678" customFormat="false" ht="15" hidden="false" customHeight="false" outlineLevel="0" collapsed="false">
      <c r="A1678" s="65"/>
      <c r="B1678" s="63"/>
      <c r="C1678" s="70"/>
      <c r="D1678" s="66"/>
      <c r="E1678" s="16" t="str">
        <f aca="false">IF($C1678="","",IFERROR(INDEX(Mix_Desc,MATCH($C1678,Mix_Code,0)),"⚠ Unknown mix code"))</f>
        <v/>
      </c>
      <c r="F1678" s="67" t="str">
        <f aca="false">IF(OR($C1678="",$D1678=""),"",IFERROR($D1678*INDEX(Mix_Eff,MATCH($C1678,Mix_Code,0),1),""))</f>
        <v/>
      </c>
      <c r="G1678" s="67" t="str">
        <f aca="false">IF(OR($C1678="",$D1678=""),"",IFERROR($D1678*INDEX(Mix_Eff,MATCH($C1678,Mix_Code,0),2),""))</f>
        <v/>
      </c>
      <c r="H1678" s="67" t="str">
        <f aca="false">IF(OR($C1678="",$D1678=""),"",IFERROR($D1678*INDEX(Mix_Eff,MATCH($C1678,Mix_Code,0),3),""))</f>
        <v/>
      </c>
      <c r="I1678" s="67" t="str">
        <f aca="false">IF(OR($C1678="",$D1678=""),"",IFERROR($D1678*INDEX(Mix_Eff,MATCH($C1678,Mix_Code,0),4),""))</f>
        <v/>
      </c>
      <c r="J1678" s="67" t="str">
        <f aca="false">IF(OR($C1678="",$D1678=""),"",IFERROR($D1678*INDEX(Mix_Eff,MATCH($C1678,Mix_Code,0),5),""))</f>
        <v/>
      </c>
      <c r="K1678" s="63"/>
      <c r="L1678" s="16" t="str">
        <f aca="false">IF(AND($A1678="",$B1678="",$C1678="",$D1678=""),"",IF($A1678="","⚠ Date missing",IF($B1678="","⚠ Site missing",IF(ISNA(MATCH($C1678,Mix_Code,0)),"⚠ Unknown mix code",IF($D1678="","⚠ Enter m3 produced",IF(COUNTIF(CI_Site,$B1678)=0,"⚠ Site not set up in Current Inventory",IF($A1678&gt;AsOfDate,"Future date – not yet deducted","OK")))))))</f>
        <v/>
      </c>
    </row>
    <row r="1679" customFormat="false" ht="15" hidden="false" customHeight="false" outlineLevel="0" collapsed="false">
      <c r="A1679" s="65"/>
      <c r="B1679" s="63"/>
      <c r="C1679" s="70"/>
      <c r="D1679" s="66"/>
      <c r="E1679" s="16" t="str">
        <f aca="false">IF($C1679="","",IFERROR(INDEX(Mix_Desc,MATCH($C1679,Mix_Code,0)),"⚠ Unknown mix code"))</f>
        <v/>
      </c>
      <c r="F1679" s="67" t="str">
        <f aca="false">IF(OR($C1679="",$D1679=""),"",IFERROR($D1679*INDEX(Mix_Eff,MATCH($C1679,Mix_Code,0),1),""))</f>
        <v/>
      </c>
      <c r="G1679" s="67" t="str">
        <f aca="false">IF(OR($C1679="",$D1679=""),"",IFERROR($D1679*INDEX(Mix_Eff,MATCH($C1679,Mix_Code,0),2),""))</f>
        <v/>
      </c>
      <c r="H1679" s="67" t="str">
        <f aca="false">IF(OR($C1679="",$D1679=""),"",IFERROR($D1679*INDEX(Mix_Eff,MATCH($C1679,Mix_Code,0),3),""))</f>
        <v/>
      </c>
      <c r="I1679" s="67" t="str">
        <f aca="false">IF(OR($C1679="",$D1679=""),"",IFERROR($D1679*INDEX(Mix_Eff,MATCH($C1679,Mix_Code,0),4),""))</f>
        <v/>
      </c>
      <c r="J1679" s="67" t="str">
        <f aca="false">IF(OR($C1679="",$D1679=""),"",IFERROR($D1679*INDEX(Mix_Eff,MATCH($C1679,Mix_Code,0),5),""))</f>
        <v/>
      </c>
      <c r="K1679" s="63"/>
      <c r="L1679" s="16" t="str">
        <f aca="false">IF(AND($A1679="",$B1679="",$C1679="",$D1679=""),"",IF($A1679="","⚠ Date missing",IF($B1679="","⚠ Site missing",IF(ISNA(MATCH($C1679,Mix_Code,0)),"⚠ Unknown mix code",IF($D1679="","⚠ Enter m3 produced",IF(COUNTIF(CI_Site,$B1679)=0,"⚠ Site not set up in Current Inventory",IF($A1679&gt;AsOfDate,"Future date – not yet deducted","OK")))))))</f>
        <v/>
      </c>
    </row>
    <row r="1680" customFormat="false" ht="15" hidden="false" customHeight="false" outlineLevel="0" collapsed="false">
      <c r="A1680" s="65"/>
      <c r="B1680" s="63"/>
      <c r="C1680" s="70"/>
      <c r="D1680" s="66"/>
      <c r="E1680" s="16" t="str">
        <f aca="false">IF($C1680="","",IFERROR(INDEX(Mix_Desc,MATCH($C1680,Mix_Code,0)),"⚠ Unknown mix code"))</f>
        <v/>
      </c>
      <c r="F1680" s="67" t="str">
        <f aca="false">IF(OR($C1680="",$D1680=""),"",IFERROR($D1680*INDEX(Mix_Eff,MATCH($C1680,Mix_Code,0),1),""))</f>
        <v/>
      </c>
      <c r="G1680" s="67" t="str">
        <f aca="false">IF(OR($C1680="",$D1680=""),"",IFERROR($D1680*INDEX(Mix_Eff,MATCH($C1680,Mix_Code,0),2),""))</f>
        <v/>
      </c>
      <c r="H1680" s="67" t="str">
        <f aca="false">IF(OR($C1680="",$D1680=""),"",IFERROR($D1680*INDEX(Mix_Eff,MATCH($C1680,Mix_Code,0),3),""))</f>
        <v/>
      </c>
      <c r="I1680" s="67" t="str">
        <f aca="false">IF(OR($C1680="",$D1680=""),"",IFERROR($D1680*INDEX(Mix_Eff,MATCH($C1680,Mix_Code,0),4),""))</f>
        <v/>
      </c>
      <c r="J1680" s="67" t="str">
        <f aca="false">IF(OR($C1680="",$D1680=""),"",IFERROR($D1680*INDEX(Mix_Eff,MATCH($C1680,Mix_Code,0),5),""))</f>
        <v/>
      </c>
      <c r="K1680" s="63"/>
      <c r="L1680" s="16" t="str">
        <f aca="false">IF(AND($A1680="",$B1680="",$C1680="",$D1680=""),"",IF($A1680="","⚠ Date missing",IF($B1680="","⚠ Site missing",IF(ISNA(MATCH($C1680,Mix_Code,0)),"⚠ Unknown mix code",IF($D1680="","⚠ Enter m3 produced",IF(COUNTIF(CI_Site,$B1680)=0,"⚠ Site not set up in Current Inventory",IF($A1680&gt;AsOfDate,"Future date – not yet deducted","OK")))))))</f>
        <v/>
      </c>
    </row>
    <row r="1681" customFormat="false" ht="15" hidden="false" customHeight="false" outlineLevel="0" collapsed="false">
      <c r="A1681" s="65"/>
      <c r="B1681" s="63"/>
      <c r="C1681" s="70"/>
      <c r="D1681" s="66"/>
      <c r="E1681" s="16" t="str">
        <f aca="false">IF($C1681="","",IFERROR(INDEX(Mix_Desc,MATCH($C1681,Mix_Code,0)),"⚠ Unknown mix code"))</f>
        <v/>
      </c>
      <c r="F1681" s="67" t="str">
        <f aca="false">IF(OR($C1681="",$D1681=""),"",IFERROR($D1681*INDEX(Mix_Eff,MATCH($C1681,Mix_Code,0),1),""))</f>
        <v/>
      </c>
      <c r="G1681" s="67" t="str">
        <f aca="false">IF(OR($C1681="",$D1681=""),"",IFERROR($D1681*INDEX(Mix_Eff,MATCH($C1681,Mix_Code,0),2),""))</f>
        <v/>
      </c>
      <c r="H1681" s="67" t="str">
        <f aca="false">IF(OR($C1681="",$D1681=""),"",IFERROR($D1681*INDEX(Mix_Eff,MATCH($C1681,Mix_Code,0),3),""))</f>
        <v/>
      </c>
      <c r="I1681" s="67" t="str">
        <f aca="false">IF(OR($C1681="",$D1681=""),"",IFERROR($D1681*INDEX(Mix_Eff,MATCH($C1681,Mix_Code,0),4),""))</f>
        <v/>
      </c>
      <c r="J1681" s="67" t="str">
        <f aca="false">IF(OR($C1681="",$D1681=""),"",IFERROR($D1681*INDEX(Mix_Eff,MATCH($C1681,Mix_Code,0),5),""))</f>
        <v/>
      </c>
      <c r="K1681" s="63"/>
      <c r="L1681" s="16" t="str">
        <f aca="false">IF(AND($A1681="",$B1681="",$C1681="",$D1681=""),"",IF($A1681="","⚠ Date missing",IF($B1681="","⚠ Site missing",IF(ISNA(MATCH($C1681,Mix_Code,0)),"⚠ Unknown mix code",IF($D1681="","⚠ Enter m3 produced",IF(COUNTIF(CI_Site,$B1681)=0,"⚠ Site not set up in Current Inventory",IF($A1681&gt;AsOfDate,"Future date – not yet deducted","OK")))))))</f>
        <v/>
      </c>
    </row>
    <row r="1682" customFormat="false" ht="15" hidden="false" customHeight="false" outlineLevel="0" collapsed="false">
      <c r="A1682" s="65"/>
      <c r="B1682" s="63"/>
      <c r="C1682" s="70"/>
      <c r="D1682" s="66"/>
      <c r="E1682" s="16" t="str">
        <f aca="false">IF($C1682="","",IFERROR(INDEX(Mix_Desc,MATCH($C1682,Mix_Code,0)),"⚠ Unknown mix code"))</f>
        <v/>
      </c>
      <c r="F1682" s="67" t="str">
        <f aca="false">IF(OR($C1682="",$D1682=""),"",IFERROR($D1682*INDEX(Mix_Eff,MATCH($C1682,Mix_Code,0),1),""))</f>
        <v/>
      </c>
      <c r="G1682" s="67" t="str">
        <f aca="false">IF(OR($C1682="",$D1682=""),"",IFERROR($D1682*INDEX(Mix_Eff,MATCH($C1682,Mix_Code,0),2),""))</f>
        <v/>
      </c>
      <c r="H1682" s="67" t="str">
        <f aca="false">IF(OR($C1682="",$D1682=""),"",IFERROR($D1682*INDEX(Mix_Eff,MATCH($C1682,Mix_Code,0),3),""))</f>
        <v/>
      </c>
      <c r="I1682" s="67" t="str">
        <f aca="false">IF(OR($C1682="",$D1682=""),"",IFERROR($D1682*INDEX(Mix_Eff,MATCH($C1682,Mix_Code,0),4),""))</f>
        <v/>
      </c>
      <c r="J1682" s="67" t="str">
        <f aca="false">IF(OR($C1682="",$D1682=""),"",IFERROR($D1682*INDEX(Mix_Eff,MATCH($C1682,Mix_Code,0),5),""))</f>
        <v/>
      </c>
      <c r="K1682" s="63"/>
      <c r="L1682" s="16" t="str">
        <f aca="false">IF(AND($A1682="",$B1682="",$C1682="",$D1682=""),"",IF($A1682="","⚠ Date missing",IF($B1682="","⚠ Site missing",IF(ISNA(MATCH($C1682,Mix_Code,0)),"⚠ Unknown mix code",IF($D1682="","⚠ Enter m3 produced",IF(COUNTIF(CI_Site,$B1682)=0,"⚠ Site not set up in Current Inventory",IF($A1682&gt;AsOfDate,"Future date – not yet deducted","OK")))))))</f>
        <v/>
      </c>
    </row>
    <row r="1683" customFormat="false" ht="15" hidden="false" customHeight="false" outlineLevel="0" collapsed="false">
      <c r="A1683" s="65"/>
      <c r="B1683" s="63"/>
      <c r="C1683" s="70"/>
      <c r="D1683" s="66"/>
      <c r="E1683" s="16" t="str">
        <f aca="false">IF($C1683="","",IFERROR(INDEX(Mix_Desc,MATCH($C1683,Mix_Code,0)),"⚠ Unknown mix code"))</f>
        <v/>
      </c>
      <c r="F1683" s="67" t="str">
        <f aca="false">IF(OR($C1683="",$D1683=""),"",IFERROR($D1683*INDEX(Mix_Eff,MATCH($C1683,Mix_Code,0),1),""))</f>
        <v/>
      </c>
      <c r="G1683" s="67" t="str">
        <f aca="false">IF(OR($C1683="",$D1683=""),"",IFERROR($D1683*INDEX(Mix_Eff,MATCH($C1683,Mix_Code,0),2),""))</f>
        <v/>
      </c>
      <c r="H1683" s="67" t="str">
        <f aca="false">IF(OR($C1683="",$D1683=""),"",IFERROR($D1683*INDEX(Mix_Eff,MATCH($C1683,Mix_Code,0),3),""))</f>
        <v/>
      </c>
      <c r="I1683" s="67" t="str">
        <f aca="false">IF(OR($C1683="",$D1683=""),"",IFERROR($D1683*INDEX(Mix_Eff,MATCH($C1683,Mix_Code,0),4),""))</f>
        <v/>
      </c>
      <c r="J1683" s="67" t="str">
        <f aca="false">IF(OR($C1683="",$D1683=""),"",IFERROR($D1683*INDEX(Mix_Eff,MATCH($C1683,Mix_Code,0),5),""))</f>
        <v/>
      </c>
      <c r="K1683" s="63"/>
      <c r="L1683" s="16" t="str">
        <f aca="false">IF(AND($A1683="",$B1683="",$C1683="",$D1683=""),"",IF($A1683="","⚠ Date missing",IF($B1683="","⚠ Site missing",IF(ISNA(MATCH($C1683,Mix_Code,0)),"⚠ Unknown mix code",IF($D1683="","⚠ Enter m3 produced",IF(COUNTIF(CI_Site,$B1683)=0,"⚠ Site not set up in Current Inventory",IF($A1683&gt;AsOfDate,"Future date – not yet deducted","OK")))))))</f>
        <v/>
      </c>
    </row>
    <row r="1684" customFormat="false" ht="15" hidden="false" customHeight="false" outlineLevel="0" collapsed="false">
      <c r="A1684" s="65"/>
      <c r="B1684" s="63"/>
      <c r="C1684" s="70"/>
      <c r="D1684" s="66"/>
      <c r="E1684" s="16" t="str">
        <f aca="false">IF($C1684="","",IFERROR(INDEX(Mix_Desc,MATCH($C1684,Mix_Code,0)),"⚠ Unknown mix code"))</f>
        <v/>
      </c>
      <c r="F1684" s="67" t="str">
        <f aca="false">IF(OR($C1684="",$D1684=""),"",IFERROR($D1684*INDEX(Mix_Eff,MATCH($C1684,Mix_Code,0),1),""))</f>
        <v/>
      </c>
      <c r="G1684" s="67" t="str">
        <f aca="false">IF(OR($C1684="",$D1684=""),"",IFERROR($D1684*INDEX(Mix_Eff,MATCH($C1684,Mix_Code,0),2),""))</f>
        <v/>
      </c>
      <c r="H1684" s="67" t="str">
        <f aca="false">IF(OR($C1684="",$D1684=""),"",IFERROR($D1684*INDEX(Mix_Eff,MATCH($C1684,Mix_Code,0),3),""))</f>
        <v/>
      </c>
      <c r="I1684" s="67" t="str">
        <f aca="false">IF(OR($C1684="",$D1684=""),"",IFERROR($D1684*INDEX(Mix_Eff,MATCH($C1684,Mix_Code,0),4),""))</f>
        <v/>
      </c>
      <c r="J1684" s="67" t="str">
        <f aca="false">IF(OR($C1684="",$D1684=""),"",IFERROR($D1684*INDEX(Mix_Eff,MATCH($C1684,Mix_Code,0),5),""))</f>
        <v/>
      </c>
      <c r="K1684" s="63"/>
      <c r="L1684" s="16" t="str">
        <f aca="false">IF(AND($A1684="",$B1684="",$C1684="",$D1684=""),"",IF($A1684="","⚠ Date missing",IF($B1684="","⚠ Site missing",IF(ISNA(MATCH($C1684,Mix_Code,0)),"⚠ Unknown mix code",IF($D1684="","⚠ Enter m3 produced",IF(COUNTIF(CI_Site,$B1684)=0,"⚠ Site not set up in Current Inventory",IF($A1684&gt;AsOfDate,"Future date – not yet deducted","OK")))))))</f>
        <v/>
      </c>
    </row>
    <row r="1685" customFormat="false" ht="15" hidden="false" customHeight="false" outlineLevel="0" collapsed="false">
      <c r="A1685" s="65"/>
      <c r="B1685" s="63"/>
      <c r="C1685" s="70"/>
      <c r="D1685" s="66"/>
      <c r="E1685" s="16" t="str">
        <f aca="false">IF($C1685="","",IFERROR(INDEX(Mix_Desc,MATCH($C1685,Mix_Code,0)),"⚠ Unknown mix code"))</f>
        <v/>
      </c>
      <c r="F1685" s="67" t="str">
        <f aca="false">IF(OR($C1685="",$D1685=""),"",IFERROR($D1685*INDEX(Mix_Eff,MATCH($C1685,Mix_Code,0),1),""))</f>
        <v/>
      </c>
      <c r="G1685" s="67" t="str">
        <f aca="false">IF(OR($C1685="",$D1685=""),"",IFERROR($D1685*INDEX(Mix_Eff,MATCH($C1685,Mix_Code,0),2),""))</f>
        <v/>
      </c>
      <c r="H1685" s="67" t="str">
        <f aca="false">IF(OR($C1685="",$D1685=""),"",IFERROR($D1685*INDEX(Mix_Eff,MATCH($C1685,Mix_Code,0),3),""))</f>
        <v/>
      </c>
      <c r="I1685" s="67" t="str">
        <f aca="false">IF(OR($C1685="",$D1685=""),"",IFERROR($D1685*INDEX(Mix_Eff,MATCH($C1685,Mix_Code,0),4),""))</f>
        <v/>
      </c>
      <c r="J1685" s="67" t="str">
        <f aca="false">IF(OR($C1685="",$D1685=""),"",IFERROR($D1685*INDEX(Mix_Eff,MATCH($C1685,Mix_Code,0),5),""))</f>
        <v/>
      </c>
      <c r="K1685" s="63"/>
      <c r="L1685" s="16" t="str">
        <f aca="false">IF(AND($A1685="",$B1685="",$C1685="",$D1685=""),"",IF($A1685="","⚠ Date missing",IF($B1685="","⚠ Site missing",IF(ISNA(MATCH($C1685,Mix_Code,0)),"⚠ Unknown mix code",IF($D1685="","⚠ Enter m3 produced",IF(COUNTIF(CI_Site,$B1685)=0,"⚠ Site not set up in Current Inventory",IF($A1685&gt;AsOfDate,"Future date – not yet deducted","OK")))))))</f>
        <v/>
      </c>
    </row>
    <row r="1686" customFormat="false" ht="15" hidden="false" customHeight="false" outlineLevel="0" collapsed="false">
      <c r="A1686" s="65"/>
      <c r="B1686" s="63"/>
      <c r="C1686" s="70"/>
      <c r="D1686" s="66"/>
      <c r="E1686" s="16" t="str">
        <f aca="false">IF($C1686="","",IFERROR(INDEX(Mix_Desc,MATCH($C1686,Mix_Code,0)),"⚠ Unknown mix code"))</f>
        <v/>
      </c>
      <c r="F1686" s="67" t="str">
        <f aca="false">IF(OR($C1686="",$D1686=""),"",IFERROR($D1686*INDEX(Mix_Eff,MATCH($C1686,Mix_Code,0),1),""))</f>
        <v/>
      </c>
      <c r="G1686" s="67" t="str">
        <f aca="false">IF(OR($C1686="",$D1686=""),"",IFERROR($D1686*INDEX(Mix_Eff,MATCH($C1686,Mix_Code,0),2),""))</f>
        <v/>
      </c>
      <c r="H1686" s="67" t="str">
        <f aca="false">IF(OR($C1686="",$D1686=""),"",IFERROR($D1686*INDEX(Mix_Eff,MATCH($C1686,Mix_Code,0),3),""))</f>
        <v/>
      </c>
      <c r="I1686" s="67" t="str">
        <f aca="false">IF(OR($C1686="",$D1686=""),"",IFERROR($D1686*INDEX(Mix_Eff,MATCH($C1686,Mix_Code,0),4),""))</f>
        <v/>
      </c>
      <c r="J1686" s="67" t="str">
        <f aca="false">IF(OR($C1686="",$D1686=""),"",IFERROR($D1686*INDEX(Mix_Eff,MATCH($C1686,Mix_Code,0),5),""))</f>
        <v/>
      </c>
      <c r="K1686" s="63"/>
      <c r="L1686" s="16" t="str">
        <f aca="false">IF(AND($A1686="",$B1686="",$C1686="",$D1686=""),"",IF($A1686="","⚠ Date missing",IF($B1686="","⚠ Site missing",IF(ISNA(MATCH($C1686,Mix_Code,0)),"⚠ Unknown mix code",IF($D1686="","⚠ Enter m3 produced",IF(COUNTIF(CI_Site,$B1686)=0,"⚠ Site not set up in Current Inventory",IF($A1686&gt;AsOfDate,"Future date – not yet deducted","OK")))))))</f>
        <v/>
      </c>
    </row>
    <row r="1687" customFormat="false" ht="15" hidden="false" customHeight="false" outlineLevel="0" collapsed="false">
      <c r="A1687" s="65"/>
      <c r="B1687" s="63"/>
      <c r="C1687" s="70"/>
      <c r="D1687" s="66"/>
      <c r="E1687" s="16" t="str">
        <f aca="false">IF($C1687="","",IFERROR(INDEX(Mix_Desc,MATCH($C1687,Mix_Code,0)),"⚠ Unknown mix code"))</f>
        <v/>
      </c>
      <c r="F1687" s="67" t="str">
        <f aca="false">IF(OR($C1687="",$D1687=""),"",IFERROR($D1687*INDEX(Mix_Eff,MATCH($C1687,Mix_Code,0),1),""))</f>
        <v/>
      </c>
      <c r="G1687" s="67" t="str">
        <f aca="false">IF(OR($C1687="",$D1687=""),"",IFERROR($D1687*INDEX(Mix_Eff,MATCH($C1687,Mix_Code,0),2),""))</f>
        <v/>
      </c>
      <c r="H1687" s="67" t="str">
        <f aca="false">IF(OR($C1687="",$D1687=""),"",IFERROR($D1687*INDEX(Mix_Eff,MATCH($C1687,Mix_Code,0),3),""))</f>
        <v/>
      </c>
      <c r="I1687" s="67" t="str">
        <f aca="false">IF(OR($C1687="",$D1687=""),"",IFERROR($D1687*INDEX(Mix_Eff,MATCH($C1687,Mix_Code,0),4),""))</f>
        <v/>
      </c>
      <c r="J1687" s="67" t="str">
        <f aca="false">IF(OR($C1687="",$D1687=""),"",IFERROR($D1687*INDEX(Mix_Eff,MATCH($C1687,Mix_Code,0),5),""))</f>
        <v/>
      </c>
      <c r="K1687" s="63"/>
      <c r="L1687" s="16" t="str">
        <f aca="false">IF(AND($A1687="",$B1687="",$C1687="",$D1687=""),"",IF($A1687="","⚠ Date missing",IF($B1687="","⚠ Site missing",IF(ISNA(MATCH($C1687,Mix_Code,0)),"⚠ Unknown mix code",IF($D1687="","⚠ Enter m3 produced",IF(COUNTIF(CI_Site,$B1687)=0,"⚠ Site not set up in Current Inventory",IF($A1687&gt;AsOfDate,"Future date – not yet deducted","OK")))))))</f>
        <v/>
      </c>
    </row>
    <row r="1688" customFormat="false" ht="15" hidden="false" customHeight="false" outlineLevel="0" collapsed="false">
      <c r="A1688" s="65"/>
      <c r="B1688" s="63"/>
      <c r="C1688" s="70"/>
      <c r="D1688" s="66"/>
      <c r="E1688" s="16" t="str">
        <f aca="false">IF($C1688="","",IFERROR(INDEX(Mix_Desc,MATCH($C1688,Mix_Code,0)),"⚠ Unknown mix code"))</f>
        <v/>
      </c>
      <c r="F1688" s="67" t="str">
        <f aca="false">IF(OR($C1688="",$D1688=""),"",IFERROR($D1688*INDEX(Mix_Eff,MATCH($C1688,Mix_Code,0),1),""))</f>
        <v/>
      </c>
      <c r="G1688" s="67" t="str">
        <f aca="false">IF(OR($C1688="",$D1688=""),"",IFERROR($D1688*INDEX(Mix_Eff,MATCH($C1688,Mix_Code,0),2),""))</f>
        <v/>
      </c>
      <c r="H1688" s="67" t="str">
        <f aca="false">IF(OR($C1688="",$D1688=""),"",IFERROR($D1688*INDEX(Mix_Eff,MATCH($C1688,Mix_Code,0),3),""))</f>
        <v/>
      </c>
      <c r="I1688" s="67" t="str">
        <f aca="false">IF(OR($C1688="",$D1688=""),"",IFERROR($D1688*INDEX(Mix_Eff,MATCH($C1688,Mix_Code,0),4),""))</f>
        <v/>
      </c>
      <c r="J1688" s="67" t="str">
        <f aca="false">IF(OR($C1688="",$D1688=""),"",IFERROR($D1688*INDEX(Mix_Eff,MATCH($C1688,Mix_Code,0),5),""))</f>
        <v/>
      </c>
      <c r="K1688" s="63"/>
      <c r="L1688" s="16" t="str">
        <f aca="false">IF(AND($A1688="",$B1688="",$C1688="",$D1688=""),"",IF($A1688="","⚠ Date missing",IF($B1688="","⚠ Site missing",IF(ISNA(MATCH($C1688,Mix_Code,0)),"⚠ Unknown mix code",IF($D1688="","⚠ Enter m3 produced",IF(COUNTIF(CI_Site,$B1688)=0,"⚠ Site not set up in Current Inventory",IF($A1688&gt;AsOfDate,"Future date – not yet deducted","OK")))))))</f>
        <v/>
      </c>
    </row>
    <row r="1689" customFormat="false" ht="15" hidden="false" customHeight="false" outlineLevel="0" collapsed="false">
      <c r="A1689" s="65"/>
      <c r="B1689" s="63"/>
      <c r="C1689" s="70"/>
      <c r="D1689" s="66"/>
      <c r="E1689" s="16" t="str">
        <f aca="false">IF($C1689="","",IFERROR(INDEX(Mix_Desc,MATCH($C1689,Mix_Code,0)),"⚠ Unknown mix code"))</f>
        <v/>
      </c>
      <c r="F1689" s="67" t="str">
        <f aca="false">IF(OR($C1689="",$D1689=""),"",IFERROR($D1689*INDEX(Mix_Eff,MATCH($C1689,Mix_Code,0),1),""))</f>
        <v/>
      </c>
      <c r="G1689" s="67" t="str">
        <f aca="false">IF(OR($C1689="",$D1689=""),"",IFERROR($D1689*INDEX(Mix_Eff,MATCH($C1689,Mix_Code,0),2),""))</f>
        <v/>
      </c>
      <c r="H1689" s="67" t="str">
        <f aca="false">IF(OR($C1689="",$D1689=""),"",IFERROR($D1689*INDEX(Mix_Eff,MATCH($C1689,Mix_Code,0),3),""))</f>
        <v/>
      </c>
      <c r="I1689" s="67" t="str">
        <f aca="false">IF(OR($C1689="",$D1689=""),"",IFERROR($D1689*INDEX(Mix_Eff,MATCH($C1689,Mix_Code,0),4),""))</f>
        <v/>
      </c>
      <c r="J1689" s="67" t="str">
        <f aca="false">IF(OR($C1689="",$D1689=""),"",IFERROR($D1689*INDEX(Mix_Eff,MATCH($C1689,Mix_Code,0),5),""))</f>
        <v/>
      </c>
      <c r="K1689" s="63"/>
      <c r="L1689" s="16" t="str">
        <f aca="false">IF(AND($A1689="",$B1689="",$C1689="",$D1689=""),"",IF($A1689="","⚠ Date missing",IF($B1689="","⚠ Site missing",IF(ISNA(MATCH($C1689,Mix_Code,0)),"⚠ Unknown mix code",IF($D1689="","⚠ Enter m3 produced",IF(COUNTIF(CI_Site,$B1689)=0,"⚠ Site not set up in Current Inventory",IF($A1689&gt;AsOfDate,"Future date – not yet deducted","OK")))))))</f>
        <v/>
      </c>
    </row>
    <row r="1690" customFormat="false" ht="15" hidden="false" customHeight="false" outlineLevel="0" collapsed="false">
      <c r="A1690" s="65"/>
      <c r="B1690" s="63"/>
      <c r="C1690" s="70"/>
      <c r="D1690" s="66"/>
      <c r="E1690" s="16" t="str">
        <f aca="false">IF($C1690="","",IFERROR(INDEX(Mix_Desc,MATCH($C1690,Mix_Code,0)),"⚠ Unknown mix code"))</f>
        <v/>
      </c>
      <c r="F1690" s="67" t="str">
        <f aca="false">IF(OR($C1690="",$D1690=""),"",IFERROR($D1690*INDEX(Mix_Eff,MATCH($C1690,Mix_Code,0),1),""))</f>
        <v/>
      </c>
      <c r="G1690" s="67" t="str">
        <f aca="false">IF(OR($C1690="",$D1690=""),"",IFERROR($D1690*INDEX(Mix_Eff,MATCH($C1690,Mix_Code,0),2),""))</f>
        <v/>
      </c>
      <c r="H1690" s="67" t="str">
        <f aca="false">IF(OR($C1690="",$D1690=""),"",IFERROR($D1690*INDEX(Mix_Eff,MATCH($C1690,Mix_Code,0),3),""))</f>
        <v/>
      </c>
      <c r="I1690" s="67" t="str">
        <f aca="false">IF(OR($C1690="",$D1690=""),"",IFERROR($D1690*INDEX(Mix_Eff,MATCH($C1690,Mix_Code,0),4),""))</f>
        <v/>
      </c>
      <c r="J1690" s="67" t="str">
        <f aca="false">IF(OR($C1690="",$D1690=""),"",IFERROR($D1690*INDEX(Mix_Eff,MATCH($C1690,Mix_Code,0),5),""))</f>
        <v/>
      </c>
      <c r="K1690" s="63"/>
      <c r="L1690" s="16" t="str">
        <f aca="false">IF(AND($A1690="",$B1690="",$C1690="",$D1690=""),"",IF($A1690="","⚠ Date missing",IF($B1690="","⚠ Site missing",IF(ISNA(MATCH($C1690,Mix_Code,0)),"⚠ Unknown mix code",IF($D1690="","⚠ Enter m3 produced",IF(COUNTIF(CI_Site,$B1690)=0,"⚠ Site not set up in Current Inventory",IF($A1690&gt;AsOfDate,"Future date – not yet deducted","OK")))))))</f>
        <v/>
      </c>
    </row>
    <row r="1691" customFormat="false" ht="15" hidden="false" customHeight="false" outlineLevel="0" collapsed="false">
      <c r="A1691" s="65"/>
      <c r="B1691" s="63"/>
      <c r="C1691" s="70"/>
      <c r="D1691" s="66"/>
      <c r="E1691" s="16" t="str">
        <f aca="false">IF($C1691="","",IFERROR(INDEX(Mix_Desc,MATCH($C1691,Mix_Code,0)),"⚠ Unknown mix code"))</f>
        <v/>
      </c>
      <c r="F1691" s="67" t="str">
        <f aca="false">IF(OR($C1691="",$D1691=""),"",IFERROR($D1691*INDEX(Mix_Eff,MATCH($C1691,Mix_Code,0),1),""))</f>
        <v/>
      </c>
      <c r="G1691" s="67" t="str">
        <f aca="false">IF(OR($C1691="",$D1691=""),"",IFERROR($D1691*INDEX(Mix_Eff,MATCH($C1691,Mix_Code,0),2),""))</f>
        <v/>
      </c>
      <c r="H1691" s="67" t="str">
        <f aca="false">IF(OR($C1691="",$D1691=""),"",IFERROR($D1691*INDEX(Mix_Eff,MATCH($C1691,Mix_Code,0),3),""))</f>
        <v/>
      </c>
      <c r="I1691" s="67" t="str">
        <f aca="false">IF(OR($C1691="",$D1691=""),"",IFERROR($D1691*INDEX(Mix_Eff,MATCH($C1691,Mix_Code,0),4),""))</f>
        <v/>
      </c>
      <c r="J1691" s="67" t="str">
        <f aca="false">IF(OR($C1691="",$D1691=""),"",IFERROR($D1691*INDEX(Mix_Eff,MATCH($C1691,Mix_Code,0),5),""))</f>
        <v/>
      </c>
      <c r="K1691" s="63"/>
      <c r="L1691" s="16" t="str">
        <f aca="false">IF(AND($A1691="",$B1691="",$C1691="",$D1691=""),"",IF($A1691="","⚠ Date missing",IF($B1691="","⚠ Site missing",IF(ISNA(MATCH($C1691,Mix_Code,0)),"⚠ Unknown mix code",IF($D1691="","⚠ Enter m3 produced",IF(COUNTIF(CI_Site,$B1691)=0,"⚠ Site not set up in Current Inventory",IF($A1691&gt;AsOfDate,"Future date – not yet deducted","OK")))))))</f>
        <v/>
      </c>
    </row>
    <row r="1692" customFormat="false" ht="15" hidden="false" customHeight="false" outlineLevel="0" collapsed="false">
      <c r="A1692" s="65"/>
      <c r="B1692" s="63"/>
      <c r="C1692" s="70"/>
      <c r="D1692" s="66"/>
      <c r="E1692" s="16" t="str">
        <f aca="false">IF($C1692="","",IFERROR(INDEX(Mix_Desc,MATCH($C1692,Mix_Code,0)),"⚠ Unknown mix code"))</f>
        <v/>
      </c>
      <c r="F1692" s="67" t="str">
        <f aca="false">IF(OR($C1692="",$D1692=""),"",IFERROR($D1692*INDEX(Mix_Eff,MATCH($C1692,Mix_Code,0),1),""))</f>
        <v/>
      </c>
      <c r="G1692" s="67" t="str">
        <f aca="false">IF(OR($C1692="",$D1692=""),"",IFERROR($D1692*INDEX(Mix_Eff,MATCH($C1692,Mix_Code,0),2),""))</f>
        <v/>
      </c>
      <c r="H1692" s="67" t="str">
        <f aca="false">IF(OR($C1692="",$D1692=""),"",IFERROR($D1692*INDEX(Mix_Eff,MATCH($C1692,Mix_Code,0),3),""))</f>
        <v/>
      </c>
      <c r="I1692" s="67" t="str">
        <f aca="false">IF(OR($C1692="",$D1692=""),"",IFERROR($D1692*INDEX(Mix_Eff,MATCH($C1692,Mix_Code,0),4),""))</f>
        <v/>
      </c>
      <c r="J1692" s="67" t="str">
        <f aca="false">IF(OR($C1692="",$D1692=""),"",IFERROR($D1692*INDEX(Mix_Eff,MATCH($C1692,Mix_Code,0),5),""))</f>
        <v/>
      </c>
      <c r="K1692" s="63"/>
      <c r="L1692" s="16" t="str">
        <f aca="false">IF(AND($A1692="",$B1692="",$C1692="",$D1692=""),"",IF($A1692="","⚠ Date missing",IF($B1692="","⚠ Site missing",IF(ISNA(MATCH($C1692,Mix_Code,0)),"⚠ Unknown mix code",IF($D1692="","⚠ Enter m3 produced",IF(COUNTIF(CI_Site,$B1692)=0,"⚠ Site not set up in Current Inventory",IF($A1692&gt;AsOfDate,"Future date – not yet deducted","OK")))))))</f>
        <v/>
      </c>
    </row>
    <row r="1693" customFormat="false" ht="15" hidden="false" customHeight="false" outlineLevel="0" collapsed="false">
      <c r="A1693" s="65"/>
      <c r="B1693" s="63"/>
      <c r="C1693" s="70"/>
      <c r="D1693" s="66"/>
      <c r="E1693" s="16" t="str">
        <f aca="false">IF($C1693="","",IFERROR(INDEX(Mix_Desc,MATCH($C1693,Mix_Code,0)),"⚠ Unknown mix code"))</f>
        <v/>
      </c>
      <c r="F1693" s="67" t="str">
        <f aca="false">IF(OR($C1693="",$D1693=""),"",IFERROR($D1693*INDEX(Mix_Eff,MATCH($C1693,Mix_Code,0),1),""))</f>
        <v/>
      </c>
      <c r="G1693" s="67" t="str">
        <f aca="false">IF(OR($C1693="",$D1693=""),"",IFERROR($D1693*INDEX(Mix_Eff,MATCH($C1693,Mix_Code,0),2),""))</f>
        <v/>
      </c>
      <c r="H1693" s="67" t="str">
        <f aca="false">IF(OR($C1693="",$D1693=""),"",IFERROR($D1693*INDEX(Mix_Eff,MATCH($C1693,Mix_Code,0),3),""))</f>
        <v/>
      </c>
      <c r="I1693" s="67" t="str">
        <f aca="false">IF(OR($C1693="",$D1693=""),"",IFERROR($D1693*INDEX(Mix_Eff,MATCH($C1693,Mix_Code,0),4),""))</f>
        <v/>
      </c>
      <c r="J1693" s="67" t="str">
        <f aca="false">IF(OR($C1693="",$D1693=""),"",IFERROR($D1693*INDEX(Mix_Eff,MATCH($C1693,Mix_Code,0),5),""))</f>
        <v/>
      </c>
      <c r="K1693" s="63"/>
      <c r="L1693" s="16" t="str">
        <f aca="false">IF(AND($A1693="",$B1693="",$C1693="",$D1693=""),"",IF($A1693="","⚠ Date missing",IF($B1693="","⚠ Site missing",IF(ISNA(MATCH($C1693,Mix_Code,0)),"⚠ Unknown mix code",IF($D1693="","⚠ Enter m3 produced",IF(COUNTIF(CI_Site,$B1693)=0,"⚠ Site not set up in Current Inventory",IF($A1693&gt;AsOfDate,"Future date – not yet deducted","OK")))))))</f>
        <v/>
      </c>
    </row>
    <row r="1694" customFormat="false" ht="15" hidden="false" customHeight="false" outlineLevel="0" collapsed="false">
      <c r="A1694" s="65"/>
      <c r="B1694" s="63"/>
      <c r="C1694" s="70"/>
      <c r="D1694" s="66"/>
      <c r="E1694" s="16" t="str">
        <f aca="false">IF($C1694="","",IFERROR(INDEX(Mix_Desc,MATCH($C1694,Mix_Code,0)),"⚠ Unknown mix code"))</f>
        <v/>
      </c>
      <c r="F1694" s="67" t="str">
        <f aca="false">IF(OR($C1694="",$D1694=""),"",IFERROR($D1694*INDEX(Mix_Eff,MATCH($C1694,Mix_Code,0),1),""))</f>
        <v/>
      </c>
      <c r="G1694" s="67" t="str">
        <f aca="false">IF(OR($C1694="",$D1694=""),"",IFERROR($D1694*INDEX(Mix_Eff,MATCH($C1694,Mix_Code,0),2),""))</f>
        <v/>
      </c>
      <c r="H1694" s="67" t="str">
        <f aca="false">IF(OR($C1694="",$D1694=""),"",IFERROR($D1694*INDEX(Mix_Eff,MATCH($C1694,Mix_Code,0),3),""))</f>
        <v/>
      </c>
      <c r="I1694" s="67" t="str">
        <f aca="false">IF(OR($C1694="",$D1694=""),"",IFERROR($D1694*INDEX(Mix_Eff,MATCH($C1694,Mix_Code,0),4),""))</f>
        <v/>
      </c>
      <c r="J1694" s="67" t="str">
        <f aca="false">IF(OR($C1694="",$D1694=""),"",IFERROR($D1694*INDEX(Mix_Eff,MATCH($C1694,Mix_Code,0),5),""))</f>
        <v/>
      </c>
      <c r="K1694" s="63"/>
      <c r="L1694" s="16" t="str">
        <f aca="false">IF(AND($A1694="",$B1694="",$C1694="",$D1694=""),"",IF($A1694="","⚠ Date missing",IF($B1694="","⚠ Site missing",IF(ISNA(MATCH($C1694,Mix_Code,0)),"⚠ Unknown mix code",IF($D1694="","⚠ Enter m3 produced",IF(COUNTIF(CI_Site,$B1694)=0,"⚠ Site not set up in Current Inventory",IF($A1694&gt;AsOfDate,"Future date – not yet deducted","OK")))))))</f>
        <v/>
      </c>
    </row>
    <row r="1695" customFormat="false" ht="15" hidden="false" customHeight="false" outlineLevel="0" collapsed="false">
      <c r="A1695" s="65"/>
      <c r="B1695" s="63"/>
      <c r="C1695" s="70"/>
      <c r="D1695" s="66"/>
      <c r="E1695" s="16" t="str">
        <f aca="false">IF($C1695="","",IFERROR(INDEX(Mix_Desc,MATCH($C1695,Mix_Code,0)),"⚠ Unknown mix code"))</f>
        <v/>
      </c>
      <c r="F1695" s="67" t="str">
        <f aca="false">IF(OR($C1695="",$D1695=""),"",IFERROR($D1695*INDEX(Mix_Eff,MATCH($C1695,Mix_Code,0),1),""))</f>
        <v/>
      </c>
      <c r="G1695" s="67" t="str">
        <f aca="false">IF(OR($C1695="",$D1695=""),"",IFERROR($D1695*INDEX(Mix_Eff,MATCH($C1695,Mix_Code,0),2),""))</f>
        <v/>
      </c>
      <c r="H1695" s="67" t="str">
        <f aca="false">IF(OR($C1695="",$D1695=""),"",IFERROR($D1695*INDEX(Mix_Eff,MATCH($C1695,Mix_Code,0),3),""))</f>
        <v/>
      </c>
      <c r="I1695" s="67" t="str">
        <f aca="false">IF(OR($C1695="",$D1695=""),"",IFERROR($D1695*INDEX(Mix_Eff,MATCH($C1695,Mix_Code,0),4),""))</f>
        <v/>
      </c>
      <c r="J1695" s="67" t="str">
        <f aca="false">IF(OR($C1695="",$D1695=""),"",IFERROR($D1695*INDEX(Mix_Eff,MATCH($C1695,Mix_Code,0),5),""))</f>
        <v/>
      </c>
      <c r="K1695" s="63"/>
      <c r="L1695" s="16" t="str">
        <f aca="false">IF(AND($A1695="",$B1695="",$C1695="",$D1695=""),"",IF($A1695="","⚠ Date missing",IF($B1695="","⚠ Site missing",IF(ISNA(MATCH($C1695,Mix_Code,0)),"⚠ Unknown mix code",IF($D1695="","⚠ Enter m3 produced",IF(COUNTIF(CI_Site,$B1695)=0,"⚠ Site not set up in Current Inventory",IF($A1695&gt;AsOfDate,"Future date – not yet deducted","OK")))))))</f>
        <v/>
      </c>
    </row>
    <row r="1696" customFormat="false" ht="15" hidden="false" customHeight="false" outlineLevel="0" collapsed="false">
      <c r="A1696" s="65"/>
      <c r="B1696" s="63"/>
      <c r="C1696" s="70"/>
      <c r="D1696" s="66"/>
      <c r="E1696" s="16" t="str">
        <f aca="false">IF($C1696="","",IFERROR(INDEX(Mix_Desc,MATCH($C1696,Mix_Code,0)),"⚠ Unknown mix code"))</f>
        <v/>
      </c>
      <c r="F1696" s="67" t="str">
        <f aca="false">IF(OR($C1696="",$D1696=""),"",IFERROR($D1696*INDEX(Mix_Eff,MATCH($C1696,Mix_Code,0),1),""))</f>
        <v/>
      </c>
      <c r="G1696" s="67" t="str">
        <f aca="false">IF(OR($C1696="",$D1696=""),"",IFERROR($D1696*INDEX(Mix_Eff,MATCH($C1696,Mix_Code,0),2),""))</f>
        <v/>
      </c>
      <c r="H1696" s="67" t="str">
        <f aca="false">IF(OR($C1696="",$D1696=""),"",IFERROR($D1696*INDEX(Mix_Eff,MATCH($C1696,Mix_Code,0),3),""))</f>
        <v/>
      </c>
      <c r="I1696" s="67" t="str">
        <f aca="false">IF(OR($C1696="",$D1696=""),"",IFERROR($D1696*INDEX(Mix_Eff,MATCH($C1696,Mix_Code,0),4),""))</f>
        <v/>
      </c>
      <c r="J1696" s="67" t="str">
        <f aca="false">IF(OR($C1696="",$D1696=""),"",IFERROR($D1696*INDEX(Mix_Eff,MATCH($C1696,Mix_Code,0),5),""))</f>
        <v/>
      </c>
      <c r="K1696" s="63"/>
      <c r="L1696" s="16" t="str">
        <f aca="false">IF(AND($A1696="",$B1696="",$C1696="",$D1696=""),"",IF($A1696="","⚠ Date missing",IF($B1696="","⚠ Site missing",IF(ISNA(MATCH($C1696,Mix_Code,0)),"⚠ Unknown mix code",IF($D1696="","⚠ Enter m3 produced",IF(COUNTIF(CI_Site,$B1696)=0,"⚠ Site not set up in Current Inventory",IF($A1696&gt;AsOfDate,"Future date – not yet deducted","OK")))))))</f>
        <v/>
      </c>
    </row>
    <row r="1697" customFormat="false" ht="15" hidden="false" customHeight="false" outlineLevel="0" collapsed="false">
      <c r="A1697" s="65"/>
      <c r="B1697" s="63"/>
      <c r="C1697" s="70"/>
      <c r="D1697" s="66"/>
      <c r="E1697" s="16" t="str">
        <f aca="false">IF($C1697="","",IFERROR(INDEX(Mix_Desc,MATCH($C1697,Mix_Code,0)),"⚠ Unknown mix code"))</f>
        <v/>
      </c>
      <c r="F1697" s="67" t="str">
        <f aca="false">IF(OR($C1697="",$D1697=""),"",IFERROR($D1697*INDEX(Mix_Eff,MATCH($C1697,Mix_Code,0),1),""))</f>
        <v/>
      </c>
      <c r="G1697" s="67" t="str">
        <f aca="false">IF(OR($C1697="",$D1697=""),"",IFERROR($D1697*INDEX(Mix_Eff,MATCH($C1697,Mix_Code,0),2),""))</f>
        <v/>
      </c>
      <c r="H1697" s="67" t="str">
        <f aca="false">IF(OR($C1697="",$D1697=""),"",IFERROR($D1697*INDEX(Mix_Eff,MATCH($C1697,Mix_Code,0),3),""))</f>
        <v/>
      </c>
      <c r="I1697" s="67" t="str">
        <f aca="false">IF(OR($C1697="",$D1697=""),"",IFERROR($D1697*INDEX(Mix_Eff,MATCH($C1697,Mix_Code,0),4),""))</f>
        <v/>
      </c>
      <c r="J1697" s="67" t="str">
        <f aca="false">IF(OR($C1697="",$D1697=""),"",IFERROR($D1697*INDEX(Mix_Eff,MATCH($C1697,Mix_Code,0),5),""))</f>
        <v/>
      </c>
      <c r="K1697" s="63"/>
      <c r="L1697" s="16" t="str">
        <f aca="false">IF(AND($A1697="",$B1697="",$C1697="",$D1697=""),"",IF($A1697="","⚠ Date missing",IF($B1697="","⚠ Site missing",IF(ISNA(MATCH($C1697,Mix_Code,0)),"⚠ Unknown mix code",IF($D1697="","⚠ Enter m3 produced",IF(COUNTIF(CI_Site,$B1697)=0,"⚠ Site not set up in Current Inventory",IF($A1697&gt;AsOfDate,"Future date – not yet deducted","OK")))))))</f>
        <v/>
      </c>
    </row>
    <row r="1698" customFormat="false" ht="15" hidden="false" customHeight="false" outlineLevel="0" collapsed="false">
      <c r="A1698" s="65"/>
      <c r="B1698" s="63"/>
      <c r="C1698" s="70"/>
      <c r="D1698" s="66"/>
      <c r="E1698" s="16" t="str">
        <f aca="false">IF($C1698="","",IFERROR(INDEX(Mix_Desc,MATCH($C1698,Mix_Code,0)),"⚠ Unknown mix code"))</f>
        <v/>
      </c>
      <c r="F1698" s="67" t="str">
        <f aca="false">IF(OR($C1698="",$D1698=""),"",IFERROR($D1698*INDEX(Mix_Eff,MATCH($C1698,Mix_Code,0),1),""))</f>
        <v/>
      </c>
      <c r="G1698" s="67" t="str">
        <f aca="false">IF(OR($C1698="",$D1698=""),"",IFERROR($D1698*INDEX(Mix_Eff,MATCH($C1698,Mix_Code,0),2),""))</f>
        <v/>
      </c>
      <c r="H1698" s="67" t="str">
        <f aca="false">IF(OR($C1698="",$D1698=""),"",IFERROR($D1698*INDEX(Mix_Eff,MATCH($C1698,Mix_Code,0),3),""))</f>
        <v/>
      </c>
      <c r="I1698" s="67" t="str">
        <f aca="false">IF(OR($C1698="",$D1698=""),"",IFERROR($D1698*INDEX(Mix_Eff,MATCH($C1698,Mix_Code,0),4),""))</f>
        <v/>
      </c>
      <c r="J1698" s="67" t="str">
        <f aca="false">IF(OR($C1698="",$D1698=""),"",IFERROR($D1698*INDEX(Mix_Eff,MATCH($C1698,Mix_Code,0),5),""))</f>
        <v/>
      </c>
      <c r="K1698" s="63"/>
      <c r="L1698" s="16" t="str">
        <f aca="false">IF(AND($A1698="",$B1698="",$C1698="",$D1698=""),"",IF($A1698="","⚠ Date missing",IF($B1698="","⚠ Site missing",IF(ISNA(MATCH($C1698,Mix_Code,0)),"⚠ Unknown mix code",IF($D1698="","⚠ Enter m3 produced",IF(COUNTIF(CI_Site,$B1698)=0,"⚠ Site not set up in Current Inventory",IF($A1698&gt;AsOfDate,"Future date – not yet deducted","OK")))))))</f>
        <v/>
      </c>
    </row>
    <row r="1699" customFormat="false" ht="15" hidden="false" customHeight="false" outlineLevel="0" collapsed="false">
      <c r="A1699" s="65"/>
      <c r="B1699" s="63"/>
      <c r="C1699" s="70"/>
      <c r="D1699" s="66"/>
      <c r="E1699" s="16" t="str">
        <f aca="false">IF($C1699="","",IFERROR(INDEX(Mix_Desc,MATCH($C1699,Mix_Code,0)),"⚠ Unknown mix code"))</f>
        <v/>
      </c>
      <c r="F1699" s="67" t="str">
        <f aca="false">IF(OR($C1699="",$D1699=""),"",IFERROR($D1699*INDEX(Mix_Eff,MATCH($C1699,Mix_Code,0),1),""))</f>
        <v/>
      </c>
      <c r="G1699" s="67" t="str">
        <f aca="false">IF(OR($C1699="",$D1699=""),"",IFERROR($D1699*INDEX(Mix_Eff,MATCH($C1699,Mix_Code,0),2),""))</f>
        <v/>
      </c>
      <c r="H1699" s="67" t="str">
        <f aca="false">IF(OR($C1699="",$D1699=""),"",IFERROR($D1699*INDEX(Mix_Eff,MATCH($C1699,Mix_Code,0),3),""))</f>
        <v/>
      </c>
      <c r="I1699" s="67" t="str">
        <f aca="false">IF(OR($C1699="",$D1699=""),"",IFERROR($D1699*INDEX(Mix_Eff,MATCH($C1699,Mix_Code,0),4),""))</f>
        <v/>
      </c>
      <c r="J1699" s="67" t="str">
        <f aca="false">IF(OR($C1699="",$D1699=""),"",IFERROR($D1699*INDEX(Mix_Eff,MATCH($C1699,Mix_Code,0),5),""))</f>
        <v/>
      </c>
      <c r="K1699" s="63"/>
      <c r="L1699" s="16" t="str">
        <f aca="false">IF(AND($A1699="",$B1699="",$C1699="",$D1699=""),"",IF($A1699="","⚠ Date missing",IF($B1699="","⚠ Site missing",IF(ISNA(MATCH($C1699,Mix_Code,0)),"⚠ Unknown mix code",IF($D1699="","⚠ Enter m3 produced",IF(COUNTIF(CI_Site,$B1699)=0,"⚠ Site not set up in Current Inventory",IF($A1699&gt;AsOfDate,"Future date – not yet deducted","OK")))))))</f>
        <v/>
      </c>
    </row>
    <row r="1700" customFormat="false" ht="15" hidden="false" customHeight="false" outlineLevel="0" collapsed="false">
      <c r="A1700" s="65"/>
      <c r="B1700" s="63"/>
      <c r="C1700" s="70"/>
      <c r="D1700" s="66"/>
      <c r="E1700" s="16" t="str">
        <f aca="false">IF($C1700="","",IFERROR(INDEX(Mix_Desc,MATCH($C1700,Mix_Code,0)),"⚠ Unknown mix code"))</f>
        <v/>
      </c>
      <c r="F1700" s="67" t="str">
        <f aca="false">IF(OR($C1700="",$D1700=""),"",IFERROR($D1700*INDEX(Mix_Eff,MATCH($C1700,Mix_Code,0),1),""))</f>
        <v/>
      </c>
      <c r="G1700" s="67" t="str">
        <f aca="false">IF(OR($C1700="",$D1700=""),"",IFERROR($D1700*INDEX(Mix_Eff,MATCH($C1700,Mix_Code,0),2),""))</f>
        <v/>
      </c>
      <c r="H1700" s="67" t="str">
        <f aca="false">IF(OR($C1700="",$D1700=""),"",IFERROR($D1700*INDEX(Mix_Eff,MATCH($C1700,Mix_Code,0),3),""))</f>
        <v/>
      </c>
      <c r="I1700" s="67" t="str">
        <f aca="false">IF(OR($C1700="",$D1700=""),"",IFERROR($D1700*INDEX(Mix_Eff,MATCH($C1700,Mix_Code,0),4),""))</f>
        <v/>
      </c>
      <c r="J1700" s="67" t="str">
        <f aca="false">IF(OR($C1700="",$D1700=""),"",IFERROR($D1700*INDEX(Mix_Eff,MATCH($C1700,Mix_Code,0),5),""))</f>
        <v/>
      </c>
      <c r="K1700" s="63"/>
      <c r="L1700" s="16" t="str">
        <f aca="false">IF(AND($A1700="",$B1700="",$C1700="",$D1700=""),"",IF($A1700="","⚠ Date missing",IF($B1700="","⚠ Site missing",IF(ISNA(MATCH($C1700,Mix_Code,0)),"⚠ Unknown mix code",IF($D1700="","⚠ Enter m3 produced",IF(COUNTIF(CI_Site,$B1700)=0,"⚠ Site not set up in Current Inventory",IF($A1700&gt;AsOfDate,"Future date – not yet deducted","OK")))))))</f>
        <v/>
      </c>
    </row>
    <row r="1701" customFormat="false" ht="15" hidden="false" customHeight="false" outlineLevel="0" collapsed="false">
      <c r="A1701" s="65"/>
      <c r="B1701" s="63"/>
      <c r="C1701" s="70"/>
      <c r="D1701" s="66"/>
      <c r="E1701" s="16" t="str">
        <f aca="false">IF($C1701="","",IFERROR(INDEX(Mix_Desc,MATCH($C1701,Mix_Code,0)),"⚠ Unknown mix code"))</f>
        <v/>
      </c>
      <c r="F1701" s="67" t="str">
        <f aca="false">IF(OR($C1701="",$D1701=""),"",IFERROR($D1701*INDEX(Mix_Eff,MATCH($C1701,Mix_Code,0),1),""))</f>
        <v/>
      </c>
      <c r="G1701" s="67" t="str">
        <f aca="false">IF(OR($C1701="",$D1701=""),"",IFERROR($D1701*INDEX(Mix_Eff,MATCH($C1701,Mix_Code,0),2),""))</f>
        <v/>
      </c>
      <c r="H1701" s="67" t="str">
        <f aca="false">IF(OR($C1701="",$D1701=""),"",IFERROR($D1701*INDEX(Mix_Eff,MATCH($C1701,Mix_Code,0),3),""))</f>
        <v/>
      </c>
      <c r="I1701" s="67" t="str">
        <f aca="false">IF(OR($C1701="",$D1701=""),"",IFERROR($D1701*INDEX(Mix_Eff,MATCH($C1701,Mix_Code,0),4),""))</f>
        <v/>
      </c>
      <c r="J1701" s="67" t="str">
        <f aca="false">IF(OR($C1701="",$D1701=""),"",IFERROR($D1701*INDEX(Mix_Eff,MATCH($C1701,Mix_Code,0),5),""))</f>
        <v/>
      </c>
      <c r="K1701" s="63"/>
      <c r="L1701" s="16" t="str">
        <f aca="false">IF(AND($A1701="",$B1701="",$C1701="",$D1701=""),"",IF($A1701="","⚠ Date missing",IF($B1701="","⚠ Site missing",IF(ISNA(MATCH($C1701,Mix_Code,0)),"⚠ Unknown mix code",IF($D1701="","⚠ Enter m3 produced",IF(COUNTIF(CI_Site,$B1701)=0,"⚠ Site not set up in Current Inventory",IF($A1701&gt;AsOfDate,"Future date – not yet deducted","OK")))))))</f>
        <v/>
      </c>
    </row>
    <row r="1702" customFormat="false" ht="15" hidden="false" customHeight="false" outlineLevel="0" collapsed="false">
      <c r="A1702" s="65"/>
      <c r="B1702" s="63"/>
      <c r="C1702" s="70"/>
      <c r="D1702" s="66"/>
      <c r="E1702" s="16" t="str">
        <f aca="false">IF($C1702="","",IFERROR(INDEX(Mix_Desc,MATCH($C1702,Mix_Code,0)),"⚠ Unknown mix code"))</f>
        <v/>
      </c>
      <c r="F1702" s="67" t="str">
        <f aca="false">IF(OR($C1702="",$D1702=""),"",IFERROR($D1702*INDEX(Mix_Eff,MATCH($C1702,Mix_Code,0),1),""))</f>
        <v/>
      </c>
      <c r="G1702" s="67" t="str">
        <f aca="false">IF(OR($C1702="",$D1702=""),"",IFERROR($D1702*INDEX(Mix_Eff,MATCH($C1702,Mix_Code,0),2),""))</f>
        <v/>
      </c>
      <c r="H1702" s="67" t="str">
        <f aca="false">IF(OR($C1702="",$D1702=""),"",IFERROR($D1702*INDEX(Mix_Eff,MATCH($C1702,Mix_Code,0),3),""))</f>
        <v/>
      </c>
      <c r="I1702" s="67" t="str">
        <f aca="false">IF(OR($C1702="",$D1702=""),"",IFERROR($D1702*INDEX(Mix_Eff,MATCH($C1702,Mix_Code,0),4),""))</f>
        <v/>
      </c>
      <c r="J1702" s="67" t="str">
        <f aca="false">IF(OR($C1702="",$D1702=""),"",IFERROR($D1702*INDEX(Mix_Eff,MATCH($C1702,Mix_Code,0),5),""))</f>
        <v/>
      </c>
      <c r="K1702" s="63"/>
      <c r="L1702" s="16" t="str">
        <f aca="false">IF(AND($A1702="",$B1702="",$C1702="",$D1702=""),"",IF($A1702="","⚠ Date missing",IF($B1702="","⚠ Site missing",IF(ISNA(MATCH($C1702,Mix_Code,0)),"⚠ Unknown mix code",IF($D1702="","⚠ Enter m3 produced",IF(COUNTIF(CI_Site,$B1702)=0,"⚠ Site not set up in Current Inventory",IF($A1702&gt;AsOfDate,"Future date – not yet deducted","OK")))))))</f>
        <v/>
      </c>
    </row>
    <row r="1703" customFormat="false" ht="15" hidden="false" customHeight="false" outlineLevel="0" collapsed="false">
      <c r="A1703" s="65"/>
      <c r="B1703" s="63"/>
      <c r="C1703" s="70"/>
      <c r="D1703" s="66"/>
      <c r="E1703" s="16" t="str">
        <f aca="false">IF($C1703="","",IFERROR(INDEX(Mix_Desc,MATCH($C1703,Mix_Code,0)),"⚠ Unknown mix code"))</f>
        <v/>
      </c>
      <c r="F1703" s="67" t="str">
        <f aca="false">IF(OR($C1703="",$D1703=""),"",IFERROR($D1703*INDEX(Mix_Eff,MATCH($C1703,Mix_Code,0),1),""))</f>
        <v/>
      </c>
      <c r="G1703" s="67" t="str">
        <f aca="false">IF(OR($C1703="",$D1703=""),"",IFERROR($D1703*INDEX(Mix_Eff,MATCH($C1703,Mix_Code,0),2),""))</f>
        <v/>
      </c>
      <c r="H1703" s="67" t="str">
        <f aca="false">IF(OR($C1703="",$D1703=""),"",IFERROR($D1703*INDEX(Mix_Eff,MATCH($C1703,Mix_Code,0),3),""))</f>
        <v/>
      </c>
      <c r="I1703" s="67" t="str">
        <f aca="false">IF(OR($C1703="",$D1703=""),"",IFERROR($D1703*INDEX(Mix_Eff,MATCH($C1703,Mix_Code,0),4),""))</f>
        <v/>
      </c>
      <c r="J1703" s="67" t="str">
        <f aca="false">IF(OR($C1703="",$D1703=""),"",IFERROR($D1703*INDEX(Mix_Eff,MATCH($C1703,Mix_Code,0),5),""))</f>
        <v/>
      </c>
      <c r="K1703" s="63"/>
      <c r="L1703" s="16" t="str">
        <f aca="false">IF(AND($A1703="",$B1703="",$C1703="",$D1703=""),"",IF($A1703="","⚠ Date missing",IF($B1703="","⚠ Site missing",IF(ISNA(MATCH($C1703,Mix_Code,0)),"⚠ Unknown mix code",IF($D1703="","⚠ Enter m3 produced",IF(COUNTIF(CI_Site,$B1703)=0,"⚠ Site not set up in Current Inventory",IF($A1703&gt;AsOfDate,"Future date – not yet deducted","OK")))))))</f>
        <v/>
      </c>
    </row>
    <row r="1704" customFormat="false" ht="15" hidden="false" customHeight="false" outlineLevel="0" collapsed="false">
      <c r="A1704" s="65"/>
      <c r="B1704" s="63"/>
      <c r="C1704" s="70"/>
      <c r="D1704" s="66"/>
      <c r="E1704" s="16" t="str">
        <f aca="false">IF($C1704="","",IFERROR(INDEX(Mix_Desc,MATCH($C1704,Mix_Code,0)),"⚠ Unknown mix code"))</f>
        <v/>
      </c>
      <c r="F1704" s="67" t="str">
        <f aca="false">IF(OR($C1704="",$D1704=""),"",IFERROR($D1704*INDEX(Mix_Eff,MATCH($C1704,Mix_Code,0),1),""))</f>
        <v/>
      </c>
      <c r="G1704" s="67" t="str">
        <f aca="false">IF(OR($C1704="",$D1704=""),"",IFERROR($D1704*INDEX(Mix_Eff,MATCH($C1704,Mix_Code,0),2),""))</f>
        <v/>
      </c>
      <c r="H1704" s="67" t="str">
        <f aca="false">IF(OR($C1704="",$D1704=""),"",IFERROR($D1704*INDEX(Mix_Eff,MATCH($C1704,Mix_Code,0),3),""))</f>
        <v/>
      </c>
      <c r="I1704" s="67" t="str">
        <f aca="false">IF(OR($C1704="",$D1704=""),"",IFERROR($D1704*INDEX(Mix_Eff,MATCH($C1704,Mix_Code,0),4),""))</f>
        <v/>
      </c>
      <c r="J1704" s="67" t="str">
        <f aca="false">IF(OR($C1704="",$D1704=""),"",IFERROR($D1704*INDEX(Mix_Eff,MATCH($C1704,Mix_Code,0),5),""))</f>
        <v/>
      </c>
      <c r="K1704" s="63"/>
      <c r="L1704" s="16" t="str">
        <f aca="false">IF(AND($A1704="",$B1704="",$C1704="",$D1704=""),"",IF($A1704="","⚠ Date missing",IF($B1704="","⚠ Site missing",IF(ISNA(MATCH($C1704,Mix_Code,0)),"⚠ Unknown mix code",IF($D1704="","⚠ Enter m3 produced",IF(COUNTIF(CI_Site,$B1704)=0,"⚠ Site not set up in Current Inventory",IF($A1704&gt;AsOfDate,"Future date – not yet deducted","OK")))))))</f>
        <v/>
      </c>
    </row>
    <row r="1705" customFormat="false" ht="15" hidden="false" customHeight="false" outlineLevel="0" collapsed="false">
      <c r="A1705" s="65"/>
      <c r="B1705" s="63"/>
      <c r="C1705" s="70"/>
      <c r="D1705" s="66"/>
      <c r="E1705" s="16" t="str">
        <f aca="false">IF($C1705="","",IFERROR(INDEX(Mix_Desc,MATCH($C1705,Mix_Code,0)),"⚠ Unknown mix code"))</f>
        <v/>
      </c>
      <c r="F1705" s="67" t="str">
        <f aca="false">IF(OR($C1705="",$D1705=""),"",IFERROR($D1705*INDEX(Mix_Eff,MATCH($C1705,Mix_Code,0),1),""))</f>
        <v/>
      </c>
      <c r="G1705" s="67" t="str">
        <f aca="false">IF(OR($C1705="",$D1705=""),"",IFERROR($D1705*INDEX(Mix_Eff,MATCH($C1705,Mix_Code,0),2),""))</f>
        <v/>
      </c>
      <c r="H1705" s="67" t="str">
        <f aca="false">IF(OR($C1705="",$D1705=""),"",IFERROR($D1705*INDEX(Mix_Eff,MATCH($C1705,Mix_Code,0),3),""))</f>
        <v/>
      </c>
      <c r="I1705" s="67" t="str">
        <f aca="false">IF(OR($C1705="",$D1705=""),"",IFERROR($D1705*INDEX(Mix_Eff,MATCH($C1705,Mix_Code,0),4),""))</f>
        <v/>
      </c>
      <c r="J1705" s="67" t="str">
        <f aca="false">IF(OR($C1705="",$D1705=""),"",IFERROR($D1705*INDEX(Mix_Eff,MATCH($C1705,Mix_Code,0),5),""))</f>
        <v/>
      </c>
      <c r="K1705" s="63"/>
      <c r="L1705" s="16" t="str">
        <f aca="false">IF(AND($A1705="",$B1705="",$C1705="",$D1705=""),"",IF($A1705="","⚠ Date missing",IF($B1705="","⚠ Site missing",IF(ISNA(MATCH($C1705,Mix_Code,0)),"⚠ Unknown mix code",IF($D1705="","⚠ Enter m3 produced",IF(COUNTIF(CI_Site,$B1705)=0,"⚠ Site not set up in Current Inventory",IF($A1705&gt;AsOfDate,"Future date – not yet deducted","OK")))))))</f>
        <v/>
      </c>
    </row>
    <row r="1706" customFormat="false" ht="15" hidden="false" customHeight="false" outlineLevel="0" collapsed="false">
      <c r="A1706" s="65"/>
      <c r="B1706" s="63"/>
      <c r="C1706" s="70"/>
      <c r="D1706" s="66"/>
      <c r="E1706" s="16" t="str">
        <f aca="false">IF($C1706="","",IFERROR(INDEX(Mix_Desc,MATCH($C1706,Mix_Code,0)),"⚠ Unknown mix code"))</f>
        <v/>
      </c>
      <c r="F1706" s="67" t="str">
        <f aca="false">IF(OR($C1706="",$D1706=""),"",IFERROR($D1706*INDEX(Mix_Eff,MATCH($C1706,Mix_Code,0),1),""))</f>
        <v/>
      </c>
      <c r="G1706" s="67" t="str">
        <f aca="false">IF(OR($C1706="",$D1706=""),"",IFERROR($D1706*INDEX(Mix_Eff,MATCH($C1706,Mix_Code,0),2),""))</f>
        <v/>
      </c>
      <c r="H1706" s="67" t="str">
        <f aca="false">IF(OR($C1706="",$D1706=""),"",IFERROR($D1706*INDEX(Mix_Eff,MATCH($C1706,Mix_Code,0),3),""))</f>
        <v/>
      </c>
      <c r="I1706" s="67" t="str">
        <f aca="false">IF(OR($C1706="",$D1706=""),"",IFERROR($D1706*INDEX(Mix_Eff,MATCH($C1706,Mix_Code,0),4),""))</f>
        <v/>
      </c>
      <c r="J1706" s="67" t="str">
        <f aca="false">IF(OR($C1706="",$D1706=""),"",IFERROR($D1706*INDEX(Mix_Eff,MATCH($C1706,Mix_Code,0),5),""))</f>
        <v/>
      </c>
      <c r="K1706" s="63"/>
      <c r="L1706" s="16" t="str">
        <f aca="false">IF(AND($A1706="",$B1706="",$C1706="",$D1706=""),"",IF($A1706="","⚠ Date missing",IF($B1706="","⚠ Site missing",IF(ISNA(MATCH($C1706,Mix_Code,0)),"⚠ Unknown mix code",IF($D1706="","⚠ Enter m3 produced",IF(COUNTIF(CI_Site,$B1706)=0,"⚠ Site not set up in Current Inventory",IF($A1706&gt;AsOfDate,"Future date – not yet deducted","OK")))))))</f>
        <v/>
      </c>
    </row>
    <row r="1707" customFormat="false" ht="15" hidden="false" customHeight="false" outlineLevel="0" collapsed="false">
      <c r="A1707" s="65"/>
      <c r="B1707" s="63"/>
      <c r="C1707" s="70"/>
      <c r="D1707" s="66"/>
      <c r="E1707" s="16" t="str">
        <f aca="false">IF($C1707="","",IFERROR(INDEX(Mix_Desc,MATCH($C1707,Mix_Code,0)),"⚠ Unknown mix code"))</f>
        <v/>
      </c>
      <c r="F1707" s="67" t="str">
        <f aca="false">IF(OR($C1707="",$D1707=""),"",IFERROR($D1707*INDEX(Mix_Eff,MATCH($C1707,Mix_Code,0),1),""))</f>
        <v/>
      </c>
      <c r="G1707" s="67" t="str">
        <f aca="false">IF(OR($C1707="",$D1707=""),"",IFERROR($D1707*INDEX(Mix_Eff,MATCH($C1707,Mix_Code,0),2),""))</f>
        <v/>
      </c>
      <c r="H1707" s="67" t="str">
        <f aca="false">IF(OR($C1707="",$D1707=""),"",IFERROR($D1707*INDEX(Mix_Eff,MATCH($C1707,Mix_Code,0),3),""))</f>
        <v/>
      </c>
      <c r="I1707" s="67" t="str">
        <f aca="false">IF(OR($C1707="",$D1707=""),"",IFERROR($D1707*INDEX(Mix_Eff,MATCH($C1707,Mix_Code,0),4),""))</f>
        <v/>
      </c>
      <c r="J1707" s="67" t="str">
        <f aca="false">IF(OR($C1707="",$D1707=""),"",IFERROR($D1707*INDEX(Mix_Eff,MATCH($C1707,Mix_Code,0),5),""))</f>
        <v/>
      </c>
      <c r="K1707" s="63"/>
      <c r="L1707" s="16" t="str">
        <f aca="false">IF(AND($A1707="",$B1707="",$C1707="",$D1707=""),"",IF($A1707="","⚠ Date missing",IF($B1707="","⚠ Site missing",IF(ISNA(MATCH($C1707,Mix_Code,0)),"⚠ Unknown mix code",IF($D1707="","⚠ Enter m3 produced",IF(COUNTIF(CI_Site,$B1707)=0,"⚠ Site not set up in Current Inventory",IF($A1707&gt;AsOfDate,"Future date – not yet deducted","OK")))))))</f>
        <v/>
      </c>
    </row>
    <row r="1708" customFormat="false" ht="15" hidden="false" customHeight="false" outlineLevel="0" collapsed="false">
      <c r="A1708" s="65"/>
      <c r="B1708" s="63"/>
      <c r="C1708" s="70"/>
      <c r="D1708" s="66"/>
      <c r="E1708" s="16" t="str">
        <f aca="false">IF($C1708="","",IFERROR(INDEX(Mix_Desc,MATCH($C1708,Mix_Code,0)),"⚠ Unknown mix code"))</f>
        <v/>
      </c>
      <c r="F1708" s="67" t="str">
        <f aca="false">IF(OR($C1708="",$D1708=""),"",IFERROR($D1708*INDEX(Mix_Eff,MATCH($C1708,Mix_Code,0),1),""))</f>
        <v/>
      </c>
      <c r="G1708" s="67" t="str">
        <f aca="false">IF(OR($C1708="",$D1708=""),"",IFERROR($D1708*INDEX(Mix_Eff,MATCH($C1708,Mix_Code,0),2),""))</f>
        <v/>
      </c>
      <c r="H1708" s="67" t="str">
        <f aca="false">IF(OR($C1708="",$D1708=""),"",IFERROR($D1708*INDEX(Mix_Eff,MATCH($C1708,Mix_Code,0),3),""))</f>
        <v/>
      </c>
      <c r="I1708" s="67" t="str">
        <f aca="false">IF(OR($C1708="",$D1708=""),"",IFERROR($D1708*INDEX(Mix_Eff,MATCH($C1708,Mix_Code,0),4),""))</f>
        <v/>
      </c>
      <c r="J1708" s="67" t="str">
        <f aca="false">IF(OR($C1708="",$D1708=""),"",IFERROR($D1708*INDEX(Mix_Eff,MATCH($C1708,Mix_Code,0),5),""))</f>
        <v/>
      </c>
      <c r="K1708" s="63"/>
      <c r="L1708" s="16" t="str">
        <f aca="false">IF(AND($A1708="",$B1708="",$C1708="",$D1708=""),"",IF($A1708="","⚠ Date missing",IF($B1708="","⚠ Site missing",IF(ISNA(MATCH($C1708,Mix_Code,0)),"⚠ Unknown mix code",IF($D1708="","⚠ Enter m3 produced",IF(COUNTIF(CI_Site,$B1708)=0,"⚠ Site not set up in Current Inventory",IF($A1708&gt;AsOfDate,"Future date – not yet deducted","OK")))))))</f>
        <v/>
      </c>
    </row>
    <row r="1709" customFormat="false" ht="15" hidden="false" customHeight="false" outlineLevel="0" collapsed="false">
      <c r="A1709" s="65"/>
      <c r="B1709" s="63"/>
      <c r="C1709" s="70"/>
      <c r="D1709" s="66"/>
      <c r="E1709" s="16" t="str">
        <f aca="false">IF($C1709="","",IFERROR(INDEX(Mix_Desc,MATCH($C1709,Mix_Code,0)),"⚠ Unknown mix code"))</f>
        <v/>
      </c>
      <c r="F1709" s="67" t="str">
        <f aca="false">IF(OR($C1709="",$D1709=""),"",IFERROR($D1709*INDEX(Mix_Eff,MATCH($C1709,Mix_Code,0),1),""))</f>
        <v/>
      </c>
      <c r="G1709" s="67" t="str">
        <f aca="false">IF(OR($C1709="",$D1709=""),"",IFERROR($D1709*INDEX(Mix_Eff,MATCH($C1709,Mix_Code,0),2),""))</f>
        <v/>
      </c>
      <c r="H1709" s="67" t="str">
        <f aca="false">IF(OR($C1709="",$D1709=""),"",IFERROR($D1709*INDEX(Mix_Eff,MATCH($C1709,Mix_Code,0),3),""))</f>
        <v/>
      </c>
      <c r="I1709" s="67" t="str">
        <f aca="false">IF(OR($C1709="",$D1709=""),"",IFERROR($D1709*INDEX(Mix_Eff,MATCH($C1709,Mix_Code,0),4),""))</f>
        <v/>
      </c>
      <c r="J1709" s="67" t="str">
        <f aca="false">IF(OR($C1709="",$D1709=""),"",IFERROR($D1709*INDEX(Mix_Eff,MATCH($C1709,Mix_Code,0),5),""))</f>
        <v/>
      </c>
      <c r="K1709" s="63"/>
      <c r="L1709" s="16" t="str">
        <f aca="false">IF(AND($A1709="",$B1709="",$C1709="",$D1709=""),"",IF($A1709="","⚠ Date missing",IF($B1709="","⚠ Site missing",IF(ISNA(MATCH($C1709,Mix_Code,0)),"⚠ Unknown mix code",IF($D1709="","⚠ Enter m3 produced",IF(COUNTIF(CI_Site,$B1709)=0,"⚠ Site not set up in Current Inventory",IF($A1709&gt;AsOfDate,"Future date – not yet deducted","OK")))))))</f>
        <v/>
      </c>
    </row>
    <row r="1710" customFormat="false" ht="15" hidden="false" customHeight="false" outlineLevel="0" collapsed="false">
      <c r="A1710" s="65"/>
      <c r="B1710" s="63"/>
      <c r="C1710" s="70"/>
      <c r="D1710" s="66"/>
      <c r="E1710" s="16" t="str">
        <f aca="false">IF($C1710="","",IFERROR(INDEX(Mix_Desc,MATCH($C1710,Mix_Code,0)),"⚠ Unknown mix code"))</f>
        <v/>
      </c>
      <c r="F1710" s="67" t="str">
        <f aca="false">IF(OR($C1710="",$D1710=""),"",IFERROR($D1710*INDEX(Mix_Eff,MATCH($C1710,Mix_Code,0),1),""))</f>
        <v/>
      </c>
      <c r="G1710" s="67" t="str">
        <f aca="false">IF(OR($C1710="",$D1710=""),"",IFERROR($D1710*INDEX(Mix_Eff,MATCH($C1710,Mix_Code,0),2),""))</f>
        <v/>
      </c>
      <c r="H1710" s="67" t="str">
        <f aca="false">IF(OR($C1710="",$D1710=""),"",IFERROR($D1710*INDEX(Mix_Eff,MATCH($C1710,Mix_Code,0),3),""))</f>
        <v/>
      </c>
      <c r="I1710" s="67" t="str">
        <f aca="false">IF(OR($C1710="",$D1710=""),"",IFERROR($D1710*INDEX(Mix_Eff,MATCH($C1710,Mix_Code,0),4),""))</f>
        <v/>
      </c>
      <c r="J1710" s="67" t="str">
        <f aca="false">IF(OR($C1710="",$D1710=""),"",IFERROR($D1710*INDEX(Mix_Eff,MATCH($C1710,Mix_Code,0),5),""))</f>
        <v/>
      </c>
      <c r="K1710" s="63"/>
      <c r="L1710" s="16" t="str">
        <f aca="false">IF(AND($A1710="",$B1710="",$C1710="",$D1710=""),"",IF($A1710="","⚠ Date missing",IF($B1710="","⚠ Site missing",IF(ISNA(MATCH($C1710,Mix_Code,0)),"⚠ Unknown mix code",IF($D1710="","⚠ Enter m3 produced",IF(COUNTIF(CI_Site,$B1710)=0,"⚠ Site not set up in Current Inventory",IF($A1710&gt;AsOfDate,"Future date – not yet deducted","OK")))))))</f>
        <v/>
      </c>
    </row>
    <row r="1711" customFormat="false" ht="15" hidden="false" customHeight="false" outlineLevel="0" collapsed="false">
      <c r="A1711" s="65"/>
      <c r="B1711" s="63"/>
      <c r="C1711" s="70"/>
      <c r="D1711" s="66"/>
      <c r="E1711" s="16" t="str">
        <f aca="false">IF($C1711="","",IFERROR(INDEX(Mix_Desc,MATCH($C1711,Mix_Code,0)),"⚠ Unknown mix code"))</f>
        <v/>
      </c>
      <c r="F1711" s="67" t="str">
        <f aca="false">IF(OR($C1711="",$D1711=""),"",IFERROR($D1711*INDEX(Mix_Eff,MATCH($C1711,Mix_Code,0),1),""))</f>
        <v/>
      </c>
      <c r="G1711" s="67" t="str">
        <f aca="false">IF(OR($C1711="",$D1711=""),"",IFERROR($D1711*INDEX(Mix_Eff,MATCH($C1711,Mix_Code,0),2),""))</f>
        <v/>
      </c>
      <c r="H1711" s="67" t="str">
        <f aca="false">IF(OR($C1711="",$D1711=""),"",IFERROR($D1711*INDEX(Mix_Eff,MATCH($C1711,Mix_Code,0),3),""))</f>
        <v/>
      </c>
      <c r="I1711" s="67" t="str">
        <f aca="false">IF(OR($C1711="",$D1711=""),"",IFERROR($D1711*INDEX(Mix_Eff,MATCH($C1711,Mix_Code,0),4),""))</f>
        <v/>
      </c>
      <c r="J1711" s="67" t="str">
        <f aca="false">IF(OR($C1711="",$D1711=""),"",IFERROR($D1711*INDEX(Mix_Eff,MATCH($C1711,Mix_Code,0),5),""))</f>
        <v/>
      </c>
      <c r="K1711" s="63"/>
      <c r="L1711" s="16" t="str">
        <f aca="false">IF(AND($A1711="",$B1711="",$C1711="",$D1711=""),"",IF($A1711="","⚠ Date missing",IF($B1711="","⚠ Site missing",IF(ISNA(MATCH($C1711,Mix_Code,0)),"⚠ Unknown mix code",IF($D1711="","⚠ Enter m3 produced",IF(COUNTIF(CI_Site,$B1711)=0,"⚠ Site not set up in Current Inventory",IF($A1711&gt;AsOfDate,"Future date – not yet deducted","OK")))))))</f>
        <v/>
      </c>
    </row>
    <row r="1712" customFormat="false" ht="15" hidden="false" customHeight="false" outlineLevel="0" collapsed="false">
      <c r="A1712" s="65"/>
      <c r="B1712" s="63"/>
      <c r="C1712" s="70"/>
      <c r="D1712" s="66"/>
      <c r="E1712" s="16" t="str">
        <f aca="false">IF($C1712="","",IFERROR(INDEX(Mix_Desc,MATCH($C1712,Mix_Code,0)),"⚠ Unknown mix code"))</f>
        <v/>
      </c>
      <c r="F1712" s="67" t="str">
        <f aca="false">IF(OR($C1712="",$D1712=""),"",IFERROR($D1712*INDEX(Mix_Eff,MATCH($C1712,Mix_Code,0),1),""))</f>
        <v/>
      </c>
      <c r="G1712" s="67" t="str">
        <f aca="false">IF(OR($C1712="",$D1712=""),"",IFERROR($D1712*INDEX(Mix_Eff,MATCH($C1712,Mix_Code,0),2),""))</f>
        <v/>
      </c>
      <c r="H1712" s="67" t="str">
        <f aca="false">IF(OR($C1712="",$D1712=""),"",IFERROR($D1712*INDEX(Mix_Eff,MATCH($C1712,Mix_Code,0),3),""))</f>
        <v/>
      </c>
      <c r="I1712" s="67" t="str">
        <f aca="false">IF(OR($C1712="",$D1712=""),"",IFERROR($D1712*INDEX(Mix_Eff,MATCH($C1712,Mix_Code,0),4),""))</f>
        <v/>
      </c>
      <c r="J1712" s="67" t="str">
        <f aca="false">IF(OR($C1712="",$D1712=""),"",IFERROR($D1712*INDEX(Mix_Eff,MATCH($C1712,Mix_Code,0),5),""))</f>
        <v/>
      </c>
      <c r="K1712" s="63"/>
      <c r="L1712" s="16" t="str">
        <f aca="false">IF(AND($A1712="",$B1712="",$C1712="",$D1712=""),"",IF($A1712="","⚠ Date missing",IF($B1712="","⚠ Site missing",IF(ISNA(MATCH($C1712,Mix_Code,0)),"⚠ Unknown mix code",IF($D1712="","⚠ Enter m3 produced",IF(COUNTIF(CI_Site,$B1712)=0,"⚠ Site not set up in Current Inventory",IF($A1712&gt;AsOfDate,"Future date – not yet deducted","OK")))))))</f>
        <v/>
      </c>
    </row>
    <row r="1713" customFormat="false" ht="15" hidden="false" customHeight="false" outlineLevel="0" collapsed="false">
      <c r="A1713" s="65"/>
      <c r="B1713" s="63"/>
      <c r="C1713" s="70"/>
      <c r="D1713" s="66"/>
      <c r="E1713" s="16" t="str">
        <f aca="false">IF($C1713="","",IFERROR(INDEX(Mix_Desc,MATCH($C1713,Mix_Code,0)),"⚠ Unknown mix code"))</f>
        <v/>
      </c>
      <c r="F1713" s="67" t="str">
        <f aca="false">IF(OR($C1713="",$D1713=""),"",IFERROR($D1713*INDEX(Mix_Eff,MATCH($C1713,Mix_Code,0),1),""))</f>
        <v/>
      </c>
      <c r="G1713" s="67" t="str">
        <f aca="false">IF(OR($C1713="",$D1713=""),"",IFERROR($D1713*INDEX(Mix_Eff,MATCH($C1713,Mix_Code,0),2),""))</f>
        <v/>
      </c>
      <c r="H1713" s="67" t="str">
        <f aca="false">IF(OR($C1713="",$D1713=""),"",IFERROR($D1713*INDEX(Mix_Eff,MATCH($C1713,Mix_Code,0),3),""))</f>
        <v/>
      </c>
      <c r="I1713" s="67" t="str">
        <f aca="false">IF(OR($C1713="",$D1713=""),"",IFERROR($D1713*INDEX(Mix_Eff,MATCH($C1713,Mix_Code,0),4),""))</f>
        <v/>
      </c>
      <c r="J1713" s="67" t="str">
        <f aca="false">IF(OR($C1713="",$D1713=""),"",IFERROR($D1713*INDEX(Mix_Eff,MATCH($C1713,Mix_Code,0),5),""))</f>
        <v/>
      </c>
      <c r="K1713" s="63"/>
      <c r="L1713" s="16" t="str">
        <f aca="false">IF(AND($A1713="",$B1713="",$C1713="",$D1713=""),"",IF($A1713="","⚠ Date missing",IF($B1713="","⚠ Site missing",IF(ISNA(MATCH($C1713,Mix_Code,0)),"⚠ Unknown mix code",IF($D1713="","⚠ Enter m3 produced",IF(COUNTIF(CI_Site,$B1713)=0,"⚠ Site not set up in Current Inventory",IF($A1713&gt;AsOfDate,"Future date – not yet deducted","OK")))))))</f>
        <v/>
      </c>
    </row>
    <row r="1714" customFormat="false" ht="15" hidden="false" customHeight="false" outlineLevel="0" collapsed="false">
      <c r="A1714" s="65"/>
      <c r="B1714" s="63"/>
      <c r="C1714" s="70"/>
      <c r="D1714" s="66"/>
      <c r="E1714" s="16" t="str">
        <f aca="false">IF($C1714="","",IFERROR(INDEX(Mix_Desc,MATCH($C1714,Mix_Code,0)),"⚠ Unknown mix code"))</f>
        <v/>
      </c>
      <c r="F1714" s="67" t="str">
        <f aca="false">IF(OR($C1714="",$D1714=""),"",IFERROR($D1714*INDEX(Mix_Eff,MATCH($C1714,Mix_Code,0),1),""))</f>
        <v/>
      </c>
      <c r="G1714" s="67" t="str">
        <f aca="false">IF(OR($C1714="",$D1714=""),"",IFERROR($D1714*INDEX(Mix_Eff,MATCH($C1714,Mix_Code,0),2),""))</f>
        <v/>
      </c>
      <c r="H1714" s="67" t="str">
        <f aca="false">IF(OR($C1714="",$D1714=""),"",IFERROR($D1714*INDEX(Mix_Eff,MATCH($C1714,Mix_Code,0),3),""))</f>
        <v/>
      </c>
      <c r="I1714" s="67" t="str">
        <f aca="false">IF(OR($C1714="",$D1714=""),"",IFERROR($D1714*INDEX(Mix_Eff,MATCH($C1714,Mix_Code,0),4),""))</f>
        <v/>
      </c>
      <c r="J1714" s="67" t="str">
        <f aca="false">IF(OR($C1714="",$D1714=""),"",IFERROR($D1714*INDEX(Mix_Eff,MATCH($C1714,Mix_Code,0),5),""))</f>
        <v/>
      </c>
      <c r="K1714" s="63"/>
      <c r="L1714" s="16" t="str">
        <f aca="false">IF(AND($A1714="",$B1714="",$C1714="",$D1714=""),"",IF($A1714="","⚠ Date missing",IF($B1714="","⚠ Site missing",IF(ISNA(MATCH($C1714,Mix_Code,0)),"⚠ Unknown mix code",IF($D1714="","⚠ Enter m3 produced",IF(COUNTIF(CI_Site,$B1714)=0,"⚠ Site not set up in Current Inventory",IF($A1714&gt;AsOfDate,"Future date – not yet deducted","OK")))))))</f>
        <v/>
      </c>
    </row>
    <row r="1715" customFormat="false" ht="15" hidden="false" customHeight="false" outlineLevel="0" collapsed="false">
      <c r="A1715" s="65"/>
      <c r="B1715" s="63"/>
      <c r="C1715" s="70"/>
      <c r="D1715" s="66"/>
      <c r="E1715" s="16" t="str">
        <f aca="false">IF($C1715="","",IFERROR(INDEX(Mix_Desc,MATCH($C1715,Mix_Code,0)),"⚠ Unknown mix code"))</f>
        <v/>
      </c>
      <c r="F1715" s="67" t="str">
        <f aca="false">IF(OR($C1715="",$D1715=""),"",IFERROR($D1715*INDEX(Mix_Eff,MATCH($C1715,Mix_Code,0),1),""))</f>
        <v/>
      </c>
      <c r="G1715" s="67" t="str">
        <f aca="false">IF(OR($C1715="",$D1715=""),"",IFERROR($D1715*INDEX(Mix_Eff,MATCH($C1715,Mix_Code,0),2),""))</f>
        <v/>
      </c>
      <c r="H1715" s="67" t="str">
        <f aca="false">IF(OR($C1715="",$D1715=""),"",IFERROR($D1715*INDEX(Mix_Eff,MATCH($C1715,Mix_Code,0),3),""))</f>
        <v/>
      </c>
      <c r="I1715" s="67" t="str">
        <f aca="false">IF(OR($C1715="",$D1715=""),"",IFERROR($D1715*INDEX(Mix_Eff,MATCH($C1715,Mix_Code,0),4),""))</f>
        <v/>
      </c>
      <c r="J1715" s="67" t="str">
        <f aca="false">IF(OR($C1715="",$D1715=""),"",IFERROR($D1715*INDEX(Mix_Eff,MATCH($C1715,Mix_Code,0),5),""))</f>
        <v/>
      </c>
      <c r="K1715" s="63"/>
      <c r="L1715" s="16" t="str">
        <f aca="false">IF(AND($A1715="",$B1715="",$C1715="",$D1715=""),"",IF($A1715="","⚠ Date missing",IF($B1715="","⚠ Site missing",IF(ISNA(MATCH($C1715,Mix_Code,0)),"⚠ Unknown mix code",IF($D1715="","⚠ Enter m3 produced",IF(COUNTIF(CI_Site,$B1715)=0,"⚠ Site not set up in Current Inventory",IF($A1715&gt;AsOfDate,"Future date – not yet deducted","OK")))))))</f>
        <v/>
      </c>
    </row>
    <row r="1716" customFormat="false" ht="15" hidden="false" customHeight="false" outlineLevel="0" collapsed="false">
      <c r="A1716" s="65"/>
      <c r="B1716" s="63"/>
      <c r="C1716" s="70"/>
      <c r="D1716" s="66"/>
      <c r="E1716" s="16" t="str">
        <f aca="false">IF($C1716="","",IFERROR(INDEX(Mix_Desc,MATCH($C1716,Mix_Code,0)),"⚠ Unknown mix code"))</f>
        <v/>
      </c>
      <c r="F1716" s="67" t="str">
        <f aca="false">IF(OR($C1716="",$D1716=""),"",IFERROR($D1716*INDEX(Mix_Eff,MATCH($C1716,Mix_Code,0),1),""))</f>
        <v/>
      </c>
      <c r="G1716" s="67" t="str">
        <f aca="false">IF(OR($C1716="",$D1716=""),"",IFERROR($D1716*INDEX(Mix_Eff,MATCH($C1716,Mix_Code,0),2),""))</f>
        <v/>
      </c>
      <c r="H1716" s="67" t="str">
        <f aca="false">IF(OR($C1716="",$D1716=""),"",IFERROR($D1716*INDEX(Mix_Eff,MATCH($C1716,Mix_Code,0),3),""))</f>
        <v/>
      </c>
      <c r="I1716" s="67" t="str">
        <f aca="false">IF(OR($C1716="",$D1716=""),"",IFERROR($D1716*INDEX(Mix_Eff,MATCH($C1716,Mix_Code,0),4),""))</f>
        <v/>
      </c>
      <c r="J1716" s="67" t="str">
        <f aca="false">IF(OR($C1716="",$D1716=""),"",IFERROR($D1716*INDEX(Mix_Eff,MATCH($C1716,Mix_Code,0),5),""))</f>
        <v/>
      </c>
      <c r="K1716" s="63"/>
      <c r="L1716" s="16" t="str">
        <f aca="false">IF(AND($A1716="",$B1716="",$C1716="",$D1716=""),"",IF($A1716="","⚠ Date missing",IF($B1716="","⚠ Site missing",IF(ISNA(MATCH($C1716,Mix_Code,0)),"⚠ Unknown mix code",IF($D1716="","⚠ Enter m3 produced",IF(COUNTIF(CI_Site,$B1716)=0,"⚠ Site not set up in Current Inventory",IF($A1716&gt;AsOfDate,"Future date – not yet deducted","OK")))))))</f>
        <v/>
      </c>
    </row>
    <row r="1717" customFormat="false" ht="15" hidden="false" customHeight="false" outlineLevel="0" collapsed="false">
      <c r="A1717" s="65"/>
      <c r="B1717" s="63"/>
      <c r="C1717" s="70"/>
      <c r="D1717" s="66"/>
      <c r="E1717" s="16" t="str">
        <f aca="false">IF($C1717="","",IFERROR(INDEX(Mix_Desc,MATCH($C1717,Mix_Code,0)),"⚠ Unknown mix code"))</f>
        <v/>
      </c>
      <c r="F1717" s="67" t="str">
        <f aca="false">IF(OR($C1717="",$D1717=""),"",IFERROR($D1717*INDEX(Mix_Eff,MATCH($C1717,Mix_Code,0),1),""))</f>
        <v/>
      </c>
      <c r="G1717" s="67" t="str">
        <f aca="false">IF(OR($C1717="",$D1717=""),"",IFERROR($D1717*INDEX(Mix_Eff,MATCH($C1717,Mix_Code,0),2),""))</f>
        <v/>
      </c>
      <c r="H1717" s="67" t="str">
        <f aca="false">IF(OR($C1717="",$D1717=""),"",IFERROR($D1717*INDEX(Mix_Eff,MATCH($C1717,Mix_Code,0),3),""))</f>
        <v/>
      </c>
      <c r="I1717" s="67" t="str">
        <f aca="false">IF(OR($C1717="",$D1717=""),"",IFERROR($D1717*INDEX(Mix_Eff,MATCH($C1717,Mix_Code,0),4),""))</f>
        <v/>
      </c>
      <c r="J1717" s="67" t="str">
        <f aca="false">IF(OR($C1717="",$D1717=""),"",IFERROR($D1717*INDEX(Mix_Eff,MATCH($C1717,Mix_Code,0),5),""))</f>
        <v/>
      </c>
      <c r="K1717" s="63"/>
      <c r="L1717" s="16" t="str">
        <f aca="false">IF(AND($A1717="",$B1717="",$C1717="",$D1717=""),"",IF($A1717="","⚠ Date missing",IF($B1717="","⚠ Site missing",IF(ISNA(MATCH($C1717,Mix_Code,0)),"⚠ Unknown mix code",IF($D1717="","⚠ Enter m3 produced",IF(COUNTIF(CI_Site,$B1717)=0,"⚠ Site not set up in Current Inventory",IF($A1717&gt;AsOfDate,"Future date – not yet deducted","OK")))))))</f>
        <v/>
      </c>
    </row>
    <row r="1718" customFormat="false" ht="15" hidden="false" customHeight="false" outlineLevel="0" collapsed="false">
      <c r="A1718" s="65"/>
      <c r="B1718" s="63"/>
      <c r="C1718" s="70"/>
      <c r="D1718" s="66"/>
      <c r="E1718" s="16" t="str">
        <f aca="false">IF($C1718="","",IFERROR(INDEX(Mix_Desc,MATCH($C1718,Mix_Code,0)),"⚠ Unknown mix code"))</f>
        <v/>
      </c>
      <c r="F1718" s="67" t="str">
        <f aca="false">IF(OR($C1718="",$D1718=""),"",IFERROR($D1718*INDEX(Mix_Eff,MATCH($C1718,Mix_Code,0),1),""))</f>
        <v/>
      </c>
      <c r="G1718" s="67" t="str">
        <f aca="false">IF(OR($C1718="",$D1718=""),"",IFERROR($D1718*INDEX(Mix_Eff,MATCH($C1718,Mix_Code,0),2),""))</f>
        <v/>
      </c>
      <c r="H1718" s="67" t="str">
        <f aca="false">IF(OR($C1718="",$D1718=""),"",IFERROR($D1718*INDEX(Mix_Eff,MATCH($C1718,Mix_Code,0),3),""))</f>
        <v/>
      </c>
      <c r="I1718" s="67" t="str">
        <f aca="false">IF(OR($C1718="",$D1718=""),"",IFERROR($D1718*INDEX(Mix_Eff,MATCH($C1718,Mix_Code,0),4),""))</f>
        <v/>
      </c>
      <c r="J1718" s="67" t="str">
        <f aca="false">IF(OR($C1718="",$D1718=""),"",IFERROR($D1718*INDEX(Mix_Eff,MATCH($C1718,Mix_Code,0),5),""))</f>
        <v/>
      </c>
      <c r="K1718" s="63"/>
      <c r="L1718" s="16" t="str">
        <f aca="false">IF(AND($A1718="",$B1718="",$C1718="",$D1718=""),"",IF($A1718="","⚠ Date missing",IF($B1718="","⚠ Site missing",IF(ISNA(MATCH($C1718,Mix_Code,0)),"⚠ Unknown mix code",IF($D1718="","⚠ Enter m3 produced",IF(COUNTIF(CI_Site,$B1718)=0,"⚠ Site not set up in Current Inventory",IF($A1718&gt;AsOfDate,"Future date – not yet deducted","OK")))))))</f>
        <v/>
      </c>
    </row>
    <row r="1719" customFormat="false" ht="15" hidden="false" customHeight="false" outlineLevel="0" collapsed="false">
      <c r="A1719" s="65"/>
      <c r="B1719" s="63"/>
      <c r="C1719" s="70"/>
      <c r="D1719" s="66"/>
      <c r="E1719" s="16" t="str">
        <f aca="false">IF($C1719="","",IFERROR(INDEX(Mix_Desc,MATCH($C1719,Mix_Code,0)),"⚠ Unknown mix code"))</f>
        <v/>
      </c>
      <c r="F1719" s="67" t="str">
        <f aca="false">IF(OR($C1719="",$D1719=""),"",IFERROR($D1719*INDEX(Mix_Eff,MATCH($C1719,Mix_Code,0),1),""))</f>
        <v/>
      </c>
      <c r="G1719" s="67" t="str">
        <f aca="false">IF(OR($C1719="",$D1719=""),"",IFERROR($D1719*INDEX(Mix_Eff,MATCH($C1719,Mix_Code,0),2),""))</f>
        <v/>
      </c>
      <c r="H1719" s="67" t="str">
        <f aca="false">IF(OR($C1719="",$D1719=""),"",IFERROR($D1719*INDEX(Mix_Eff,MATCH($C1719,Mix_Code,0),3),""))</f>
        <v/>
      </c>
      <c r="I1719" s="67" t="str">
        <f aca="false">IF(OR($C1719="",$D1719=""),"",IFERROR($D1719*INDEX(Mix_Eff,MATCH($C1719,Mix_Code,0),4),""))</f>
        <v/>
      </c>
      <c r="J1719" s="67" t="str">
        <f aca="false">IF(OR($C1719="",$D1719=""),"",IFERROR($D1719*INDEX(Mix_Eff,MATCH($C1719,Mix_Code,0),5),""))</f>
        <v/>
      </c>
      <c r="K1719" s="63"/>
      <c r="L1719" s="16" t="str">
        <f aca="false">IF(AND($A1719="",$B1719="",$C1719="",$D1719=""),"",IF($A1719="","⚠ Date missing",IF($B1719="","⚠ Site missing",IF(ISNA(MATCH($C1719,Mix_Code,0)),"⚠ Unknown mix code",IF($D1719="","⚠ Enter m3 produced",IF(COUNTIF(CI_Site,$B1719)=0,"⚠ Site not set up in Current Inventory",IF($A1719&gt;AsOfDate,"Future date – not yet deducted","OK")))))))</f>
        <v/>
      </c>
    </row>
    <row r="1720" customFormat="false" ht="15" hidden="false" customHeight="false" outlineLevel="0" collapsed="false">
      <c r="A1720" s="65"/>
      <c r="B1720" s="63"/>
      <c r="C1720" s="70"/>
      <c r="D1720" s="66"/>
      <c r="E1720" s="16" t="str">
        <f aca="false">IF($C1720="","",IFERROR(INDEX(Mix_Desc,MATCH($C1720,Mix_Code,0)),"⚠ Unknown mix code"))</f>
        <v/>
      </c>
      <c r="F1720" s="67" t="str">
        <f aca="false">IF(OR($C1720="",$D1720=""),"",IFERROR($D1720*INDEX(Mix_Eff,MATCH($C1720,Mix_Code,0),1),""))</f>
        <v/>
      </c>
      <c r="G1720" s="67" t="str">
        <f aca="false">IF(OR($C1720="",$D1720=""),"",IFERROR($D1720*INDEX(Mix_Eff,MATCH($C1720,Mix_Code,0),2),""))</f>
        <v/>
      </c>
      <c r="H1720" s="67" t="str">
        <f aca="false">IF(OR($C1720="",$D1720=""),"",IFERROR($D1720*INDEX(Mix_Eff,MATCH($C1720,Mix_Code,0),3),""))</f>
        <v/>
      </c>
      <c r="I1720" s="67" t="str">
        <f aca="false">IF(OR($C1720="",$D1720=""),"",IFERROR($D1720*INDEX(Mix_Eff,MATCH($C1720,Mix_Code,0),4),""))</f>
        <v/>
      </c>
      <c r="J1720" s="67" t="str">
        <f aca="false">IF(OR($C1720="",$D1720=""),"",IFERROR($D1720*INDEX(Mix_Eff,MATCH($C1720,Mix_Code,0),5),""))</f>
        <v/>
      </c>
      <c r="K1720" s="63"/>
      <c r="L1720" s="16" t="str">
        <f aca="false">IF(AND($A1720="",$B1720="",$C1720="",$D1720=""),"",IF($A1720="","⚠ Date missing",IF($B1720="","⚠ Site missing",IF(ISNA(MATCH($C1720,Mix_Code,0)),"⚠ Unknown mix code",IF($D1720="","⚠ Enter m3 produced",IF(COUNTIF(CI_Site,$B1720)=0,"⚠ Site not set up in Current Inventory",IF($A1720&gt;AsOfDate,"Future date – not yet deducted","OK")))))))</f>
        <v/>
      </c>
    </row>
    <row r="1721" customFormat="false" ht="15" hidden="false" customHeight="false" outlineLevel="0" collapsed="false">
      <c r="A1721" s="65"/>
      <c r="B1721" s="63"/>
      <c r="C1721" s="70"/>
      <c r="D1721" s="66"/>
      <c r="E1721" s="16" t="str">
        <f aca="false">IF($C1721="","",IFERROR(INDEX(Mix_Desc,MATCH($C1721,Mix_Code,0)),"⚠ Unknown mix code"))</f>
        <v/>
      </c>
      <c r="F1721" s="67" t="str">
        <f aca="false">IF(OR($C1721="",$D1721=""),"",IFERROR($D1721*INDEX(Mix_Eff,MATCH($C1721,Mix_Code,0),1),""))</f>
        <v/>
      </c>
      <c r="G1721" s="67" t="str">
        <f aca="false">IF(OR($C1721="",$D1721=""),"",IFERROR($D1721*INDEX(Mix_Eff,MATCH($C1721,Mix_Code,0),2),""))</f>
        <v/>
      </c>
      <c r="H1721" s="67" t="str">
        <f aca="false">IF(OR($C1721="",$D1721=""),"",IFERROR($D1721*INDEX(Mix_Eff,MATCH($C1721,Mix_Code,0),3),""))</f>
        <v/>
      </c>
      <c r="I1721" s="67" t="str">
        <f aca="false">IF(OR($C1721="",$D1721=""),"",IFERROR($D1721*INDEX(Mix_Eff,MATCH($C1721,Mix_Code,0),4),""))</f>
        <v/>
      </c>
      <c r="J1721" s="67" t="str">
        <f aca="false">IF(OR($C1721="",$D1721=""),"",IFERROR($D1721*INDEX(Mix_Eff,MATCH($C1721,Mix_Code,0),5),""))</f>
        <v/>
      </c>
      <c r="K1721" s="63"/>
      <c r="L1721" s="16" t="str">
        <f aca="false">IF(AND($A1721="",$B1721="",$C1721="",$D1721=""),"",IF($A1721="","⚠ Date missing",IF($B1721="","⚠ Site missing",IF(ISNA(MATCH($C1721,Mix_Code,0)),"⚠ Unknown mix code",IF($D1721="","⚠ Enter m3 produced",IF(COUNTIF(CI_Site,$B1721)=0,"⚠ Site not set up in Current Inventory",IF($A1721&gt;AsOfDate,"Future date – not yet deducted","OK")))))))</f>
        <v/>
      </c>
    </row>
    <row r="1722" customFormat="false" ht="15" hidden="false" customHeight="false" outlineLevel="0" collapsed="false">
      <c r="A1722" s="65"/>
      <c r="B1722" s="63"/>
      <c r="C1722" s="70"/>
      <c r="D1722" s="66"/>
      <c r="E1722" s="16" t="str">
        <f aca="false">IF($C1722="","",IFERROR(INDEX(Mix_Desc,MATCH($C1722,Mix_Code,0)),"⚠ Unknown mix code"))</f>
        <v/>
      </c>
      <c r="F1722" s="67" t="str">
        <f aca="false">IF(OR($C1722="",$D1722=""),"",IFERROR($D1722*INDEX(Mix_Eff,MATCH($C1722,Mix_Code,0),1),""))</f>
        <v/>
      </c>
      <c r="G1722" s="67" t="str">
        <f aca="false">IF(OR($C1722="",$D1722=""),"",IFERROR($D1722*INDEX(Mix_Eff,MATCH($C1722,Mix_Code,0),2),""))</f>
        <v/>
      </c>
      <c r="H1722" s="67" t="str">
        <f aca="false">IF(OR($C1722="",$D1722=""),"",IFERROR($D1722*INDEX(Mix_Eff,MATCH($C1722,Mix_Code,0),3),""))</f>
        <v/>
      </c>
      <c r="I1722" s="67" t="str">
        <f aca="false">IF(OR($C1722="",$D1722=""),"",IFERROR($D1722*INDEX(Mix_Eff,MATCH($C1722,Mix_Code,0),4),""))</f>
        <v/>
      </c>
      <c r="J1722" s="67" t="str">
        <f aca="false">IF(OR($C1722="",$D1722=""),"",IFERROR($D1722*INDEX(Mix_Eff,MATCH($C1722,Mix_Code,0),5),""))</f>
        <v/>
      </c>
      <c r="K1722" s="63"/>
      <c r="L1722" s="16" t="str">
        <f aca="false">IF(AND($A1722="",$B1722="",$C1722="",$D1722=""),"",IF($A1722="","⚠ Date missing",IF($B1722="","⚠ Site missing",IF(ISNA(MATCH($C1722,Mix_Code,0)),"⚠ Unknown mix code",IF($D1722="","⚠ Enter m3 produced",IF(COUNTIF(CI_Site,$B1722)=0,"⚠ Site not set up in Current Inventory",IF($A1722&gt;AsOfDate,"Future date – not yet deducted","OK")))))))</f>
        <v/>
      </c>
    </row>
    <row r="1723" customFormat="false" ht="15" hidden="false" customHeight="false" outlineLevel="0" collapsed="false">
      <c r="A1723" s="65"/>
      <c r="B1723" s="63"/>
      <c r="C1723" s="70"/>
      <c r="D1723" s="66"/>
      <c r="E1723" s="16" t="str">
        <f aca="false">IF($C1723="","",IFERROR(INDEX(Mix_Desc,MATCH($C1723,Mix_Code,0)),"⚠ Unknown mix code"))</f>
        <v/>
      </c>
      <c r="F1723" s="67" t="str">
        <f aca="false">IF(OR($C1723="",$D1723=""),"",IFERROR($D1723*INDEX(Mix_Eff,MATCH($C1723,Mix_Code,0),1),""))</f>
        <v/>
      </c>
      <c r="G1723" s="67" t="str">
        <f aca="false">IF(OR($C1723="",$D1723=""),"",IFERROR($D1723*INDEX(Mix_Eff,MATCH($C1723,Mix_Code,0),2),""))</f>
        <v/>
      </c>
      <c r="H1723" s="67" t="str">
        <f aca="false">IF(OR($C1723="",$D1723=""),"",IFERROR($D1723*INDEX(Mix_Eff,MATCH($C1723,Mix_Code,0),3),""))</f>
        <v/>
      </c>
      <c r="I1723" s="67" t="str">
        <f aca="false">IF(OR($C1723="",$D1723=""),"",IFERROR($D1723*INDEX(Mix_Eff,MATCH($C1723,Mix_Code,0),4),""))</f>
        <v/>
      </c>
      <c r="J1723" s="67" t="str">
        <f aca="false">IF(OR($C1723="",$D1723=""),"",IFERROR($D1723*INDEX(Mix_Eff,MATCH($C1723,Mix_Code,0),5),""))</f>
        <v/>
      </c>
      <c r="K1723" s="63"/>
      <c r="L1723" s="16" t="str">
        <f aca="false">IF(AND($A1723="",$B1723="",$C1723="",$D1723=""),"",IF($A1723="","⚠ Date missing",IF($B1723="","⚠ Site missing",IF(ISNA(MATCH($C1723,Mix_Code,0)),"⚠ Unknown mix code",IF($D1723="","⚠ Enter m3 produced",IF(COUNTIF(CI_Site,$B1723)=0,"⚠ Site not set up in Current Inventory",IF($A1723&gt;AsOfDate,"Future date – not yet deducted","OK")))))))</f>
        <v/>
      </c>
    </row>
    <row r="1724" customFormat="false" ht="15" hidden="false" customHeight="false" outlineLevel="0" collapsed="false">
      <c r="A1724" s="65"/>
      <c r="B1724" s="63"/>
      <c r="C1724" s="70"/>
      <c r="D1724" s="66"/>
      <c r="E1724" s="16" t="str">
        <f aca="false">IF($C1724="","",IFERROR(INDEX(Mix_Desc,MATCH($C1724,Mix_Code,0)),"⚠ Unknown mix code"))</f>
        <v/>
      </c>
      <c r="F1724" s="67" t="str">
        <f aca="false">IF(OR($C1724="",$D1724=""),"",IFERROR($D1724*INDEX(Mix_Eff,MATCH($C1724,Mix_Code,0),1),""))</f>
        <v/>
      </c>
      <c r="G1724" s="67" t="str">
        <f aca="false">IF(OR($C1724="",$D1724=""),"",IFERROR($D1724*INDEX(Mix_Eff,MATCH($C1724,Mix_Code,0),2),""))</f>
        <v/>
      </c>
      <c r="H1724" s="67" t="str">
        <f aca="false">IF(OR($C1724="",$D1724=""),"",IFERROR($D1724*INDEX(Mix_Eff,MATCH($C1724,Mix_Code,0),3),""))</f>
        <v/>
      </c>
      <c r="I1724" s="67" t="str">
        <f aca="false">IF(OR($C1724="",$D1724=""),"",IFERROR($D1724*INDEX(Mix_Eff,MATCH($C1724,Mix_Code,0),4),""))</f>
        <v/>
      </c>
      <c r="J1724" s="67" t="str">
        <f aca="false">IF(OR($C1724="",$D1724=""),"",IFERROR($D1724*INDEX(Mix_Eff,MATCH($C1724,Mix_Code,0),5),""))</f>
        <v/>
      </c>
      <c r="K1724" s="63"/>
      <c r="L1724" s="16" t="str">
        <f aca="false">IF(AND($A1724="",$B1724="",$C1724="",$D1724=""),"",IF($A1724="","⚠ Date missing",IF($B1724="","⚠ Site missing",IF(ISNA(MATCH($C1724,Mix_Code,0)),"⚠ Unknown mix code",IF($D1724="","⚠ Enter m3 produced",IF(COUNTIF(CI_Site,$B1724)=0,"⚠ Site not set up in Current Inventory",IF($A1724&gt;AsOfDate,"Future date – not yet deducted","OK")))))))</f>
        <v/>
      </c>
    </row>
    <row r="1725" customFormat="false" ht="15" hidden="false" customHeight="false" outlineLevel="0" collapsed="false">
      <c r="A1725" s="65"/>
      <c r="B1725" s="63"/>
      <c r="C1725" s="70"/>
      <c r="D1725" s="66"/>
      <c r="E1725" s="16" t="str">
        <f aca="false">IF($C1725="","",IFERROR(INDEX(Mix_Desc,MATCH($C1725,Mix_Code,0)),"⚠ Unknown mix code"))</f>
        <v/>
      </c>
      <c r="F1725" s="67" t="str">
        <f aca="false">IF(OR($C1725="",$D1725=""),"",IFERROR($D1725*INDEX(Mix_Eff,MATCH($C1725,Mix_Code,0),1),""))</f>
        <v/>
      </c>
      <c r="G1725" s="67" t="str">
        <f aca="false">IF(OR($C1725="",$D1725=""),"",IFERROR($D1725*INDEX(Mix_Eff,MATCH($C1725,Mix_Code,0),2),""))</f>
        <v/>
      </c>
      <c r="H1725" s="67" t="str">
        <f aca="false">IF(OR($C1725="",$D1725=""),"",IFERROR($D1725*INDEX(Mix_Eff,MATCH($C1725,Mix_Code,0),3),""))</f>
        <v/>
      </c>
      <c r="I1725" s="67" t="str">
        <f aca="false">IF(OR($C1725="",$D1725=""),"",IFERROR($D1725*INDEX(Mix_Eff,MATCH($C1725,Mix_Code,0),4),""))</f>
        <v/>
      </c>
      <c r="J1725" s="67" t="str">
        <f aca="false">IF(OR($C1725="",$D1725=""),"",IFERROR($D1725*INDEX(Mix_Eff,MATCH($C1725,Mix_Code,0),5),""))</f>
        <v/>
      </c>
      <c r="K1725" s="63"/>
      <c r="L1725" s="16" t="str">
        <f aca="false">IF(AND($A1725="",$B1725="",$C1725="",$D1725=""),"",IF($A1725="","⚠ Date missing",IF($B1725="","⚠ Site missing",IF(ISNA(MATCH($C1725,Mix_Code,0)),"⚠ Unknown mix code",IF($D1725="","⚠ Enter m3 produced",IF(COUNTIF(CI_Site,$B1725)=0,"⚠ Site not set up in Current Inventory",IF($A1725&gt;AsOfDate,"Future date – not yet deducted","OK")))))))</f>
        <v/>
      </c>
    </row>
    <row r="1726" customFormat="false" ht="15" hidden="false" customHeight="false" outlineLevel="0" collapsed="false">
      <c r="A1726" s="65"/>
      <c r="B1726" s="63"/>
      <c r="C1726" s="70"/>
      <c r="D1726" s="66"/>
      <c r="E1726" s="16" t="str">
        <f aca="false">IF($C1726="","",IFERROR(INDEX(Mix_Desc,MATCH($C1726,Mix_Code,0)),"⚠ Unknown mix code"))</f>
        <v/>
      </c>
      <c r="F1726" s="67" t="str">
        <f aca="false">IF(OR($C1726="",$D1726=""),"",IFERROR($D1726*INDEX(Mix_Eff,MATCH($C1726,Mix_Code,0),1),""))</f>
        <v/>
      </c>
      <c r="G1726" s="67" t="str">
        <f aca="false">IF(OR($C1726="",$D1726=""),"",IFERROR($D1726*INDEX(Mix_Eff,MATCH($C1726,Mix_Code,0),2),""))</f>
        <v/>
      </c>
      <c r="H1726" s="67" t="str">
        <f aca="false">IF(OR($C1726="",$D1726=""),"",IFERROR($D1726*INDEX(Mix_Eff,MATCH($C1726,Mix_Code,0),3),""))</f>
        <v/>
      </c>
      <c r="I1726" s="67" t="str">
        <f aca="false">IF(OR($C1726="",$D1726=""),"",IFERROR($D1726*INDEX(Mix_Eff,MATCH($C1726,Mix_Code,0),4),""))</f>
        <v/>
      </c>
      <c r="J1726" s="67" t="str">
        <f aca="false">IF(OR($C1726="",$D1726=""),"",IFERROR($D1726*INDEX(Mix_Eff,MATCH($C1726,Mix_Code,0),5),""))</f>
        <v/>
      </c>
      <c r="K1726" s="63"/>
      <c r="L1726" s="16" t="str">
        <f aca="false">IF(AND($A1726="",$B1726="",$C1726="",$D1726=""),"",IF($A1726="","⚠ Date missing",IF($B1726="","⚠ Site missing",IF(ISNA(MATCH($C1726,Mix_Code,0)),"⚠ Unknown mix code",IF($D1726="","⚠ Enter m3 produced",IF(COUNTIF(CI_Site,$B1726)=0,"⚠ Site not set up in Current Inventory",IF($A1726&gt;AsOfDate,"Future date – not yet deducted","OK")))))))</f>
        <v/>
      </c>
    </row>
    <row r="1727" customFormat="false" ht="15" hidden="false" customHeight="false" outlineLevel="0" collapsed="false">
      <c r="A1727" s="65"/>
      <c r="B1727" s="63"/>
      <c r="C1727" s="70"/>
      <c r="D1727" s="66"/>
      <c r="E1727" s="16" t="str">
        <f aca="false">IF($C1727="","",IFERROR(INDEX(Mix_Desc,MATCH($C1727,Mix_Code,0)),"⚠ Unknown mix code"))</f>
        <v/>
      </c>
      <c r="F1727" s="67" t="str">
        <f aca="false">IF(OR($C1727="",$D1727=""),"",IFERROR($D1727*INDEX(Mix_Eff,MATCH($C1727,Mix_Code,0),1),""))</f>
        <v/>
      </c>
      <c r="G1727" s="67" t="str">
        <f aca="false">IF(OR($C1727="",$D1727=""),"",IFERROR($D1727*INDEX(Mix_Eff,MATCH($C1727,Mix_Code,0),2),""))</f>
        <v/>
      </c>
      <c r="H1727" s="67" t="str">
        <f aca="false">IF(OR($C1727="",$D1727=""),"",IFERROR($D1727*INDEX(Mix_Eff,MATCH($C1727,Mix_Code,0),3),""))</f>
        <v/>
      </c>
      <c r="I1727" s="67" t="str">
        <f aca="false">IF(OR($C1727="",$D1727=""),"",IFERROR($D1727*INDEX(Mix_Eff,MATCH($C1727,Mix_Code,0),4),""))</f>
        <v/>
      </c>
      <c r="J1727" s="67" t="str">
        <f aca="false">IF(OR($C1727="",$D1727=""),"",IFERROR($D1727*INDEX(Mix_Eff,MATCH($C1727,Mix_Code,0),5),""))</f>
        <v/>
      </c>
      <c r="K1727" s="63"/>
      <c r="L1727" s="16" t="str">
        <f aca="false">IF(AND($A1727="",$B1727="",$C1727="",$D1727=""),"",IF($A1727="","⚠ Date missing",IF($B1727="","⚠ Site missing",IF(ISNA(MATCH($C1727,Mix_Code,0)),"⚠ Unknown mix code",IF($D1727="","⚠ Enter m3 produced",IF(COUNTIF(CI_Site,$B1727)=0,"⚠ Site not set up in Current Inventory",IF($A1727&gt;AsOfDate,"Future date – not yet deducted","OK")))))))</f>
        <v/>
      </c>
    </row>
    <row r="1728" customFormat="false" ht="15" hidden="false" customHeight="false" outlineLevel="0" collapsed="false">
      <c r="A1728" s="65"/>
      <c r="B1728" s="63"/>
      <c r="C1728" s="70"/>
      <c r="D1728" s="66"/>
      <c r="E1728" s="16" t="str">
        <f aca="false">IF($C1728="","",IFERROR(INDEX(Mix_Desc,MATCH($C1728,Mix_Code,0)),"⚠ Unknown mix code"))</f>
        <v/>
      </c>
      <c r="F1728" s="67" t="str">
        <f aca="false">IF(OR($C1728="",$D1728=""),"",IFERROR($D1728*INDEX(Mix_Eff,MATCH($C1728,Mix_Code,0),1),""))</f>
        <v/>
      </c>
      <c r="G1728" s="67" t="str">
        <f aca="false">IF(OR($C1728="",$D1728=""),"",IFERROR($D1728*INDEX(Mix_Eff,MATCH($C1728,Mix_Code,0),2),""))</f>
        <v/>
      </c>
      <c r="H1728" s="67" t="str">
        <f aca="false">IF(OR($C1728="",$D1728=""),"",IFERROR($D1728*INDEX(Mix_Eff,MATCH($C1728,Mix_Code,0),3),""))</f>
        <v/>
      </c>
      <c r="I1728" s="67" t="str">
        <f aca="false">IF(OR($C1728="",$D1728=""),"",IFERROR($D1728*INDEX(Mix_Eff,MATCH($C1728,Mix_Code,0),4),""))</f>
        <v/>
      </c>
      <c r="J1728" s="67" t="str">
        <f aca="false">IF(OR($C1728="",$D1728=""),"",IFERROR($D1728*INDEX(Mix_Eff,MATCH($C1728,Mix_Code,0),5),""))</f>
        <v/>
      </c>
      <c r="K1728" s="63"/>
      <c r="L1728" s="16" t="str">
        <f aca="false">IF(AND($A1728="",$B1728="",$C1728="",$D1728=""),"",IF($A1728="","⚠ Date missing",IF($B1728="","⚠ Site missing",IF(ISNA(MATCH($C1728,Mix_Code,0)),"⚠ Unknown mix code",IF($D1728="","⚠ Enter m3 produced",IF(COUNTIF(CI_Site,$B1728)=0,"⚠ Site not set up in Current Inventory",IF($A1728&gt;AsOfDate,"Future date – not yet deducted","OK")))))))</f>
        <v/>
      </c>
    </row>
    <row r="1729" customFormat="false" ht="15" hidden="false" customHeight="false" outlineLevel="0" collapsed="false">
      <c r="A1729" s="65"/>
      <c r="B1729" s="63"/>
      <c r="C1729" s="70"/>
      <c r="D1729" s="66"/>
      <c r="E1729" s="16" t="str">
        <f aca="false">IF($C1729="","",IFERROR(INDEX(Mix_Desc,MATCH($C1729,Mix_Code,0)),"⚠ Unknown mix code"))</f>
        <v/>
      </c>
      <c r="F1729" s="67" t="str">
        <f aca="false">IF(OR($C1729="",$D1729=""),"",IFERROR($D1729*INDEX(Mix_Eff,MATCH($C1729,Mix_Code,0),1),""))</f>
        <v/>
      </c>
      <c r="G1729" s="67" t="str">
        <f aca="false">IF(OR($C1729="",$D1729=""),"",IFERROR($D1729*INDEX(Mix_Eff,MATCH($C1729,Mix_Code,0),2),""))</f>
        <v/>
      </c>
      <c r="H1729" s="67" t="str">
        <f aca="false">IF(OR($C1729="",$D1729=""),"",IFERROR($D1729*INDEX(Mix_Eff,MATCH($C1729,Mix_Code,0),3),""))</f>
        <v/>
      </c>
      <c r="I1729" s="67" t="str">
        <f aca="false">IF(OR($C1729="",$D1729=""),"",IFERROR($D1729*INDEX(Mix_Eff,MATCH($C1729,Mix_Code,0),4),""))</f>
        <v/>
      </c>
      <c r="J1729" s="67" t="str">
        <f aca="false">IF(OR($C1729="",$D1729=""),"",IFERROR($D1729*INDEX(Mix_Eff,MATCH($C1729,Mix_Code,0),5),""))</f>
        <v/>
      </c>
      <c r="K1729" s="63"/>
      <c r="L1729" s="16" t="str">
        <f aca="false">IF(AND($A1729="",$B1729="",$C1729="",$D1729=""),"",IF($A1729="","⚠ Date missing",IF($B1729="","⚠ Site missing",IF(ISNA(MATCH($C1729,Mix_Code,0)),"⚠ Unknown mix code",IF($D1729="","⚠ Enter m3 produced",IF(COUNTIF(CI_Site,$B1729)=0,"⚠ Site not set up in Current Inventory",IF($A1729&gt;AsOfDate,"Future date – not yet deducted","OK")))))))</f>
        <v/>
      </c>
    </row>
    <row r="1730" customFormat="false" ht="15" hidden="false" customHeight="false" outlineLevel="0" collapsed="false">
      <c r="A1730" s="65"/>
      <c r="B1730" s="63"/>
      <c r="C1730" s="70"/>
      <c r="D1730" s="66"/>
      <c r="E1730" s="16" t="str">
        <f aca="false">IF($C1730="","",IFERROR(INDEX(Mix_Desc,MATCH($C1730,Mix_Code,0)),"⚠ Unknown mix code"))</f>
        <v/>
      </c>
      <c r="F1730" s="67" t="str">
        <f aca="false">IF(OR($C1730="",$D1730=""),"",IFERROR($D1730*INDEX(Mix_Eff,MATCH($C1730,Mix_Code,0),1),""))</f>
        <v/>
      </c>
      <c r="G1730" s="67" t="str">
        <f aca="false">IF(OR($C1730="",$D1730=""),"",IFERROR($D1730*INDEX(Mix_Eff,MATCH($C1730,Mix_Code,0),2),""))</f>
        <v/>
      </c>
      <c r="H1730" s="67" t="str">
        <f aca="false">IF(OR($C1730="",$D1730=""),"",IFERROR($D1730*INDEX(Mix_Eff,MATCH($C1730,Mix_Code,0),3),""))</f>
        <v/>
      </c>
      <c r="I1730" s="67" t="str">
        <f aca="false">IF(OR($C1730="",$D1730=""),"",IFERROR($D1730*INDEX(Mix_Eff,MATCH($C1730,Mix_Code,0),4),""))</f>
        <v/>
      </c>
      <c r="J1730" s="67" t="str">
        <f aca="false">IF(OR($C1730="",$D1730=""),"",IFERROR($D1730*INDEX(Mix_Eff,MATCH($C1730,Mix_Code,0),5),""))</f>
        <v/>
      </c>
      <c r="K1730" s="63"/>
      <c r="L1730" s="16" t="str">
        <f aca="false">IF(AND($A1730="",$B1730="",$C1730="",$D1730=""),"",IF($A1730="","⚠ Date missing",IF($B1730="","⚠ Site missing",IF(ISNA(MATCH($C1730,Mix_Code,0)),"⚠ Unknown mix code",IF($D1730="","⚠ Enter m3 produced",IF(COUNTIF(CI_Site,$B1730)=0,"⚠ Site not set up in Current Inventory",IF($A1730&gt;AsOfDate,"Future date – not yet deducted","OK")))))))</f>
        <v/>
      </c>
    </row>
    <row r="1731" customFormat="false" ht="15" hidden="false" customHeight="false" outlineLevel="0" collapsed="false">
      <c r="A1731" s="65"/>
      <c r="B1731" s="63"/>
      <c r="C1731" s="70"/>
      <c r="D1731" s="66"/>
      <c r="E1731" s="16" t="str">
        <f aca="false">IF($C1731="","",IFERROR(INDEX(Mix_Desc,MATCH($C1731,Mix_Code,0)),"⚠ Unknown mix code"))</f>
        <v/>
      </c>
      <c r="F1731" s="67" t="str">
        <f aca="false">IF(OR($C1731="",$D1731=""),"",IFERROR($D1731*INDEX(Mix_Eff,MATCH($C1731,Mix_Code,0),1),""))</f>
        <v/>
      </c>
      <c r="G1731" s="67" t="str">
        <f aca="false">IF(OR($C1731="",$D1731=""),"",IFERROR($D1731*INDEX(Mix_Eff,MATCH($C1731,Mix_Code,0),2),""))</f>
        <v/>
      </c>
      <c r="H1731" s="67" t="str">
        <f aca="false">IF(OR($C1731="",$D1731=""),"",IFERROR($D1731*INDEX(Mix_Eff,MATCH($C1731,Mix_Code,0),3),""))</f>
        <v/>
      </c>
      <c r="I1731" s="67" t="str">
        <f aca="false">IF(OR($C1731="",$D1731=""),"",IFERROR($D1731*INDEX(Mix_Eff,MATCH($C1731,Mix_Code,0),4),""))</f>
        <v/>
      </c>
      <c r="J1731" s="67" t="str">
        <f aca="false">IF(OR($C1731="",$D1731=""),"",IFERROR($D1731*INDEX(Mix_Eff,MATCH($C1731,Mix_Code,0),5),""))</f>
        <v/>
      </c>
      <c r="K1731" s="63"/>
      <c r="L1731" s="16" t="str">
        <f aca="false">IF(AND($A1731="",$B1731="",$C1731="",$D1731=""),"",IF($A1731="","⚠ Date missing",IF($B1731="","⚠ Site missing",IF(ISNA(MATCH($C1731,Mix_Code,0)),"⚠ Unknown mix code",IF($D1731="","⚠ Enter m3 produced",IF(COUNTIF(CI_Site,$B1731)=0,"⚠ Site not set up in Current Inventory",IF($A1731&gt;AsOfDate,"Future date – not yet deducted","OK")))))))</f>
        <v/>
      </c>
    </row>
    <row r="1732" customFormat="false" ht="15" hidden="false" customHeight="false" outlineLevel="0" collapsed="false">
      <c r="A1732" s="65"/>
      <c r="B1732" s="63"/>
      <c r="C1732" s="70"/>
      <c r="D1732" s="66"/>
      <c r="E1732" s="16" t="str">
        <f aca="false">IF($C1732="","",IFERROR(INDEX(Mix_Desc,MATCH($C1732,Mix_Code,0)),"⚠ Unknown mix code"))</f>
        <v/>
      </c>
      <c r="F1732" s="67" t="str">
        <f aca="false">IF(OR($C1732="",$D1732=""),"",IFERROR($D1732*INDEX(Mix_Eff,MATCH($C1732,Mix_Code,0),1),""))</f>
        <v/>
      </c>
      <c r="G1732" s="67" t="str">
        <f aca="false">IF(OR($C1732="",$D1732=""),"",IFERROR($D1732*INDEX(Mix_Eff,MATCH($C1732,Mix_Code,0),2),""))</f>
        <v/>
      </c>
      <c r="H1732" s="67" t="str">
        <f aca="false">IF(OR($C1732="",$D1732=""),"",IFERROR($D1732*INDEX(Mix_Eff,MATCH($C1732,Mix_Code,0),3),""))</f>
        <v/>
      </c>
      <c r="I1732" s="67" t="str">
        <f aca="false">IF(OR($C1732="",$D1732=""),"",IFERROR($D1732*INDEX(Mix_Eff,MATCH($C1732,Mix_Code,0),4),""))</f>
        <v/>
      </c>
      <c r="J1732" s="67" t="str">
        <f aca="false">IF(OR($C1732="",$D1732=""),"",IFERROR($D1732*INDEX(Mix_Eff,MATCH($C1732,Mix_Code,0),5),""))</f>
        <v/>
      </c>
      <c r="K1732" s="63"/>
      <c r="L1732" s="16" t="str">
        <f aca="false">IF(AND($A1732="",$B1732="",$C1732="",$D1732=""),"",IF($A1732="","⚠ Date missing",IF($B1732="","⚠ Site missing",IF(ISNA(MATCH($C1732,Mix_Code,0)),"⚠ Unknown mix code",IF($D1732="","⚠ Enter m3 produced",IF(COUNTIF(CI_Site,$B1732)=0,"⚠ Site not set up in Current Inventory",IF($A1732&gt;AsOfDate,"Future date – not yet deducted","OK")))))))</f>
        <v/>
      </c>
    </row>
    <row r="1733" customFormat="false" ht="15" hidden="false" customHeight="false" outlineLevel="0" collapsed="false">
      <c r="A1733" s="65"/>
      <c r="B1733" s="63"/>
      <c r="C1733" s="70"/>
      <c r="D1733" s="66"/>
      <c r="E1733" s="16" t="str">
        <f aca="false">IF($C1733="","",IFERROR(INDEX(Mix_Desc,MATCH($C1733,Mix_Code,0)),"⚠ Unknown mix code"))</f>
        <v/>
      </c>
      <c r="F1733" s="67" t="str">
        <f aca="false">IF(OR($C1733="",$D1733=""),"",IFERROR($D1733*INDEX(Mix_Eff,MATCH($C1733,Mix_Code,0),1),""))</f>
        <v/>
      </c>
      <c r="G1733" s="67" t="str">
        <f aca="false">IF(OR($C1733="",$D1733=""),"",IFERROR($D1733*INDEX(Mix_Eff,MATCH($C1733,Mix_Code,0),2),""))</f>
        <v/>
      </c>
      <c r="H1733" s="67" t="str">
        <f aca="false">IF(OR($C1733="",$D1733=""),"",IFERROR($D1733*INDEX(Mix_Eff,MATCH($C1733,Mix_Code,0),3),""))</f>
        <v/>
      </c>
      <c r="I1733" s="67" t="str">
        <f aca="false">IF(OR($C1733="",$D1733=""),"",IFERROR($D1733*INDEX(Mix_Eff,MATCH($C1733,Mix_Code,0),4),""))</f>
        <v/>
      </c>
      <c r="J1733" s="67" t="str">
        <f aca="false">IF(OR($C1733="",$D1733=""),"",IFERROR($D1733*INDEX(Mix_Eff,MATCH($C1733,Mix_Code,0),5),""))</f>
        <v/>
      </c>
      <c r="K1733" s="63"/>
      <c r="L1733" s="16" t="str">
        <f aca="false">IF(AND($A1733="",$B1733="",$C1733="",$D1733=""),"",IF($A1733="","⚠ Date missing",IF($B1733="","⚠ Site missing",IF(ISNA(MATCH($C1733,Mix_Code,0)),"⚠ Unknown mix code",IF($D1733="","⚠ Enter m3 produced",IF(COUNTIF(CI_Site,$B1733)=0,"⚠ Site not set up in Current Inventory",IF($A1733&gt;AsOfDate,"Future date – not yet deducted","OK")))))))</f>
        <v/>
      </c>
    </row>
    <row r="1734" customFormat="false" ht="15" hidden="false" customHeight="false" outlineLevel="0" collapsed="false">
      <c r="A1734" s="65"/>
      <c r="B1734" s="63"/>
      <c r="C1734" s="70"/>
      <c r="D1734" s="66"/>
      <c r="E1734" s="16" t="str">
        <f aca="false">IF($C1734="","",IFERROR(INDEX(Mix_Desc,MATCH($C1734,Mix_Code,0)),"⚠ Unknown mix code"))</f>
        <v/>
      </c>
      <c r="F1734" s="67" t="str">
        <f aca="false">IF(OR($C1734="",$D1734=""),"",IFERROR($D1734*INDEX(Mix_Eff,MATCH($C1734,Mix_Code,0),1),""))</f>
        <v/>
      </c>
      <c r="G1734" s="67" t="str">
        <f aca="false">IF(OR($C1734="",$D1734=""),"",IFERROR($D1734*INDEX(Mix_Eff,MATCH($C1734,Mix_Code,0),2),""))</f>
        <v/>
      </c>
      <c r="H1734" s="67" t="str">
        <f aca="false">IF(OR($C1734="",$D1734=""),"",IFERROR($D1734*INDEX(Mix_Eff,MATCH($C1734,Mix_Code,0),3),""))</f>
        <v/>
      </c>
      <c r="I1734" s="67" t="str">
        <f aca="false">IF(OR($C1734="",$D1734=""),"",IFERROR($D1734*INDEX(Mix_Eff,MATCH($C1734,Mix_Code,0),4),""))</f>
        <v/>
      </c>
      <c r="J1734" s="67" t="str">
        <f aca="false">IF(OR($C1734="",$D1734=""),"",IFERROR($D1734*INDEX(Mix_Eff,MATCH($C1734,Mix_Code,0),5),""))</f>
        <v/>
      </c>
      <c r="K1734" s="63"/>
      <c r="L1734" s="16" t="str">
        <f aca="false">IF(AND($A1734="",$B1734="",$C1734="",$D1734=""),"",IF($A1734="","⚠ Date missing",IF($B1734="","⚠ Site missing",IF(ISNA(MATCH($C1734,Mix_Code,0)),"⚠ Unknown mix code",IF($D1734="","⚠ Enter m3 produced",IF(COUNTIF(CI_Site,$B1734)=0,"⚠ Site not set up in Current Inventory",IF($A1734&gt;AsOfDate,"Future date – not yet deducted","OK")))))))</f>
        <v/>
      </c>
    </row>
    <row r="1735" customFormat="false" ht="15" hidden="false" customHeight="false" outlineLevel="0" collapsed="false">
      <c r="A1735" s="65"/>
      <c r="B1735" s="63"/>
      <c r="C1735" s="70"/>
      <c r="D1735" s="66"/>
      <c r="E1735" s="16" t="str">
        <f aca="false">IF($C1735="","",IFERROR(INDEX(Mix_Desc,MATCH($C1735,Mix_Code,0)),"⚠ Unknown mix code"))</f>
        <v/>
      </c>
      <c r="F1735" s="67" t="str">
        <f aca="false">IF(OR($C1735="",$D1735=""),"",IFERROR($D1735*INDEX(Mix_Eff,MATCH($C1735,Mix_Code,0),1),""))</f>
        <v/>
      </c>
      <c r="G1735" s="67" t="str">
        <f aca="false">IF(OR($C1735="",$D1735=""),"",IFERROR($D1735*INDEX(Mix_Eff,MATCH($C1735,Mix_Code,0),2),""))</f>
        <v/>
      </c>
      <c r="H1735" s="67" t="str">
        <f aca="false">IF(OR($C1735="",$D1735=""),"",IFERROR($D1735*INDEX(Mix_Eff,MATCH($C1735,Mix_Code,0),3),""))</f>
        <v/>
      </c>
      <c r="I1735" s="67" t="str">
        <f aca="false">IF(OR($C1735="",$D1735=""),"",IFERROR($D1735*INDEX(Mix_Eff,MATCH($C1735,Mix_Code,0),4),""))</f>
        <v/>
      </c>
      <c r="J1735" s="67" t="str">
        <f aca="false">IF(OR($C1735="",$D1735=""),"",IFERROR($D1735*INDEX(Mix_Eff,MATCH($C1735,Mix_Code,0),5),""))</f>
        <v/>
      </c>
      <c r="K1735" s="63"/>
      <c r="L1735" s="16" t="str">
        <f aca="false">IF(AND($A1735="",$B1735="",$C1735="",$D1735=""),"",IF($A1735="","⚠ Date missing",IF($B1735="","⚠ Site missing",IF(ISNA(MATCH($C1735,Mix_Code,0)),"⚠ Unknown mix code",IF($D1735="","⚠ Enter m3 produced",IF(COUNTIF(CI_Site,$B1735)=0,"⚠ Site not set up in Current Inventory",IF($A1735&gt;AsOfDate,"Future date – not yet deducted","OK")))))))</f>
        <v/>
      </c>
    </row>
    <row r="1736" customFormat="false" ht="15" hidden="false" customHeight="false" outlineLevel="0" collapsed="false">
      <c r="A1736" s="65"/>
      <c r="B1736" s="63"/>
      <c r="C1736" s="70"/>
      <c r="D1736" s="66"/>
      <c r="E1736" s="16" t="str">
        <f aca="false">IF($C1736="","",IFERROR(INDEX(Mix_Desc,MATCH($C1736,Mix_Code,0)),"⚠ Unknown mix code"))</f>
        <v/>
      </c>
      <c r="F1736" s="67" t="str">
        <f aca="false">IF(OR($C1736="",$D1736=""),"",IFERROR($D1736*INDEX(Mix_Eff,MATCH($C1736,Mix_Code,0),1),""))</f>
        <v/>
      </c>
      <c r="G1736" s="67" t="str">
        <f aca="false">IF(OR($C1736="",$D1736=""),"",IFERROR($D1736*INDEX(Mix_Eff,MATCH($C1736,Mix_Code,0),2),""))</f>
        <v/>
      </c>
      <c r="H1736" s="67" t="str">
        <f aca="false">IF(OR($C1736="",$D1736=""),"",IFERROR($D1736*INDEX(Mix_Eff,MATCH($C1736,Mix_Code,0),3),""))</f>
        <v/>
      </c>
      <c r="I1736" s="67" t="str">
        <f aca="false">IF(OR($C1736="",$D1736=""),"",IFERROR($D1736*INDEX(Mix_Eff,MATCH($C1736,Mix_Code,0),4),""))</f>
        <v/>
      </c>
      <c r="J1736" s="67" t="str">
        <f aca="false">IF(OR($C1736="",$D1736=""),"",IFERROR($D1736*INDEX(Mix_Eff,MATCH($C1736,Mix_Code,0),5),""))</f>
        <v/>
      </c>
      <c r="K1736" s="63"/>
      <c r="L1736" s="16" t="str">
        <f aca="false">IF(AND($A1736="",$B1736="",$C1736="",$D1736=""),"",IF($A1736="","⚠ Date missing",IF($B1736="","⚠ Site missing",IF(ISNA(MATCH($C1736,Mix_Code,0)),"⚠ Unknown mix code",IF($D1736="","⚠ Enter m3 produced",IF(COUNTIF(CI_Site,$B1736)=0,"⚠ Site not set up in Current Inventory",IF($A1736&gt;AsOfDate,"Future date – not yet deducted","OK")))))))</f>
        <v/>
      </c>
    </row>
    <row r="1737" customFormat="false" ht="15" hidden="false" customHeight="false" outlineLevel="0" collapsed="false">
      <c r="A1737" s="65"/>
      <c r="B1737" s="63"/>
      <c r="C1737" s="70"/>
      <c r="D1737" s="66"/>
      <c r="E1737" s="16" t="str">
        <f aca="false">IF($C1737="","",IFERROR(INDEX(Mix_Desc,MATCH($C1737,Mix_Code,0)),"⚠ Unknown mix code"))</f>
        <v/>
      </c>
      <c r="F1737" s="67" t="str">
        <f aca="false">IF(OR($C1737="",$D1737=""),"",IFERROR($D1737*INDEX(Mix_Eff,MATCH($C1737,Mix_Code,0),1),""))</f>
        <v/>
      </c>
      <c r="G1737" s="67" t="str">
        <f aca="false">IF(OR($C1737="",$D1737=""),"",IFERROR($D1737*INDEX(Mix_Eff,MATCH($C1737,Mix_Code,0),2),""))</f>
        <v/>
      </c>
      <c r="H1737" s="67" t="str">
        <f aca="false">IF(OR($C1737="",$D1737=""),"",IFERROR($D1737*INDEX(Mix_Eff,MATCH($C1737,Mix_Code,0),3),""))</f>
        <v/>
      </c>
      <c r="I1737" s="67" t="str">
        <f aca="false">IF(OR($C1737="",$D1737=""),"",IFERROR($D1737*INDEX(Mix_Eff,MATCH($C1737,Mix_Code,0),4),""))</f>
        <v/>
      </c>
      <c r="J1737" s="67" t="str">
        <f aca="false">IF(OR($C1737="",$D1737=""),"",IFERROR($D1737*INDEX(Mix_Eff,MATCH($C1737,Mix_Code,0),5),""))</f>
        <v/>
      </c>
      <c r="K1737" s="63"/>
      <c r="L1737" s="16" t="str">
        <f aca="false">IF(AND($A1737="",$B1737="",$C1737="",$D1737=""),"",IF($A1737="","⚠ Date missing",IF($B1737="","⚠ Site missing",IF(ISNA(MATCH($C1737,Mix_Code,0)),"⚠ Unknown mix code",IF($D1737="","⚠ Enter m3 produced",IF(COUNTIF(CI_Site,$B1737)=0,"⚠ Site not set up in Current Inventory",IF($A1737&gt;AsOfDate,"Future date – not yet deducted","OK")))))))</f>
        <v/>
      </c>
    </row>
    <row r="1738" customFormat="false" ht="15" hidden="false" customHeight="false" outlineLevel="0" collapsed="false">
      <c r="A1738" s="65"/>
      <c r="B1738" s="63"/>
      <c r="C1738" s="70"/>
      <c r="D1738" s="66"/>
      <c r="E1738" s="16" t="str">
        <f aca="false">IF($C1738="","",IFERROR(INDEX(Mix_Desc,MATCH($C1738,Mix_Code,0)),"⚠ Unknown mix code"))</f>
        <v/>
      </c>
      <c r="F1738" s="67" t="str">
        <f aca="false">IF(OR($C1738="",$D1738=""),"",IFERROR($D1738*INDEX(Mix_Eff,MATCH($C1738,Mix_Code,0),1),""))</f>
        <v/>
      </c>
      <c r="G1738" s="67" t="str">
        <f aca="false">IF(OR($C1738="",$D1738=""),"",IFERROR($D1738*INDEX(Mix_Eff,MATCH($C1738,Mix_Code,0),2),""))</f>
        <v/>
      </c>
      <c r="H1738" s="67" t="str">
        <f aca="false">IF(OR($C1738="",$D1738=""),"",IFERROR($D1738*INDEX(Mix_Eff,MATCH($C1738,Mix_Code,0),3),""))</f>
        <v/>
      </c>
      <c r="I1738" s="67" t="str">
        <f aca="false">IF(OR($C1738="",$D1738=""),"",IFERROR($D1738*INDEX(Mix_Eff,MATCH($C1738,Mix_Code,0),4),""))</f>
        <v/>
      </c>
      <c r="J1738" s="67" t="str">
        <f aca="false">IF(OR($C1738="",$D1738=""),"",IFERROR($D1738*INDEX(Mix_Eff,MATCH($C1738,Mix_Code,0),5),""))</f>
        <v/>
      </c>
      <c r="K1738" s="63"/>
      <c r="L1738" s="16" t="str">
        <f aca="false">IF(AND($A1738="",$B1738="",$C1738="",$D1738=""),"",IF($A1738="","⚠ Date missing",IF($B1738="","⚠ Site missing",IF(ISNA(MATCH($C1738,Mix_Code,0)),"⚠ Unknown mix code",IF($D1738="","⚠ Enter m3 produced",IF(COUNTIF(CI_Site,$B1738)=0,"⚠ Site not set up in Current Inventory",IF($A1738&gt;AsOfDate,"Future date – not yet deducted","OK")))))))</f>
        <v/>
      </c>
    </row>
    <row r="1739" customFormat="false" ht="15" hidden="false" customHeight="false" outlineLevel="0" collapsed="false">
      <c r="A1739" s="65"/>
      <c r="B1739" s="63"/>
      <c r="C1739" s="70"/>
      <c r="D1739" s="66"/>
      <c r="E1739" s="16" t="str">
        <f aca="false">IF($C1739="","",IFERROR(INDEX(Mix_Desc,MATCH($C1739,Mix_Code,0)),"⚠ Unknown mix code"))</f>
        <v/>
      </c>
      <c r="F1739" s="67" t="str">
        <f aca="false">IF(OR($C1739="",$D1739=""),"",IFERROR($D1739*INDEX(Mix_Eff,MATCH($C1739,Mix_Code,0),1),""))</f>
        <v/>
      </c>
      <c r="G1739" s="67" t="str">
        <f aca="false">IF(OR($C1739="",$D1739=""),"",IFERROR($D1739*INDEX(Mix_Eff,MATCH($C1739,Mix_Code,0),2),""))</f>
        <v/>
      </c>
      <c r="H1739" s="67" t="str">
        <f aca="false">IF(OR($C1739="",$D1739=""),"",IFERROR($D1739*INDEX(Mix_Eff,MATCH($C1739,Mix_Code,0),3),""))</f>
        <v/>
      </c>
      <c r="I1739" s="67" t="str">
        <f aca="false">IF(OR($C1739="",$D1739=""),"",IFERROR($D1739*INDEX(Mix_Eff,MATCH($C1739,Mix_Code,0),4),""))</f>
        <v/>
      </c>
      <c r="J1739" s="67" t="str">
        <f aca="false">IF(OR($C1739="",$D1739=""),"",IFERROR($D1739*INDEX(Mix_Eff,MATCH($C1739,Mix_Code,0),5),""))</f>
        <v/>
      </c>
      <c r="K1739" s="63"/>
      <c r="L1739" s="16" t="str">
        <f aca="false">IF(AND($A1739="",$B1739="",$C1739="",$D1739=""),"",IF($A1739="","⚠ Date missing",IF($B1739="","⚠ Site missing",IF(ISNA(MATCH($C1739,Mix_Code,0)),"⚠ Unknown mix code",IF($D1739="","⚠ Enter m3 produced",IF(COUNTIF(CI_Site,$B1739)=0,"⚠ Site not set up in Current Inventory",IF($A1739&gt;AsOfDate,"Future date – not yet deducted","OK")))))))</f>
        <v/>
      </c>
    </row>
    <row r="1740" customFormat="false" ht="15" hidden="false" customHeight="false" outlineLevel="0" collapsed="false">
      <c r="A1740" s="65"/>
      <c r="B1740" s="63"/>
      <c r="C1740" s="70"/>
      <c r="D1740" s="66"/>
      <c r="E1740" s="16" t="str">
        <f aca="false">IF($C1740="","",IFERROR(INDEX(Mix_Desc,MATCH($C1740,Mix_Code,0)),"⚠ Unknown mix code"))</f>
        <v/>
      </c>
      <c r="F1740" s="67" t="str">
        <f aca="false">IF(OR($C1740="",$D1740=""),"",IFERROR($D1740*INDEX(Mix_Eff,MATCH($C1740,Mix_Code,0),1),""))</f>
        <v/>
      </c>
      <c r="G1740" s="67" t="str">
        <f aca="false">IF(OR($C1740="",$D1740=""),"",IFERROR($D1740*INDEX(Mix_Eff,MATCH($C1740,Mix_Code,0),2),""))</f>
        <v/>
      </c>
      <c r="H1740" s="67" t="str">
        <f aca="false">IF(OR($C1740="",$D1740=""),"",IFERROR($D1740*INDEX(Mix_Eff,MATCH($C1740,Mix_Code,0),3),""))</f>
        <v/>
      </c>
      <c r="I1740" s="67" t="str">
        <f aca="false">IF(OR($C1740="",$D1740=""),"",IFERROR($D1740*INDEX(Mix_Eff,MATCH($C1740,Mix_Code,0),4),""))</f>
        <v/>
      </c>
      <c r="J1740" s="67" t="str">
        <f aca="false">IF(OR($C1740="",$D1740=""),"",IFERROR($D1740*INDEX(Mix_Eff,MATCH($C1740,Mix_Code,0),5),""))</f>
        <v/>
      </c>
      <c r="K1740" s="63"/>
      <c r="L1740" s="16" t="str">
        <f aca="false">IF(AND($A1740="",$B1740="",$C1740="",$D1740=""),"",IF($A1740="","⚠ Date missing",IF($B1740="","⚠ Site missing",IF(ISNA(MATCH($C1740,Mix_Code,0)),"⚠ Unknown mix code",IF($D1740="","⚠ Enter m3 produced",IF(COUNTIF(CI_Site,$B1740)=0,"⚠ Site not set up in Current Inventory",IF($A1740&gt;AsOfDate,"Future date – not yet deducted","OK")))))))</f>
        <v/>
      </c>
    </row>
    <row r="1741" customFormat="false" ht="15" hidden="false" customHeight="false" outlineLevel="0" collapsed="false">
      <c r="A1741" s="65"/>
      <c r="B1741" s="63"/>
      <c r="C1741" s="70"/>
      <c r="D1741" s="66"/>
      <c r="E1741" s="16" t="str">
        <f aca="false">IF($C1741="","",IFERROR(INDEX(Mix_Desc,MATCH($C1741,Mix_Code,0)),"⚠ Unknown mix code"))</f>
        <v/>
      </c>
      <c r="F1741" s="67" t="str">
        <f aca="false">IF(OR($C1741="",$D1741=""),"",IFERROR($D1741*INDEX(Mix_Eff,MATCH($C1741,Mix_Code,0),1),""))</f>
        <v/>
      </c>
      <c r="G1741" s="67" t="str">
        <f aca="false">IF(OR($C1741="",$D1741=""),"",IFERROR($D1741*INDEX(Mix_Eff,MATCH($C1741,Mix_Code,0),2),""))</f>
        <v/>
      </c>
      <c r="H1741" s="67" t="str">
        <f aca="false">IF(OR($C1741="",$D1741=""),"",IFERROR($D1741*INDEX(Mix_Eff,MATCH($C1741,Mix_Code,0),3),""))</f>
        <v/>
      </c>
      <c r="I1741" s="67" t="str">
        <f aca="false">IF(OR($C1741="",$D1741=""),"",IFERROR($D1741*INDEX(Mix_Eff,MATCH($C1741,Mix_Code,0),4),""))</f>
        <v/>
      </c>
      <c r="J1741" s="67" t="str">
        <f aca="false">IF(OR($C1741="",$D1741=""),"",IFERROR($D1741*INDEX(Mix_Eff,MATCH($C1741,Mix_Code,0),5),""))</f>
        <v/>
      </c>
      <c r="K1741" s="63"/>
      <c r="L1741" s="16" t="str">
        <f aca="false">IF(AND($A1741="",$B1741="",$C1741="",$D1741=""),"",IF($A1741="","⚠ Date missing",IF($B1741="","⚠ Site missing",IF(ISNA(MATCH($C1741,Mix_Code,0)),"⚠ Unknown mix code",IF($D1741="","⚠ Enter m3 produced",IF(COUNTIF(CI_Site,$B1741)=0,"⚠ Site not set up in Current Inventory",IF($A1741&gt;AsOfDate,"Future date – not yet deducted","OK")))))))</f>
        <v/>
      </c>
    </row>
    <row r="1742" customFormat="false" ht="15" hidden="false" customHeight="false" outlineLevel="0" collapsed="false">
      <c r="A1742" s="65"/>
      <c r="B1742" s="63"/>
      <c r="C1742" s="70"/>
      <c r="D1742" s="66"/>
      <c r="E1742" s="16" t="str">
        <f aca="false">IF($C1742="","",IFERROR(INDEX(Mix_Desc,MATCH($C1742,Mix_Code,0)),"⚠ Unknown mix code"))</f>
        <v/>
      </c>
      <c r="F1742" s="67" t="str">
        <f aca="false">IF(OR($C1742="",$D1742=""),"",IFERROR($D1742*INDEX(Mix_Eff,MATCH($C1742,Mix_Code,0),1),""))</f>
        <v/>
      </c>
      <c r="G1742" s="67" t="str">
        <f aca="false">IF(OR($C1742="",$D1742=""),"",IFERROR($D1742*INDEX(Mix_Eff,MATCH($C1742,Mix_Code,0),2),""))</f>
        <v/>
      </c>
      <c r="H1742" s="67" t="str">
        <f aca="false">IF(OR($C1742="",$D1742=""),"",IFERROR($D1742*INDEX(Mix_Eff,MATCH($C1742,Mix_Code,0),3),""))</f>
        <v/>
      </c>
      <c r="I1742" s="67" t="str">
        <f aca="false">IF(OR($C1742="",$D1742=""),"",IFERROR($D1742*INDEX(Mix_Eff,MATCH($C1742,Mix_Code,0),4),""))</f>
        <v/>
      </c>
      <c r="J1742" s="67" t="str">
        <f aca="false">IF(OR($C1742="",$D1742=""),"",IFERROR($D1742*INDEX(Mix_Eff,MATCH($C1742,Mix_Code,0),5),""))</f>
        <v/>
      </c>
      <c r="K1742" s="63"/>
      <c r="L1742" s="16" t="str">
        <f aca="false">IF(AND($A1742="",$B1742="",$C1742="",$D1742=""),"",IF($A1742="","⚠ Date missing",IF($B1742="","⚠ Site missing",IF(ISNA(MATCH($C1742,Mix_Code,0)),"⚠ Unknown mix code",IF($D1742="","⚠ Enter m3 produced",IF(COUNTIF(CI_Site,$B1742)=0,"⚠ Site not set up in Current Inventory",IF($A1742&gt;AsOfDate,"Future date – not yet deducted","OK")))))))</f>
        <v/>
      </c>
    </row>
    <row r="1743" customFormat="false" ht="15" hidden="false" customHeight="false" outlineLevel="0" collapsed="false">
      <c r="A1743" s="65"/>
      <c r="B1743" s="63"/>
      <c r="C1743" s="70"/>
      <c r="D1743" s="66"/>
      <c r="E1743" s="16" t="str">
        <f aca="false">IF($C1743="","",IFERROR(INDEX(Mix_Desc,MATCH($C1743,Mix_Code,0)),"⚠ Unknown mix code"))</f>
        <v/>
      </c>
      <c r="F1743" s="67" t="str">
        <f aca="false">IF(OR($C1743="",$D1743=""),"",IFERROR($D1743*INDEX(Mix_Eff,MATCH($C1743,Mix_Code,0),1),""))</f>
        <v/>
      </c>
      <c r="G1743" s="67" t="str">
        <f aca="false">IF(OR($C1743="",$D1743=""),"",IFERROR($D1743*INDEX(Mix_Eff,MATCH($C1743,Mix_Code,0),2),""))</f>
        <v/>
      </c>
      <c r="H1743" s="67" t="str">
        <f aca="false">IF(OR($C1743="",$D1743=""),"",IFERROR($D1743*INDEX(Mix_Eff,MATCH($C1743,Mix_Code,0),3),""))</f>
        <v/>
      </c>
      <c r="I1743" s="67" t="str">
        <f aca="false">IF(OR($C1743="",$D1743=""),"",IFERROR($D1743*INDEX(Mix_Eff,MATCH($C1743,Mix_Code,0),4),""))</f>
        <v/>
      </c>
      <c r="J1743" s="67" t="str">
        <f aca="false">IF(OR($C1743="",$D1743=""),"",IFERROR($D1743*INDEX(Mix_Eff,MATCH($C1743,Mix_Code,0),5),""))</f>
        <v/>
      </c>
      <c r="K1743" s="63"/>
      <c r="L1743" s="16" t="str">
        <f aca="false">IF(AND($A1743="",$B1743="",$C1743="",$D1743=""),"",IF($A1743="","⚠ Date missing",IF($B1743="","⚠ Site missing",IF(ISNA(MATCH($C1743,Mix_Code,0)),"⚠ Unknown mix code",IF($D1743="","⚠ Enter m3 produced",IF(COUNTIF(CI_Site,$B1743)=0,"⚠ Site not set up in Current Inventory",IF($A1743&gt;AsOfDate,"Future date – not yet deducted","OK")))))))</f>
        <v/>
      </c>
    </row>
    <row r="1744" customFormat="false" ht="15" hidden="false" customHeight="false" outlineLevel="0" collapsed="false">
      <c r="A1744" s="65"/>
      <c r="B1744" s="63"/>
      <c r="C1744" s="70"/>
      <c r="D1744" s="66"/>
      <c r="E1744" s="16" t="str">
        <f aca="false">IF($C1744="","",IFERROR(INDEX(Mix_Desc,MATCH($C1744,Mix_Code,0)),"⚠ Unknown mix code"))</f>
        <v/>
      </c>
      <c r="F1744" s="67" t="str">
        <f aca="false">IF(OR($C1744="",$D1744=""),"",IFERROR($D1744*INDEX(Mix_Eff,MATCH($C1744,Mix_Code,0),1),""))</f>
        <v/>
      </c>
      <c r="G1744" s="67" t="str">
        <f aca="false">IF(OR($C1744="",$D1744=""),"",IFERROR($D1744*INDEX(Mix_Eff,MATCH($C1744,Mix_Code,0),2),""))</f>
        <v/>
      </c>
      <c r="H1744" s="67" t="str">
        <f aca="false">IF(OR($C1744="",$D1744=""),"",IFERROR($D1744*INDEX(Mix_Eff,MATCH($C1744,Mix_Code,0),3),""))</f>
        <v/>
      </c>
      <c r="I1744" s="67" t="str">
        <f aca="false">IF(OR($C1744="",$D1744=""),"",IFERROR($D1744*INDEX(Mix_Eff,MATCH($C1744,Mix_Code,0),4),""))</f>
        <v/>
      </c>
      <c r="J1744" s="67" t="str">
        <f aca="false">IF(OR($C1744="",$D1744=""),"",IFERROR($D1744*INDEX(Mix_Eff,MATCH($C1744,Mix_Code,0),5),""))</f>
        <v/>
      </c>
      <c r="K1744" s="63"/>
      <c r="L1744" s="16" t="str">
        <f aca="false">IF(AND($A1744="",$B1744="",$C1744="",$D1744=""),"",IF($A1744="","⚠ Date missing",IF($B1744="","⚠ Site missing",IF(ISNA(MATCH($C1744,Mix_Code,0)),"⚠ Unknown mix code",IF($D1744="","⚠ Enter m3 produced",IF(COUNTIF(CI_Site,$B1744)=0,"⚠ Site not set up in Current Inventory",IF($A1744&gt;AsOfDate,"Future date – not yet deducted","OK")))))))</f>
        <v/>
      </c>
    </row>
    <row r="1745" customFormat="false" ht="15" hidden="false" customHeight="false" outlineLevel="0" collapsed="false">
      <c r="A1745" s="65"/>
      <c r="B1745" s="63"/>
      <c r="C1745" s="70"/>
      <c r="D1745" s="66"/>
      <c r="E1745" s="16" t="str">
        <f aca="false">IF($C1745="","",IFERROR(INDEX(Mix_Desc,MATCH($C1745,Mix_Code,0)),"⚠ Unknown mix code"))</f>
        <v/>
      </c>
      <c r="F1745" s="67" t="str">
        <f aca="false">IF(OR($C1745="",$D1745=""),"",IFERROR($D1745*INDEX(Mix_Eff,MATCH($C1745,Mix_Code,0),1),""))</f>
        <v/>
      </c>
      <c r="G1745" s="67" t="str">
        <f aca="false">IF(OR($C1745="",$D1745=""),"",IFERROR($D1745*INDEX(Mix_Eff,MATCH($C1745,Mix_Code,0),2),""))</f>
        <v/>
      </c>
      <c r="H1745" s="67" t="str">
        <f aca="false">IF(OR($C1745="",$D1745=""),"",IFERROR($D1745*INDEX(Mix_Eff,MATCH($C1745,Mix_Code,0),3),""))</f>
        <v/>
      </c>
      <c r="I1745" s="67" t="str">
        <f aca="false">IF(OR($C1745="",$D1745=""),"",IFERROR($D1745*INDEX(Mix_Eff,MATCH($C1745,Mix_Code,0),4),""))</f>
        <v/>
      </c>
      <c r="J1745" s="67" t="str">
        <f aca="false">IF(OR($C1745="",$D1745=""),"",IFERROR($D1745*INDEX(Mix_Eff,MATCH($C1745,Mix_Code,0),5),""))</f>
        <v/>
      </c>
      <c r="K1745" s="63"/>
      <c r="L1745" s="16" t="str">
        <f aca="false">IF(AND($A1745="",$B1745="",$C1745="",$D1745=""),"",IF($A1745="","⚠ Date missing",IF($B1745="","⚠ Site missing",IF(ISNA(MATCH($C1745,Mix_Code,0)),"⚠ Unknown mix code",IF($D1745="","⚠ Enter m3 produced",IF(COUNTIF(CI_Site,$B1745)=0,"⚠ Site not set up in Current Inventory",IF($A1745&gt;AsOfDate,"Future date – not yet deducted","OK")))))))</f>
        <v/>
      </c>
    </row>
    <row r="1746" customFormat="false" ht="15" hidden="false" customHeight="false" outlineLevel="0" collapsed="false">
      <c r="A1746" s="65"/>
      <c r="B1746" s="63"/>
      <c r="C1746" s="70"/>
      <c r="D1746" s="66"/>
      <c r="E1746" s="16" t="str">
        <f aca="false">IF($C1746="","",IFERROR(INDEX(Mix_Desc,MATCH($C1746,Mix_Code,0)),"⚠ Unknown mix code"))</f>
        <v/>
      </c>
      <c r="F1746" s="67" t="str">
        <f aca="false">IF(OR($C1746="",$D1746=""),"",IFERROR($D1746*INDEX(Mix_Eff,MATCH($C1746,Mix_Code,0),1),""))</f>
        <v/>
      </c>
      <c r="G1746" s="67" t="str">
        <f aca="false">IF(OR($C1746="",$D1746=""),"",IFERROR($D1746*INDEX(Mix_Eff,MATCH($C1746,Mix_Code,0),2),""))</f>
        <v/>
      </c>
      <c r="H1746" s="67" t="str">
        <f aca="false">IF(OR($C1746="",$D1746=""),"",IFERROR($D1746*INDEX(Mix_Eff,MATCH($C1746,Mix_Code,0),3),""))</f>
        <v/>
      </c>
      <c r="I1746" s="67" t="str">
        <f aca="false">IF(OR($C1746="",$D1746=""),"",IFERROR($D1746*INDEX(Mix_Eff,MATCH($C1746,Mix_Code,0),4),""))</f>
        <v/>
      </c>
      <c r="J1746" s="67" t="str">
        <f aca="false">IF(OR($C1746="",$D1746=""),"",IFERROR($D1746*INDEX(Mix_Eff,MATCH($C1746,Mix_Code,0),5),""))</f>
        <v/>
      </c>
      <c r="K1746" s="63"/>
      <c r="L1746" s="16" t="str">
        <f aca="false">IF(AND($A1746="",$B1746="",$C1746="",$D1746=""),"",IF($A1746="","⚠ Date missing",IF($B1746="","⚠ Site missing",IF(ISNA(MATCH($C1746,Mix_Code,0)),"⚠ Unknown mix code",IF($D1746="","⚠ Enter m3 produced",IF(COUNTIF(CI_Site,$B1746)=0,"⚠ Site not set up in Current Inventory",IF($A1746&gt;AsOfDate,"Future date – not yet deducted","OK")))))))</f>
        <v/>
      </c>
    </row>
    <row r="1747" customFormat="false" ht="15" hidden="false" customHeight="false" outlineLevel="0" collapsed="false">
      <c r="A1747" s="65"/>
      <c r="B1747" s="63"/>
      <c r="C1747" s="70"/>
      <c r="D1747" s="66"/>
      <c r="E1747" s="16" t="str">
        <f aca="false">IF($C1747="","",IFERROR(INDEX(Mix_Desc,MATCH($C1747,Mix_Code,0)),"⚠ Unknown mix code"))</f>
        <v/>
      </c>
      <c r="F1747" s="67" t="str">
        <f aca="false">IF(OR($C1747="",$D1747=""),"",IFERROR($D1747*INDEX(Mix_Eff,MATCH($C1747,Mix_Code,0),1),""))</f>
        <v/>
      </c>
      <c r="G1747" s="67" t="str">
        <f aca="false">IF(OR($C1747="",$D1747=""),"",IFERROR($D1747*INDEX(Mix_Eff,MATCH($C1747,Mix_Code,0),2),""))</f>
        <v/>
      </c>
      <c r="H1747" s="67" t="str">
        <f aca="false">IF(OR($C1747="",$D1747=""),"",IFERROR($D1747*INDEX(Mix_Eff,MATCH($C1747,Mix_Code,0),3),""))</f>
        <v/>
      </c>
      <c r="I1747" s="67" t="str">
        <f aca="false">IF(OR($C1747="",$D1747=""),"",IFERROR($D1747*INDEX(Mix_Eff,MATCH($C1747,Mix_Code,0),4),""))</f>
        <v/>
      </c>
      <c r="J1747" s="67" t="str">
        <f aca="false">IF(OR($C1747="",$D1747=""),"",IFERROR($D1747*INDEX(Mix_Eff,MATCH($C1747,Mix_Code,0),5),""))</f>
        <v/>
      </c>
      <c r="K1747" s="63"/>
      <c r="L1747" s="16" t="str">
        <f aca="false">IF(AND($A1747="",$B1747="",$C1747="",$D1747=""),"",IF($A1747="","⚠ Date missing",IF($B1747="","⚠ Site missing",IF(ISNA(MATCH($C1747,Mix_Code,0)),"⚠ Unknown mix code",IF($D1747="","⚠ Enter m3 produced",IF(COUNTIF(CI_Site,$B1747)=0,"⚠ Site not set up in Current Inventory",IF($A1747&gt;AsOfDate,"Future date – not yet deducted","OK")))))))</f>
        <v/>
      </c>
    </row>
    <row r="1748" customFormat="false" ht="15" hidden="false" customHeight="false" outlineLevel="0" collapsed="false">
      <c r="A1748" s="65"/>
      <c r="B1748" s="63"/>
      <c r="C1748" s="70"/>
      <c r="D1748" s="66"/>
      <c r="E1748" s="16" t="str">
        <f aca="false">IF($C1748="","",IFERROR(INDEX(Mix_Desc,MATCH($C1748,Mix_Code,0)),"⚠ Unknown mix code"))</f>
        <v/>
      </c>
      <c r="F1748" s="67" t="str">
        <f aca="false">IF(OR($C1748="",$D1748=""),"",IFERROR($D1748*INDEX(Mix_Eff,MATCH($C1748,Mix_Code,0),1),""))</f>
        <v/>
      </c>
      <c r="G1748" s="67" t="str">
        <f aca="false">IF(OR($C1748="",$D1748=""),"",IFERROR($D1748*INDEX(Mix_Eff,MATCH($C1748,Mix_Code,0),2),""))</f>
        <v/>
      </c>
      <c r="H1748" s="67" t="str">
        <f aca="false">IF(OR($C1748="",$D1748=""),"",IFERROR($D1748*INDEX(Mix_Eff,MATCH($C1748,Mix_Code,0),3),""))</f>
        <v/>
      </c>
      <c r="I1748" s="67" t="str">
        <f aca="false">IF(OR($C1748="",$D1748=""),"",IFERROR($D1748*INDEX(Mix_Eff,MATCH($C1748,Mix_Code,0),4),""))</f>
        <v/>
      </c>
      <c r="J1748" s="67" t="str">
        <f aca="false">IF(OR($C1748="",$D1748=""),"",IFERROR($D1748*INDEX(Mix_Eff,MATCH($C1748,Mix_Code,0),5),""))</f>
        <v/>
      </c>
      <c r="K1748" s="63"/>
      <c r="L1748" s="16" t="str">
        <f aca="false">IF(AND($A1748="",$B1748="",$C1748="",$D1748=""),"",IF($A1748="","⚠ Date missing",IF($B1748="","⚠ Site missing",IF(ISNA(MATCH($C1748,Mix_Code,0)),"⚠ Unknown mix code",IF($D1748="","⚠ Enter m3 produced",IF(COUNTIF(CI_Site,$B1748)=0,"⚠ Site not set up in Current Inventory",IF($A1748&gt;AsOfDate,"Future date – not yet deducted","OK")))))))</f>
        <v/>
      </c>
    </row>
    <row r="1749" customFormat="false" ht="15" hidden="false" customHeight="false" outlineLevel="0" collapsed="false">
      <c r="A1749" s="65"/>
      <c r="B1749" s="63"/>
      <c r="C1749" s="70"/>
      <c r="D1749" s="66"/>
      <c r="E1749" s="16" t="str">
        <f aca="false">IF($C1749="","",IFERROR(INDEX(Mix_Desc,MATCH($C1749,Mix_Code,0)),"⚠ Unknown mix code"))</f>
        <v/>
      </c>
      <c r="F1749" s="67" t="str">
        <f aca="false">IF(OR($C1749="",$D1749=""),"",IFERROR($D1749*INDEX(Mix_Eff,MATCH($C1749,Mix_Code,0),1),""))</f>
        <v/>
      </c>
      <c r="G1749" s="67" t="str">
        <f aca="false">IF(OR($C1749="",$D1749=""),"",IFERROR($D1749*INDEX(Mix_Eff,MATCH($C1749,Mix_Code,0),2),""))</f>
        <v/>
      </c>
      <c r="H1749" s="67" t="str">
        <f aca="false">IF(OR($C1749="",$D1749=""),"",IFERROR($D1749*INDEX(Mix_Eff,MATCH($C1749,Mix_Code,0),3),""))</f>
        <v/>
      </c>
      <c r="I1749" s="67" t="str">
        <f aca="false">IF(OR($C1749="",$D1749=""),"",IFERROR($D1749*INDEX(Mix_Eff,MATCH($C1749,Mix_Code,0),4),""))</f>
        <v/>
      </c>
      <c r="J1749" s="67" t="str">
        <f aca="false">IF(OR($C1749="",$D1749=""),"",IFERROR($D1749*INDEX(Mix_Eff,MATCH($C1749,Mix_Code,0),5),""))</f>
        <v/>
      </c>
      <c r="K1749" s="63"/>
      <c r="L1749" s="16" t="str">
        <f aca="false">IF(AND($A1749="",$B1749="",$C1749="",$D1749=""),"",IF($A1749="","⚠ Date missing",IF($B1749="","⚠ Site missing",IF(ISNA(MATCH($C1749,Mix_Code,0)),"⚠ Unknown mix code",IF($D1749="","⚠ Enter m3 produced",IF(COUNTIF(CI_Site,$B1749)=0,"⚠ Site not set up in Current Inventory",IF($A1749&gt;AsOfDate,"Future date – not yet deducted","OK")))))))</f>
        <v/>
      </c>
    </row>
    <row r="1750" customFormat="false" ht="15" hidden="false" customHeight="false" outlineLevel="0" collapsed="false">
      <c r="A1750" s="65"/>
      <c r="B1750" s="63"/>
      <c r="C1750" s="70"/>
      <c r="D1750" s="66"/>
      <c r="E1750" s="16" t="str">
        <f aca="false">IF($C1750="","",IFERROR(INDEX(Mix_Desc,MATCH($C1750,Mix_Code,0)),"⚠ Unknown mix code"))</f>
        <v/>
      </c>
      <c r="F1750" s="67" t="str">
        <f aca="false">IF(OR($C1750="",$D1750=""),"",IFERROR($D1750*INDEX(Mix_Eff,MATCH($C1750,Mix_Code,0),1),""))</f>
        <v/>
      </c>
      <c r="G1750" s="67" t="str">
        <f aca="false">IF(OR($C1750="",$D1750=""),"",IFERROR($D1750*INDEX(Mix_Eff,MATCH($C1750,Mix_Code,0),2),""))</f>
        <v/>
      </c>
      <c r="H1750" s="67" t="str">
        <f aca="false">IF(OR($C1750="",$D1750=""),"",IFERROR($D1750*INDEX(Mix_Eff,MATCH($C1750,Mix_Code,0),3),""))</f>
        <v/>
      </c>
      <c r="I1750" s="67" t="str">
        <f aca="false">IF(OR($C1750="",$D1750=""),"",IFERROR($D1750*INDEX(Mix_Eff,MATCH($C1750,Mix_Code,0),4),""))</f>
        <v/>
      </c>
      <c r="J1750" s="67" t="str">
        <f aca="false">IF(OR($C1750="",$D1750=""),"",IFERROR($D1750*INDEX(Mix_Eff,MATCH($C1750,Mix_Code,0),5),""))</f>
        <v/>
      </c>
      <c r="K1750" s="63"/>
      <c r="L1750" s="16" t="str">
        <f aca="false">IF(AND($A1750="",$B1750="",$C1750="",$D1750=""),"",IF($A1750="","⚠ Date missing",IF($B1750="","⚠ Site missing",IF(ISNA(MATCH($C1750,Mix_Code,0)),"⚠ Unknown mix code",IF($D1750="","⚠ Enter m3 produced",IF(COUNTIF(CI_Site,$B1750)=0,"⚠ Site not set up in Current Inventory",IF($A1750&gt;AsOfDate,"Future date – not yet deducted","OK")))))))</f>
        <v/>
      </c>
    </row>
    <row r="1751" customFormat="false" ht="15" hidden="false" customHeight="false" outlineLevel="0" collapsed="false">
      <c r="A1751" s="65"/>
      <c r="B1751" s="63"/>
      <c r="C1751" s="70"/>
      <c r="D1751" s="66"/>
      <c r="E1751" s="16" t="str">
        <f aca="false">IF($C1751="","",IFERROR(INDEX(Mix_Desc,MATCH($C1751,Mix_Code,0)),"⚠ Unknown mix code"))</f>
        <v/>
      </c>
      <c r="F1751" s="67" t="str">
        <f aca="false">IF(OR($C1751="",$D1751=""),"",IFERROR($D1751*INDEX(Mix_Eff,MATCH($C1751,Mix_Code,0),1),""))</f>
        <v/>
      </c>
      <c r="G1751" s="67" t="str">
        <f aca="false">IF(OR($C1751="",$D1751=""),"",IFERROR($D1751*INDEX(Mix_Eff,MATCH($C1751,Mix_Code,0),2),""))</f>
        <v/>
      </c>
      <c r="H1751" s="67" t="str">
        <f aca="false">IF(OR($C1751="",$D1751=""),"",IFERROR($D1751*INDEX(Mix_Eff,MATCH($C1751,Mix_Code,0),3),""))</f>
        <v/>
      </c>
      <c r="I1751" s="67" t="str">
        <f aca="false">IF(OR($C1751="",$D1751=""),"",IFERROR($D1751*INDEX(Mix_Eff,MATCH($C1751,Mix_Code,0),4),""))</f>
        <v/>
      </c>
      <c r="J1751" s="67" t="str">
        <f aca="false">IF(OR($C1751="",$D1751=""),"",IFERROR($D1751*INDEX(Mix_Eff,MATCH($C1751,Mix_Code,0),5),""))</f>
        <v/>
      </c>
      <c r="K1751" s="63"/>
      <c r="L1751" s="16" t="str">
        <f aca="false">IF(AND($A1751="",$B1751="",$C1751="",$D1751=""),"",IF($A1751="","⚠ Date missing",IF($B1751="","⚠ Site missing",IF(ISNA(MATCH($C1751,Mix_Code,0)),"⚠ Unknown mix code",IF($D1751="","⚠ Enter m3 produced",IF(COUNTIF(CI_Site,$B1751)=0,"⚠ Site not set up in Current Inventory",IF($A1751&gt;AsOfDate,"Future date – not yet deducted","OK")))))))</f>
        <v/>
      </c>
    </row>
    <row r="1752" customFormat="false" ht="15" hidden="false" customHeight="false" outlineLevel="0" collapsed="false">
      <c r="A1752" s="65"/>
      <c r="B1752" s="63"/>
      <c r="C1752" s="70"/>
      <c r="D1752" s="66"/>
      <c r="E1752" s="16" t="str">
        <f aca="false">IF($C1752="","",IFERROR(INDEX(Mix_Desc,MATCH($C1752,Mix_Code,0)),"⚠ Unknown mix code"))</f>
        <v/>
      </c>
      <c r="F1752" s="67" t="str">
        <f aca="false">IF(OR($C1752="",$D1752=""),"",IFERROR($D1752*INDEX(Mix_Eff,MATCH($C1752,Mix_Code,0),1),""))</f>
        <v/>
      </c>
      <c r="G1752" s="67" t="str">
        <f aca="false">IF(OR($C1752="",$D1752=""),"",IFERROR($D1752*INDEX(Mix_Eff,MATCH($C1752,Mix_Code,0),2),""))</f>
        <v/>
      </c>
      <c r="H1752" s="67" t="str">
        <f aca="false">IF(OR($C1752="",$D1752=""),"",IFERROR($D1752*INDEX(Mix_Eff,MATCH($C1752,Mix_Code,0),3),""))</f>
        <v/>
      </c>
      <c r="I1752" s="67" t="str">
        <f aca="false">IF(OR($C1752="",$D1752=""),"",IFERROR($D1752*INDEX(Mix_Eff,MATCH($C1752,Mix_Code,0),4),""))</f>
        <v/>
      </c>
      <c r="J1752" s="67" t="str">
        <f aca="false">IF(OR($C1752="",$D1752=""),"",IFERROR($D1752*INDEX(Mix_Eff,MATCH($C1752,Mix_Code,0),5),""))</f>
        <v/>
      </c>
      <c r="K1752" s="63"/>
      <c r="L1752" s="16" t="str">
        <f aca="false">IF(AND($A1752="",$B1752="",$C1752="",$D1752=""),"",IF($A1752="","⚠ Date missing",IF($B1752="","⚠ Site missing",IF(ISNA(MATCH($C1752,Mix_Code,0)),"⚠ Unknown mix code",IF($D1752="","⚠ Enter m3 produced",IF(COUNTIF(CI_Site,$B1752)=0,"⚠ Site not set up in Current Inventory",IF($A1752&gt;AsOfDate,"Future date – not yet deducted","OK")))))))</f>
        <v/>
      </c>
    </row>
    <row r="1753" customFormat="false" ht="15" hidden="false" customHeight="false" outlineLevel="0" collapsed="false">
      <c r="A1753" s="65"/>
      <c r="B1753" s="63"/>
      <c r="C1753" s="70"/>
      <c r="D1753" s="66"/>
      <c r="E1753" s="16" t="str">
        <f aca="false">IF($C1753="","",IFERROR(INDEX(Mix_Desc,MATCH($C1753,Mix_Code,0)),"⚠ Unknown mix code"))</f>
        <v/>
      </c>
      <c r="F1753" s="67" t="str">
        <f aca="false">IF(OR($C1753="",$D1753=""),"",IFERROR($D1753*INDEX(Mix_Eff,MATCH($C1753,Mix_Code,0),1),""))</f>
        <v/>
      </c>
      <c r="G1753" s="67" t="str">
        <f aca="false">IF(OR($C1753="",$D1753=""),"",IFERROR($D1753*INDEX(Mix_Eff,MATCH($C1753,Mix_Code,0),2),""))</f>
        <v/>
      </c>
      <c r="H1753" s="67" t="str">
        <f aca="false">IF(OR($C1753="",$D1753=""),"",IFERROR($D1753*INDEX(Mix_Eff,MATCH($C1753,Mix_Code,0),3),""))</f>
        <v/>
      </c>
      <c r="I1753" s="67" t="str">
        <f aca="false">IF(OR($C1753="",$D1753=""),"",IFERROR($D1753*INDEX(Mix_Eff,MATCH($C1753,Mix_Code,0),4),""))</f>
        <v/>
      </c>
      <c r="J1753" s="67" t="str">
        <f aca="false">IF(OR($C1753="",$D1753=""),"",IFERROR($D1753*INDEX(Mix_Eff,MATCH($C1753,Mix_Code,0),5),""))</f>
        <v/>
      </c>
      <c r="K1753" s="63"/>
      <c r="L1753" s="16" t="str">
        <f aca="false">IF(AND($A1753="",$B1753="",$C1753="",$D1753=""),"",IF($A1753="","⚠ Date missing",IF($B1753="","⚠ Site missing",IF(ISNA(MATCH($C1753,Mix_Code,0)),"⚠ Unknown mix code",IF($D1753="","⚠ Enter m3 produced",IF(COUNTIF(CI_Site,$B1753)=0,"⚠ Site not set up in Current Inventory",IF($A1753&gt;AsOfDate,"Future date – not yet deducted","OK")))))))</f>
        <v/>
      </c>
    </row>
    <row r="1754" customFormat="false" ht="15" hidden="false" customHeight="false" outlineLevel="0" collapsed="false">
      <c r="A1754" s="65"/>
      <c r="B1754" s="63"/>
      <c r="C1754" s="70"/>
      <c r="D1754" s="66"/>
      <c r="E1754" s="16" t="str">
        <f aca="false">IF($C1754="","",IFERROR(INDEX(Mix_Desc,MATCH($C1754,Mix_Code,0)),"⚠ Unknown mix code"))</f>
        <v/>
      </c>
      <c r="F1754" s="67" t="str">
        <f aca="false">IF(OR($C1754="",$D1754=""),"",IFERROR($D1754*INDEX(Mix_Eff,MATCH($C1754,Mix_Code,0),1),""))</f>
        <v/>
      </c>
      <c r="G1754" s="67" t="str">
        <f aca="false">IF(OR($C1754="",$D1754=""),"",IFERROR($D1754*INDEX(Mix_Eff,MATCH($C1754,Mix_Code,0),2),""))</f>
        <v/>
      </c>
      <c r="H1754" s="67" t="str">
        <f aca="false">IF(OR($C1754="",$D1754=""),"",IFERROR($D1754*INDEX(Mix_Eff,MATCH($C1754,Mix_Code,0),3),""))</f>
        <v/>
      </c>
      <c r="I1754" s="67" t="str">
        <f aca="false">IF(OR($C1754="",$D1754=""),"",IFERROR($D1754*INDEX(Mix_Eff,MATCH($C1754,Mix_Code,0),4),""))</f>
        <v/>
      </c>
      <c r="J1754" s="67" t="str">
        <f aca="false">IF(OR($C1754="",$D1754=""),"",IFERROR($D1754*INDEX(Mix_Eff,MATCH($C1754,Mix_Code,0),5),""))</f>
        <v/>
      </c>
      <c r="K1754" s="63"/>
      <c r="L1754" s="16" t="str">
        <f aca="false">IF(AND($A1754="",$B1754="",$C1754="",$D1754=""),"",IF($A1754="","⚠ Date missing",IF($B1754="","⚠ Site missing",IF(ISNA(MATCH($C1754,Mix_Code,0)),"⚠ Unknown mix code",IF($D1754="","⚠ Enter m3 produced",IF(COUNTIF(CI_Site,$B1754)=0,"⚠ Site not set up in Current Inventory",IF($A1754&gt;AsOfDate,"Future date – not yet deducted","OK")))))))</f>
        <v/>
      </c>
    </row>
    <row r="1755" customFormat="false" ht="15" hidden="false" customHeight="false" outlineLevel="0" collapsed="false">
      <c r="A1755" s="65"/>
      <c r="B1755" s="63"/>
      <c r="C1755" s="70"/>
      <c r="D1755" s="66"/>
      <c r="E1755" s="16" t="str">
        <f aca="false">IF($C1755="","",IFERROR(INDEX(Mix_Desc,MATCH($C1755,Mix_Code,0)),"⚠ Unknown mix code"))</f>
        <v/>
      </c>
      <c r="F1755" s="67" t="str">
        <f aca="false">IF(OR($C1755="",$D1755=""),"",IFERROR($D1755*INDEX(Mix_Eff,MATCH($C1755,Mix_Code,0),1),""))</f>
        <v/>
      </c>
      <c r="G1755" s="67" t="str">
        <f aca="false">IF(OR($C1755="",$D1755=""),"",IFERROR($D1755*INDEX(Mix_Eff,MATCH($C1755,Mix_Code,0),2),""))</f>
        <v/>
      </c>
      <c r="H1755" s="67" t="str">
        <f aca="false">IF(OR($C1755="",$D1755=""),"",IFERROR($D1755*INDEX(Mix_Eff,MATCH($C1755,Mix_Code,0),3),""))</f>
        <v/>
      </c>
      <c r="I1755" s="67" t="str">
        <f aca="false">IF(OR($C1755="",$D1755=""),"",IFERROR($D1755*INDEX(Mix_Eff,MATCH($C1755,Mix_Code,0),4),""))</f>
        <v/>
      </c>
      <c r="J1755" s="67" t="str">
        <f aca="false">IF(OR($C1755="",$D1755=""),"",IFERROR($D1755*INDEX(Mix_Eff,MATCH($C1755,Mix_Code,0),5),""))</f>
        <v/>
      </c>
      <c r="K1755" s="63"/>
      <c r="L1755" s="16" t="str">
        <f aca="false">IF(AND($A1755="",$B1755="",$C1755="",$D1755=""),"",IF($A1755="","⚠ Date missing",IF($B1755="","⚠ Site missing",IF(ISNA(MATCH($C1755,Mix_Code,0)),"⚠ Unknown mix code",IF($D1755="","⚠ Enter m3 produced",IF(COUNTIF(CI_Site,$B1755)=0,"⚠ Site not set up in Current Inventory",IF($A1755&gt;AsOfDate,"Future date – not yet deducted","OK")))))))</f>
        <v/>
      </c>
    </row>
    <row r="1756" customFormat="false" ht="15" hidden="false" customHeight="false" outlineLevel="0" collapsed="false">
      <c r="A1756" s="65"/>
      <c r="B1756" s="63"/>
      <c r="C1756" s="70"/>
      <c r="D1756" s="66"/>
      <c r="E1756" s="16" t="str">
        <f aca="false">IF($C1756="","",IFERROR(INDEX(Mix_Desc,MATCH($C1756,Mix_Code,0)),"⚠ Unknown mix code"))</f>
        <v/>
      </c>
      <c r="F1756" s="67" t="str">
        <f aca="false">IF(OR($C1756="",$D1756=""),"",IFERROR($D1756*INDEX(Mix_Eff,MATCH($C1756,Mix_Code,0),1),""))</f>
        <v/>
      </c>
      <c r="G1756" s="67" t="str">
        <f aca="false">IF(OR($C1756="",$D1756=""),"",IFERROR($D1756*INDEX(Mix_Eff,MATCH($C1756,Mix_Code,0),2),""))</f>
        <v/>
      </c>
      <c r="H1756" s="67" t="str">
        <f aca="false">IF(OR($C1756="",$D1756=""),"",IFERROR($D1756*INDEX(Mix_Eff,MATCH($C1756,Mix_Code,0),3),""))</f>
        <v/>
      </c>
      <c r="I1756" s="67" t="str">
        <f aca="false">IF(OR($C1756="",$D1756=""),"",IFERROR($D1756*INDEX(Mix_Eff,MATCH($C1756,Mix_Code,0),4),""))</f>
        <v/>
      </c>
      <c r="J1756" s="67" t="str">
        <f aca="false">IF(OR($C1756="",$D1756=""),"",IFERROR($D1756*INDEX(Mix_Eff,MATCH($C1756,Mix_Code,0),5),""))</f>
        <v/>
      </c>
      <c r="K1756" s="63"/>
      <c r="L1756" s="16" t="str">
        <f aca="false">IF(AND($A1756="",$B1756="",$C1756="",$D1756=""),"",IF($A1756="","⚠ Date missing",IF($B1756="","⚠ Site missing",IF(ISNA(MATCH($C1756,Mix_Code,0)),"⚠ Unknown mix code",IF($D1756="","⚠ Enter m3 produced",IF(COUNTIF(CI_Site,$B1756)=0,"⚠ Site not set up in Current Inventory",IF($A1756&gt;AsOfDate,"Future date – not yet deducted","OK")))))))</f>
        <v/>
      </c>
    </row>
    <row r="1757" customFormat="false" ht="15" hidden="false" customHeight="false" outlineLevel="0" collapsed="false">
      <c r="A1757" s="65"/>
      <c r="B1757" s="63"/>
      <c r="C1757" s="70"/>
      <c r="D1757" s="66"/>
      <c r="E1757" s="16" t="str">
        <f aca="false">IF($C1757="","",IFERROR(INDEX(Mix_Desc,MATCH($C1757,Mix_Code,0)),"⚠ Unknown mix code"))</f>
        <v/>
      </c>
      <c r="F1757" s="67" t="str">
        <f aca="false">IF(OR($C1757="",$D1757=""),"",IFERROR($D1757*INDEX(Mix_Eff,MATCH($C1757,Mix_Code,0),1),""))</f>
        <v/>
      </c>
      <c r="G1757" s="67" t="str">
        <f aca="false">IF(OR($C1757="",$D1757=""),"",IFERROR($D1757*INDEX(Mix_Eff,MATCH($C1757,Mix_Code,0),2),""))</f>
        <v/>
      </c>
      <c r="H1757" s="67" t="str">
        <f aca="false">IF(OR($C1757="",$D1757=""),"",IFERROR($D1757*INDEX(Mix_Eff,MATCH($C1757,Mix_Code,0),3),""))</f>
        <v/>
      </c>
      <c r="I1757" s="67" t="str">
        <f aca="false">IF(OR($C1757="",$D1757=""),"",IFERROR($D1757*INDEX(Mix_Eff,MATCH($C1757,Mix_Code,0),4),""))</f>
        <v/>
      </c>
      <c r="J1757" s="67" t="str">
        <f aca="false">IF(OR($C1757="",$D1757=""),"",IFERROR($D1757*INDEX(Mix_Eff,MATCH($C1757,Mix_Code,0),5),""))</f>
        <v/>
      </c>
      <c r="K1757" s="63"/>
      <c r="L1757" s="16" t="str">
        <f aca="false">IF(AND($A1757="",$B1757="",$C1757="",$D1757=""),"",IF($A1757="","⚠ Date missing",IF($B1757="","⚠ Site missing",IF(ISNA(MATCH($C1757,Mix_Code,0)),"⚠ Unknown mix code",IF($D1757="","⚠ Enter m3 produced",IF(COUNTIF(CI_Site,$B1757)=0,"⚠ Site not set up in Current Inventory",IF($A1757&gt;AsOfDate,"Future date – not yet deducted","OK")))))))</f>
        <v/>
      </c>
    </row>
    <row r="1758" customFormat="false" ht="15" hidden="false" customHeight="false" outlineLevel="0" collapsed="false">
      <c r="A1758" s="65"/>
      <c r="B1758" s="63"/>
      <c r="C1758" s="70"/>
      <c r="D1758" s="66"/>
      <c r="E1758" s="16" t="str">
        <f aca="false">IF($C1758="","",IFERROR(INDEX(Mix_Desc,MATCH($C1758,Mix_Code,0)),"⚠ Unknown mix code"))</f>
        <v/>
      </c>
      <c r="F1758" s="67" t="str">
        <f aca="false">IF(OR($C1758="",$D1758=""),"",IFERROR($D1758*INDEX(Mix_Eff,MATCH($C1758,Mix_Code,0),1),""))</f>
        <v/>
      </c>
      <c r="G1758" s="67" t="str">
        <f aca="false">IF(OR($C1758="",$D1758=""),"",IFERROR($D1758*INDEX(Mix_Eff,MATCH($C1758,Mix_Code,0),2),""))</f>
        <v/>
      </c>
      <c r="H1758" s="67" t="str">
        <f aca="false">IF(OR($C1758="",$D1758=""),"",IFERROR($D1758*INDEX(Mix_Eff,MATCH($C1758,Mix_Code,0),3),""))</f>
        <v/>
      </c>
      <c r="I1758" s="67" t="str">
        <f aca="false">IF(OR($C1758="",$D1758=""),"",IFERROR($D1758*INDEX(Mix_Eff,MATCH($C1758,Mix_Code,0),4),""))</f>
        <v/>
      </c>
      <c r="J1758" s="67" t="str">
        <f aca="false">IF(OR($C1758="",$D1758=""),"",IFERROR($D1758*INDEX(Mix_Eff,MATCH($C1758,Mix_Code,0),5),""))</f>
        <v/>
      </c>
      <c r="K1758" s="63"/>
      <c r="L1758" s="16" t="str">
        <f aca="false">IF(AND($A1758="",$B1758="",$C1758="",$D1758=""),"",IF($A1758="","⚠ Date missing",IF($B1758="","⚠ Site missing",IF(ISNA(MATCH($C1758,Mix_Code,0)),"⚠ Unknown mix code",IF($D1758="","⚠ Enter m3 produced",IF(COUNTIF(CI_Site,$B1758)=0,"⚠ Site not set up in Current Inventory",IF($A1758&gt;AsOfDate,"Future date – not yet deducted","OK")))))))</f>
        <v/>
      </c>
    </row>
    <row r="1759" customFormat="false" ht="15" hidden="false" customHeight="false" outlineLevel="0" collapsed="false">
      <c r="A1759" s="65"/>
      <c r="B1759" s="63"/>
      <c r="C1759" s="70"/>
      <c r="D1759" s="66"/>
      <c r="E1759" s="16" t="str">
        <f aca="false">IF($C1759="","",IFERROR(INDEX(Mix_Desc,MATCH($C1759,Mix_Code,0)),"⚠ Unknown mix code"))</f>
        <v/>
      </c>
      <c r="F1759" s="67" t="str">
        <f aca="false">IF(OR($C1759="",$D1759=""),"",IFERROR($D1759*INDEX(Mix_Eff,MATCH($C1759,Mix_Code,0),1),""))</f>
        <v/>
      </c>
      <c r="G1759" s="67" t="str">
        <f aca="false">IF(OR($C1759="",$D1759=""),"",IFERROR($D1759*INDEX(Mix_Eff,MATCH($C1759,Mix_Code,0),2),""))</f>
        <v/>
      </c>
      <c r="H1759" s="67" t="str">
        <f aca="false">IF(OR($C1759="",$D1759=""),"",IFERROR($D1759*INDEX(Mix_Eff,MATCH($C1759,Mix_Code,0),3),""))</f>
        <v/>
      </c>
      <c r="I1759" s="67" t="str">
        <f aca="false">IF(OR($C1759="",$D1759=""),"",IFERROR($D1759*INDEX(Mix_Eff,MATCH($C1759,Mix_Code,0),4),""))</f>
        <v/>
      </c>
      <c r="J1759" s="67" t="str">
        <f aca="false">IF(OR($C1759="",$D1759=""),"",IFERROR($D1759*INDEX(Mix_Eff,MATCH($C1759,Mix_Code,0),5),""))</f>
        <v/>
      </c>
      <c r="K1759" s="63"/>
      <c r="L1759" s="16" t="str">
        <f aca="false">IF(AND($A1759="",$B1759="",$C1759="",$D1759=""),"",IF($A1759="","⚠ Date missing",IF($B1759="","⚠ Site missing",IF(ISNA(MATCH($C1759,Mix_Code,0)),"⚠ Unknown mix code",IF($D1759="","⚠ Enter m3 produced",IF(COUNTIF(CI_Site,$B1759)=0,"⚠ Site not set up in Current Inventory",IF($A1759&gt;AsOfDate,"Future date – not yet deducted","OK")))))))</f>
        <v/>
      </c>
    </row>
    <row r="1760" customFormat="false" ht="15" hidden="false" customHeight="false" outlineLevel="0" collapsed="false">
      <c r="A1760" s="65"/>
      <c r="B1760" s="63"/>
      <c r="C1760" s="70"/>
      <c r="D1760" s="66"/>
      <c r="E1760" s="16" t="str">
        <f aca="false">IF($C1760="","",IFERROR(INDEX(Mix_Desc,MATCH($C1760,Mix_Code,0)),"⚠ Unknown mix code"))</f>
        <v/>
      </c>
      <c r="F1760" s="67" t="str">
        <f aca="false">IF(OR($C1760="",$D1760=""),"",IFERROR($D1760*INDEX(Mix_Eff,MATCH($C1760,Mix_Code,0),1),""))</f>
        <v/>
      </c>
      <c r="G1760" s="67" t="str">
        <f aca="false">IF(OR($C1760="",$D1760=""),"",IFERROR($D1760*INDEX(Mix_Eff,MATCH($C1760,Mix_Code,0),2),""))</f>
        <v/>
      </c>
      <c r="H1760" s="67" t="str">
        <f aca="false">IF(OR($C1760="",$D1760=""),"",IFERROR($D1760*INDEX(Mix_Eff,MATCH($C1760,Mix_Code,0),3),""))</f>
        <v/>
      </c>
      <c r="I1760" s="67" t="str">
        <f aca="false">IF(OR($C1760="",$D1760=""),"",IFERROR($D1760*INDEX(Mix_Eff,MATCH($C1760,Mix_Code,0),4),""))</f>
        <v/>
      </c>
      <c r="J1760" s="67" t="str">
        <f aca="false">IF(OR($C1760="",$D1760=""),"",IFERROR($D1760*INDEX(Mix_Eff,MATCH($C1760,Mix_Code,0),5),""))</f>
        <v/>
      </c>
      <c r="K1760" s="63"/>
      <c r="L1760" s="16" t="str">
        <f aca="false">IF(AND($A1760="",$B1760="",$C1760="",$D1760=""),"",IF($A1760="","⚠ Date missing",IF($B1760="","⚠ Site missing",IF(ISNA(MATCH($C1760,Mix_Code,0)),"⚠ Unknown mix code",IF($D1760="","⚠ Enter m3 produced",IF(COUNTIF(CI_Site,$B1760)=0,"⚠ Site not set up in Current Inventory",IF($A1760&gt;AsOfDate,"Future date – not yet deducted","OK")))))))</f>
        <v/>
      </c>
    </row>
    <row r="1761" customFormat="false" ht="15" hidden="false" customHeight="false" outlineLevel="0" collapsed="false">
      <c r="A1761" s="65"/>
      <c r="B1761" s="63"/>
      <c r="C1761" s="70"/>
      <c r="D1761" s="66"/>
      <c r="E1761" s="16" t="str">
        <f aca="false">IF($C1761="","",IFERROR(INDEX(Mix_Desc,MATCH($C1761,Mix_Code,0)),"⚠ Unknown mix code"))</f>
        <v/>
      </c>
      <c r="F1761" s="67" t="str">
        <f aca="false">IF(OR($C1761="",$D1761=""),"",IFERROR($D1761*INDEX(Mix_Eff,MATCH($C1761,Mix_Code,0),1),""))</f>
        <v/>
      </c>
      <c r="G1761" s="67" t="str">
        <f aca="false">IF(OR($C1761="",$D1761=""),"",IFERROR($D1761*INDEX(Mix_Eff,MATCH($C1761,Mix_Code,0),2),""))</f>
        <v/>
      </c>
      <c r="H1761" s="67" t="str">
        <f aca="false">IF(OR($C1761="",$D1761=""),"",IFERROR($D1761*INDEX(Mix_Eff,MATCH($C1761,Mix_Code,0),3),""))</f>
        <v/>
      </c>
      <c r="I1761" s="67" t="str">
        <f aca="false">IF(OR($C1761="",$D1761=""),"",IFERROR($D1761*INDEX(Mix_Eff,MATCH($C1761,Mix_Code,0),4),""))</f>
        <v/>
      </c>
      <c r="J1761" s="67" t="str">
        <f aca="false">IF(OR($C1761="",$D1761=""),"",IFERROR($D1761*INDEX(Mix_Eff,MATCH($C1761,Mix_Code,0),5),""))</f>
        <v/>
      </c>
      <c r="K1761" s="63"/>
      <c r="L1761" s="16" t="str">
        <f aca="false">IF(AND($A1761="",$B1761="",$C1761="",$D1761=""),"",IF($A1761="","⚠ Date missing",IF($B1761="","⚠ Site missing",IF(ISNA(MATCH($C1761,Mix_Code,0)),"⚠ Unknown mix code",IF($D1761="","⚠ Enter m3 produced",IF(COUNTIF(CI_Site,$B1761)=0,"⚠ Site not set up in Current Inventory",IF($A1761&gt;AsOfDate,"Future date – not yet deducted","OK")))))))</f>
        <v/>
      </c>
    </row>
    <row r="1762" customFormat="false" ht="15" hidden="false" customHeight="false" outlineLevel="0" collapsed="false">
      <c r="A1762" s="65"/>
      <c r="B1762" s="63"/>
      <c r="C1762" s="70"/>
      <c r="D1762" s="66"/>
      <c r="E1762" s="16" t="str">
        <f aca="false">IF($C1762="","",IFERROR(INDEX(Mix_Desc,MATCH($C1762,Mix_Code,0)),"⚠ Unknown mix code"))</f>
        <v/>
      </c>
      <c r="F1762" s="67" t="str">
        <f aca="false">IF(OR($C1762="",$D1762=""),"",IFERROR($D1762*INDEX(Mix_Eff,MATCH($C1762,Mix_Code,0),1),""))</f>
        <v/>
      </c>
      <c r="G1762" s="67" t="str">
        <f aca="false">IF(OR($C1762="",$D1762=""),"",IFERROR($D1762*INDEX(Mix_Eff,MATCH($C1762,Mix_Code,0),2),""))</f>
        <v/>
      </c>
      <c r="H1762" s="67" t="str">
        <f aca="false">IF(OR($C1762="",$D1762=""),"",IFERROR($D1762*INDEX(Mix_Eff,MATCH($C1762,Mix_Code,0),3),""))</f>
        <v/>
      </c>
      <c r="I1762" s="67" t="str">
        <f aca="false">IF(OR($C1762="",$D1762=""),"",IFERROR($D1762*INDEX(Mix_Eff,MATCH($C1762,Mix_Code,0),4),""))</f>
        <v/>
      </c>
      <c r="J1762" s="67" t="str">
        <f aca="false">IF(OR($C1762="",$D1762=""),"",IFERROR($D1762*INDEX(Mix_Eff,MATCH($C1762,Mix_Code,0),5),""))</f>
        <v/>
      </c>
      <c r="K1762" s="63"/>
      <c r="L1762" s="16" t="str">
        <f aca="false">IF(AND($A1762="",$B1762="",$C1762="",$D1762=""),"",IF($A1762="","⚠ Date missing",IF($B1762="","⚠ Site missing",IF(ISNA(MATCH($C1762,Mix_Code,0)),"⚠ Unknown mix code",IF($D1762="","⚠ Enter m3 produced",IF(COUNTIF(CI_Site,$B1762)=0,"⚠ Site not set up in Current Inventory",IF($A1762&gt;AsOfDate,"Future date – not yet deducted","OK")))))))</f>
        <v/>
      </c>
    </row>
    <row r="1763" customFormat="false" ht="15" hidden="false" customHeight="false" outlineLevel="0" collapsed="false">
      <c r="A1763" s="65"/>
      <c r="B1763" s="63"/>
      <c r="C1763" s="70"/>
      <c r="D1763" s="66"/>
      <c r="E1763" s="16" t="str">
        <f aca="false">IF($C1763="","",IFERROR(INDEX(Mix_Desc,MATCH($C1763,Mix_Code,0)),"⚠ Unknown mix code"))</f>
        <v/>
      </c>
      <c r="F1763" s="67" t="str">
        <f aca="false">IF(OR($C1763="",$D1763=""),"",IFERROR($D1763*INDEX(Mix_Eff,MATCH($C1763,Mix_Code,0),1),""))</f>
        <v/>
      </c>
      <c r="G1763" s="67" t="str">
        <f aca="false">IF(OR($C1763="",$D1763=""),"",IFERROR($D1763*INDEX(Mix_Eff,MATCH($C1763,Mix_Code,0),2),""))</f>
        <v/>
      </c>
      <c r="H1763" s="67" t="str">
        <f aca="false">IF(OR($C1763="",$D1763=""),"",IFERROR($D1763*INDEX(Mix_Eff,MATCH($C1763,Mix_Code,0),3),""))</f>
        <v/>
      </c>
      <c r="I1763" s="67" t="str">
        <f aca="false">IF(OR($C1763="",$D1763=""),"",IFERROR($D1763*INDEX(Mix_Eff,MATCH($C1763,Mix_Code,0),4),""))</f>
        <v/>
      </c>
      <c r="J1763" s="67" t="str">
        <f aca="false">IF(OR($C1763="",$D1763=""),"",IFERROR($D1763*INDEX(Mix_Eff,MATCH($C1763,Mix_Code,0),5),""))</f>
        <v/>
      </c>
      <c r="K1763" s="63"/>
      <c r="L1763" s="16" t="str">
        <f aca="false">IF(AND($A1763="",$B1763="",$C1763="",$D1763=""),"",IF($A1763="","⚠ Date missing",IF($B1763="","⚠ Site missing",IF(ISNA(MATCH($C1763,Mix_Code,0)),"⚠ Unknown mix code",IF($D1763="","⚠ Enter m3 produced",IF(COUNTIF(CI_Site,$B1763)=0,"⚠ Site not set up in Current Inventory",IF($A1763&gt;AsOfDate,"Future date – not yet deducted","OK")))))))</f>
        <v/>
      </c>
    </row>
    <row r="1764" customFormat="false" ht="15" hidden="false" customHeight="false" outlineLevel="0" collapsed="false">
      <c r="A1764" s="65"/>
      <c r="B1764" s="63"/>
      <c r="C1764" s="70"/>
      <c r="D1764" s="66"/>
      <c r="E1764" s="16" t="str">
        <f aca="false">IF($C1764="","",IFERROR(INDEX(Mix_Desc,MATCH($C1764,Mix_Code,0)),"⚠ Unknown mix code"))</f>
        <v/>
      </c>
      <c r="F1764" s="67" t="str">
        <f aca="false">IF(OR($C1764="",$D1764=""),"",IFERROR($D1764*INDEX(Mix_Eff,MATCH($C1764,Mix_Code,0),1),""))</f>
        <v/>
      </c>
      <c r="G1764" s="67" t="str">
        <f aca="false">IF(OR($C1764="",$D1764=""),"",IFERROR($D1764*INDEX(Mix_Eff,MATCH($C1764,Mix_Code,0),2),""))</f>
        <v/>
      </c>
      <c r="H1764" s="67" t="str">
        <f aca="false">IF(OR($C1764="",$D1764=""),"",IFERROR($D1764*INDEX(Mix_Eff,MATCH($C1764,Mix_Code,0),3),""))</f>
        <v/>
      </c>
      <c r="I1764" s="67" t="str">
        <f aca="false">IF(OR($C1764="",$D1764=""),"",IFERROR($D1764*INDEX(Mix_Eff,MATCH($C1764,Mix_Code,0),4),""))</f>
        <v/>
      </c>
      <c r="J1764" s="67" t="str">
        <f aca="false">IF(OR($C1764="",$D1764=""),"",IFERROR($D1764*INDEX(Mix_Eff,MATCH($C1764,Mix_Code,0),5),""))</f>
        <v/>
      </c>
      <c r="K1764" s="63"/>
      <c r="L1764" s="16" t="str">
        <f aca="false">IF(AND($A1764="",$B1764="",$C1764="",$D1764=""),"",IF($A1764="","⚠ Date missing",IF($B1764="","⚠ Site missing",IF(ISNA(MATCH($C1764,Mix_Code,0)),"⚠ Unknown mix code",IF($D1764="","⚠ Enter m3 produced",IF(COUNTIF(CI_Site,$B1764)=0,"⚠ Site not set up in Current Inventory",IF($A1764&gt;AsOfDate,"Future date – not yet deducted","OK")))))))</f>
        <v/>
      </c>
    </row>
    <row r="1765" customFormat="false" ht="15" hidden="false" customHeight="false" outlineLevel="0" collapsed="false">
      <c r="A1765" s="65"/>
      <c r="B1765" s="63"/>
      <c r="C1765" s="70"/>
      <c r="D1765" s="66"/>
      <c r="E1765" s="16" t="str">
        <f aca="false">IF($C1765="","",IFERROR(INDEX(Mix_Desc,MATCH($C1765,Mix_Code,0)),"⚠ Unknown mix code"))</f>
        <v/>
      </c>
      <c r="F1765" s="67" t="str">
        <f aca="false">IF(OR($C1765="",$D1765=""),"",IFERROR($D1765*INDEX(Mix_Eff,MATCH($C1765,Mix_Code,0),1),""))</f>
        <v/>
      </c>
      <c r="G1765" s="67" t="str">
        <f aca="false">IF(OR($C1765="",$D1765=""),"",IFERROR($D1765*INDEX(Mix_Eff,MATCH($C1765,Mix_Code,0),2),""))</f>
        <v/>
      </c>
      <c r="H1765" s="67" t="str">
        <f aca="false">IF(OR($C1765="",$D1765=""),"",IFERROR($D1765*INDEX(Mix_Eff,MATCH($C1765,Mix_Code,0),3),""))</f>
        <v/>
      </c>
      <c r="I1765" s="67" t="str">
        <f aca="false">IF(OR($C1765="",$D1765=""),"",IFERROR($D1765*INDEX(Mix_Eff,MATCH($C1765,Mix_Code,0),4),""))</f>
        <v/>
      </c>
      <c r="J1765" s="67" t="str">
        <f aca="false">IF(OR($C1765="",$D1765=""),"",IFERROR($D1765*INDEX(Mix_Eff,MATCH($C1765,Mix_Code,0),5),""))</f>
        <v/>
      </c>
      <c r="K1765" s="63"/>
      <c r="L1765" s="16" t="str">
        <f aca="false">IF(AND($A1765="",$B1765="",$C1765="",$D1765=""),"",IF($A1765="","⚠ Date missing",IF($B1765="","⚠ Site missing",IF(ISNA(MATCH($C1765,Mix_Code,0)),"⚠ Unknown mix code",IF($D1765="","⚠ Enter m3 produced",IF(COUNTIF(CI_Site,$B1765)=0,"⚠ Site not set up in Current Inventory",IF($A1765&gt;AsOfDate,"Future date – not yet deducted","OK")))))))</f>
        <v/>
      </c>
    </row>
    <row r="1766" customFormat="false" ht="15" hidden="false" customHeight="false" outlineLevel="0" collapsed="false">
      <c r="A1766" s="65"/>
      <c r="B1766" s="63"/>
      <c r="C1766" s="70"/>
      <c r="D1766" s="66"/>
      <c r="E1766" s="16" t="str">
        <f aca="false">IF($C1766="","",IFERROR(INDEX(Mix_Desc,MATCH($C1766,Mix_Code,0)),"⚠ Unknown mix code"))</f>
        <v/>
      </c>
      <c r="F1766" s="67" t="str">
        <f aca="false">IF(OR($C1766="",$D1766=""),"",IFERROR($D1766*INDEX(Mix_Eff,MATCH($C1766,Mix_Code,0),1),""))</f>
        <v/>
      </c>
      <c r="G1766" s="67" t="str">
        <f aca="false">IF(OR($C1766="",$D1766=""),"",IFERROR($D1766*INDEX(Mix_Eff,MATCH($C1766,Mix_Code,0),2),""))</f>
        <v/>
      </c>
      <c r="H1766" s="67" t="str">
        <f aca="false">IF(OR($C1766="",$D1766=""),"",IFERROR($D1766*INDEX(Mix_Eff,MATCH($C1766,Mix_Code,0),3),""))</f>
        <v/>
      </c>
      <c r="I1766" s="67" t="str">
        <f aca="false">IF(OR($C1766="",$D1766=""),"",IFERROR($D1766*INDEX(Mix_Eff,MATCH($C1766,Mix_Code,0),4),""))</f>
        <v/>
      </c>
      <c r="J1766" s="67" t="str">
        <f aca="false">IF(OR($C1766="",$D1766=""),"",IFERROR($D1766*INDEX(Mix_Eff,MATCH($C1766,Mix_Code,0),5),""))</f>
        <v/>
      </c>
      <c r="K1766" s="63"/>
      <c r="L1766" s="16" t="str">
        <f aca="false">IF(AND($A1766="",$B1766="",$C1766="",$D1766=""),"",IF($A1766="","⚠ Date missing",IF($B1766="","⚠ Site missing",IF(ISNA(MATCH($C1766,Mix_Code,0)),"⚠ Unknown mix code",IF($D1766="","⚠ Enter m3 produced",IF(COUNTIF(CI_Site,$B1766)=0,"⚠ Site not set up in Current Inventory",IF($A1766&gt;AsOfDate,"Future date – not yet deducted","OK")))))))</f>
        <v/>
      </c>
    </row>
    <row r="1767" customFormat="false" ht="15" hidden="false" customHeight="false" outlineLevel="0" collapsed="false">
      <c r="A1767" s="65"/>
      <c r="B1767" s="63"/>
      <c r="C1767" s="70"/>
      <c r="D1767" s="66"/>
      <c r="E1767" s="16" t="str">
        <f aca="false">IF($C1767="","",IFERROR(INDEX(Mix_Desc,MATCH($C1767,Mix_Code,0)),"⚠ Unknown mix code"))</f>
        <v/>
      </c>
      <c r="F1767" s="67" t="str">
        <f aca="false">IF(OR($C1767="",$D1767=""),"",IFERROR($D1767*INDEX(Mix_Eff,MATCH($C1767,Mix_Code,0),1),""))</f>
        <v/>
      </c>
      <c r="G1767" s="67" t="str">
        <f aca="false">IF(OR($C1767="",$D1767=""),"",IFERROR($D1767*INDEX(Mix_Eff,MATCH($C1767,Mix_Code,0),2),""))</f>
        <v/>
      </c>
      <c r="H1767" s="67" t="str">
        <f aca="false">IF(OR($C1767="",$D1767=""),"",IFERROR($D1767*INDEX(Mix_Eff,MATCH($C1767,Mix_Code,0),3),""))</f>
        <v/>
      </c>
      <c r="I1767" s="67" t="str">
        <f aca="false">IF(OR($C1767="",$D1767=""),"",IFERROR($D1767*INDEX(Mix_Eff,MATCH($C1767,Mix_Code,0),4),""))</f>
        <v/>
      </c>
      <c r="J1767" s="67" t="str">
        <f aca="false">IF(OR($C1767="",$D1767=""),"",IFERROR($D1767*INDEX(Mix_Eff,MATCH($C1767,Mix_Code,0),5),""))</f>
        <v/>
      </c>
      <c r="K1767" s="63"/>
      <c r="L1767" s="16" t="str">
        <f aca="false">IF(AND($A1767="",$B1767="",$C1767="",$D1767=""),"",IF($A1767="","⚠ Date missing",IF($B1767="","⚠ Site missing",IF(ISNA(MATCH($C1767,Mix_Code,0)),"⚠ Unknown mix code",IF($D1767="","⚠ Enter m3 produced",IF(COUNTIF(CI_Site,$B1767)=0,"⚠ Site not set up in Current Inventory",IF($A1767&gt;AsOfDate,"Future date – not yet deducted","OK")))))))</f>
        <v/>
      </c>
    </row>
    <row r="1768" customFormat="false" ht="15" hidden="false" customHeight="false" outlineLevel="0" collapsed="false">
      <c r="A1768" s="65"/>
      <c r="B1768" s="63"/>
      <c r="C1768" s="70"/>
      <c r="D1768" s="66"/>
      <c r="E1768" s="16" t="str">
        <f aca="false">IF($C1768="","",IFERROR(INDEX(Mix_Desc,MATCH($C1768,Mix_Code,0)),"⚠ Unknown mix code"))</f>
        <v/>
      </c>
      <c r="F1768" s="67" t="str">
        <f aca="false">IF(OR($C1768="",$D1768=""),"",IFERROR($D1768*INDEX(Mix_Eff,MATCH($C1768,Mix_Code,0),1),""))</f>
        <v/>
      </c>
      <c r="G1768" s="67" t="str">
        <f aca="false">IF(OR($C1768="",$D1768=""),"",IFERROR($D1768*INDEX(Mix_Eff,MATCH($C1768,Mix_Code,0),2),""))</f>
        <v/>
      </c>
      <c r="H1768" s="67" t="str">
        <f aca="false">IF(OR($C1768="",$D1768=""),"",IFERROR($D1768*INDEX(Mix_Eff,MATCH($C1768,Mix_Code,0),3),""))</f>
        <v/>
      </c>
      <c r="I1768" s="67" t="str">
        <f aca="false">IF(OR($C1768="",$D1768=""),"",IFERROR($D1768*INDEX(Mix_Eff,MATCH($C1768,Mix_Code,0),4),""))</f>
        <v/>
      </c>
      <c r="J1768" s="67" t="str">
        <f aca="false">IF(OR($C1768="",$D1768=""),"",IFERROR($D1768*INDEX(Mix_Eff,MATCH($C1768,Mix_Code,0),5),""))</f>
        <v/>
      </c>
      <c r="K1768" s="63"/>
      <c r="L1768" s="16" t="str">
        <f aca="false">IF(AND($A1768="",$B1768="",$C1768="",$D1768=""),"",IF($A1768="","⚠ Date missing",IF($B1768="","⚠ Site missing",IF(ISNA(MATCH($C1768,Mix_Code,0)),"⚠ Unknown mix code",IF($D1768="","⚠ Enter m3 produced",IF(COUNTIF(CI_Site,$B1768)=0,"⚠ Site not set up in Current Inventory",IF($A1768&gt;AsOfDate,"Future date – not yet deducted","OK")))))))</f>
        <v/>
      </c>
    </row>
    <row r="1769" customFormat="false" ht="15" hidden="false" customHeight="false" outlineLevel="0" collapsed="false">
      <c r="A1769" s="65"/>
      <c r="B1769" s="63"/>
      <c r="C1769" s="70"/>
      <c r="D1769" s="66"/>
      <c r="E1769" s="16" t="str">
        <f aca="false">IF($C1769="","",IFERROR(INDEX(Mix_Desc,MATCH($C1769,Mix_Code,0)),"⚠ Unknown mix code"))</f>
        <v/>
      </c>
      <c r="F1769" s="67" t="str">
        <f aca="false">IF(OR($C1769="",$D1769=""),"",IFERROR($D1769*INDEX(Mix_Eff,MATCH($C1769,Mix_Code,0),1),""))</f>
        <v/>
      </c>
      <c r="G1769" s="67" t="str">
        <f aca="false">IF(OR($C1769="",$D1769=""),"",IFERROR($D1769*INDEX(Mix_Eff,MATCH($C1769,Mix_Code,0),2),""))</f>
        <v/>
      </c>
      <c r="H1769" s="67" t="str">
        <f aca="false">IF(OR($C1769="",$D1769=""),"",IFERROR($D1769*INDEX(Mix_Eff,MATCH($C1769,Mix_Code,0),3),""))</f>
        <v/>
      </c>
      <c r="I1769" s="67" t="str">
        <f aca="false">IF(OR($C1769="",$D1769=""),"",IFERROR($D1769*INDEX(Mix_Eff,MATCH($C1769,Mix_Code,0),4),""))</f>
        <v/>
      </c>
      <c r="J1769" s="67" t="str">
        <f aca="false">IF(OR($C1769="",$D1769=""),"",IFERROR($D1769*INDEX(Mix_Eff,MATCH($C1769,Mix_Code,0),5),""))</f>
        <v/>
      </c>
      <c r="K1769" s="63"/>
      <c r="L1769" s="16" t="str">
        <f aca="false">IF(AND($A1769="",$B1769="",$C1769="",$D1769=""),"",IF($A1769="","⚠ Date missing",IF($B1769="","⚠ Site missing",IF(ISNA(MATCH($C1769,Mix_Code,0)),"⚠ Unknown mix code",IF($D1769="","⚠ Enter m3 produced",IF(COUNTIF(CI_Site,$B1769)=0,"⚠ Site not set up in Current Inventory",IF($A1769&gt;AsOfDate,"Future date – not yet deducted","OK")))))))</f>
        <v/>
      </c>
    </row>
    <row r="1770" customFormat="false" ht="15" hidden="false" customHeight="false" outlineLevel="0" collapsed="false">
      <c r="A1770" s="65"/>
      <c r="B1770" s="63"/>
      <c r="C1770" s="70"/>
      <c r="D1770" s="66"/>
      <c r="E1770" s="16" t="str">
        <f aca="false">IF($C1770="","",IFERROR(INDEX(Mix_Desc,MATCH($C1770,Mix_Code,0)),"⚠ Unknown mix code"))</f>
        <v/>
      </c>
      <c r="F1770" s="67" t="str">
        <f aca="false">IF(OR($C1770="",$D1770=""),"",IFERROR($D1770*INDEX(Mix_Eff,MATCH($C1770,Mix_Code,0),1),""))</f>
        <v/>
      </c>
      <c r="G1770" s="67" t="str">
        <f aca="false">IF(OR($C1770="",$D1770=""),"",IFERROR($D1770*INDEX(Mix_Eff,MATCH($C1770,Mix_Code,0),2),""))</f>
        <v/>
      </c>
      <c r="H1770" s="67" t="str">
        <f aca="false">IF(OR($C1770="",$D1770=""),"",IFERROR($D1770*INDEX(Mix_Eff,MATCH($C1770,Mix_Code,0),3),""))</f>
        <v/>
      </c>
      <c r="I1770" s="67" t="str">
        <f aca="false">IF(OR($C1770="",$D1770=""),"",IFERROR($D1770*INDEX(Mix_Eff,MATCH($C1770,Mix_Code,0),4),""))</f>
        <v/>
      </c>
      <c r="J1770" s="67" t="str">
        <f aca="false">IF(OR($C1770="",$D1770=""),"",IFERROR($D1770*INDEX(Mix_Eff,MATCH($C1770,Mix_Code,0),5),""))</f>
        <v/>
      </c>
      <c r="K1770" s="63"/>
      <c r="L1770" s="16" t="str">
        <f aca="false">IF(AND($A1770="",$B1770="",$C1770="",$D1770=""),"",IF($A1770="","⚠ Date missing",IF($B1770="","⚠ Site missing",IF(ISNA(MATCH($C1770,Mix_Code,0)),"⚠ Unknown mix code",IF($D1770="","⚠ Enter m3 produced",IF(COUNTIF(CI_Site,$B1770)=0,"⚠ Site not set up in Current Inventory",IF($A1770&gt;AsOfDate,"Future date – not yet deducted","OK")))))))</f>
        <v/>
      </c>
    </row>
    <row r="1771" customFormat="false" ht="15" hidden="false" customHeight="false" outlineLevel="0" collapsed="false">
      <c r="A1771" s="65"/>
      <c r="B1771" s="63"/>
      <c r="C1771" s="70"/>
      <c r="D1771" s="66"/>
      <c r="E1771" s="16" t="str">
        <f aca="false">IF($C1771="","",IFERROR(INDEX(Mix_Desc,MATCH($C1771,Mix_Code,0)),"⚠ Unknown mix code"))</f>
        <v/>
      </c>
      <c r="F1771" s="67" t="str">
        <f aca="false">IF(OR($C1771="",$D1771=""),"",IFERROR($D1771*INDEX(Mix_Eff,MATCH($C1771,Mix_Code,0),1),""))</f>
        <v/>
      </c>
      <c r="G1771" s="67" t="str">
        <f aca="false">IF(OR($C1771="",$D1771=""),"",IFERROR($D1771*INDEX(Mix_Eff,MATCH($C1771,Mix_Code,0),2),""))</f>
        <v/>
      </c>
      <c r="H1771" s="67" t="str">
        <f aca="false">IF(OR($C1771="",$D1771=""),"",IFERROR($D1771*INDEX(Mix_Eff,MATCH($C1771,Mix_Code,0),3),""))</f>
        <v/>
      </c>
      <c r="I1771" s="67" t="str">
        <f aca="false">IF(OR($C1771="",$D1771=""),"",IFERROR($D1771*INDEX(Mix_Eff,MATCH($C1771,Mix_Code,0),4),""))</f>
        <v/>
      </c>
      <c r="J1771" s="67" t="str">
        <f aca="false">IF(OR($C1771="",$D1771=""),"",IFERROR($D1771*INDEX(Mix_Eff,MATCH($C1771,Mix_Code,0),5),""))</f>
        <v/>
      </c>
      <c r="K1771" s="63"/>
      <c r="L1771" s="16" t="str">
        <f aca="false">IF(AND($A1771="",$B1771="",$C1771="",$D1771=""),"",IF($A1771="","⚠ Date missing",IF($B1771="","⚠ Site missing",IF(ISNA(MATCH($C1771,Mix_Code,0)),"⚠ Unknown mix code",IF($D1771="","⚠ Enter m3 produced",IF(COUNTIF(CI_Site,$B1771)=0,"⚠ Site not set up in Current Inventory",IF($A1771&gt;AsOfDate,"Future date – not yet deducted","OK")))))))</f>
        <v/>
      </c>
    </row>
    <row r="1772" customFormat="false" ht="15" hidden="false" customHeight="false" outlineLevel="0" collapsed="false">
      <c r="A1772" s="65"/>
      <c r="B1772" s="63"/>
      <c r="C1772" s="70"/>
      <c r="D1772" s="66"/>
      <c r="E1772" s="16" t="str">
        <f aca="false">IF($C1772="","",IFERROR(INDEX(Mix_Desc,MATCH($C1772,Mix_Code,0)),"⚠ Unknown mix code"))</f>
        <v/>
      </c>
      <c r="F1772" s="67" t="str">
        <f aca="false">IF(OR($C1772="",$D1772=""),"",IFERROR($D1772*INDEX(Mix_Eff,MATCH($C1772,Mix_Code,0),1),""))</f>
        <v/>
      </c>
      <c r="G1772" s="67" t="str">
        <f aca="false">IF(OR($C1772="",$D1772=""),"",IFERROR($D1772*INDEX(Mix_Eff,MATCH($C1772,Mix_Code,0),2),""))</f>
        <v/>
      </c>
      <c r="H1772" s="67" t="str">
        <f aca="false">IF(OR($C1772="",$D1772=""),"",IFERROR($D1772*INDEX(Mix_Eff,MATCH($C1772,Mix_Code,0),3),""))</f>
        <v/>
      </c>
      <c r="I1772" s="67" t="str">
        <f aca="false">IF(OR($C1772="",$D1772=""),"",IFERROR($D1772*INDEX(Mix_Eff,MATCH($C1772,Mix_Code,0),4),""))</f>
        <v/>
      </c>
      <c r="J1772" s="67" t="str">
        <f aca="false">IF(OR($C1772="",$D1772=""),"",IFERROR($D1772*INDEX(Mix_Eff,MATCH($C1772,Mix_Code,0),5),""))</f>
        <v/>
      </c>
      <c r="K1772" s="63"/>
      <c r="L1772" s="16" t="str">
        <f aca="false">IF(AND($A1772="",$B1772="",$C1772="",$D1772=""),"",IF($A1772="","⚠ Date missing",IF($B1772="","⚠ Site missing",IF(ISNA(MATCH($C1772,Mix_Code,0)),"⚠ Unknown mix code",IF($D1772="","⚠ Enter m3 produced",IF(COUNTIF(CI_Site,$B1772)=0,"⚠ Site not set up in Current Inventory",IF($A1772&gt;AsOfDate,"Future date – not yet deducted","OK")))))))</f>
        <v/>
      </c>
    </row>
    <row r="1773" customFormat="false" ht="15" hidden="false" customHeight="false" outlineLevel="0" collapsed="false">
      <c r="A1773" s="65"/>
      <c r="B1773" s="63"/>
      <c r="C1773" s="70"/>
      <c r="D1773" s="66"/>
      <c r="E1773" s="16" t="str">
        <f aca="false">IF($C1773="","",IFERROR(INDEX(Mix_Desc,MATCH($C1773,Mix_Code,0)),"⚠ Unknown mix code"))</f>
        <v/>
      </c>
      <c r="F1773" s="67" t="str">
        <f aca="false">IF(OR($C1773="",$D1773=""),"",IFERROR($D1773*INDEX(Mix_Eff,MATCH($C1773,Mix_Code,0),1),""))</f>
        <v/>
      </c>
      <c r="G1773" s="67" t="str">
        <f aca="false">IF(OR($C1773="",$D1773=""),"",IFERROR($D1773*INDEX(Mix_Eff,MATCH($C1773,Mix_Code,0),2),""))</f>
        <v/>
      </c>
      <c r="H1773" s="67" t="str">
        <f aca="false">IF(OR($C1773="",$D1773=""),"",IFERROR($D1773*INDEX(Mix_Eff,MATCH($C1773,Mix_Code,0),3),""))</f>
        <v/>
      </c>
      <c r="I1773" s="67" t="str">
        <f aca="false">IF(OR($C1773="",$D1773=""),"",IFERROR($D1773*INDEX(Mix_Eff,MATCH($C1773,Mix_Code,0),4),""))</f>
        <v/>
      </c>
      <c r="J1773" s="67" t="str">
        <f aca="false">IF(OR($C1773="",$D1773=""),"",IFERROR($D1773*INDEX(Mix_Eff,MATCH($C1773,Mix_Code,0),5),""))</f>
        <v/>
      </c>
      <c r="K1773" s="63"/>
      <c r="L1773" s="16" t="str">
        <f aca="false">IF(AND($A1773="",$B1773="",$C1773="",$D1773=""),"",IF($A1773="","⚠ Date missing",IF($B1773="","⚠ Site missing",IF(ISNA(MATCH($C1773,Mix_Code,0)),"⚠ Unknown mix code",IF($D1773="","⚠ Enter m3 produced",IF(COUNTIF(CI_Site,$B1773)=0,"⚠ Site not set up in Current Inventory",IF($A1773&gt;AsOfDate,"Future date – not yet deducted","OK")))))))</f>
        <v/>
      </c>
    </row>
    <row r="1774" customFormat="false" ht="15" hidden="false" customHeight="false" outlineLevel="0" collapsed="false">
      <c r="A1774" s="65"/>
      <c r="B1774" s="63"/>
      <c r="C1774" s="70"/>
      <c r="D1774" s="66"/>
      <c r="E1774" s="16" t="str">
        <f aca="false">IF($C1774="","",IFERROR(INDEX(Mix_Desc,MATCH($C1774,Mix_Code,0)),"⚠ Unknown mix code"))</f>
        <v/>
      </c>
      <c r="F1774" s="67" t="str">
        <f aca="false">IF(OR($C1774="",$D1774=""),"",IFERROR($D1774*INDEX(Mix_Eff,MATCH($C1774,Mix_Code,0),1),""))</f>
        <v/>
      </c>
      <c r="G1774" s="67" t="str">
        <f aca="false">IF(OR($C1774="",$D1774=""),"",IFERROR($D1774*INDEX(Mix_Eff,MATCH($C1774,Mix_Code,0),2),""))</f>
        <v/>
      </c>
      <c r="H1774" s="67" t="str">
        <f aca="false">IF(OR($C1774="",$D1774=""),"",IFERROR($D1774*INDEX(Mix_Eff,MATCH($C1774,Mix_Code,0),3),""))</f>
        <v/>
      </c>
      <c r="I1774" s="67" t="str">
        <f aca="false">IF(OR($C1774="",$D1774=""),"",IFERROR($D1774*INDEX(Mix_Eff,MATCH($C1774,Mix_Code,0),4),""))</f>
        <v/>
      </c>
      <c r="J1774" s="67" t="str">
        <f aca="false">IF(OR($C1774="",$D1774=""),"",IFERROR($D1774*INDEX(Mix_Eff,MATCH($C1774,Mix_Code,0),5),""))</f>
        <v/>
      </c>
      <c r="K1774" s="63"/>
      <c r="L1774" s="16" t="str">
        <f aca="false">IF(AND($A1774="",$B1774="",$C1774="",$D1774=""),"",IF($A1774="","⚠ Date missing",IF($B1774="","⚠ Site missing",IF(ISNA(MATCH($C1774,Mix_Code,0)),"⚠ Unknown mix code",IF($D1774="","⚠ Enter m3 produced",IF(COUNTIF(CI_Site,$B1774)=0,"⚠ Site not set up in Current Inventory",IF($A1774&gt;AsOfDate,"Future date – not yet deducted","OK")))))))</f>
        <v/>
      </c>
    </row>
    <row r="1775" customFormat="false" ht="15" hidden="false" customHeight="false" outlineLevel="0" collapsed="false">
      <c r="A1775" s="65"/>
      <c r="B1775" s="63"/>
      <c r="C1775" s="70"/>
      <c r="D1775" s="66"/>
      <c r="E1775" s="16" t="str">
        <f aca="false">IF($C1775="","",IFERROR(INDEX(Mix_Desc,MATCH($C1775,Mix_Code,0)),"⚠ Unknown mix code"))</f>
        <v/>
      </c>
      <c r="F1775" s="67" t="str">
        <f aca="false">IF(OR($C1775="",$D1775=""),"",IFERROR($D1775*INDEX(Mix_Eff,MATCH($C1775,Mix_Code,0),1),""))</f>
        <v/>
      </c>
      <c r="G1775" s="67" t="str">
        <f aca="false">IF(OR($C1775="",$D1775=""),"",IFERROR($D1775*INDEX(Mix_Eff,MATCH($C1775,Mix_Code,0),2),""))</f>
        <v/>
      </c>
      <c r="H1775" s="67" t="str">
        <f aca="false">IF(OR($C1775="",$D1775=""),"",IFERROR($D1775*INDEX(Mix_Eff,MATCH($C1775,Mix_Code,0),3),""))</f>
        <v/>
      </c>
      <c r="I1775" s="67" t="str">
        <f aca="false">IF(OR($C1775="",$D1775=""),"",IFERROR($D1775*INDEX(Mix_Eff,MATCH($C1775,Mix_Code,0),4),""))</f>
        <v/>
      </c>
      <c r="J1775" s="67" t="str">
        <f aca="false">IF(OR($C1775="",$D1775=""),"",IFERROR($D1775*INDEX(Mix_Eff,MATCH($C1775,Mix_Code,0),5),""))</f>
        <v/>
      </c>
      <c r="K1775" s="63"/>
      <c r="L1775" s="16" t="str">
        <f aca="false">IF(AND($A1775="",$B1775="",$C1775="",$D1775=""),"",IF($A1775="","⚠ Date missing",IF($B1775="","⚠ Site missing",IF(ISNA(MATCH($C1775,Mix_Code,0)),"⚠ Unknown mix code",IF($D1775="","⚠ Enter m3 produced",IF(COUNTIF(CI_Site,$B1775)=0,"⚠ Site not set up in Current Inventory",IF($A1775&gt;AsOfDate,"Future date – not yet deducted","OK")))))))</f>
        <v/>
      </c>
    </row>
    <row r="1776" customFormat="false" ht="15" hidden="false" customHeight="false" outlineLevel="0" collapsed="false">
      <c r="A1776" s="65"/>
      <c r="B1776" s="63"/>
      <c r="C1776" s="70"/>
      <c r="D1776" s="66"/>
      <c r="E1776" s="16" t="str">
        <f aca="false">IF($C1776="","",IFERROR(INDEX(Mix_Desc,MATCH($C1776,Mix_Code,0)),"⚠ Unknown mix code"))</f>
        <v/>
      </c>
      <c r="F1776" s="67" t="str">
        <f aca="false">IF(OR($C1776="",$D1776=""),"",IFERROR($D1776*INDEX(Mix_Eff,MATCH($C1776,Mix_Code,0),1),""))</f>
        <v/>
      </c>
      <c r="G1776" s="67" t="str">
        <f aca="false">IF(OR($C1776="",$D1776=""),"",IFERROR($D1776*INDEX(Mix_Eff,MATCH($C1776,Mix_Code,0),2),""))</f>
        <v/>
      </c>
      <c r="H1776" s="67" t="str">
        <f aca="false">IF(OR($C1776="",$D1776=""),"",IFERROR($D1776*INDEX(Mix_Eff,MATCH($C1776,Mix_Code,0),3),""))</f>
        <v/>
      </c>
      <c r="I1776" s="67" t="str">
        <f aca="false">IF(OR($C1776="",$D1776=""),"",IFERROR($D1776*INDEX(Mix_Eff,MATCH($C1776,Mix_Code,0),4),""))</f>
        <v/>
      </c>
      <c r="J1776" s="67" t="str">
        <f aca="false">IF(OR($C1776="",$D1776=""),"",IFERROR($D1776*INDEX(Mix_Eff,MATCH($C1776,Mix_Code,0),5),""))</f>
        <v/>
      </c>
      <c r="K1776" s="63"/>
      <c r="L1776" s="16" t="str">
        <f aca="false">IF(AND($A1776="",$B1776="",$C1776="",$D1776=""),"",IF($A1776="","⚠ Date missing",IF($B1776="","⚠ Site missing",IF(ISNA(MATCH($C1776,Mix_Code,0)),"⚠ Unknown mix code",IF($D1776="","⚠ Enter m3 produced",IF(COUNTIF(CI_Site,$B1776)=0,"⚠ Site not set up in Current Inventory",IF($A1776&gt;AsOfDate,"Future date – not yet deducted","OK")))))))</f>
        <v/>
      </c>
    </row>
    <row r="1777" customFormat="false" ht="15" hidden="false" customHeight="false" outlineLevel="0" collapsed="false">
      <c r="A1777" s="65"/>
      <c r="B1777" s="63"/>
      <c r="C1777" s="70"/>
      <c r="D1777" s="66"/>
      <c r="E1777" s="16" t="str">
        <f aca="false">IF($C1777="","",IFERROR(INDEX(Mix_Desc,MATCH($C1777,Mix_Code,0)),"⚠ Unknown mix code"))</f>
        <v/>
      </c>
      <c r="F1777" s="67" t="str">
        <f aca="false">IF(OR($C1777="",$D1777=""),"",IFERROR($D1777*INDEX(Mix_Eff,MATCH($C1777,Mix_Code,0),1),""))</f>
        <v/>
      </c>
      <c r="G1777" s="67" t="str">
        <f aca="false">IF(OR($C1777="",$D1777=""),"",IFERROR($D1777*INDEX(Mix_Eff,MATCH($C1777,Mix_Code,0),2),""))</f>
        <v/>
      </c>
      <c r="H1777" s="67" t="str">
        <f aca="false">IF(OR($C1777="",$D1777=""),"",IFERROR($D1777*INDEX(Mix_Eff,MATCH($C1777,Mix_Code,0),3),""))</f>
        <v/>
      </c>
      <c r="I1777" s="67" t="str">
        <f aca="false">IF(OR($C1777="",$D1777=""),"",IFERROR($D1777*INDEX(Mix_Eff,MATCH($C1777,Mix_Code,0),4),""))</f>
        <v/>
      </c>
      <c r="J1777" s="67" t="str">
        <f aca="false">IF(OR($C1777="",$D1777=""),"",IFERROR($D1777*INDEX(Mix_Eff,MATCH($C1777,Mix_Code,0),5),""))</f>
        <v/>
      </c>
      <c r="K1777" s="63"/>
      <c r="L1777" s="16" t="str">
        <f aca="false">IF(AND($A1777="",$B1777="",$C1777="",$D1777=""),"",IF($A1777="","⚠ Date missing",IF($B1777="","⚠ Site missing",IF(ISNA(MATCH($C1777,Mix_Code,0)),"⚠ Unknown mix code",IF($D1777="","⚠ Enter m3 produced",IF(COUNTIF(CI_Site,$B1777)=0,"⚠ Site not set up in Current Inventory",IF($A1777&gt;AsOfDate,"Future date – not yet deducted","OK")))))))</f>
        <v/>
      </c>
    </row>
    <row r="1778" customFormat="false" ht="15" hidden="false" customHeight="false" outlineLevel="0" collapsed="false">
      <c r="A1778" s="65"/>
      <c r="B1778" s="63"/>
      <c r="C1778" s="70"/>
      <c r="D1778" s="66"/>
      <c r="E1778" s="16" t="str">
        <f aca="false">IF($C1778="","",IFERROR(INDEX(Mix_Desc,MATCH($C1778,Mix_Code,0)),"⚠ Unknown mix code"))</f>
        <v/>
      </c>
      <c r="F1778" s="67" t="str">
        <f aca="false">IF(OR($C1778="",$D1778=""),"",IFERROR($D1778*INDEX(Mix_Eff,MATCH($C1778,Mix_Code,0),1),""))</f>
        <v/>
      </c>
      <c r="G1778" s="67" t="str">
        <f aca="false">IF(OR($C1778="",$D1778=""),"",IFERROR($D1778*INDEX(Mix_Eff,MATCH($C1778,Mix_Code,0),2),""))</f>
        <v/>
      </c>
      <c r="H1778" s="67" t="str">
        <f aca="false">IF(OR($C1778="",$D1778=""),"",IFERROR($D1778*INDEX(Mix_Eff,MATCH($C1778,Mix_Code,0),3),""))</f>
        <v/>
      </c>
      <c r="I1778" s="67" t="str">
        <f aca="false">IF(OR($C1778="",$D1778=""),"",IFERROR($D1778*INDEX(Mix_Eff,MATCH($C1778,Mix_Code,0),4),""))</f>
        <v/>
      </c>
      <c r="J1778" s="67" t="str">
        <f aca="false">IF(OR($C1778="",$D1778=""),"",IFERROR($D1778*INDEX(Mix_Eff,MATCH($C1778,Mix_Code,0),5),""))</f>
        <v/>
      </c>
      <c r="K1778" s="63"/>
      <c r="L1778" s="16" t="str">
        <f aca="false">IF(AND($A1778="",$B1778="",$C1778="",$D1778=""),"",IF($A1778="","⚠ Date missing",IF($B1778="","⚠ Site missing",IF(ISNA(MATCH($C1778,Mix_Code,0)),"⚠ Unknown mix code",IF($D1778="","⚠ Enter m3 produced",IF(COUNTIF(CI_Site,$B1778)=0,"⚠ Site not set up in Current Inventory",IF($A1778&gt;AsOfDate,"Future date – not yet deducted","OK")))))))</f>
        <v/>
      </c>
    </row>
    <row r="1779" customFormat="false" ht="15" hidden="false" customHeight="false" outlineLevel="0" collapsed="false">
      <c r="A1779" s="65"/>
      <c r="B1779" s="63"/>
      <c r="C1779" s="70"/>
      <c r="D1779" s="66"/>
      <c r="E1779" s="16" t="str">
        <f aca="false">IF($C1779="","",IFERROR(INDEX(Mix_Desc,MATCH($C1779,Mix_Code,0)),"⚠ Unknown mix code"))</f>
        <v/>
      </c>
      <c r="F1779" s="67" t="str">
        <f aca="false">IF(OR($C1779="",$D1779=""),"",IFERROR($D1779*INDEX(Mix_Eff,MATCH($C1779,Mix_Code,0),1),""))</f>
        <v/>
      </c>
      <c r="G1779" s="67" t="str">
        <f aca="false">IF(OR($C1779="",$D1779=""),"",IFERROR($D1779*INDEX(Mix_Eff,MATCH($C1779,Mix_Code,0),2),""))</f>
        <v/>
      </c>
      <c r="H1779" s="67" t="str">
        <f aca="false">IF(OR($C1779="",$D1779=""),"",IFERROR($D1779*INDEX(Mix_Eff,MATCH($C1779,Mix_Code,0),3),""))</f>
        <v/>
      </c>
      <c r="I1779" s="67" t="str">
        <f aca="false">IF(OR($C1779="",$D1779=""),"",IFERROR($D1779*INDEX(Mix_Eff,MATCH($C1779,Mix_Code,0),4),""))</f>
        <v/>
      </c>
      <c r="J1779" s="67" t="str">
        <f aca="false">IF(OR($C1779="",$D1779=""),"",IFERROR($D1779*INDEX(Mix_Eff,MATCH($C1779,Mix_Code,0),5),""))</f>
        <v/>
      </c>
      <c r="K1779" s="63"/>
      <c r="L1779" s="16" t="str">
        <f aca="false">IF(AND($A1779="",$B1779="",$C1779="",$D1779=""),"",IF($A1779="","⚠ Date missing",IF($B1779="","⚠ Site missing",IF(ISNA(MATCH($C1779,Mix_Code,0)),"⚠ Unknown mix code",IF($D1779="","⚠ Enter m3 produced",IF(COUNTIF(CI_Site,$B1779)=0,"⚠ Site not set up in Current Inventory",IF($A1779&gt;AsOfDate,"Future date – not yet deducted","OK")))))))</f>
        <v/>
      </c>
    </row>
    <row r="1780" customFormat="false" ht="15" hidden="false" customHeight="false" outlineLevel="0" collapsed="false">
      <c r="A1780" s="65"/>
      <c r="B1780" s="63"/>
      <c r="C1780" s="70"/>
      <c r="D1780" s="66"/>
      <c r="E1780" s="16" t="str">
        <f aca="false">IF($C1780="","",IFERROR(INDEX(Mix_Desc,MATCH($C1780,Mix_Code,0)),"⚠ Unknown mix code"))</f>
        <v/>
      </c>
      <c r="F1780" s="67" t="str">
        <f aca="false">IF(OR($C1780="",$D1780=""),"",IFERROR($D1780*INDEX(Mix_Eff,MATCH($C1780,Mix_Code,0),1),""))</f>
        <v/>
      </c>
      <c r="G1780" s="67" t="str">
        <f aca="false">IF(OR($C1780="",$D1780=""),"",IFERROR($D1780*INDEX(Mix_Eff,MATCH($C1780,Mix_Code,0),2),""))</f>
        <v/>
      </c>
      <c r="H1780" s="67" t="str">
        <f aca="false">IF(OR($C1780="",$D1780=""),"",IFERROR($D1780*INDEX(Mix_Eff,MATCH($C1780,Mix_Code,0),3),""))</f>
        <v/>
      </c>
      <c r="I1780" s="67" t="str">
        <f aca="false">IF(OR($C1780="",$D1780=""),"",IFERROR($D1780*INDEX(Mix_Eff,MATCH($C1780,Mix_Code,0),4),""))</f>
        <v/>
      </c>
      <c r="J1780" s="67" t="str">
        <f aca="false">IF(OR($C1780="",$D1780=""),"",IFERROR($D1780*INDEX(Mix_Eff,MATCH($C1780,Mix_Code,0),5),""))</f>
        <v/>
      </c>
      <c r="K1780" s="63"/>
      <c r="L1780" s="16" t="str">
        <f aca="false">IF(AND($A1780="",$B1780="",$C1780="",$D1780=""),"",IF($A1780="","⚠ Date missing",IF($B1780="","⚠ Site missing",IF(ISNA(MATCH($C1780,Mix_Code,0)),"⚠ Unknown mix code",IF($D1780="","⚠ Enter m3 produced",IF(COUNTIF(CI_Site,$B1780)=0,"⚠ Site not set up in Current Inventory",IF($A1780&gt;AsOfDate,"Future date – not yet deducted","OK")))))))</f>
        <v/>
      </c>
    </row>
    <row r="1781" customFormat="false" ht="15" hidden="false" customHeight="false" outlineLevel="0" collapsed="false">
      <c r="A1781" s="65"/>
      <c r="B1781" s="63"/>
      <c r="C1781" s="70"/>
      <c r="D1781" s="66"/>
      <c r="E1781" s="16" t="str">
        <f aca="false">IF($C1781="","",IFERROR(INDEX(Mix_Desc,MATCH($C1781,Mix_Code,0)),"⚠ Unknown mix code"))</f>
        <v/>
      </c>
      <c r="F1781" s="67" t="str">
        <f aca="false">IF(OR($C1781="",$D1781=""),"",IFERROR($D1781*INDEX(Mix_Eff,MATCH($C1781,Mix_Code,0),1),""))</f>
        <v/>
      </c>
      <c r="G1781" s="67" t="str">
        <f aca="false">IF(OR($C1781="",$D1781=""),"",IFERROR($D1781*INDEX(Mix_Eff,MATCH($C1781,Mix_Code,0),2),""))</f>
        <v/>
      </c>
      <c r="H1781" s="67" t="str">
        <f aca="false">IF(OR($C1781="",$D1781=""),"",IFERROR($D1781*INDEX(Mix_Eff,MATCH($C1781,Mix_Code,0),3),""))</f>
        <v/>
      </c>
      <c r="I1781" s="67" t="str">
        <f aca="false">IF(OR($C1781="",$D1781=""),"",IFERROR($D1781*INDEX(Mix_Eff,MATCH($C1781,Mix_Code,0),4),""))</f>
        <v/>
      </c>
      <c r="J1781" s="67" t="str">
        <f aca="false">IF(OR($C1781="",$D1781=""),"",IFERROR($D1781*INDEX(Mix_Eff,MATCH($C1781,Mix_Code,0),5),""))</f>
        <v/>
      </c>
      <c r="K1781" s="63"/>
      <c r="L1781" s="16" t="str">
        <f aca="false">IF(AND($A1781="",$B1781="",$C1781="",$D1781=""),"",IF($A1781="","⚠ Date missing",IF($B1781="","⚠ Site missing",IF(ISNA(MATCH($C1781,Mix_Code,0)),"⚠ Unknown mix code",IF($D1781="","⚠ Enter m3 produced",IF(COUNTIF(CI_Site,$B1781)=0,"⚠ Site not set up in Current Inventory",IF($A1781&gt;AsOfDate,"Future date – not yet deducted","OK")))))))</f>
        <v/>
      </c>
    </row>
    <row r="1782" customFormat="false" ht="15" hidden="false" customHeight="false" outlineLevel="0" collapsed="false">
      <c r="A1782" s="65"/>
      <c r="B1782" s="63"/>
      <c r="C1782" s="70"/>
      <c r="D1782" s="66"/>
      <c r="E1782" s="16" t="str">
        <f aca="false">IF($C1782="","",IFERROR(INDEX(Mix_Desc,MATCH($C1782,Mix_Code,0)),"⚠ Unknown mix code"))</f>
        <v/>
      </c>
      <c r="F1782" s="67" t="str">
        <f aca="false">IF(OR($C1782="",$D1782=""),"",IFERROR($D1782*INDEX(Mix_Eff,MATCH($C1782,Mix_Code,0),1),""))</f>
        <v/>
      </c>
      <c r="G1782" s="67" t="str">
        <f aca="false">IF(OR($C1782="",$D1782=""),"",IFERROR($D1782*INDEX(Mix_Eff,MATCH($C1782,Mix_Code,0),2),""))</f>
        <v/>
      </c>
      <c r="H1782" s="67" t="str">
        <f aca="false">IF(OR($C1782="",$D1782=""),"",IFERROR($D1782*INDEX(Mix_Eff,MATCH($C1782,Mix_Code,0),3),""))</f>
        <v/>
      </c>
      <c r="I1782" s="67" t="str">
        <f aca="false">IF(OR($C1782="",$D1782=""),"",IFERROR($D1782*INDEX(Mix_Eff,MATCH($C1782,Mix_Code,0),4),""))</f>
        <v/>
      </c>
      <c r="J1782" s="67" t="str">
        <f aca="false">IF(OR($C1782="",$D1782=""),"",IFERROR($D1782*INDEX(Mix_Eff,MATCH($C1782,Mix_Code,0),5),""))</f>
        <v/>
      </c>
      <c r="K1782" s="63"/>
      <c r="L1782" s="16" t="str">
        <f aca="false">IF(AND($A1782="",$B1782="",$C1782="",$D1782=""),"",IF($A1782="","⚠ Date missing",IF($B1782="","⚠ Site missing",IF(ISNA(MATCH($C1782,Mix_Code,0)),"⚠ Unknown mix code",IF($D1782="","⚠ Enter m3 produced",IF(COUNTIF(CI_Site,$B1782)=0,"⚠ Site not set up in Current Inventory",IF($A1782&gt;AsOfDate,"Future date – not yet deducted","OK")))))))</f>
        <v/>
      </c>
    </row>
    <row r="1783" customFormat="false" ht="15" hidden="false" customHeight="false" outlineLevel="0" collapsed="false">
      <c r="A1783" s="65"/>
      <c r="B1783" s="63"/>
      <c r="C1783" s="70"/>
      <c r="D1783" s="66"/>
      <c r="E1783" s="16" t="str">
        <f aca="false">IF($C1783="","",IFERROR(INDEX(Mix_Desc,MATCH($C1783,Mix_Code,0)),"⚠ Unknown mix code"))</f>
        <v/>
      </c>
      <c r="F1783" s="67" t="str">
        <f aca="false">IF(OR($C1783="",$D1783=""),"",IFERROR($D1783*INDEX(Mix_Eff,MATCH($C1783,Mix_Code,0),1),""))</f>
        <v/>
      </c>
      <c r="G1783" s="67" t="str">
        <f aca="false">IF(OR($C1783="",$D1783=""),"",IFERROR($D1783*INDEX(Mix_Eff,MATCH($C1783,Mix_Code,0),2),""))</f>
        <v/>
      </c>
      <c r="H1783" s="67" t="str">
        <f aca="false">IF(OR($C1783="",$D1783=""),"",IFERROR($D1783*INDEX(Mix_Eff,MATCH($C1783,Mix_Code,0),3),""))</f>
        <v/>
      </c>
      <c r="I1783" s="67" t="str">
        <f aca="false">IF(OR($C1783="",$D1783=""),"",IFERROR($D1783*INDEX(Mix_Eff,MATCH($C1783,Mix_Code,0),4),""))</f>
        <v/>
      </c>
      <c r="J1783" s="67" t="str">
        <f aca="false">IF(OR($C1783="",$D1783=""),"",IFERROR($D1783*INDEX(Mix_Eff,MATCH($C1783,Mix_Code,0),5),""))</f>
        <v/>
      </c>
      <c r="K1783" s="63"/>
      <c r="L1783" s="16" t="str">
        <f aca="false">IF(AND($A1783="",$B1783="",$C1783="",$D1783=""),"",IF($A1783="","⚠ Date missing",IF($B1783="","⚠ Site missing",IF(ISNA(MATCH($C1783,Mix_Code,0)),"⚠ Unknown mix code",IF($D1783="","⚠ Enter m3 produced",IF(COUNTIF(CI_Site,$B1783)=0,"⚠ Site not set up in Current Inventory",IF($A1783&gt;AsOfDate,"Future date – not yet deducted","OK")))))))</f>
        <v/>
      </c>
    </row>
    <row r="1784" customFormat="false" ht="15" hidden="false" customHeight="false" outlineLevel="0" collapsed="false">
      <c r="A1784" s="65"/>
      <c r="B1784" s="63"/>
      <c r="C1784" s="70"/>
      <c r="D1784" s="66"/>
      <c r="E1784" s="16" t="str">
        <f aca="false">IF($C1784="","",IFERROR(INDEX(Mix_Desc,MATCH($C1784,Mix_Code,0)),"⚠ Unknown mix code"))</f>
        <v/>
      </c>
      <c r="F1784" s="67" t="str">
        <f aca="false">IF(OR($C1784="",$D1784=""),"",IFERROR($D1784*INDEX(Mix_Eff,MATCH($C1784,Mix_Code,0),1),""))</f>
        <v/>
      </c>
      <c r="G1784" s="67" t="str">
        <f aca="false">IF(OR($C1784="",$D1784=""),"",IFERROR($D1784*INDEX(Mix_Eff,MATCH($C1784,Mix_Code,0),2),""))</f>
        <v/>
      </c>
      <c r="H1784" s="67" t="str">
        <f aca="false">IF(OR($C1784="",$D1784=""),"",IFERROR($D1784*INDEX(Mix_Eff,MATCH($C1784,Mix_Code,0),3),""))</f>
        <v/>
      </c>
      <c r="I1784" s="67" t="str">
        <f aca="false">IF(OR($C1784="",$D1784=""),"",IFERROR($D1784*INDEX(Mix_Eff,MATCH($C1784,Mix_Code,0),4),""))</f>
        <v/>
      </c>
      <c r="J1784" s="67" t="str">
        <f aca="false">IF(OR($C1784="",$D1784=""),"",IFERROR($D1784*INDEX(Mix_Eff,MATCH($C1784,Mix_Code,0),5),""))</f>
        <v/>
      </c>
      <c r="K1784" s="63"/>
      <c r="L1784" s="16" t="str">
        <f aca="false">IF(AND($A1784="",$B1784="",$C1784="",$D1784=""),"",IF($A1784="","⚠ Date missing",IF($B1784="","⚠ Site missing",IF(ISNA(MATCH($C1784,Mix_Code,0)),"⚠ Unknown mix code",IF($D1784="","⚠ Enter m3 produced",IF(COUNTIF(CI_Site,$B1784)=0,"⚠ Site not set up in Current Inventory",IF($A1784&gt;AsOfDate,"Future date – not yet deducted","OK")))))))</f>
        <v/>
      </c>
    </row>
    <row r="1785" customFormat="false" ht="15" hidden="false" customHeight="false" outlineLevel="0" collapsed="false">
      <c r="A1785" s="65"/>
      <c r="B1785" s="63"/>
      <c r="C1785" s="70"/>
      <c r="D1785" s="66"/>
      <c r="E1785" s="16" t="str">
        <f aca="false">IF($C1785="","",IFERROR(INDEX(Mix_Desc,MATCH($C1785,Mix_Code,0)),"⚠ Unknown mix code"))</f>
        <v/>
      </c>
      <c r="F1785" s="67" t="str">
        <f aca="false">IF(OR($C1785="",$D1785=""),"",IFERROR($D1785*INDEX(Mix_Eff,MATCH($C1785,Mix_Code,0),1),""))</f>
        <v/>
      </c>
      <c r="G1785" s="67" t="str">
        <f aca="false">IF(OR($C1785="",$D1785=""),"",IFERROR($D1785*INDEX(Mix_Eff,MATCH($C1785,Mix_Code,0),2),""))</f>
        <v/>
      </c>
      <c r="H1785" s="67" t="str">
        <f aca="false">IF(OR($C1785="",$D1785=""),"",IFERROR($D1785*INDEX(Mix_Eff,MATCH($C1785,Mix_Code,0),3),""))</f>
        <v/>
      </c>
      <c r="I1785" s="67" t="str">
        <f aca="false">IF(OR($C1785="",$D1785=""),"",IFERROR($D1785*INDEX(Mix_Eff,MATCH($C1785,Mix_Code,0),4),""))</f>
        <v/>
      </c>
      <c r="J1785" s="67" t="str">
        <f aca="false">IF(OR($C1785="",$D1785=""),"",IFERROR($D1785*INDEX(Mix_Eff,MATCH($C1785,Mix_Code,0),5),""))</f>
        <v/>
      </c>
      <c r="K1785" s="63"/>
      <c r="L1785" s="16" t="str">
        <f aca="false">IF(AND($A1785="",$B1785="",$C1785="",$D1785=""),"",IF($A1785="","⚠ Date missing",IF($B1785="","⚠ Site missing",IF(ISNA(MATCH($C1785,Mix_Code,0)),"⚠ Unknown mix code",IF($D1785="","⚠ Enter m3 produced",IF(COUNTIF(CI_Site,$B1785)=0,"⚠ Site not set up in Current Inventory",IF($A1785&gt;AsOfDate,"Future date – not yet deducted","OK")))))))</f>
        <v/>
      </c>
    </row>
    <row r="1786" customFormat="false" ht="15" hidden="false" customHeight="false" outlineLevel="0" collapsed="false">
      <c r="A1786" s="65"/>
      <c r="B1786" s="63"/>
      <c r="C1786" s="70"/>
      <c r="D1786" s="66"/>
      <c r="E1786" s="16" t="str">
        <f aca="false">IF($C1786="","",IFERROR(INDEX(Mix_Desc,MATCH($C1786,Mix_Code,0)),"⚠ Unknown mix code"))</f>
        <v/>
      </c>
      <c r="F1786" s="67" t="str">
        <f aca="false">IF(OR($C1786="",$D1786=""),"",IFERROR($D1786*INDEX(Mix_Eff,MATCH($C1786,Mix_Code,0),1),""))</f>
        <v/>
      </c>
      <c r="G1786" s="67" t="str">
        <f aca="false">IF(OR($C1786="",$D1786=""),"",IFERROR($D1786*INDEX(Mix_Eff,MATCH($C1786,Mix_Code,0),2),""))</f>
        <v/>
      </c>
      <c r="H1786" s="67" t="str">
        <f aca="false">IF(OR($C1786="",$D1786=""),"",IFERROR($D1786*INDEX(Mix_Eff,MATCH($C1786,Mix_Code,0),3),""))</f>
        <v/>
      </c>
      <c r="I1786" s="67" t="str">
        <f aca="false">IF(OR($C1786="",$D1786=""),"",IFERROR($D1786*INDEX(Mix_Eff,MATCH($C1786,Mix_Code,0),4),""))</f>
        <v/>
      </c>
      <c r="J1786" s="67" t="str">
        <f aca="false">IF(OR($C1786="",$D1786=""),"",IFERROR($D1786*INDEX(Mix_Eff,MATCH($C1786,Mix_Code,0),5),""))</f>
        <v/>
      </c>
      <c r="K1786" s="63"/>
      <c r="L1786" s="16" t="str">
        <f aca="false">IF(AND($A1786="",$B1786="",$C1786="",$D1786=""),"",IF($A1786="","⚠ Date missing",IF($B1786="","⚠ Site missing",IF(ISNA(MATCH($C1786,Mix_Code,0)),"⚠ Unknown mix code",IF($D1786="","⚠ Enter m3 produced",IF(COUNTIF(CI_Site,$B1786)=0,"⚠ Site not set up in Current Inventory",IF($A1786&gt;AsOfDate,"Future date – not yet deducted","OK")))))))</f>
        <v/>
      </c>
    </row>
    <row r="1787" customFormat="false" ht="15" hidden="false" customHeight="false" outlineLevel="0" collapsed="false">
      <c r="A1787" s="65"/>
      <c r="B1787" s="63"/>
      <c r="C1787" s="70"/>
      <c r="D1787" s="66"/>
      <c r="E1787" s="16" t="str">
        <f aca="false">IF($C1787="","",IFERROR(INDEX(Mix_Desc,MATCH($C1787,Mix_Code,0)),"⚠ Unknown mix code"))</f>
        <v/>
      </c>
      <c r="F1787" s="67" t="str">
        <f aca="false">IF(OR($C1787="",$D1787=""),"",IFERROR($D1787*INDEX(Mix_Eff,MATCH($C1787,Mix_Code,0),1),""))</f>
        <v/>
      </c>
      <c r="G1787" s="67" t="str">
        <f aca="false">IF(OR($C1787="",$D1787=""),"",IFERROR($D1787*INDEX(Mix_Eff,MATCH($C1787,Mix_Code,0),2),""))</f>
        <v/>
      </c>
      <c r="H1787" s="67" t="str">
        <f aca="false">IF(OR($C1787="",$D1787=""),"",IFERROR($D1787*INDEX(Mix_Eff,MATCH($C1787,Mix_Code,0),3),""))</f>
        <v/>
      </c>
      <c r="I1787" s="67" t="str">
        <f aca="false">IF(OR($C1787="",$D1787=""),"",IFERROR($D1787*INDEX(Mix_Eff,MATCH($C1787,Mix_Code,0),4),""))</f>
        <v/>
      </c>
      <c r="J1787" s="67" t="str">
        <f aca="false">IF(OR($C1787="",$D1787=""),"",IFERROR($D1787*INDEX(Mix_Eff,MATCH($C1787,Mix_Code,0),5),""))</f>
        <v/>
      </c>
      <c r="K1787" s="63"/>
      <c r="L1787" s="16" t="str">
        <f aca="false">IF(AND($A1787="",$B1787="",$C1787="",$D1787=""),"",IF($A1787="","⚠ Date missing",IF($B1787="","⚠ Site missing",IF(ISNA(MATCH($C1787,Mix_Code,0)),"⚠ Unknown mix code",IF($D1787="","⚠ Enter m3 produced",IF(COUNTIF(CI_Site,$B1787)=0,"⚠ Site not set up in Current Inventory",IF($A1787&gt;AsOfDate,"Future date – not yet deducted","OK")))))))</f>
        <v/>
      </c>
    </row>
    <row r="1788" customFormat="false" ht="15" hidden="false" customHeight="false" outlineLevel="0" collapsed="false">
      <c r="A1788" s="65"/>
      <c r="B1788" s="63"/>
      <c r="C1788" s="70"/>
      <c r="D1788" s="66"/>
      <c r="E1788" s="16" t="str">
        <f aca="false">IF($C1788="","",IFERROR(INDEX(Mix_Desc,MATCH($C1788,Mix_Code,0)),"⚠ Unknown mix code"))</f>
        <v/>
      </c>
      <c r="F1788" s="67" t="str">
        <f aca="false">IF(OR($C1788="",$D1788=""),"",IFERROR($D1788*INDEX(Mix_Eff,MATCH($C1788,Mix_Code,0),1),""))</f>
        <v/>
      </c>
      <c r="G1788" s="67" t="str">
        <f aca="false">IF(OR($C1788="",$D1788=""),"",IFERROR($D1788*INDEX(Mix_Eff,MATCH($C1788,Mix_Code,0),2),""))</f>
        <v/>
      </c>
      <c r="H1788" s="67" t="str">
        <f aca="false">IF(OR($C1788="",$D1788=""),"",IFERROR($D1788*INDEX(Mix_Eff,MATCH($C1788,Mix_Code,0),3),""))</f>
        <v/>
      </c>
      <c r="I1788" s="67" t="str">
        <f aca="false">IF(OR($C1788="",$D1788=""),"",IFERROR($D1788*INDEX(Mix_Eff,MATCH($C1788,Mix_Code,0),4),""))</f>
        <v/>
      </c>
      <c r="J1788" s="67" t="str">
        <f aca="false">IF(OR($C1788="",$D1788=""),"",IFERROR($D1788*INDEX(Mix_Eff,MATCH($C1788,Mix_Code,0),5),""))</f>
        <v/>
      </c>
      <c r="K1788" s="63"/>
      <c r="L1788" s="16" t="str">
        <f aca="false">IF(AND($A1788="",$B1788="",$C1788="",$D1788=""),"",IF($A1788="","⚠ Date missing",IF($B1788="","⚠ Site missing",IF(ISNA(MATCH($C1788,Mix_Code,0)),"⚠ Unknown mix code",IF($D1788="","⚠ Enter m3 produced",IF(COUNTIF(CI_Site,$B1788)=0,"⚠ Site not set up in Current Inventory",IF($A1788&gt;AsOfDate,"Future date – not yet deducted","OK")))))))</f>
        <v/>
      </c>
    </row>
    <row r="1789" customFormat="false" ht="15" hidden="false" customHeight="false" outlineLevel="0" collapsed="false">
      <c r="A1789" s="65"/>
      <c r="B1789" s="63"/>
      <c r="C1789" s="70"/>
      <c r="D1789" s="66"/>
      <c r="E1789" s="16" t="str">
        <f aca="false">IF($C1789="","",IFERROR(INDEX(Mix_Desc,MATCH($C1789,Mix_Code,0)),"⚠ Unknown mix code"))</f>
        <v/>
      </c>
      <c r="F1789" s="67" t="str">
        <f aca="false">IF(OR($C1789="",$D1789=""),"",IFERROR($D1789*INDEX(Mix_Eff,MATCH($C1789,Mix_Code,0),1),""))</f>
        <v/>
      </c>
      <c r="G1789" s="67" t="str">
        <f aca="false">IF(OR($C1789="",$D1789=""),"",IFERROR($D1789*INDEX(Mix_Eff,MATCH($C1789,Mix_Code,0),2),""))</f>
        <v/>
      </c>
      <c r="H1789" s="67" t="str">
        <f aca="false">IF(OR($C1789="",$D1789=""),"",IFERROR($D1789*INDEX(Mix_Eff,MATCH($C1789,Mix_Code,0),3),""))</f>
        <v/>
      </c>
      <c r="I1789" s="67" t="str">
        <f aca="false">IF(OR($C1789="",$D1789=""),"",IFERROR($D1789*INDEX(Mix_Eff,MATCH($C1789,Mix_Code,0),4),""))</f>
        <v/>
      </c>
      <c r="J1789" s="67" t="str">
        <f aca="false">IF(OR($C1789="",$D1789=""),"",IFERROR($D1789*INDEX(Mix_Eff,MATCH($C1789,Mix_Code,0),5),""))</f>
        <v/>
      </c>
      <c r="K1789" s="63"/>
      <c r="L1789" s="16" t="str">
        <f aca="false">IF(AND($A1789="",$B1789="",$C1789="",$D1789=""),"",IF($A1789="","⚠ Date missing",IF($B1789="","⚠ Site missing",IF(ISNA(MATCH($C1789,Mix_Code,0)),"⚠ Unknown mix code",IF($D1789="","⚠ Enter m3 produced",IF(COUNTIF(CI_Site,$B1789)=0,"⚠ Site not set up in Current Inventory",IF($A1789&gt;AsOfDate,"Future date – not yet deducted","OK")))))))</f>
        <v/>
      </c>
    </row>
    <row r="1790" customFormat="false" ht="15" hidden="false" customHeight="false" outlineLevel="0" collapsed="false">
      <c r="A1790" s="65"/>
      <c r="B1790" s="63"/>
      <c r="C1790" s="70"/>
      <c r="D1790" s="66"/>
      <c r="E1790" s="16" t="str">
        <f aca="false">IF($C1790="","",IFERROR(INDEX(Mix_Desc,MATCH($C1790,Mix_Code,0)),"⚠ Unknown mix code"))</f>
        <v/>
      </c>
      <c r="F1790" s="67" t="str">
        <f aca="false">IF(OR($C1790="",$D1790=""),"",IFERROR($D1790*INDEX(Mix_Eff,MATCH($C1790,Mix_Code,0),1),""))</f>
        <v/>
      </c>
      <c r="G1790" s="67" t="str">
        <f aca="false">IF(OR($C1790="",$D1790=""),"",IFERROR($D1790*INDEX(Mix_Eff,MATCH($C1790,Mix_Code,0),2),""))</f>
        <v/>
      </c>
      <c r="H1790" s="67" t="str">
        <f aca="false">IF(OR($C1790="",$D1790=""),"",IFERROR($D1790*INDEX(Mix_Eff,MATCH($C1790,Mix_Code,0),3),""))</f>
        <v/>
      </c>
      <c r="I1790" s="67" t="str">
        <f aca="false">IF(OR($C1790="",$D1790=""),"",IFERROR($D1790*INDEX(Mix_Eff,MATCH($C1790,Mix_Code,0),4),""))</f>
        <v/>
      </c>
      <c r="J1790" s="67" t="str">
        <f aca="false">IF(OR($C1790="",$D1790=""),"",IFERROR($D1790*INDEX(Mix_Eff,MATCH($C1790,Mix_Code,0),5),""))</f>
        <v/>
      </c>
      <c r="K1790" s="63"/>
      <c r="L1790" s="16" t="str">
        <f aca="false">IF(AND($A1790="",$B1790="",$C1790="",$D1790=""),"",IF($A1790="","⚠ Date missing",IF($B1790="","⚠ Site missing",IF(ISNA(MATCH($C1790,Mix_Code,0)),"⚠ Unknown mix code",IF($D1790="","⚠ Enter m3 produced",IF(COUNTIF(CI_Site,$B1790)=0,"⚠ Site not set up in Current Inventory",IF($A1790&gt;AsOfDate,"Future date – not yet deducted","OK")))))))</f>
        <v/>
      </c>
    </row>
    <row r="1791" customFormat="false" ht="15" hidden="false" customHeight="false" outlineLevel="0" collapsed="false">
      <c r="A1791" s="65"/>
      <c r="B1791" s="63"/>
      <c r="C1791" s="70"/>
      <c r="D1791" s="66"/>
      <c r="E1791" s="16" t="str">
        <f aca="false">IF($C1791="","",IFERROR(INDEX(Mix_Desc,MATCH($C1791,Mix_Code,0)),"⚠ Unknown mix code"))</f>
        <v/>
      </c>
      <c r="F1791" s="67" t="str">
        <f aca="false">IF(OR($C1791="",$D1791=""),"",IFERROR($D1791*INDEX(Mix_Eff,MATCH($C1791,Mix_Code,0),1),""))</f>
        <v/>
      </c>
      <c r="G1791" s="67" t="str">
        <f aca="false">IF(OR($C1791="",$D1791=""),"",IFERROR($D1791*INDEX(Mix_Eff,MATCH($C1791,Mix_Code,0),2),""))</f>
        <v/>
      </c>
      <c r="H1791" s="67" t="str">
        <f aca="false">IF(OR($C1791="",$D1791=""),"",IFERROR($D1791*INDEX(Mix_Eff,MATCH($C1791,Mix_Code,0),3),""))</f>
        <v/>
      </c>
      <c r="I1791" s="67" t="str">
        <f aca="false">IF(OR($C1791="",$D1791=""),"",IFERROR($D1791*INDEX(Mix_Eff,MATCH($C1791,Mix_Code,0),4),""))</f>
        <v/>
      </c>
      <c r="J1791" s="67" t="str">
        <f aca="false">IF(OR($C1791="",$D1791=""),"",IFERROR($D1791*INDEX(Mix_Eff,MATCH($C1791,Mix_Code,0),5),""))</f>
        <v/>
      </c>
      <c r="K1791" s="63"/>
      <c r="L1791" s="16" t="str">
        <f aca="false">IF(AND($A1791="",$B1791="",$C1791="",$D1791=""),"",IF($A1791="","⚠ Date missing",IF($B1791="","⚠ Site missing",IF(ISNA(MATCH($C1791,Mix_Code,0)),"⚠ Unknown mix code",IF($D1791="","⚠ Enter m3 produced",IF(COUNTIF(CI_Site,$B1791)=0,"⚠ Site not set up in Current Inventory",IF($A1791&gt;AsOfDate,"Future date – not yet deducted","OK")))))))</f>
        <v/>
      </c>
    </row>
    <row r="1792" customFormat="false" ht="15" hidden="false" customHeight="false" outlineLevel="0" collapsed="false">
      <c r="A1792" s="65"/>
      <c r="B1792" s="63"/>
      <c r="C1792" s="70"/>
      <c r="D1792" s="66"/>
      <c r="E1792" s="16" t="str">
        <f aca="false">IF($C1792="","",IFERROR(INDEX(Mix_Desc,MATCH($C1792,Mix_Code,0)),"⚠ Unknown mix code"))</f>
        <v/>
      </c>
      <c r="F1792" s="67" t="str">
        <f aca="false">IF(OR($C1792="",$D1792=""),"",IFERROR($D1792*INDEX(Mix_Eff,MATCH($C1792,Mix_Code,0),1),""))</f>
        <v/>
      </c>
      <c r="G1792" s="67" t="str">
        <f aca="false">IF(OR($C1792="",$D1792=""),"",IFERROR($D1792*INDEX(Mix_Eff,MATCH($C1792,Mix_Code,0),2),""))</f>
        <v/>
      </c>
      <c r="H1792" s="67" t="str">
        <f aca="false">IF(OR($C1792="",$D1792=""),"",IFERROR($D1792*INDEX(Mix_Eff,MATCH($C1792,Mix_Code,0),3),""))</f>
        <v/>
      </c>
      <c r="I1792" s="67" t="str">
        <f aca="false">IF(OR($C1792="",$D1792=""),"",IFERROR($D1792*INDEX(Mix_Eff,MATCH($C1792,Mix_Code,0),4),""))</f>
        <v/>
      </c>
      <c r="J1792" s="67" t="str">
        <f aca="false">IF(OR($C1792="",$D1792=""),"",IFERROR($D1792*INDEX(Mix_Eff,MATCH($C1792,Mix_Code,0),5),""))</f>
        <v/>
      </c>
      <c r="K1792" s="63"/>
      <c r="L1792" s="16" t="str">
        <f aca="false">IF(AND($A1792="",$B1792="",$C1792="",$D1792=""),"",IF($A1792="","⚠ Date missing",IF($B1792="","⚠ Site missing",IF(ISNA(MATCH($C1792,Mix_Code,0)),"⚠ Unknown mix code",IF($D1792="","⚠ Enter m3 produced",IF(COUNTIF(CI_Site,$B1792)=0,"⚠ Site not set up in Current Inventory",IF($A1792&gt;AsOfDate,"Future date – not yet deducted","OK")))))))</f>
        <v/>
      </c>
    </row>
    <row r="1793" customFormat="false" ht="15" hidden="false" customHeight="false" outlineLevel="0" collapsed="false">
      <c r="A1793" s="65"/>
      <c r="B1793" s="63"/>
      <c r="C1793" s="70"/>
      <c r="D1793" s="66"/>
      <c r="E1793" s="16" t="str">
        <f aca="false">IF($C1793="","",IFERROR(INDEX(Mix_Desc,MATCH($C1793,Mix_Code,0)),"⚠ Unknown mix code"))</f>
        <v/>
      </c>
      <c r="F1793" s="67" t="str">
        <f aca="false">IF(OR($C1793="",$D1793=""),"",IFERROR($D1793*INDEX(Mix_Eff,MATCH($C1793,Mix_Code,0),1),""))</f>
        <v/>
      </c>
      <c r="G1793" s="67" t="str">
        <f aca="false">IF(OR($C1793="",$D1793=""),"",IFERROR($D1793*INDEX(Mix_Eff,MATCH($C1793,Mix_Code,0),2),""))</f>
        <v/>
      </c>
      <c r="H1793" s="67" t="str">
        <f aca="false">IF(OR($C1793="",$D1793=""),"",IFERROR($D1793*INDEX(Mix_Eff,MATCH($C1793,Mix_Code,0),3),""))</f>
        <v/>
      </c>
      <c r="I1793" s="67" t="str">
        <f aca="false">IF(OR($C1793="",$D1793=""),"",IFERROR($D1793*INDEX(Mix_Eff,MATCH($C1793,Mix_Code,0),4),""))</f>
        <v/>
      </c>
      <c r="J1793" s="67" t="str">
        <f aca="false">IF(OR($C1793="",$D1793=""),"",IFERROR($D1793*INDEX(Mix_Eff,MATCH($C1793,Mix_Code,0),5),""))</f>
        <v/>
      </c>
      <c r="K1793" s="63"/>
      <c r="L1793" s="16" t="str">
        <f aca="false">IF(AND($A1793="",$B1793="",$C1793="",$D1793=""),"",IF($A1793="","⚠ Date missing",IF($B1793="","⚠ Site missing",IF(ISNA(MATCH($C1793,Mix_Code,0)),"⚠ Unknown mix code",IF($D1793="","⚠ Enter m3 produced",IF(COUNTIF(CI_Site,$B1793)=0,"⚠ Site not set up in Current Inventory",IF($A1793&gt;AsOfDate,"Future date – not yet deducted","OK")))))))</f>
        <v/>
      </c>
    </row>
    <row r="1794" customFormat="false" ht="15" hidden="false" customHeight="false" outlineLevel="0" collapsed="false">
      <c r="A1794" s="65"/>
      <c r="B1794" s="63"/>
      <c r="C1794" s="70"/>
      <c r="D1794" s="66"/>
      <c r="E1794" s="16" t="str">
        <f aca="false">IF($C1794="","",IFERROR(INDEX(Mix_Desc,MATCH($C1794,Mix_Code,0)),"⚠ Unknown mix code"))</f>
        <v/>
      </c>
      <c r="F1794" s="67" t="str">
        <f aca="false">IF(OR($C1794="",$D1794=""),"",IFERROR($D1794*INDEX(Mix_Eff,MATCH($C1794,Mix_Code,0),1),""))</f>
        <v/>
      </c>
      <c r="G1794" s="67" t="str">
        <f aca="false">IF(OR($C1794="",$D1794=""),"",IFERROR($D1794*INDEX(Mix_Eff,MATCH($C1794,Mix_Code,0),2),""))</f>
        <v/>
      </c>
      <c r="H1794" s="67" t="str">
        <f aca="false">IF(OR($C1794="",$D1794=""),"",IFERROR($D1794*INDEX(Mix_Eff,MATCH($C1794,Mix_Code,0),3),""))</f>
        <v/>
      </c>
      <c r="I1794" s="67" t="str">
        <f aca="false">IF(OR($C1794="",$D1794=""),"",IFERROR($D1794*INDEX(Mix_Eff,MATCH($C1794,Mix_Code,0),4),""))</f>
        <v/>
      </c>
      <c r="J1794" s="67" t="str">
        <f aca="false">IF(OR($C1794="",$D1794=""),"",IFERROR($D1794*INDEX(Mix_Eff,MATCH($C1794,Mix_Code,0),5),""))</f>
        <v/>
      </c>
      <c r="K1794" s="63"/>
      <c r="L1794" s="16" t="str">
        <f aca="false">IF(AND($A1794="",$B1794="",$C1794="",$D1794=""),"",IF($A1794="","⚠ Date missing",IF($B1794="","⚠ Site missing",IF(ISNA(MATCH($C1794,Mix_Code,0)),"⚠ Unknown mix code",IF($D1794="","⚠ Enter m3 produced",IF(COUNTIF(CI_Site,$B1794)=0,"⚠ Site not set up in Current Inventory",IF($A1794&gt;AsOfDate,"Future date – not yet deducted","OK")))))))</f>
        <v/>
      </c>
    </row>
    <row r="1795" customFormat="false" ht="15" hidden="false" customHeight="false" outlineLevel="0" collapsed="false">
      <c r="A1795" s="65"/>
      <c r="B1795" s="63"/>
      <c r="C1795" s="70"/>
      <c r="D1795" s="66"/>
      <c r="E1795" s="16" t="str">
        <f aca="false">IF($C1795="","",IFERROR(INDEX(Mix_Desc,MATCH($C1795,Mix_Code,0)),"⚠ Unknown mix code"))</f>
        <v/>
      </c>
      <c r="F1795" s="67" t="str">
        <f aca="false">IF(OR($C1795="",$D1795=""),"",IFERROR($D1795*INDEX(Mix_Eff,MATCH($C1795,Mix_Code,0),1),""))</f>
        <v/>
      </c>
      <c r="G1795" s="67" t="str">
        <f aca="false">IF(OR($C1795="",$D1795=""),"",IFERROR($D1795*INDEX(Mix_Eff,MATCH($C1795,Mix_Code,0),2),""))</f>
        <v/>
      </c>
      <c r="H1795" s="67" t="str">
        <f aca="false">IF(OR($C1795="",$D1795=""),"",IFERROR($D1795*INDEX(Mix_Eff,MATCH($C1795,Mix_Code,0),3),""))</f>
        <v/>
      </c>
      <c r="I1795" s="67" t="str">
        <f aca="false">IF(OR($C1795="",$D1795=""),"",IFERROR($D1795*INDEX(Mix_Eff,MATCH($C1795,Mix_Code,0),4),""))</f>
        <v/>
      </c>
      <c r="J1795" s="67" t="str">
        <f aca="false">IF(OR($C1795="",$D1795=""),"",IFERROR($D1795*INDEX(Mix_Eff,MATCH($C1795,Mix_Code,0),5),""))</f>
        <v/>
      </c>
      <c r="K1795" s="63"/>
      <c r="L1795" s="16" t="str">
        <f aca="false">IF(AND($A1795="",$B1795="",$C1795="",$D1795=""),"",IF($A1795="","⚠ Date missing",IF($B1795="","⚠ Site missing",IF(ISNA(MATCH($C1795,Mix_Code,0)),"⚠ Unknown mix code",IF($D1795="","⚠ Enter m3 produced",IF(COUNTIF(CI_Site,$B1795)=0,"⚠ Site not set up in Current Inventory",IF($A1795&gt;AsOfDate,"Future date – not yet deducted","OK")))))))</f>
        <v/>
      </c>
    </row>
    <row r="1796" customFormat="false" ht="15" hidden="false" customHeight="false" outlineLevel="0" collapsed="false">
      <c r="A1796" s="65"/>
      <c r="B1796" s="63"/>
      <c r="C1796" s="70"/>
      <c r="D1796" s="66"/>
      <c r="E1796" s="16" t="str">
        <f aca="false">IF($C1796="","",IFERROR(INDEX(Mix_Desc,MATCH($C1796,Mix_Code,0)),"⚠ Unknown mix code"))</f>
        <v/>
      </c>
      <c r="F1796" s="67" t="str">
        <f aca="false">IF(OR($C1796="",$D1796=""),"",IFERROR($D1796*INDEX(Mix_Eff,MATCH($C1796,Mix_Code,0),1),""))</f>
        <v/>
      </c>
      <c r="G1796" s="67" t="str">
        <f aca="false">IF(OR($C1796="",$D1796=""),"",IFERROR($D1796*INDEX(Mix_Eff,MATCH($C1796,Mix_Code,0),2),""))</f>
        <v/>
      </c>
      <c r="H1796" s="67" t="str">
        <f aca="false">IF(OR($C1796="",$D1796=""),"",IFERROR($D1796*INDEX(Mix_Eff,MATCH($C1796,Mix_Code,0),3),""))</f>
        <v/>
      </c>
      <c r="I1796" s="67" t="str">
        <f aca="false">IF(OR($C1796="",$D1796=""),"",IFERROR($D1796*INDEX(Mix_Eff,MATCH($C1796,Mix_Code,0),4),""))</f>
        <v/>
      </c>
      <c r="J1796" s="67" t="str">
        <f aca="false">IF(OR($C1796="",$D1796=""),"",IFERROR($D1796*INDEX(Mix_Eff,MATCH($C1796,Mix_Code,0),5),""))</f>
        <v/>
      </c>
      <c r="K1796" s="63"/>
      <c r="L1796" s="16" t="str">
        <f aca="false">IF(AND($A1796="",$B1796="",$C1796="",$D1796=""),"",IF($A1796="","⚠ Date missing",IF($B1796="","⚠ Site missing",IF(ISNA(MATCH($C1796,Mix_Code,0)),"⚠ Unknown mix code",IF($D1796="","⚠ Enter m3 produced",IF(COUNTIF(CI_Site,$B1796)=0,"⚠ Site not set up in Current Inventory",IF($A1796&gt;AsOfDate,"Future date – not yet deducted","OK")))))))</f>
        <v/>
      </c>
    </row>
    <row r="1797" customFormat="false" ht="15" hidden="false" customHeight="false" outlineLevel="0" collapsed="false">
      <c r="A1797" s="65"/>
      <c r="B1797" s="63"/>
      <c r="C1797" s="70"/>
      <c r="D1797" s="66"/>
      <c r="E1797" s="16" t="str">
        <f aca="false">IF($C1797="","",IFERROR(INDEX(Mix_Desc,MATCH($C1797,Mix_Code,0)),"⚠ Unknown mix code"))</f>
        <v/>
      </c>
      <c r="F1797" s="67" t="str">
        <f aca="false">IF(OR($C1797="",$D1797=""),"",IFERROR($D1797*INDEX(Mix_Eff,MATCH($C1797,Mix_Code,0),1),""))</f>
        <v/>
      </c>
      <c r="G1797" s="67" t="str">
        <f aca="false">IF(OR($C1797="",$D1797=""),"",IFERROR($D1797*INDEX(Mix_Eff,MATCH($C1797,Mix_Code,0),2),""))</f>
        <v/>
      </c>
      <c r="H1797" s="67" t="str">
        <f aca="false">IF(OR($C1797="",$D1797=""),"",IFERROR($D1797*INDEX(Mix_Eff,MATCH($C1797,Mix_Code,0),3),""))</f>
        <v/>
      </c>
      <c r="I1797" s="67" t="str">
        <f aca="false">IF(OR($C1797="",$D1797=""),"",IFERROR($D1797*INDEX(Mix_Eff,MATCH($C1797,Mix_Code,0),4),""))</f>
        <v/>
      </c>
      <c r="J1797" s="67" t="str">
        <f aca="false">IF(OR($C1797="",$D1797=""),"",IFERROR($D1797*INDEX(Mix_Eff,MATCH($C1797,Mix_Code,0),5),""))</f>
        <v/>
      </c>
      <c r="K1797" s="63"/>
      <c r="L1797" s="16" t="str">
        <f aca="false">IF(AND($A1797="",$B1797="",$C1797="",$D1797=""),"",IF($A1797="","⚠ Date missing",IF($B1797="","⚠ Site missing",IF(ISNA(MATCH($C1797,Mix_Code,0)),"⚠ Unknown mix code",IF($D1797="","⚠ Enter m3 produced",IF(COUNTIF(CI_Site,$B1797)=0,"⚠ Site not set up in Current Inventory",IF($A1797&gt;AsOfDate,"Future date – not yet deducted","OK")))))))</f>
        <v/>
      </c>
    </row>
    <row r="1798" customFormat="false" ht="15" hidden="false" customHeight="false" outlineLevel="0" collapsed="false">
      <c r="A1798" s="65"/>
      <c r="B1798" s="63"/>
      <c r="C1798" s="70"/>
      <c r="D1798" s="66"/>
      <c r="E1798" s="16" t="str">
        <f aca="false">IF($C1798="","",IFERROR(INDEX(Mix_Desc,MATCH($C1798,Mix_Code,0)),"⚠ Unknown mix code"))</f>
        <v/>
      </c>
      <c r="F1798" s="67" t="str">
        <f aca="false">IF(OR($C1798="",$D1798=""),"",IFERROR($D1798*INDEX(Mix_Eff,MATCH($C1798,Mix_Code,0),1),""))</f>
        <v/>
      </c>
      <c r="G1798" s="67" t="str">
        <f aca="false">IF(OR($C1798="",$D1798=""),"",IFERROR($D1798*INDEX(Mix_Eff,MATCH($C1798,Mix_Code,0),2),""))</f>
        <v/>
      </c>
      <c r="H1798" s="67" t="str">
        <f aca="false">IF(OR($C1798="",$D1798=""),"",IFERROR($D1798*INDEX(Mix_Eff,MATCH($C1798,Mix_Code,0),3),""))</f>
        <v/>
      </c>
      <c r="I1798" s="67" t="str">
        <f aca="false">IF(OR($C1798="",$D1798=""),"",IFERROR($D1798*INDEX(Mix_Eff,MATCH($C1798,Mix_Code,0),4),""))</f>
        <v/>
      </c>
      <c r="J1798" s="67" t="str">
        <f aca="false">IF(OR($C1798="",$D1798=""),"",IFERROR($D1798*INDEX(Mix_Eff,MATCH($C1798,Mix_Code,0),5),""))</f>
        <v/>
      </c>
      <c r="K1798" s="63"/>
      <c r="L1798" s="16" t="str">
        <f aca="false">IF(AND($A1798="",$B1798="",$C1798="",$D1798=""),"",IF($A1798="","⚠ Date missing",IF($B1798="","⚠ Site missing",IF(ISNA(MATCH($C1798,Mix_Code,0)),"⚠ Unknown mix code",IF($D1798="","⚠ Enter m3 produced",IF(COUNTIF(CI_Site,$B1798)=0,"⚠ Site not set up in Current Inventory",IF($A1798&gt;AsOfDate,"Future date – not yet deducted","OK")))))))</f>
        <v/>
      </c>
    </row>
    <row r="1799" customFormat="false" ht="15" hidden="false" customHeight="false" outlineLevel="0" collapsed="false">
      <c r="A1799" s="65"/>
      <c r="B1799" s="63"/>
      <c r="C1799" s="70"/>
      <c r="D1799" s="66"/>
      <c r="E1799" s="16" t="str">
        <f aca="false">IF($C1799="","",IFERROR(INDEX(Mix_Desc,MATCH($C1799,Mix_Code,0)),"⚠ Unknown mix code"))</f>
        <v/>
      </c>
      <c r="F1799" s="67" t="str">
        <f aca="false">IF(OR($C1799="",$D1799=""),"",IFERROR($D1799*INDEX(Mix_Eff,MATCH($C1799,Mix_Code,0),1),""))</f>
        <v/>
      </c>
      <c r="G1799" s="67" t="str">
        <f aca="false">IF(OR($C1799="",$D1799=""),"",IFERROR($D1799*INDEX(Mix_Eff,MATCH($C1799,Mix_Code,0),2),""))</f>
        <v/>
      </c>
      <c r="H1799" s="67" t="str">
        <f aca="false">IF(OR($C1799="",$D1799=""),"",IFERROR($D1799*INDEX(Mix_Eff,MATCH($C1799,Mix_Code,0),3),""))</f>
        <v/>
      </c>
      <c r="I1799" s="67" t="str">
        <f aca="false">IF(OR($C1799="",$D1799=""),"",IFERROR($D1799*INDEX(Mix_Eff,MATCH($C1799,Mix_Code,0),4),""))</f>
        <v/>
      </c>
      <c r="J1799" s="67" t="str">
        <f aca="false">IF(OR($C1799="",$D1799=""),"",IFERROR($D1799*INDEX(Mix_Eff,MATCH($C1799,Mix_Code,0),5),""))</f>
        <v/>
      </c>
      <c r="K1799" s="63"/>
      <c r="L1799" s="16" t="str">
        <f aca="false">IF(AND($A1799="",$B1799="",$C1799="",$D1799=""),"",IF($A1799="","⚠ Date missing",IF($B1799="","⚠ Site missing",IF(ISNA(MATCH($C1799,Mix_Code,0)),"⚠ Unknown mix code",IF($D1799="","⚠ Enter m3 produced",IF(COUNTIF(CI_Site,$B1799)=0,"⚠ Site not set up in Current Inventory",IF($A1799&gt;AsOfDate,"Future date – not yet deducted","OK")))))))</f>
        <v/>
      </c>
    </row>
    <row r="1800" customFormat="false" ht="15" hidden="false" customHeight="false" outlineLevel="0" collapsed="false">
      <c r="A1800" s="65"/>
      <c r="B1800" s="63"/>
      <c r="C1800" s="70"/>
      <c r="D1800" s="66"/>
      <c r="E1800" s="16" t="str">
        <f aca="false">IF($C1800="","",IFERROR(INDEX(Mix_Desc,MATCH($C1800,Mix_Code,0)),"⚠ Unknown mix code"))</f>
        <v/>
      </c>
      <c r="F1800" s="67" t="str">
        <f aca="false">IF(OR($C1800="",$D1800=""),"",IFERROR($D1800*INDEX(Mix_Eff,MATCH($C1800,Mix_Code,0),1),""))</f>
        <v/>
      </c>
      <c r="G1800" s="67" t="str">
        <f aca="false">IF(OR($C1800="",$D1800=""),"",IFERROR($D1800*INDEX(Mix_Eff,MATCH($C1800,Mix_Code,0),2),""))</f>
        <v/>
      </c>
      <c r="H1800" s="67" t="str">
        <f aca="false">IF(OR($C1800="",$D1800=""),"",IFERROR($D1800*INDEX(Mix_Eff,MATCH($C1800,Mix_Code,0),3),""))</f>
        <v/>
      </c>
      <c r="I1800" s="67" t="str">
        <f aca="false">IF(OR($C1800="",$D1800=""),"",IFERROR($D1800*INDEX(Mix_Eff,MATCH($C1800,Mix_Code,0),4),""))</f>
        <v/>
      </c>
      <c r="J1800" s="67" t="str">
        <f aca="false">IF(OR($C1800="",$D1800=""),"",IFERROR($D1800*INDEX(Mix_Eff,MATCH($C1800,Mix_Code,0),5),""))</f>
        <v/>
      </c>
      <c r="K1800" s="63"/>
      <c r="L1800" s="16" t="str">
        <f aca="false">IF(AND($A1800="",$B1800="",$C1800="",$D1800=""),"",IF($A1800="","⚠ Date missing",IF($B1800="","⚠ Site missing",IF(ISNA(MATCH($C1800,Mix_Code,0)),"⚠ Unknown mix code",IF($D1800="","⚠ Enter m3 produced",IF(COUNTIF(CI_Site,$B1800)=0,"⚠ Site not set up in Current Inventory",IF($A1800&gt;AsOfDate,"Future date – not yet deducted","OK")))))))</f>
        <v/>
      </c>
    </row>
    <row r="1801" customFormat="false" ht="15" hidden="false" customHeight="false" outlineLevel="0" collapsed="false">
      <c r="A1801" s="65"/>
      <c r="B1801" s="63"/>
      <c r="C1801" s="70"/>
      <c r="D1801" s="66"/>
      <c r="E1801" s="16" t="str">
        <f aca="false">IF($C1801="","",IFERROR(INDEX(Mix_Desc,MATCH($C1801,Mix_Code,0)),"⚠ Unknown mix code"))</f>
        <v/>
      </c>
      <c r="F1801" s="67" t="str">
        <f aca="false">IF(OR($C1801="",$D1801=""),"",IFERROR($D1801*INDEX(Mix_Eff,MATCH($C1801,Mix_Code,0),1),""))</f>
        <v/>
      </c>
      <c r="G1801" s="67" t="str">
        <f aca="false">IF(OR($C1801="",$D1801=""),"",IFERROR($D1801*INDEX(Mix_Eff,MATCH($C1801,Mix_Code,0),2),""))</f>
        <v/>
      </c>
      <c r="H1801" s="67" t="str">
        <f aca="false">IF(OR($C1801="",$D1801=""),"",IFERROR($D1801*INDEX(Mix_Eff,MATCH($C1801,Mix_Code,0),3),""))</f>
        <v/>
      </c>
      <c r="I1801" s="67" t="str">
        <f aca="false">IF(OR($C1801="",$D1801=""),"",IFERROR($D1801*INDEX(Mix_Eff,MATCH($C1801,Mix_Code,0),4),""))</f>
        <v/>
      </c>
      <c r="J1801" s="67" t="str">
        <f aca="false">IF(OR($C1801="",$D1801=""),"",IFERROR($D1801*INDEX(Mix_Eff,MATCH($C1801,Mix_Code,0),5),""))</f>
        <v/>
      </c>
      <c r="K1801" s="63"/>
      <c r="L1801" s="16" t="str">
        <f aca="false">IF(AND($A1801="",$B1801="",$C1801="",$D1801=""),"",IF($A1801="","⚠ Date missing",IF($B1801="","⚠ Site missing",IF(ISNA(MATCH($C1801,Mix_Code,0)),"⚠ Unknown mix code",IF($D1801="","⚠ Enter m3 produced",IF(COUNTIF(CI_Site,$B1801)=0,"⚠ Site not set up in Current Inventory",IF($A1801&gt;AsOfDate,"Future date – not yet deducted","OK")))))))</f>
        <v/>
      </c>
    </row>
    <row r="1802" customFormat="false" ht="15" hidden="false" customHeight="false" outlineLevel="0" collapsed="false">
      <c r="A1802" s="65"/>
      <c r="B1802" s="63"/>
      <c r="C1802" s="70"/>
      <c r="D1802" s="66"/>
      <c r="E1802" s="16" t="str">
        <f aca="false">IF($C1802="","",IFERROR(INDEX(Mix_Desc,MATCH($C1802,Mix_Code,0)),"⚠ Unknown mix code"))</f>
        <v/>
      </c>
      <c r="F1802" s="67" t="str">
        <f aca="false">IF(OR($C1802="",$D1802=""),"",IFERROR($D1802*INDEX(Mix_Eff,MATCH($C1802,Mix_Code,0),1),""))</f>
        <v/>
      </c>
      <c r="G1802" s="67" t="str">
        <f aca="false">IF(OR($C1802="",$D1802=""),"",IFERROR($D1802*INDEX(Mix_Eff,MATCH($C1802,Mix_Code,0),2),""))</f>
        <v/>
      </c>
      <c r="H1802" s="67" t="str">
        <f aca="false">IF(OR($C1802="",$D1802=""),"",IFERROR($D1802*INDEX(Mix_Eff,MATCH($C1802,Mix_Code,0),3),""))</f>
        <v/>
      </c>
      <c r="I1802" s="67" t="str">
        <f aca="false">IF(OR($C1802="",$D1802=""),"",IFERROR($D1802*INDEX(Mix_Eff,MATCH($C1802,Mix_Code,0),4),""))</f>
        <v/>
      </c>
      <c r="J1802" s="67" t="str">
        <f aca="false">IF(OR($C1802="",$D1802=""),"",IFERROR($D1802*INDEX(Mix_Eff,MATCH($C1802,Mix_Code,0),5),""))</f>
        <v/>
      </c>
      <c r="K1802" s="63"/>
      <c r="L1802" s="16" t="str">
        <f aca="false">IF(AND($A1802="",$B1802="",$C1802="",$D1802=""),"",IF($A1802="","⚠ Date missing",IF($B1802="","⚠ Site missing",IF(ISNA(MATCH($C1802,Mix_Code,0)),"⚠ Unknown mix code",IF($D1802="","⚠ Enter m3 produced",IF(COUNTIF(CI_Site,$B1802)=0,"⚠ Site not set up in Current Inventory",IF($A1802&gt;AsOfDate,"Future date – not yet deducted","OK")))))))</f>
        <v/>
      </c>
    </row>
    <row r="1803" customFormat="false" ht="15" hidden="false" customHeight="false" outlineLevel="0" collapsed="false">
      <c r="A1803" s="65"/>
      <c r="B1803" s="63"/>
      <c r="C1803" s="70"/>
      <c r="D1803" s="66"/>
      <c r="E1803" s="16" t="str">
        <f aca="false">IF($C1803="","",IFERROR(INDEX(Mix_Desc,MATCH($C1803,Mix_Code,0)),"⚠ Unknown mix code"))</f>
        <v/>
      </c>
      <c r="F1803" s="67" t="str">
        <f aca="false">IF(OR($C1803="",$D1803=""),"",IFERROR($D1803*INDEX(Mix_Eff,MATCH($C1803,Mix_Code,0),1),""))</f>
        <v/>
      </c>
      <c r="G1803" s="67" t="str">
        <f aca="false">IF(OR($C1803="",$D1803=""),"",IFERROR($D1803*INDEX(Mix_Eff,MATCH($C1803,Mix_Code,0),2),""))</f>
        <v/>
      </c>
      <c r="H1803" s="67" t="str">
        <f aca="false">IF(OR($C1803="",$D1803=""),"",IFERROR($D1803*INDEX(Mix_Eff,MATCH($C1803,Mix_Code,0),3),""))</f>
        <v/>
      </c>
      <c r="I1803" s="67" t="str">
        <f aca="false">IF(OR($C1803="",$D1803=""),"",IFERROR($D1803*INDEX(Mix_Eff,MATCH($C1803,Mix_Code,0),4),""))</f>
        <v/>
      </c>
      <c r="J1803" s="67" t="str">
        <f aca="false">IF(OR($C1803="",$D1803=""),"",IFERROR($D1803*INDEX(Mix_Eff,MATCH($C1803,Mix_Code,0),5),""))</f>
        <v/>
      </c>
      <c r="K1803" s="63"/>
      <c r="L1803" s="16" t="str">
        <f aca="false">IF(AND($A1803="",$B1803="",$C1803="",$D1803=""),"",IF($A1803="","⚠ Date missing",IF($B1803="","⚠ Site missing",IF(ISNA(MATCH($C1803,Mix_Code,0)),"⚠ Unknown mix code",IF($D1803="","⚠ Enter m3 produced",IF(COUNTIF(CI_Site,$B1803)=0,"⚠ Site not set up in Current Inventory",IF($A1803&gt;AsOfDate,"Future date – not yet deducted","OK")))))))</f>
        <v/>
      </c>
    </row>
    <row r="1804" customFormat="false" ht="15" hidden="false" customHeight="false" outlineLevel="0" collapsed="false">
      <c r="A1804" s="65"/>
      <c r="B1804" s="63"/>
      <c r="C1804" s="70"/>
      <c r="D1804" s="66"/>
      <c r="E1804" s="16" t="str">
        <f aca="false">IF($C1804="","",IFERROR(INDEX(Mix_Desc,MATCH($C1804,Mix_Code,0)),"⚠ Unknown mix code"))</f>
        <v/>
      </c>
      <c r="F1804" s="67" t="str">
        <f aca="false">IF(OR($C1804="",$D1804=""),"",IFERROR($D1804*INDEX(Mix_Eff,MATCH($C1804,Mix_Code,0),1),""))</f>
        <v/>
      </c>
      <c r="G1804" s="67" t="str">
        <f aca="false">IF(OR($C1804="",$D1804=""),"",IFERROR($D1804*INDEX(Mix_Eff,MATCH($C1804,Mix_Code,0),2),""))</f>
        <v/>
      </c>
      <c r="H1804" s="67" t="str">
        <f aca="false">IF(OR($C1804="",$D1804=""),"",IFERROR($D1804*INDEX(Mix_Eff,MATCH($C1804,Mix_Code,0),3),""))</f>
        <v/>
      </c>
      <c r="I1804" s="67" t="str">
        <f aca="false">IF(OR($C1804="",$D1804=""),"",IFERROR($D1804*INDEX(Mix_Eff,MATCH($C1804,Mix_Code,0),4),""))</f>
        <v/>
      </c>
      <c r="J1804" s="67" t="str">
        <f aca="false">IF(OR($C1804="",$D1804=""),"",IFERROR($D1804*INDEX(Mix_Eff,MATCH($C1804,Mix_Code,0),5),""))</f>
        <v/>
      </c>
      <c r="K1804" s="63"/>
      <c r="L1804" s="16" t="str">
        <f aca="false">IF(AND($A1804="",$B1804="",$C1804="",$D1804=""),"",IF($A1804="","⚠ Date missing",IF($B1804="","⚠ Site missing",IF(ISNA(MATCH($C1804,Mix_Code,0)),"⚠ Unknown mix code",IF($D1804="","⚠ Enter m3 produced",IF(COUNTIF(CI_Site,$B1804)=0,"⚠ Site not set up in Current Inventory",IF($A1804&gt;AsOfDate,"Future date – not yet deducted","OK")))))))</f>
        <v/>
      </c>
    </row>
    <row r="1805" customFormat="false" ht="15" hidden="false" customHeight="false" outlineLevel="0" collapsed="false">
      <c r="A1805" s="65"/>
      <c r="B1805" s="63"/>
      <c r="C1805" s="70"/>
      <c r="D1805" s="66"/>
      <c r="E1805" s="16" t="str">
        <f aca="false">IF($C1805="","",IFERROR(INDEX(Mix_Desc,MATCH($C1805,Mix_Code,0)),"⚠ Unknown mix code"))</f>
        <v/>
      </c>
      <c r="F1805" s="67" t="str">
        <f aca="false">IF(OR($C1805="",$D1805=""),"",IFERROR($D1805*INDEX(Mix_Eff,MATCH($C1805,Mix_Code,0),1),""))</f>
        <v/>
      </c>
      <c r="G1805" s="67" t="str">
        <f aca="false">IF(OR($C1805="",$D1805=""),"",IFERROR($D1805*INDEX(Mix_Eff,MATCH($C1805,Mix_Code,0),2),""))</f>
        <v/>
      </c>
      <c r="H1805" s="67" t="str">
        <f aca="false">IF(OR($C1805="",$D1805=""),"",IFERROR($D1805*INDEX(Mix_Eff,MATCH($C1805,Mix_Code,0),3),""))</f>
        <v/>
      </c>
      <c r="I1805" s="67" t="str">
        <f aca="false">IF(OR($C1805="",$D1805=""),"",IFERROR($D1805*INDEX(Mix_Eff,MATCH($C1805,Mix_Code,0),4),""))</f>
        <v/>
      </c>
      <c r="J1805" s="67" t="str">
        <f aca="false">IF(OR($C1805="",$D1805=""),"",IFERROR($D1805*INDEX(Mix_Eff,MATCH($C1805,Mix_Code,0),5),""))</f>
        <v/>
      </c>
      <c r="K1805" s="63"/>
      <c r="L1805" s="16" t="str">
        <f aca="false">IF(AND($A1805="",$B1805="",$C1805="",$D1805=""),"",IF($A1805="","⚠ Date missing",IF($B1805="","⚠ Site missing",IF(ISNA(MATCH($C1805,Mix_Code,0)),"⚠ Unknown mix code",IF($D1805="","⚠ Enter m3 produced",IF(COUNTIF(CI_Site,$B1805)=0,"⚠ Site not set up in Current Inventory",IF($A1805&gt;AsOfDate,"Future date – not yet deducted","OK")))))))</f>
        <v/>
      </c>
    </row>
    <row r="1806" customFormat="false" ht="15" hidden="false" customHeight="false" outlineLevel="0" collapsed="false">
      <c r="A1806" s="65"/>
      <c r="B1806" s="63"/>
      <c r="C1806" s="70"/>
      <c r="D1806" s="66"/>
      <c r="E1806" s="16" t="str">
        <f aca="false">IF($C1806="","",IFERROR(INDEX(Mix_Desc,MATCH($C1806,Mix_Code,0)),"⚠ Unknown mix code"))</f>
        <v/>
      </c>
      <c r="F1806" s="67" t="str">
        <f aca="false">IF(OR($C1806="",$D1806=""),"",IFERROR($D1806*INDEX(Mix_Eff,MATCH($C1806,Mix_Code,0),1),""))</f>
        <v/>
      </c>
      <c r="G1806" s="67" t="str">
        <f aca="false">IF(OR($C1806="",$D1806=""),"",IFERROR($D1806*INDEX(Mix_Eff,MATCH($C1806,Mix_Code,0),2),""))</f>
        <v/>
      </c>
      <c r="H1806" s="67" t="str">
        <f aca="false">IF(OR($C1806="",$D1806=""),"",IFERROR($D1806*INDEX(Mix_Eff,MATCH($C1806,Mix_Code,0),3),""))</f>
        <v/>
      </c>
      <c r="I1806" s="67" t="str">
        <f aca="false">IF(OR($C1806="",$D1806=""),"",IFERROR($D1806*INDEX(Mix_Eff,MATCH($C1806,Mix_Code,0),4),""))</f>
        <v/>
      </c>
      <c r="J1806" s="67" t="str">
        <f aca="false">IF(OR($C1806="",$D1806=""),"",IFERROR($D1806*INDEX(Mix_Eff,MATCH($C1806,Mix_Code,0),5),""))</f>
        <v/>
      </c>
      <c r="K1806" s="63"/>
      <c r="L1806" s="16" t="str">
        <f aca="false">IF(AND($A1806="",$B1806="",$C1806="",$D1806=""),"",IF($A1806="","⚠ Date missing",IF($B1806="","⚠ Site missing",IF(ISNA(MATCH($C1806,Mix_Code,0)),"⚠ Unknown mix code",IF($D1806="","⚠ Enter m3 produced",IF(COUNTIF(CI_Site,$B1806)=0,"⚠ Site not set up in Current Inventory",IF($A1806&gt;AsOfDate,"Future date – not yet deducted","OK")))))))</f>
        <v/>
      </c>
    </row>
    <row r="1807" customFormat="false" ht="15" hidden="false" customHeight="false" outlineLevel="0" collapsed="false">
      <c r="A1807" s="65"/>
      <c r="B1807" s="63"/>
      <c r="C1807" s="70"/>
      <c r="D1807" s="66"/>
      <c r="E1807" s="16" t="str">
        <f aca="false">IF($C1807="","",IFERROR(INDEX(Mix_Desc,MATCH($C1807,Mix_Code,0)),"⚠ Unknown mix code"))</f>
        <v/>
      </c>
      <c r="F1807" s="67" t="str">
        <f aca="false">IF(OR($C1807="",$D1807=""),"",IFERROR($D1807*INDEX(Mix_Eff,MATCH($C1807,Mix_Code,0),1),""))</f>
        <v/>
      </c>
      <c r="G1807" s="67" t="str">
        <f aca="false">IF(OR($C1807="",$D1807=""),"",IFERROR($D1807*INDEX(Mix_Eff,MATCH($C1807,Mix_Code,0),2),""))</f>
        <v/>
      </c>
      <c r="H1807" s="67" t="str">
        <f aca="false">IF(OR($C1807="",$D1807=""),"",IFERROR($D1807*INDEX(Mix_Eff,MATCH($C1807,Mix_Code,0),3),""))</f>
        <v/>
      </c>
      <c r="I1807" s="67" t="str">
        <f aca="false">IF(OR($C1807="",$D1807=""),"",IFERROR($D1807*INDEX(Mix_Eff,MATCH($C1807,Mix_Code,0),4),""))</f>
        <v/>
      </c>
      <c r="J1807" s="67" t="str">
        <f aca="false">IF(OR($C1807="",$D1807=""),"",IFERROR($D1807*INDEX(Mix_Eff,MATCH($C1807,Mix_Code,0),5),""))</f>
        <v/>
      </c>
      <c r="K1807" s="63"/>
      <c r="L1807" s="16" t="str">
        <f aca="false">IF(AND($A1807="",$B1807="",$C1807="",$D1807=""),"",IF($A1807="","⚠ Date missing",IF($B1807="","⚠ Site missing",IF(ISNA(MATCH($C1807,Mix_Code,0)),"⚠ Unknown mix code",IF($D1807="","⚠ Enter m3 produced",IF(COUNTIF(CI_Site,$B1807)=0,"⚠ Site not set up in Current Inventory",IF($A1807&gt;AsOfDate,"Future date – not yet deducted","OK")))))))</f>
        <v/>
      </c>
    </row>
    <row r="1808" customFormat="false" ht="15" hidden="false" customHeight="false" outlineLevel="0" collapsed="false">
      <c r="A1808" s="65"/>
      <c r="B1808" s="63"/>
      <c r="C1808" s="70"/>
      <c r="D1808" s="66"/>
      <c r="E1808" s="16" t="str">
        <f aca="false">IF($C1808="","",IFERROR(INDEX(Mix_Desc,MATCH($C1808,Mix_Code,0)),"⚠ Unknown mix code"))</f>
        <v/>
      </c>
      <c r="F1808" s="67" t="str">
        <f aca="false">IF(OR($C1808="",$D1808=""),"",IFERROR($D1808*INDEX(Mix_Eff,MATCH($C1808,Mix_Code,0),1),""))</f>
        <v/>
      </c>
      <c r="G1808" s="67" t="str">
        <f aca="false">IF(OR($C1808="",$D1808=""),"",IFERROR($D1808*INDEX(Mix_Eff,MATCH($C1808,Mix_Code,0),2),""))</f>
        <v/>
      </c>
      <c r="H1808" s="67" t="str">
        <f aca="false">IF(OR($C1808="",$D1808=""),"",IFERROR($D1808*INDEX(Mix_Eff,MATCH($C1808,Mix_Code,0),3),""))</f>
        <v/>
      </c>
      <c r="I1808" s="67" t="str">
        <f aca="false">IF(OR($C1808="",$D1808=""),"",IFERROR($D1808*INDEX(Mix_Eff,MATCH($C1808,Mix_Code,0),4),""))</f>
        <v/>
      </c>
      <c r="J1808" s="67" t="str">
        <f aca="false">IF(OR($C1808="",$D1808=""),"",IFERROR($D1808*INDEX(Mix_Eff,MATCH($C1808,Mix_Code,0),5),""))</f>
        <v/>
      </c>
      <c r="K1808" s="63"/>
      <c r="L1808" s="16" t="str">
        <f aca="false">IF(AND($A1808="",$B1808="",$C1808="",$D1808=""),"",IF($A1808="","⚠ Date missing",IF($B1808="","⚠ Site missing",IF(ISNA(MATCH($C1808,Mix_Code,0)),"⚠ Unknown mix code",IF($D1808="","⚠ Enter m3 produced",IF(COUNTIF(CI_Site,$B1808)=0,"⚠ Site not set up in Current Inventory",IF($A1808&gt;AsOfDate,"Future date – not yet deducted","OK")))))))</f>
        <v/>
      </c>
    </row>
    <row r="1809" customFormat="false" ht="15" hidden="false" customHeight="false" outlineLevel="0" collapsed="false">
      <c r="A1809" s="65"/>
      <c r="B1809" s="63"/>
      <c r="C1809" s="70"/>
      <c r="D1809" s="66"/>
      <c r="E1809" s="16" t="str">
        <f aca="false">IF($C1809="","",IFERROR(INDEX(Mix_Desc,MATCH($C1809,Mix_Code,0)),"⚠ Unknown mix code"))</f>
        <v/>
      </c>
      <c r="F1809" s="67" t="str">
        <f aca="false">IF(OR($C1809="",$D1809=""),"",IFERROR($D1809*INDEX(Mix_Eff,MATCH($C1809,Mix_Code,0),1),""))</f>
        <v/>
      </c>
      <c r="G1809" s="67" t="str">
        <f aca="false">IF(OR($C1809="",$D1809=""),"",IFERROR($D1809*INDEX(Mix_Eff,MATCH($C1809,Mix_Code,0),2),""))</f>
        <v/>
      </c>
      <c r="H1809" s="67" t="str">
        <f aca="false">IF(OR($C1809="",$D1809=""),"",IFERROR($D1809*INDEX(Mix_Eff,MATCH($C1809,Mix_Code,0),3),""))</f>
        <v/>
      </c>
      <c r="I1809" s="67" t="str">
        <f aca="false">IF(OR($C1809="",$D1809=""),"",IFERROR($D1809*INDEX(Mix_Eff,MATCH($C1809,Mix_Code,0),4),""))</f>
        <v/>
      </c>
      <c r="J1809" s="67" t="str">
        <f aca="false">IF(OR($C1809="",$D1809=""),"",IFERROR($D1809*INDEX(Mix_Eff,MATCH($C1809,Mix_Code,0),5),""))</f>
        <v/>
      </c>
      <c r="K1809" s="63"/>
      <c r="L1809" s="16" t="str">
        <f aca="false">IF(AND($A1809="",$B1809="",$C1809="",$D1809=""),"",IF($A1809="","⚠ Date missing",IF($B1809="","⚠ Site missing",IF(ISNA(MATCH($C1809,Mix_Code,0)),"⚠ Unknown mix code",IF($D1809="","⚠ Enter m3 produced",IF(COUNTIF(CI_Site,$B1809)=0,"⚠ Site not set up in Current Inventory",IF($A1809&gt;AsOfDate,"Future date – not yet deducted","OK")))))))</f>
        <v/>
      </c>
    </row>
    <row r="1810" customFormat="false" ht="15" hidden="false" customHeight="false" outlineLevel="0" collapsed="false">
      <c r="A1810" s="65"/>
      <c r="B1810" s="63"/>
      <c r="C1810" s="70"/>
      <c r="D1810" s="66"/>
      <c r="E1810" s="16" t="str">
        <f aca="false">IF($C1810="","",IFERROR(INDEX(Mix_Desc,MATCH($C1810,Mix_Code,0)),"⚠ Unknown mix code"))</f>
        <v/>
      </c>
      <c r="F1810" s="67" t="str">
        <f aca="false">IF(OR($C1810="",$D1810=""),"",IFERROR($D1810*INDEX(Mix_Eff,MATCH($C1810,Mix_Code,0),1),""))</f>
        <v/>
      </c>
      <c r="G1810" s="67" t="str">
        <f aca="false">IF(OR($C1810="",$D1810=""),"",IFERROR($D1810*INDEX(Mix_Eff,MATCH($C1810,Mix_Code,0),2),""))</f>
        <v/>
      </c>
      <c r="H1810" s="67" t="str">
        <f aca="false">IF(OR($C1810="",$D1810=""),"",IFERROR($D1810*INDEX(Mix_Eff,MATCH($C1810,Mix_Code,0),3),""))</f>
        <v/>
      </c>
      <c r="I1810" s="67" t="str">
        <f aca="false">IF(OR($C1810="",$D1810=""),"",IFERROR($D1810*INDEX(Mix_Eff,MATCH($C1810,Mix_Code,0),4),""))</f>
        <v/>
      </c>
      <c r="J1810" s="67" t="str">
        <f aca="false">IF(OR($C1810="",$D1810=""),"",IFERROR($D1810*INDEX(Mix_Eff,MATCH($C1810,Mix_Code,0),5),""))</f>
        <v/>
      </c>
      <c r="K1810" s="63"/>
      <c r="L1810" s="16" t="str">
        <f aca="false">IF(AND($A1810="",$B1810="",$C1810="",$D1810=""),"",IF($A1810="","⚠ Date missing",IF($B1810="","⚠ Site missing",IF(ISNA(MATCH($C1810,Mix_Code,0)),"⚠ Unknown mix code",IF($D1810="","⚠ Enter m3 produced",IF(COUNTIF(CI_Site,$B1810)=0,"⚠ Site not set up in Current Inventory",IF($A1810&gt;AsOfDate,"Future date – not yet deducted","OK")))))))</f>
        <v/>
      </c>
    </row>
    <row r="1811" customFormat="false" ht="15" hidden="false" customHeight="false" outlineLevel="0" collapsed="false">
      <c r="A1811" s="65"/>
      <c r="B1811" s="63"/>
      <c r="C1811" s="70"/>
      <c r="D1811" s="66"/>
      <c r="E1811" s="16" t="str">
        <f aca="false">IF($C1811="","",IFERROR(INDEX(Mix_Desc,MATCH($C1811,Mix_Code,0)),"⚠ Unknown mix code"))</f>
        <v/>
      </c>
      <c r="F1811" s="67" t="str">
        <f aca="false">IF(OR($C1811="",$D1811=""),"",IFERROR($D1811*INDEX(Mix_Eff,MATCH($C1811,Mix_Code,0),1),""))</f>
        <v/>
      </c>
      <c r="G1811" s="67" t="str">
        <f aca="false">IF(OR($C1811="",$D1811=""),"",IFERROR($D1811*INDEX(Mix_Eff,MATCH($C1811,Mix_Code,0),2),""))</f>
        <v/>
      </c>
      <c r="H1811" s="67" t="str">
        <f aca="false">IF(OR($C1811="",$D1811=""),"",IFERROR($D1811*INDEX(Mix_Eff,MATCH($C1811,Mix_Code,0),3),""))</f>
        <v/>
      </c>
      <c r="I1811" s="67" t="str">
        <f aca="false">IF(OR($C1811="",$D1811=""),"",IFERROR($D1811*INDEX(Mix_Eff,MATCH($C1811,Mix_Code,0),4),""))</f>
        <v/>
      </c>
      <c r="J1811" s="67" t="str">
        <f aca="false">IF(OR($C1811="",$D1811=""),"",IFERROR($D1811*INDEX(Mix_Eff,MATCH($C1811,Mix_Code,0),5),""))</f>
        <v/>
      </c>
      <c r="K1811" s="63"/>
      <c r="L1811" s="16" t="str">
        <f aca="false">IF(AND($A1811="",$B1811="",$C1811="",$D1811=""),"",IF($A1811="","⚠ Date missing",IF($B1811="","⚠ Site missing",IF(ISNA(MATCH($C1811,Mix_Code,0)),"⚠ Unknown mix code",IF($D1811="","⚠ Enter m3 produced",IF(COUNTIF(CI_Site,$B1811)=0,"⚠ Site not set up in Current Inventory",IF($A1811&gt;AsOfDate,"Future date – not yet deducted","OK")))))))</f>
        <v/>
      </c>
    </row>
    <row r="1812" customFormat="false" ht="15" hidden="false" customHeight="false" outlineLevel="0" collapsed="false">
      <c r="A1812" s="65"/>
      <c r="B1812" s="63"/>
      <c r="C1812" s="70"/>
      <c r="D1812" s="66"/>
      <c r="E1812" s="16" t="str">
        <f aca="false">IF($C1812="","",IFERROR(INDEX(Mix_Desc,MATCH($C1812,Mix_Code,0)),"⚠ Unknown mix code"))</f>
        <v/>
      </c>
      <c r="F1812" s="67" t="str">
        <f aca="false">IF(OR($C1812="",$D1812=""),"",IFERROR($D1812*INDEX(Mix_Eff,MATCH($C1812,Mix_Code,0),1),""))</f>
        <v/>
      </c>
      <c r="G1812" s="67" t="str">
        <f aca="false">IF(OR($C1812="",$D1812=""),"",IFERROR($D1812*INDEX(Mix_Eff,MATCH($C1812,Mix_Code,0),2),""))</f>
        <v/>
      </c>
      <c r="H1812" s="67" t="str">
        <f aca="false">IF(OR($C1812="",$D1812=""),"",IFERROR($D1812*INDEX(Mix_Eff,MATCH($C1812,Mix_Code,0),3),""))</f>
        <v/>
      </c>
      <c r="I1812" s="67" t="str">
        <f aca="false">IF(OR($C1812="",$D1812=""),"",IFERROR($D1812*INDEX(Mix_Eff,MATCH($C1812,Mix_Code,0),4),""))</f>
        <v/>
      </c>
      <c r="J1812" s="67" t="str">
        <f aca="false">IF(OR($C1812="",$D1812=""),"",IFERROR($D1812*INDEX(Mix_Eff,MATCH($C1812,Mix_Code,0),5),""))</f>
        <v/>
      </c>
      <c r="K1812" s="63"/>
      <c r="L1812" s="16" t="str">
        <f aca="false">IF(AND($A1812="",$B1812="",$C1812="",$D1812=""),"",IF($A1812="","⚠ Date missing",IF($B1812="","⚠ Site missing",IF(ISNA(MATCH($C1812,Mix_Code,0)),"⚠ Unknown mix code",IF($D1812="","⚠ Enter m3 produced",IF(COUNTIF(CI_Site,$B1812)=0,"⚠ Site not set up in Current Inventory",IF($A1812&gt;AsOfDate,"Future date – not yet deducted","OK")))))))</f>
        <v/>
      </c>
    </row>
    <row r="1813" customFormat="false" ht="15" hidden="false" customHeight="false" outlineLevel="0" collapsed="false">
      <c r="A1813" s="65"/>
      <c r="B1813" s="63"/>
      <c r="C1813" s="70"/>
      <c r="D1813" s="66"/>
      <c r="E1813" s="16" t="str">
        <f aca="false">IF($C1813="","",IFERROR(INDEX(Mix_Desc,MATCH($C1813,Mix_Code,0)),"⚠ Unknown mix code"))</f>
        <v/>
      </c>
      <c r="F1813" s="67" t="str">
        <f aca="false">IF(OR($C1813="",$D1813=""),"",IFERROR($D1813*INDEX(Mix_Eff,MATCH($C1813,Mix_Code,0),1),""))</f>
        <v/>
      </c>
      <c r="G1813" s="67" t="str">
        <f aca="false">IF(OR($C1813="",$D1813=""),"",IFERROR($D1813*INDEX(Mix_Eff,MATCH($C1813,Mix_Code,0),2),""))</f>
        <v/>
      </c>
      <c r="H1813" s="67" t="str">
        <f aca="false">IF(OR($C1813="",$D1813=""),"",IFERROR($D1813*INDEX(Mix_Eff,MATCH($C1813,Mix_Code,0),3),""))</f>
        <v/>
      </c>
      <c r="I1813" s="67" t="str">
        <f aca="false">IF(OR($C1813="",$D1813=""),"",IFERROR($D1813*INDEX(Mix_Eff,MATCH($C1813,Mix_Code,0),4),""))</f>
        <v/>
      </c>
      <c r="J1813" s="67" t="str">
        <f aca="false">IF(OR($C1813="",$D1813=""),"",IFERROR($D1813*INDEX(Mix_Eff,MATCH($C1813,Mix_Code,0),5),""))</f>
        <v/>
      </c>
      <c r="K1813" s="63"/>
      <c r="L1813" s="16" t="str">
        <f aca="false">IF(AND($A1813="",$B1813="",$C1813="",$D1813=""),"",IF($A1813="","⚠ Date missing",IF($B1813="","⚠ Site missing",IF(ISNA(MATCH($C1813,Mix_Code,0)),"⚠ Unknown mix code",IF($D1813="","⚠ Enter m3 produced",IF(COUNTIF(CI_Site,$B1813)=0,"⚠ Site not set up in Current Inventory",IF($A1813&gt;AsOfDate,"Future date – not yet deducted","OK")))))))</f>
        <v/>
      </c>
    </row>
    <row r="1814" customFormat="false" ht="15" hidden="false" customHeight="false" outlineLevel="0" collapsed="false">
      <c r="A1814" s="65"/>
      <c r="B1814" s="63"/>
      <c r="C1814" s="70"/>
      <c r="D1814" s="66"/>
      <c r="E1814" s="16" t="str">
        <f aca="false">IF($C1814="","",IFERROR(INDEX(Mix_Desc,MATCH($C1814,Mix_Code,0)),"⚠ Unknown mix code"))</f>
        <v/>
      </c>
      <c r="F1814" s="67" t="str">
        <f aca="false">IF(OR($C1814="",$D1814=""),"",IFERROR($D1814*INDEX(Mix_Eff,MATCH($C1814,Mix_Code,0),1),""))</f>
        <v/>
      </c>
      <c r="G1814" s="67" t="str">
        <f aca="false">IF(OR($C1814="",$D1814=""),"",IFERROR($D1814*INDEX(Mix_Eff,MATCH($C1814,Mix_Code,0),2),""))</f>
        <v/>
      </c>
      <c r="H1814" s="67" t="str">
        <f aca="false">IF(OR($C1814="",$D1814=""),"",IFERROR($D1814*INDEX(Mix_Eff,MATCH($C1814,Mix_Code,0),3),""))</f>
        <v/>
      </c>
      <c r="I1814" s="67" t="str">
        <f aca="false">IF(OR($C1814="",$D1814=""),"",IFERROR($D1814*INDEX(Mix_Eff,MATCH($C1814,Mix_Code,0),4),""))</f>
        <v/>
      </c>
      <c r="J1814" s="67" t="str">
        <f aca="false">IF(OR($C1814="",$D1814=""),"",IFERROR($D1814*INDEX(Mix_Eff,MATCH($C1814,Mix_Code,0),5),""))</f>
        <v/>
      </c>
      <c r="K1814" s="63"/>
      <c r="L1814" s="16" t="str">
        <f aca="false">IF(AND($A1814="",$B1814="",$C1814="",$D1814=""),"",IF($A1814="","⚠ Date missing",IF($B1814="","⚠ Site missing",IF(ISNA(MATCH($C1814,Mix_Code,0)),"⚠ Unknown mix code",IF($D1814="","⚠ Enter m3 produced",IF(COUNTIF(CI_Site,$B1814)=0,"⚠ Site not set up in Current Inventory",IF($A1814&gt;AsOfDate,"Future date – not yet deducted","OK")))))))</f>
        <v/>
      </c>
    </row>
    <row r="1815" customFormat="false" ht="15" hidden="false" customHeight="false" outlineLevel="0" collapsed="false">
      <c r="A1815" s="65"/>
      <c r="B1815" s="63"/>
      <c r="C1815" s="70"/>
      <c r="D1815" s="66"/>
      <c r="E1815" s="16" t="str">
        <f aca="false">IF($C1815="","",IFERROR(INDEX(Mix_Desc,MATCH($C1815,Mix_Code,0)),"⚠ Unknown mix code"))</f>
        <v/>
      </c>
      <c r="F1815" s="67" t="str">
        <f aca="false">IF(OR($C1815="",$D1815=""),"",IFERROR($D1815*INDEX(Mix_Eff,MATCH($C1815,Mix_Code,0),1),""))</f>
        <v/>
      </c>
      <c r="G1815" s="67" t="str">
        <f aca="false">IF(OR($C1815="",$D1815=""),"",IFERROR($D1815*INDEX(Mix_Eff,MATCH($C1815,Mix_Code,0),2),""))</f>
        <v/>
      </c>
      <c r="H1815" s="67" t="str">
        <f aca="false">IF(OR($C1815="",$D1815=""),"",IFERROR($D1815*INDEX(Mix_Eff,MATCH($C1815,Mix_Code,0),3),""))</f>
        <v/>
      </c>
      <c r="I1815" s="67" t="str">
        <f aca="false">IF(OR($C1815="",$D1815=""),"",IFERROR($D1815*INDEX(Mix_Eff,MATCH($C1815,Mix_Code,0),4),""))</f>
        <v/>
      </c>
      <c r="J1815" s="67" t="str">
        <f aca="false">IF(OR($C1815="",$D1815=""),"",IFERROR($D1815*INDEX(Mix_Eff,MATCH($C1815,Mix_Code,0),5),""))</f>
        <v/>
      </c>
      <c r="K1815" s="63"/>
      <c r="L1815" s="16" t="str">
        <f aca="false">IF(AND($A1815="",$B1815="",$C1815="",$D1815=""),"",IF($A1815="","⚠ Date missing",IF($B1815="","⚠ Site missing",IF(ISNA(MATCH($C1815,Mix_Code,0)),"⚠ Unknown mix code",IF($D1815="","⚠ Enter m3 produced",IF(COUNTIF(CI_Site,$B1815)=0,"⚠ Site not set up in Current Inventory",IF($A1815&gt;AsOfDate,"Future date – not yet deducted","OK")))))))</f>
        <v/>
      </c>
    </row>
    <row r="1816" customFormat="false" ht="15" hidden="false" customHeight="false" outlineLevel="0" collapsed="false">
      <c r="A1816" s="65"/>
      <c r="B1816" s="63"/>
      <c r="C1816" s="70"/>
      <c r="D1816" s="66"/>
      <c r="E1816" s="16" t="str">
        <f aca="false">IF($C1816="","",IFERROR(INDEX(Mix_Desc,MATCH($C1816,Mix_Code,0)),"⚠ Unknown mix code"))</f>
        <v/>
      </c>
      <c r="F1816" s="67" t="str">
        <f aca="false">IF(OR($C1816="",$D1816=""),"",IFERROR($D1816*INDEX(Mix_Eff,MATCH($C1816,Mix_Code,0),1),""))</f>
        <v/>
      </c>
      <c r="G1816" s="67" t="str">
        <f aca="false">IF(OR($C1816="",$D1816=""),"",IFERROR($D1816*INDEX(Mix_Eff,MATCH($C1816,Mix_Code,0),2),""))</f>
        <v/>
      </c>
      <c r="H1816" s="67" t="str">
        <f aca="false">IF(OR($C1816="",$D1816=""),"",IFERROR($D1816*INDEX(Mix_Eff,MATCH($C1816,Mix_Code,0),3),""))</f>
        <v/>
      </c>
      <c r="I1816" s="67" t="str">
        <f aca="false">IF(OR($C1816="",$D1816=""),"",IFERROR($D1816*INDEX(Mix_Eff,MATCH($C1816,Mix_Code,0),4),""))</f>
        <v/>
      </c>
      <c r="J1816" s="67" t="str">
        <f aca="false">IF(OR($C1816="",$D1816=""),"",IFERROR($D1816*INDEX(Mix_Eff,MATCH($C1816,Mix_Code,0),5),""))</f>
        <v/>
      </c>
      <c r="K1816" s="63"/>
      <c r="L1816" s="16" t="str">
        <f aca="false">IF(AND($A1816="",$B1816="",$C1816="",$D1816=""),"",IF($A1816="","⚠ Date missing",IF($B1816="","⚠ Site missing",IF(ISNA(MATCH($C1816,Mix_Code,0)),"⚠ Unknown mix code",IF($D1816="","⚠ Enter m3 produced",IF(COUNTIF(CI_Site,$B1816)=0,"⚠ Site not set up in Current Inventory",IF($A1816&gt;AsOfDate,"Future date – not yet deducted","OK")))))))</f>
        <v/>
      </c>
    </row>
    <row r="1817" customFormat="false" ht="15" hidden="false" customHeight="false" outlineLevel="0" collapsed="false">
      <c r="A1817" s="65"/>
      <c r="B1817" s="63"/>
      <c r="C1817" s="70"/>
      <c r="D1817" s="66"/>
      <c r="E1817" s="16" t="str">
        <f aca="false">IF($C1817="","",IFERROR(INDEX(Mix_Desc,MATCH($C1817,Mix_Code,0)),"⚠ Unknown mix code"))</f>
        <v/>
      </c>
      <c r="F1817" s="67" t="str">
        <f aca="false">IF(OR($C1817="",$D1817=""),"",IFERROR($D1817*INDEX(Mix_Eff,MATCH($C1817,Mix_Code,0),1),""))</f>
        <v/>
      </c>
      <c r="G1817" s="67" t="str">
        <f aca="false">IF(OR($C1817="",$D1817=""),"",IFERROR($D1817*INDEX(Mix_Eff,MATCH($C1817,Mix_Code,0),2),""))</f>
        <v/>
      </c>
      <c r="H1817" s="67" t="str">
        <f aca="false">IF(OR($C1817="",$D1817=""),"",IFERROR($D1817*INDEX(Mix_Eff,MATCH($C1817,Mix_Code,0),3),""))</f>
        <v/>
      </c>
      <c r="I1817" s="67" t="str">
        <f aca="false">IF(OR($C1817="",$D1817=""),"",IFERROR($D1817*INDEX(Mix_Eff,MATCH($C1817,Mix_Code,0),4),""))</f>
        <v/>
      </c>
      <c r="J1817" s="67" t="str">
        <f aca="false">IF(OR($C1817="",$D1817=""),"",IFERROR($D1817*INDEX(Mix_Eff,MATCH($C1817,Mix_Code,0),5),""))</f>
        <v/>
      </c>
      <c r="K1817" s="63"/>
      <c r="L1817" s="16" t="str">
        <f aca="false">IF(AND($A1817="",$B1817="",$C1817="",$D1817=""),"",IF($A1817="","⚠ Date missing",IF($B1817="","⚠ Site missing",IF(ISNA(MATCH($C1817,Mix_Code,0)),"⚠ Unknown mix code",IF($D1817="","⚠ Enter m3 produced",IF(COUNTIF(CI_Site,$B1817)=0,"⚠ Site not set up in Current Inventory",IF($A1817&gt;AsOfDate,"Future date – not yet deducted","OK")))))))</f>
        <v/>
      </c>
    </row>
    <row r="1818" customFormat="false" ht="15" hidden="false" customHeight="false" outlineLevel="0" collapsed="false">
      <c r="A1818" s="65"/>
      <c r="B1818" s="63"/>
      <c r="C1818" s="70"/>
      <c r="D1818" s="66"/>
      <c r="E1818" s="16" t="str">
        <f aca="false">IF($C1818="","",IFERROR(INDEX(Mix_Desc,MATCH($C1818,Mix_Code,0)),"⚠ Unknown mix code"))</f>
        <v/>
      </c>
      <c r="F1818" s="67" t="str">
        <f aca="false">IF(OR($C1818="",$D1818=""),"",IFERROR($D1818*INDEX(Mix_Eff,MATCH($C1818,Mix_Code,0),1),""))</f>
        <v/>
      </c>
      <c r="G1818" s="67" t="str">
        <f aca="false">IF(OR($C1818="",$D1818=""),"",IFERROR($D1818*INDEX(Mix_Eff,MATCH($C1818,Mix_Code,0),2),""))</f>
        <v/>
      </c>
      <c r="H1818" s="67" t="str">
        <f aca="false">IF(OR($C1818="",$D1818=""),"",IFERROR($D1818*INDEX(Mix_Eff,MATCH($C1818,Mix_Code,0),3),""))</f>
        <v/>
      </c>
      <c r="I1818" s="67" t="str">
        <f aca="false">IF(OR($C1818="",$D1818=""),"",IFERROR($D1818*INDEX(Mix_Eff,MATCH($C1818,Mix_Code,0),4),""))</f>
        <v/>
      </c>
      <c r="J1818" s="67" t="str">
        <f aca="false">IF(OR($C1818="",$D1818=""),"",IFERROR($D1818*INDEX(Mix_Eff,MATCH($C1818,Mix_Code,0),5),""))</f>
        <v/>
      </c>
      <c r="K1818" s="63"/>
      <c r="L1818" s="16" t="str">
        <f aca="false">IF(AND($A1818="",$B1818="",$C1818="",$D1818=""),"",IF($A1818="","⚠ Date missing",IF($B1818="","⚠ Site missing",IF(ISNA(MATCH($C1818,Mix_Code,0)),"⚠ Unknown mix code",IF($D1818="","⚠ Enter m3 produced",IF(COUNTIF(CI_Site,$B1818)=0,"⚠ Site not set up in Current Inventory",IF($A1818&gt;AsOfDate,"Future date – not yet deducted","OK")))))))</f>
        <v/>
      </c>
    </row>
    <row r="1819" customFormat="false" ht="15" hidden="false" customHeight="false" outlineLevel="0" collapsed="false">
      <c r="A1819" s="65"/>
      <c r="B1819" s="63"/>
      <c r="C1819" s="70"/>
      <c r="D1819" s="66"/>
      <c r="E1819" s="16" t="str">
        <f aca="false">IF($C1819="","",IFERROR(INDEX(Mix_Desc,MATCH($C1819,Mix_Code,0)),"⚠ Unknown mix code"))</f>
        <v/>
      </c>
      <c r="F1819" s="67" t="str">
        <f aca="false">IF(OR($C1819="",$D1819=""),"",IFERROR($D1819*INDEX(Mix_Eff,MATCH($C1819,Mix_Code,0),1),""))</f>
        <v/>
      </c>
      <c r="G1819" s="67" t="str">
        <f aca="false">IF(OR($C1819="",$D1819=""),"",IFERROR($D1819*INDEX(Mix_Eff,MATCH($C1819,Mix_Code,0),2),""))</f>
        <v/>
      </c>
      <c r="H1819" s="67" t="str">
        <f aca="false">IF(OR($C1819="",$D1819=""),"",IFERROR($D1819*INDEX(Mix_Eff,MATCH($C1819,Mix_Code,0),3),""))</f>
        <v/>
      </c>
      <c r="I1819" s="67" t="str">
        <f aca="false">IF(OR($C1819="",$D1819=""),"",IFERROR($D1819*INDEX(Mix_Eff,MATCH($C1819,Mix_Code,0),4),""))</f>
        <v/>
      </c>
      <c r="J1819" s="67" t="str">
        <f aca="false">IF(OR($C1819="",$D1819=""),"",IFERROR($D1819*INDEX(Mix_Eff,MATCH($C1819,Mix_Code,0),5),""))</f>
        <v/>
      </c>
      <c r="K1819" s="63"/>
      <c r="L1819" s="16" t="str">
        <f aca="false">IF(AND($A1819="",$B1819="",$C1819="",$D1819=""),"",IF($A1819="","⚠ Date missing",IF($B1819="","⚠ Site missing",IF(ISNA(MATCH($C1819,Mix_Code,0)),"⚠ Unknown mix code",IF($D1819="","⚠ Enter m3 produced",IF(COUNTIF(CI_Site,$B1819)=0,"⚠ Site not set up in Current Inventory",IF($A1819&gt;AsOfDate,"Future date – not yet deducted","OK")))))))</f>
        <v/>
      </c>
    </row>
    <row r="1820" customFormat="false" ht="15" hidden="false" customHeight="false" outlineLevel="0" collapsed="false">
      <c r="A1820" s="65"/>
      <c r="B1820" s="63"/>
      <c r="C1820" s="70"/>
      <c r="D1820" s="66"/>
      <c r="E1820" s="16" t="str">
        <f aca="false">IF($C1820="","",IFERROR(INDEX(Mix_Desc,MATCH($C1820,Mix_Code,0)),"⚠ Unknown mix code"))</f>
        <v/>
      </c>
      <c r="F1820" s="67" t="str">
        <f aca="false">IF(OR($C1820="",$D1820=""),"",IFERROR($D1820*INDEX(Mix_Eff,MATCH($C1820,Mix_Code,0),1),""))</f>
        <v/>
      </c>
      <c r="G1820" s="67" t="str">
        <f aca="false">IF(OR($C1820="",$D1820=""),"",IFERROR($D1820*INDEX(Mix_Eff,MATCH($C1820,Mix_Code,0),2),""))</f>
        <v/>
      </c>
      <c r="H1820" s="67" t="str">
        <f aca="false">IF(OR($C1820="",$D1820=""),"",IFERROR($D1820*INDEX(Mix_Eff,MATCH($C1820,Mix_Code,0),3),""))</f>
        <v/>
      </c>
      <c r="I1820" s="67" t="str">
        <f aca="false">IF(OR($C1820="",$D1820=""),"",IFERROR($D1820*INDEX(Mix_Eff,MATCH($C1820,Mix_Code,0),4),""))</f>
        <v/>
      </c>
      <c r="J1820" s="67" t="str">
        <f aca="false">IF(OR($C1820="",$D1820=""),"",IFERROR($D1820*INDEX(Mix_Eff,MATCH($C1820,Mix_Code,0),5),""))</f>
        <v/>
      </c>
      <c r="K1820" s="63"/>
      <c r="L1820" s="16" t="str">
        <f aca="false">IF(AND($A1820="",$B1820="",$C1820="",$D1820=""),"",IF($A1820="","⚠ Date missing",IF($B1820="","⚠ Site missing",IF(ISNA(MATCH($C1820,Mix_Code,0)),"⚠ Unknown mix code",IF($D1820="","⚠ Enter m3 produced",IF(COUNTIF(CI_Site,$B1820)=0,"⚠ Site not set up in Current Inventory",IF($A1820&gt;AsOfDate,"Future date – not yet deducted","OK")))))))</f>
        <v/>
      </c>
    </row>
    <row r="1821" customFormat="false" ht="15" hidden="false" customHeight="false" outlineLevel="0" collapsed="false">
      <c r="A1821" s="65"/>
      <c r="B1821" s="63"/>
      <c r="C1821" s="70"/>
      <c r="D1821" s="66"/>
      <c r="E1821" s="16" t="str">
        <f aca="false">IF($C1821="","",IFERROR(INDEX(Mix_Desc,MATCH($C1821,Mix_Code,0)),"⚠ Unknown mix code"))</f>
        <v/>
      </c>
      <c r="F1821" s="67" t="str">
        <f aca="false">IF(OR($C1821="",$D1821=""),"",IFERROR($D1821*INDEX(Mix_Eff,MATCH($C1821,Mix_Code,0),1),""))</f>
        <v/>
      </c>
      <c r="G1821" s="67" t="str">
        <f aca="false">IF(OR($C1821="",$D1821=""),"",IFERROR($D1821*INDEX(Mix_Eff,MATCH($C1821,Mix_Code,0),2),""))</f>
        <v/>
      </c>
      <c r="H1821" s="67" t="str">
        <f aca="false">IF(OR($C1821="",$D1821=""),"",IFERROR($D1821*INDEX(Mix_Eff,MATCH($C1821,Mix_Code,0),3),""))</f>
        <v/>
      </c>
      <c r="I1821" s="67" t="str">
        <f aca="false">IF(OR($C1821="",$D1821=""),"",IFERROR($D1821*INDEX(Mix_Eff,MATCH($C1821,Mix_Code,0),4),""))</f>
        <v/>
      </c>
      <c r="J1821" s="67" t="str">
        <f aca="false">IF(OR($C1821="",$D1821=""),"",IFERROR($D1821*INDEX(Mix_Eff,MATCH($C1821,Mix_Code,0),5),""))</f>
        <v/>
      </c>
      <c r="K1821" s="63"/>
      <c r="L1821" s="16" t="str">
        <f aca="false">IF(AND($A1821="",$B1821="",$C1821="",$D1821=""),"",IF($A1821="","⚠ Date missing",IF($B1821="","⚠ Site missing",IF(ISNA(MATCH($C1821,Mix_Code,0)),"⚠ Unknown mix code",IF($D1821="","⚠ Enter m3 produced",IF(COUNTIF(CI_Site,$B1821)=0,"⚠ Site not set up in Current Inventory",IF($A1821&gt;AsOfDate,"Future date – not yet deducted","OK")))))))</f>
        <v/>
      </c>
    </row>
    <row r="1822" customFormat="false" ht="15" hidden="false" customHeight="false" outlineLevel="0" collapsed="false">
      <c r="A1822" s="65"/>
      <c r="B1822" s="63"/>
      <c r="C1822" s="70"/>
      <c r="D1822" s="66"/>
      <c r="E1822" s="16" t="str">
        <f aca="false">IF($C1822="","",IFERROR(INDEX(Mix_Desc,MATCH($C1822,Mix_Code,0)),"⚠ Unknown mix code"))</f>
        <v/>
      </c>
      <c r="F1822" s="67" t="str">
        <f aca="false">IF(OR($C1822="",$D1822=""),"",IFERROR($D1822*INDEX(Mix_Eff,MATCH($C1822,Mix_Code,0),1),""))</f>
        <v/>
      </c>
      <c r="G1822" s="67" t="str">
        <f aca="false">IF(OR($C1822="",$D1822=""),"",IFERROR($D1822*INDEX(Mix_Eff,MATCH($C1822,Mix_Code,0),2),""))</f>
        <v/>
      </c>
      <c r="H1822" s="67" t="str">
        <f aca="false">IF(OR($C1822="",$D1822=""),"",IFERROR($D1822*INDEX(Mix_Eff,MATCH($C1822,Mix_Code,0),3),""))</f>
        <v/>
      </c>
      <c r="I1822" s="67" t="str">
        <f aca="false">IF(OR($C1822="",$D1822=""),"",IFERROR($D1822*INDEX(Mix_Eff,MATCH($C1822,Mix_Code,0),4),""))</f>
        <v/>
      </c>
      <c r="J1822" s="67" t="str">
        <f aca="false">IF(OR($C1822="",$D1822=""),"",IFERROR($D1822*INDEX(Mix_Eff,MATCH($C1822,Mix_Code,0),5),""))</f>
        <v/>
      </c>
      <c r="K1822" s="63"/>
      <c r="L1822" s="16" t="str">
        <f aca="false">IF(AND($A1822="",$B1822="",$C1822="",$D1822=""),"",IF($A1822="","⚠ Date missing",IF($B1822="","⚠ Site missing",IF(ISNA(MATCH($C1822,Mix_Code,0)),"⚠ Unknown mix code",IF($D1822="","⚠ Enter m3 produced",IF(COUNTIF(CI_Site,$B1822)=0,"⚠ Site not set up in Current Inventory",IF($A1822&gt;AsOfDate,"Future date – not yet deducted","OK")))))))</f>
        <v/>
      </c>
    </row>
    <row r="1823" customFormat="false" ht="15" hidden="false" customHeight="false" outlineLevel="0" collapsed="false">
      <c r="A1823" s="65"/>
      <c r="B1823" s="63"/>
      <c r="C1823" s="70"/>
      <c r="D1823" s="66"/>
      <c r="E1823" s="16" t="str">
        <f aca="false">IF($C1823="","",IFERROR(INDEX(Mix_Desc,MATCH($C1823,Mix_Code,0)),"⚠ Unknown mix code"))</f>
        <v/>
      </c>
      <c r="F1823" s="67" t="str">
        <f aca="false">IF(OR($C1823="",$D1823=""),"",IFERROR($D1823*INDEX(Mix_Eff,MATCH($C1823,Mix_Code,0),1),""))</f>
        <v/>
      </c>
      <c r="G1823" s="67" t="str">
        <f aca="false">IF(OR($C1823="",$D1823=""),"",IFERROR($D1823*INDEX(Mix_Eff,MATCH($C1823,Mix_Code,0),2),""))</f>
        <v/>
      </c>
      <c r="H1823" s="67" t="str">
        <f aca="false">IF(OR($C1823="",$D1823=""),"",IFERROR($D1823*INDEX(Mix_Eff,MATCH($C1823,Mix_Code,0),3),""))</f>
        <v/>
      </c>
      <c r="I1823" s="67" t="str">
        <f aca="false">IF(OR($C1823="",$D1823=""),"",IFERROR($D1823*INDEX(Mix_Eff,MATCH($C1823,Mix_Code,0),4),""))</f>
        <v/>
      </c>
      <c r="J1823" s="67" t="str">
        <f aca="false">IF(OR($C1823="",$D1823=""),"",IFERROR($D1823*INDEX(Mix_Eff,MATCH($C1823,Mix_Code,0),5),""))</f>
        <v/>
      </c>
      <c r="K1823" s="63"/>
      <c r="L1823" s="16" t="str">
        <f aca="false">IF(AND($A1823="",$B1823="",$C1823="",$D1823=""),"",IF($A1823="","⚠ Date missing",IF($B1823="","⚠ Site missing",IF(ISNA(MATCH($C1823,Mix_Code,0)),"⚠ Unknown mix code",IF($D1823="","⚠ Enter m3 produced",IF(COUNTIF(CI_Site,$B1823)=0,"⚠ Site not set up in Current Inventory",IF($A1823&gt;AsOfDate,"Future date – not yet deducted","OK")))))))</f>
        <v/>
      </c>
    </row>
    <row r="1824" customFormat="false" ht="15" hidden="false" customHeight="false" outlineLevel="0" collapsed="false">
      <c r="A1824" s="65"/>
      <c r="B1824" s="63"/>
      <c r="C1824" s="70"/>
      <c r="D1824" s="66"/>
      <c r="E1824" s="16" t="str">
        <f aca="false">IF($C1824="","",IFERROR(INDEX(Mix_Desc,MATCH($C1824,Mix_Code,0)),"⚠ Unknown mix code"))</f>
        <v/>
      </c>
      <c r="F1824" s="67" t="str">
        <f aca="false">IF(OR($C1824="",$D1824=""),"",IFERROR($D1824*INDEX(Mix_Eff,MATCH($C1824,Mix_Code,0),1),""))</f>
        <v/>
      </c>
      <c r="G1824" s="67" t="str">
        <f aca="false">IF(OR($C1824="",$D1824=""),"",IFERROR($D1824*INDEX(Mix_Eff,MATCH($C1824,Mix_Code,0),2),""))</f>
        <v/>
      </c>
      <c r="H1824" s="67" t="str">
        <f aca="false">IF(OR($C1824="",$D1824=""),"",IFERROR($D1824*INDEX(Mix_Eff,MATCH($C1824,Mix_Code,0),3),""))</f>
        <v/>
      </c>
      <c r="I1824" s="67" t="str">
        <f aca="false">IF(OR($C1824="",$D1824=""),"",IFERROR($D1824*INDEX(Mix_Eff,MATCH($C1824,Mix_Code,0),4),""))</f>
        <v/>
      </c>
      <c r="J1824" s="67" t="str">
        <f aca="false">IF(OR($C1824="",$D1824=""),"",IFERROR($D1824*INDEX(Mix_Eff,MATCH($C1824,Mix_Code,0),5),""))</f>
        <v/>
      </c>
      <c r="K1824" s="63"/>
      <c r="L1824" s="16" t="str">
        <f aca="false">IF(AND($A1824="",$B1824="",$C1824="",$D1824=""),"",IF($A1824="","⚠ Date missing",IF($B1824="","⚠ Site missing",IF(ISNA(MATCH($C1824,Mix_Code,0)),"⚠ Unknown mix code",IF($D1824="","⚠ Enter m3 produced",IF(COUNTIF(CI_Site,$B1824)=0,"⚠ Site not set up in Current Inventory",IF($A1824&gt;AsOfDate,"Future date – not yet deducted","OK")))))))</f>
        <v/>
      </c>
    </row>
    <row r="1825" customFormat="false" ht="15" hidden="false" customHeight="false" outlineLevel="0" collapsed="false">
      <c r="A1825" s="65"/>
      <c r="B1825" s="63"/>
      <c r="C1825" s="70"/>
      <c r="D1825" s="66"/>
      <c r="E1825" s="16" t="str">
        <f aca="false">IF($C1825="","",IFERROR(INDEX(Mix_Desc,MATCH($C1825,Mix_Code,0)),"⚠ Unknown mix code"))</f>
        <v/>
      </c>
      <c r="F1825" s="67" t="str">
        <f aca="false">IF(OR($C1825="",$D1825=""),"",IFERROR($D1825*INDEX(Mix_Eff,MATCH($C1825,Mix_Code,0),1),""))</f>
        <v/>
      </c>
      <c r="G1825" s="67" t="str">
        <f aca="false">IF(OR($C1825="",$D1825=""),"",IFERROR($D1825*INDEX(Mix_Eff,MATCH($C1825,Mix_Code,0),2),""))</f>
        <v/>
      </c>
      <c r="H1825" s="67" t="str">
        <f aca="false">IF(OR($C1825="",$D1825=""),"",IFERROR($D1825*INDEX(Mix_Eff,MATCH($C1825,Mix_Code,0),3),""))</f>
        <v/>
      </c>
      <c r="I1825" s="67" t="str">
        <f aca="false">IF(OR($C1825="",$D1825=""),"",IFERROR($D1825*INDEX(Mix_Eff,MATCH($C1825,Mix_Code,0),4),""))</f>
        <v/>
      </c>
      <c r="J1825" s="67" t="str">
        <f aca="false">IF(OR($C1825="",$D1825=""),"",IFERROR($D1825*INDEX(Mix_Eff,MATCH($C1825,Mix_Code,0),5),""))</f>
        <v/>
      </c>
      <c r="K1825" s="63"/>
      <c r="L1825" s="16" t="str">
        <f aca="false">IF(AND($A1825="",$B1825="",$C1825="",$D1825=""),"",IF($A1825="","⚠ Date missing",IF($B1825="","⚠ Site missing",IF(ISNA(MATCH($C1825,Mix_Code,0)),"⚠ Unknown mix code",IF($D1825="","⚠ Enter m3 produced",IF(COUNTIF(CI_Site,$B1825)=0,"⚠ Site not set up in Current Inventory",IF($A1825&gt;AsOfDate,"Future date – not yet deducted","OK")))))))</f>
        <v/>
      </c>
    </row>
    <row r="1826" customFormat="false" ht="15" hidden="false" customHeight="false" outlineLevel="0" collapsed="false">
      <c r="A1826" s="65"/>
      <c r="B1826" s="63"/>
      <c r="C1826" s="70"/>
      <c r="D1826" s="66"/>
      <c r="E1826" s="16" t="str">
        <f aca="false">IF($C1826="","",IFERROR(INDEX(Mix_Desc,MATCH($C1826,Mix_Code,0)),"⚠ Unknown mix code"))</f>
        <v/>
      </c>
      <c r="F1826" s="67" t="str">
        <f aca="false">IF(OR($C1826="",$D1826=""),"",IFERROR($D1826*INDEX(Mix_Eff,MATCH($C1826,Mix_Code,0),1),""))</f>
        <v/>
      </c>
      <c r="G1826" s="67" t="str">
        <f aca="false">IF(OR($C1826="",$D1826=""),"",IFERROR($D1826*INDEX(Mix_Eff,MATCH($C1826,Mix_Code,0),2),""))</f>
        <v/>
      </c>
      <c r="H1826" s="67" t="str">
        <f aca="false">IF(OR($C1826="",$D1826=""),"",IFERROR($D1826*INDEX(Mix_Eff,MATCH($C1826,Mix_Code,0),3),""))</f>
        <v/>
      </c>
      <c r="I1826" s="67" t="str">
        <f aca="false">IF(OR($C1826="",$D1826=""),"",IFERROR($D1826*INDEX(Mix_Eff,MATCH($C1826,Mix_Code,0),4),""))</f>
        <v/>
      </c>
      <c r="J1826" s="67" t="str">
        <f aca="false">IF(OR($C1826="",$D1826=""),"",IFERROR($D1826*INDEX(Mix_Eff,MATCH($C1826,Mix_Code,0),5),""))</f>
        <v/>
      </c>
      <c r="K1826" s="63"/>
      <c r="L1826" s="16" t="str">
        <f aca="false">IF(AND($A1826="",$B1826="",$C1826="",$D1826=""),"",IF($A1826="","⚠ Date missing",IF($B1826="","⚠ Site missing",IF(ISNA(MATCH($C1826,Mix_Code,0)),"⚠ Unknown mix code",IF($D1826="","⚠ Enter m3 produced",IF(COUNTIF(CI_Site,$B1826)=0,"⚠ Site not set up in Current Inventory",IF($A1826&gt;AsOfDate,"Future date – not yet deducted","OK")))))))</f>
        <v/>
      </c>
    </row>
    <row r="1827" customFormat="false" ht="15" hidden="false" customHeight="false" outlineLevel="0" collapsed="false">
      <c r="A1827" s="65"/>
      <c r="B1827" s="63"/>
      <c r="C1827" s="70"/>
      <c r="D1827" s="66"/>
      <c r="E1827" s="16" t="str">
        <f aca="false">IF($C1827="","",IFERROR(INDEX(Mix_Desc,MATCH($C1827,Mix_Code,0)),"⚠ Unknown mix code"))</f>
        <v/>
      </c>
      <c r="F1827" s="67" t="str">
        <f aca="false">IF(OR($C1827="",$D1827=""),"",IFERROR($D1827*INDEX(Mix_Eff,MATCH($C1827,Mix_Code,0),1),""))</f>
        <v/>
      </c>
      <c r="G1827" s="67" t="str">
        <f aca="false">IF(OR($C1827="",$D1827=""),"",IFERROR($D1827*INDEX(Mix_Eff,MATCH($C1827,Mix_Code,0),2),""))</f>
        <v/>
      </c>
      <c r="H1827" s="67" t="str">
        <f aca="false">IF(OR($C1827="",$D1827=""),"",IFERROR($D1827*INDEX(Mix_Eff,MATCH($C1827,Mix_Code,0),3),""))</f>
        <v/>
      </c>
      <c r="I1827" s="67" t="str">
        <f aca="false">IF(OR($C1827="",$D1827=""),"",IFERROR($D1827*INDEX(Mix_Eff,MATCH($C1827,Mix_Code,0),4),""))</f>
        <v/>
      </c>
      <c r="J1827" s="67" t="str">
        <f aca="false">IF(OR($C1827="",$D1827=""),"",IFERROR($D1827*INDEX(Mix_Eff,MATCH($C1827,Mix_Code,0),5),""))</f>
        <v/>
      </c>
      <c r="K1827" s="63"/>
      <c r="L1827" s="16" t="str">
        <f aca="false">IF(AND($A1827="",$B1827="",$C1827="",$D1827=""),"",IF($A1827="","⚠ Date missing",IF($B1827="","⚠ Site missing",IF(ISNA(MATCH($C1827,Mix_Code,0)),"⚠ Unknown mix code",IF($D1827="","⚠ Enter m3 produced",IF(COUNTIF(CI_Site,$B1827)=0,"⚠ Site not set up in Current Inventory",IF($A1827&gt;AsOfDate,"Future date – not yet deducted","OK")))))))</f>
        <v/>
      </c>
    </row>
    <row r="1828" customFormat="false" ht="15" hidden="false" customHeight="false" outlineLevel="0" collapsed="false">
      <c r="A1828" s="65"/>
      <c r="B1828" s="63"/>
      <c r="C1828" s="70"/>
      <c r="D1828" s="66"/>
      <c r="E1828" s="16" t="str">
        <f aca="false">IF($C1828="","",IFERROR(INDEX(Mix_Desc,MATCH($C1828,Mix_Code,0)),"⚠ Unknown mix code"))</f>
        <v/>
      </c>
      <c r="F1828" s="67" t="str">
        <f aca="false">IF(OR($C1828="",$D1828=""),"",IFERROR($D1828*INDEX(Mix_Eff,MATCH($C1828,Mix_Code,0),1),""))</f>
        <v/>
      </c>
      <c r="G1828" s="67" t="str">
        <f aca="false">IF(OR($C1828="",$D1828=""),"",IFERROR($D1828*INDEX(Mix_Eff,MATCH($C1828,Mix_Code,0),2),""))</f>
        <v/>
      </c>
      <c r="H1828" s="67" t="str">
        <f aca="false">IF(OR($C1828="",$D1828=""),"",IFERROR($D1828*INDEX(Mix_Eff,MATCH($C1828,Mix_Code,0),3),""))</f>
        <v/>
      </c>
      <c r="I1828" s="67" t="str">
        <f aca="false">IF(OR($C1828="",$D1828=""),"",IFERROR($D1828*INDEX(Mix_Eff,MATCH($C1828,Mix_Code,0),4),""))</f>
        <v/>
      </c>
      <c r="J1828" s="67" t="str">
        <f aca="false">IF(OR($C1828="",$D1828=""),"",IFERROR($D1828*INDEX(Mix_Eff,MATCH($C1828,Mix_Code,0),5),""))</f>
        <v/>
      </c>
      <c r="K1828" s="63"/>
      <c r="L1828" s="16" t="str">
        <f aca="false">IF(AND($A1828="",$B1828="",$C1828="",$D1828=""),"",IF($A1828="","⚠ Date missing",IF($B1828="","⚠ Site missing",IF(ISNA(MATCH($C1828,Mix_Code,0)),"⚠ Unknown mix code",IF($D1828="","⚠ Enter m3 produced",IF(COUNTIF(CI_Site,$B1828)=0,"⚠ Site not set up in Current Inventory",IF($A1828&gt;AsOfDate,"Future date – not yet deducted","OK")))))))</f>
        <v/>
      </c>
    </row>
    <row r="1829" customFormat="false" ht="15" hidden="false" customHeight="false" outlineLevel="0" collapsed="false">
      <c r="A1829" s="65"/>
      <c r="B1829" s="63"/>
      <c r="C1829" s="70"/>
      <c r="D1829" s="66"/>
      <c r="E1829" s="16" t="str">
        <f aca="false">IF($C1829="","",IFERROR(INDEX(Mix_Desc,MATCH($C1829,Mix_Code,0)),"⚠ Unknown mix code"))</f>
        <v/>
      </c>
      <c r="F1829" s="67" t="str">
        <f aca="false">IF(OR($C1829="",$D1829=""),"",IFERROR($D1829*INDEX(Mix_Eff,MATCH($C1829,Mix_Code,0),1),""))</f>
        <v/>
      </c>
      <c r="G1829" s="67" t="str">
        <f aca="false">IF(OR($C1829="",$D1829=""),"",IFERROR($D1829*INDEX(Mix_Eff,MATCH($C1829,Mix_Code,0),2),""))</f>
        <v/>
      </c>
      <c r="H1829" s="67" t="str">
        <f aca="false">IF(OR($C1829="",$D1829=""),"",IFERROR($D1829*INDEX(Mix_Eff,MATCH($C1829,Mix_Code,0),3),""))</f>
        <v/>
      </c>
      <c r="I1829" s="67" t="str">
        <f aca="false">IF(OR($C1829="",$D1829=""),"",IFERROR($D1829*INDEX(Mix_Eff,MATCH($C1829,Mix_Code,0),4),""))</f>
        <v/>
      </c>
      <c r="J1829" s="67" t="str">
        <f aca="false">IF(OR($C1829="",$D1829=""),"",IFERROR($D1829*INDEX(Mix_Eff,MATCH($C1829,Mix_Code,0),5),""))</f>
        <v/>
      </c>
      <c r="K1829" s="63"/>
      <c r="L1829" s="16" t="str">
        <f aca="false">IF(AND($A1829="",$B1829="",$C1829="",$D1829=""),"",IF($A1829="","⚠ Date missing",IF($B1829="","⚠ Site missing",IF(ISNA(MATCH($C1829,Mix_Code,0)),"⚠ Unknown mix code",IF($D1829="","⚠ Enter m3 produced",IF(COUNTIF(CI_Site,$B1829)=0,"⚠ Site not set up in Current Inventory",IF($A1829&gt;AsOfDate,"Future date – not yet deducted","OK")))))))</f>
        <v/>
      </c>
    </row>
    <row r="1830" customFormat="false" ht="15" hidden="false" customHeight="false" outlineLevel="0" collapsed="false">
      <c r="A1830" s="65"/>
      <c r="B1830" s="63"/>
      <c r="C1830" s="70"/>
      <c r="D1830" s="66"/>
      <c r="E1830" s="16" t="str">
        <f aca="false">IF($C1830="","",IFERROR(INDEX(Mix_Desc,MATCH($C1830,Mix_Code,0)),"⚠ Unknown mix code"))</f>
        <v/>
      </c>
      <c r="F1830" s="67" t="str">
        <f aca="false">IF(OR($C1830="",$D1830=""),"",IFERROR($D1830*INDEX(Mix_Eff,MATCH($C1830,Mix_Code,0),1),""))</f>
        <v/>
      </c>
      <c r="G1830" s="67" t="str">
        <f aca="false">IF(OR($C1830="",$D1830=""),"",IFERROR($D1830*INDEX(Mix_Eff,MATCH($C1830,Mix_Code,0),2),""))</f>
        <v/>
      </c>
      <c r="H1830" s="67" t="str">
        <f aca="false">IF(OR($C1830="",$D1830=""),"",IFERROR($D1830*INDEX(Mix_Eff,MATCH($C1830,Mix_Code,0),3),""))</f>
        <v/>
      </c>
      <c r="I1830" s="67" t="str">
        <f aca="false">IF(OR($C1830="",$D1830=""),"",IFERROR($D1830*INDEX(Mix_Eff,MATCH($C1830,Mix_Code,0),4),""))</f>
        <v/>
      </c>
      <c r="J1830" s="67" t="str">
        <f aca="false">IF(OR($C1830="",$D1830=""),"",IFERROR($D1830*INDEX(Mix_Eff,MATCH($C1830,Mix_Code,0),5),""))</f>
        <v/>
      </c>
      <c r="K1830" s="63"/>
      <c r="L1830" s="16" t="str">
        <f aca="false">IF(AND($A1830="",$B1830="",$C1830="",$D1830=""),"",IF($A1830="","⚠ Date missing",IF($B1830="","⚠ Site missing",IF(ISNA(MATCH($C1830,Mix_Code,0)),"⚠ Unknown mix code",IF($D1830="","⚠ Enter m3 produced",IF(COUNTIF(CI_Site,$B1830)=0,"⚠ Site not set up in Current Inventory",IF($A1830&gt;AsOfDate,"Future date – not yet deducted","OK")))))))</f>
        <v/>
      </c>
    </row>
    <row r="1831" customFormat="false" ht="15" hidden="false" customHeight="false" outlineLevel="0" collapsed="false">
      <c r="A1831" s="65"/>
      <c r="B1831" s="63"/>
      <c r="C1831" s="70"/>
      <c r="D1831" s="66"/>
      <c r="E1831" s="16" t="str">
        <f aca="false">IF($C1831="","",IFERROR(INDEX(Mix_Desc,MATCH($C1831,Mix_Code,0)),"⚠ Unknown mix code"))</f>
        <v/>
      </c>
      <c r="F1831" s="67" t="str">
        <f aca="false">IF(OR($C1831="",$D1831=""),"",IFERROR($D1831*INDEX(Mix_Eff,MATCH($C1831,Mix_Code,0),1),""))</f>
        <v/>
      </c>
      <c r="G1831" s="67" t="str">
        <f aca="false">IF(OR($C1831="",$D1831=""),"",IFERROR($D1831*INDEX(Mix_Eff,MATCH($C1831,Mix_Code,0),2),""))</f>
        <v/>
      </c>
      <c r="H1831" s="67" t="str">
        <f aca="false">IF(OR($C1831="",$D1831=""),"",IFERROR($D1831*INDEX(Mix_Eff,MATCH($C1831,Mix_Code,0),3),""))</f>
        <v/>
      </c>
      <c r="I1831" s="67" t="str">
        <f aca="false">IF(OR($C1831="",$D1831=""),"",IFERROR($D1831*INDEX(Mix_Eff,MATCH($C1831,Mix_Code,0),4),""))</f>
        <v/>
      </c>
      <c r="J1831" s="67" t="str">
        <f aca="false">IF(OR($C1831="",$D1831=""),"",IFERROR($D1831*INDEX(Mix_Eff,MATCH($C1831,Mix_Code,0),5),""))</f>
        <v/>
      </c>
      <c r="K1831" s="63"/>
      <c r="L1831" s="16" t="str">
        <f aca="false">IF(AND($A1831="",$B1831="",$C1831="",$D1831=""),"",IF($A1831="","⚠ Date missing",IF($B1831="","⚠ Site missing",IF(ISNA(MATCH($C1831,Mix_Code,0)),"⚠ Unknown mix code",IF($D1831="","⚠ Enter m3 produced",IF(COUNTIF(CI_Site,$B1831)=0,"⚠ Site not set up in Current Inventory",IF($A1831&gt;AsOfDate,"Future date – not yet deducted","OK")))))))</f>
        <v/>
      </c>
    </row>
    <row r="1832" customFormat="false" ht="15" hidden="false" customHeight="false" outlineLevel="0" collapsed="false">
      <c r="A1832" s="65"/>
      <c r="B1832" s="63"/>
      <c r="C1832" s="70"/>
      <c r="D1832" s="66"/>
      <c r="E1832" s="16" t="str">
        <f aca="false">IF($C1832="","",IFERROR(INDEX(Mix_Desc,MATCH($C1832,Mix_Code,0)),"⚠ Unknown mix code"))</f>
        <v/>
      </c>
      <c r="F1832" s="67" t="str">
        <f aca="false">IF(OR($C1832="",$D1832=""),"",IFERROR($D1832*INDEX(Mix_Eff,MATCH($C1832,Mix_Code,0),1),""))</f>
        <v/>
      </c>
      <c r="G1832" s="67" t="str">
        <f aca="false">IF(OR($C1832="",$D1832=""),"",IFERROR($D1832*INDEX(Mix_Eff,MATCH($C1832,Mix_Code,0),2),""))</f>
        <v/>
      </c>
      <c r="H1832" s="67" t="str">
        <f aca="false">IF(OR($C1832="",$D1832=""),"",IFERROR($D1832*INDEX(Mix_Eff,MATCH($C1832,Mix_Code,0),3),""))</f>
        <v/>
      </c>
      <c r="I1832" s="67" t="str">
        <f aca="false">IF(OR($C1832="",$D1832=""),"",IFERROR($D1832*INDEX(Mix_Eff,MATCH($C1832,Mix_Code,0),4),""))</f>
        <v/>
      </c>
      <c r="J1832" s="67" t="str">
        <f aca="false">IF(OR($C1832="",$D1832=""),"",IFERROR($D1832*INDEX(Mix_Eff,MATCH($C1832,Mix_Code,0),5),""))</f>
        <v/>
      </c>
      <c r="K1832" s="63"/>
      <c r="L1832" s="16" t="str">
        <f aca="false">IF(AND($A1832="",$B1832="",$C1832="",$D1832=""),"",IF($A1832="","⚠ Date missing",IF($B1832="","⚠ Site missing",IF(ISNA(MATCH($C1832,Mix_Code,0)),"⚠ Unknown mix code",IF($D1832="","⚠ Enter m3 produced",IF(COUNTIF(CI_Site,$B1832)=0,"⚠ Site not set up in Current Inventory",IF($A1832&gt;AsOfDate,"Future date – not yet deducted","OK")))))))</f>
        <v/>
      </c>
    </row>
    <row r="1833" customFormat="false" ht="15" hidden="false" customHeight="false" outlineLevel="0" collapsed="false">
      <c r="A1833" s="65"/>
      <c r="B1833" s="63"/>
      <c r="C1833" s="70"/>
      <c r="D1833" s="66"/>
      <c r="E1833" s="16" t="str">
        <f aca="false">IF($C1833="","",IFERROR(INDEX(Mix_Desc,MATCH($C1833,Mix_Code,0)),"⚠ Unknown mix code"))</f>
        <v/>
      </c>
      <c r="F1833" s="67" t="str">
        <f aca="false">IF(OR($C1833="",$D1833=""),"",IFERROR($D1833*INDEX(Mix_Eff,MATCH($C1833,Mix_Code,0),1),""))</f>
        <v/>
      </c>
      <c r="G1833" s="67" t="str">
        <f aca="false">IF(OR($C1833="",$D1833=""),"",IFERROR($D1833*INDEX(Mix_Eff,MATCH($C1833,Mix_Code,0),2),""))</f>
        <v/>
      </c>
      <c r="H1833" s="67" t="str">
        <f aca="false">IF(OR($C1833="",$D1833=""),"",IFERROR($D1833*INDEX(Mix_Eff,MATCH($C1833,Mix_Code,0),3),""))</f>
        <v/>
      </c>
      <c r="I1833" s="67" t="str">
        <f aca="false">IF(OR($C1833="",$D1833=""),"",IFERROR($D1833*INDEX(Mix_Eff,MATCH($C1833,Mix_Code,0),4),""))</f>
        <v/>
      </c>
      <c r="J1833" s="67" t="str">
        <f aca="false">IF(OR($C1833="",$D1833=""),"",IFERROR($D1833*INDEX(Mix_Eff,MATCH($C1833,Mix_Code,0),5),""))</f>
        <v/>
      </c>
      <c r="K1833" s="63"/>
      <c r="L1833" s="16" t="str">
        <f aca="false">IF(AND($A1833="",$B1833="",$C1833="",$D1833=""),"",IF($A1833="","⚠ Date missing",IF($B1833="","⚠ Site missing",IF(ISNA(MATCH($C1833,Mix_Code,0)),"⚠ Unknown mix code",IF($D1833="","⚠ Enter m3 produced",IF(COUNTIF(CI_Site,$B1833)=0,"⚠ Site not set up in Current Inventory",IF($A1833&gt;AsOfDate,"Future date – not yet deducted","OK")))))))</f>
        <v/>
      </c>
    </row>
    <row r="1834" customFormat="false" ht="15" hidden="false" customHeight="false" outlineLevel="0" collapsed="false">
      <c r="A1834" s="65"/>
      <c r="B1834" s="63"/>
      <c r="C1834" s="70"/>
      <c r="D1834" s="66"/>
      <c r="E1834" s="16" t="str">
        <f aca="false">IF($C1834="","",IFERROR(INDEX(Mix_Desc,MATCH($C1834,Mix_Code,0)),"⚠ Unknown mix code"))</f>
        <v/>
      </c>
      <c r="F1834" s="67" t="str">
        <f aca="false">IF(OR($C1834="",$D1834=""),"",IFERROR($D1834*INDEX(Mix_Eff,MATCH($C1834,Mix_Code,0),1),""))</f>
        <v/>
      </c>
      <c r="G1834" s="67" t="str">
        <f aca="false">IF(OR($C1834="",$D1834=""),"",IFERROR($D1834*INDEX(Mix_Eff,MATCH($C1834,Mix_Code,0),2),""))</f>
        <v/>
      </c>
      <c r="H1834" s="67" t="str">
        <f aca="false">IF(OR($C1834="",$D1834=""),"",IFERROR($D1834*INDEX(Mix_Eff,MATCH($C1834,Mix_Code,0),3),""))</f>
        <v/>
      </c>
      <c r="I1834" s="67" t="str">
        <f aca="false">IF(OR($C1834="",$D1834=""),"",IFERROR($D1834*INDEX(Mix_Eff,MATCH($C1834,Mix_Code,0),4),""))</f>
        <v/>
      </c>
      <c r="J1834" s="67" t="str">
        <f aca="false">IF(OR($C1834="",$D1834=""),"",IFERROR($D1834*INDEX(Mix_Eff,MATCH($C1834,Mix_Code,0),5),""))</f>
        <v/>
      </c>
      <c r="K1834" s="63"/>
      <c r="L1834" s="16" t="str">
        <f aca="false">IF(AND($A1834="",$B1834="",$C1834="",$D1834=""),"",IF($A1834="","⚠ Date missing",IF($B1834="","⚠ Site missing",IF(ISNA(MATCH($C1834,Mix_Code,0)),"⚠ Unknown mix code",IF($D1834="","⚠ Enter m3 produced",IF(COUNTIF(CI_Site,$B1834)=0,"⚠ Site not set up in Current Inventory",IF($A1834&gt;AsOfDate,"Future date – not yet deducted","OK")))))))</f>
        <v/>
      </c>
    </row>
    <row r="1835" customFormat="false" ht="15" hidden="false" customHeight="false" outlineLevel="0" collapsed="false">
      <c r="A1835" s="65"/>
      <c r="B1835" s="63"/>
      <c r="C1835" s="70"/>
      <c r="D1835" s="66"/>
      <c r="E1835" s="16" t="str">
        <f aca="false">IF($C1835="","",IFERROR(INDEX(Mix_Desc,MATCH($C1835,Mix_Code,0)),"⚠ Unknown mix code"))</f>
        <v/>
      </c>
      <c r="F1835" s="67" t="str">
        <f aca="false">IF(OR($C1835="",$D1835=""),"",IFERROR($D1835*INDEX(Mix_Eff,MATCH($C1835,Mix_Code,0),1),""))</f>
        <v/>
      </c>
      <c r="G1835" s="67" t="str">
        <f aca="false">IF(OR($C1835="",$D1835=""),"",IFERROR($D1835*INDEX(Mix_Eff,MATCH($C1835,Mix_Code,0),2),""))</f>
        <v/>
      </c>
      <c r="H1835" s="67" t="str">
        <f aca="false">IF(OR($C1835="",$D1835=""),"",IFERROR($D1835*INDEX(Mix_Eff,MATCH($C1835,Mix_Code,0),3),""))</f>
        <v/>
      </c>
      <c r="I1835" s="67" t="str">
        <f aca="false">IF(OR($C1835="",$D1835=""),"",IFERROR($D1835*INDEX(Mix_Eff,MATCH($C1835,Mix_Code,0),4),""))</f>
        <v/>
      </c>
      <c r="J1835" s="67" t="str">
        <f aca="false">IF(OR($C1835="",$D1835=""),"",IFERROR($D1835*INDEX(Mix_Eff,MATCH($C1835,Mix_Code,0),5),""))</f>
        <v/>
      </c>
      <c r="K1835" s="63"/>
      <c r="L1835" s="16" t="str">
        <f aca="false">IF(AND($A1835="",$B1835="",$C1835="",$D1835=""),"",IF($A1835="","⚠ Date missing",IF($B1835="","⚠ Site missing",IF(ISNA(MATCH($C1835,Mix_Code,0)),"⚠ Unknown mix code",IF($D1835="","⚠ Enter m3 produced",IF(COUNTIF(CI_Site,$B1835)=0,"⚠ Site not set up in Current Inventory",IF($A1835&gt;AsOfDate,"Future date – not yet deducted","OK")))))))</f>
        <v/>
      </c>
    </row>
    <row r="1836" customFormat="false" ht="15" hidden="false" customHeight="false" outlineLevel="0" collapsed="false">
      <c r="A1836" s="65"/>
      <c r="B1836" s="63"/>
      <c r="C1836" s="70"/>
      <c r="D1836" s="66"/>
      <c r="E1836" s="16" t="str">
        <f aca="false">IF($C1836="","",IFERROR(INDEX(Mix_Desc,MATCH($C1836,Mix_Code,0)),"⚠ Unknown mix code"))</f>
        <v/>
      </c>
      <c r="F1836" s="67" t="str">
        <f aca="false">IF(OR($C1836="",$D1836=""),"",IFERROR($D1836*INDEX(Mix_Eff,MATCH($C1836,Mix_Code,0),1),""))</f>
        <v/>
      </c>
      <c r="G1836" s="67" t="str">
        <f aca="false">IF(OR($C1836="",$D1836=""),"",IFERROR($D1836*INDEX(Mix_Eff,MATCH($C1836,Mix_Code,0),2),""))</f>
        <v/>
      </c>
      <c r="H1836" s="67" t="str">
        <f aca="false">IF(OR($C1836="",$D1836=""),"",IFERROR($D1836*INDEX(Mix_Eff,MATCH($C1836,Mix_Code,0),3),""))</f>
        <v/>
      </c>
      <c r="I1836" s="67" t="str">
        <f aca="false">IF(OR($C1836="",$D1836=""),"",IFERROR($D1836*INDEX(Mix_Eff,MATCH($C1836,Mix_Code,0),4),""))</f>
        <v/>
      </c>
      <c r="J1836" s="67" t="str">
        <f aca="false">IF(OR($C1836="",$D1836=""),"",IFERROR($D1836*INDEX(Mix_Eff,MATCH($C1836,Mix_Code,0),5),""))</f>
        <v/>
      </c>
      <c r="K1836" s="63"/>
      <c r="L1836" s="16" t="str">
        <f aca="false">IF(AND($A1836="",$B1836="",$C1836="",$D1836=""),"",IF($A1836="","⚠ Date missing",IF($B1836="","⚠ Site missing",IF(ISNA(MATCH($C1836,Mix_Code,0)),"⚠ Unknown mix code",IF($D1836="","⚠ Enter m3 produced",IF(COUNTIF(CI_Site,$B1836)=0,"⚠ Site not set up in Current Inventory",IF($A1836&gt;AsOfDate,"Future date – not yet deducted","OK")))))))</f>
        <v/>
      </c>
    </row>
    <row r="1837" customFormat="false" ht="15" hidden="false" customHeight="false" outlineLevel="0" collapsed="false">
      <c r="A1837" s="65"/>
      <c r="B1837" s="63"/>
      <c r="C1837" s="70"/>
      <c r="D1837" s="66"/>
      <c r="E1837" s="16" t="str">
        <f aca="false">IF($C1837="","",IFERROR(INDEX(Mix_Desc,MATCH($C1837,Mix_Code,0)),"⚠ Unknown mix code"))</f>
        <v/>
      </c>
      <c r="F1837" s="67" t="str">
        <f aca="false">IF(OR($C1837="",$D1837=""),"",IFERROR($D1837*INDEX(Mix_Eff,MATCH($C1837,Mix_Code,0),1),""))</f>
        <v/>
      </c>
      <c r="G1837" s="67" t="str">
        <f aca="false">IF(OR($C1837="",$D1837=""),"",IFERROR($D1837*INDEX(Mix_Eff,MATCH($C1837,Mix_Code,0),2),""))</f>
        <v/>
      </c>
      <c r="H1837" s="67" t="str">
        <f aca="false">IF(OR($C1837="",$D1837=""),"",IFERROR($D1837*INDEX(Mix_Eff,MATCH($C1837,Mix_Code,0),3),""))</f>
        <v/>
      </c>
      <c r="I1837" s="67" t="str">
        <f aca="false">IF(OR($C1837="",$D1837=""),"",IFERROR($D1837*INDEX(Mix_Eff,MATCH($C1837,Mix_Code,0),4),""))</f>
        <v/>
      </c>
      <c r="J1837" s="67" t="str">
        <f aca="false">IF(OR($C1837="",$D1837=""),"",IFERROR($D1837*INDEX(Mix_Eff,MATCH($C1837,Mix_Code,0),5),""))</f>
        <v/>
      </c>
      <c r="K1837" s="63"/>
      <c r="L1837" s="16" t="str">
        <f aca="false">IF(AND($A1837="",$B1837="",$C1837="",$D1837=""),"",IF($A1837="","⚠ Date missing",IF($B1837="","⚠ Site missing",IF(ISNA(MATCH($C1837,Mix_Code,0)),"⚠ Unknown mix code",IF($D1837="","⚠ Enter m3 produced",IF(COUNTIF(CI_Site,$B1837)=0,"⚠ Site not set up in Current Inventory",IF($A1837&gt;AsOfDate,"Future date – not yet deducted","OK")))))))</f>
        <v/>
      </c>
    </row>
    <row r="1838" customFormat="false" ht="15" hidden="false" customHeight="false" outlineLevel="0" collapsed="false">
      <c r="A1838" s="65"/>
      <c r="B1838" s="63"/>
      <c r="C1838" s="70"/>
      <c r="D1838" s="66"/>
      <c r="E1838" s="16" t="str">
        <f aca="false">IF($C1838="","",IFERROR(INDEX(Mix_Desc,MATCH($C1838,Mix_Code,0)),"⚠ Unknown mix code"))</f>
        <v/>
      </c>
      <c r="F1838" s="67" t="str">
        <f aca="false">IF(OR($C1838="",$D1838=""),"",IFERROR($D1838*INDEX(Mix_Eff,MATCH($C1838,Mix_Code,0),1),""))</f>
        <v/>
      </c>
      <c r="G1838" s="67" t="str">
        <f aca="false">IF(OR($C1838="",$D1838=""),"",IFERROR($D1838*INDEX(Mix_Eff,MATCH($C1838,Mix_Code,0),2),""))</f>
        <v/>
      </c>
      <c r="H1838" s="67" t="str">
        <f aca="false">IF(OR($C1838="",$D1838=""),"",IFERROR($D1838*INDEX(Mix_Eff,MATCH($C1838,Mix_Code,0),3),""))</f>
        <v/>
      </c>
      <c r="I1838" s="67" t="str">
        <f aca="false">IF(OR($C1838="",$D1838=""),"",IFERROR($D1838*INDEX(Mix_Eff,MATCH($C1838,Mix_Code,0),4),""))</f>
        <v/>
      </c>
      <c r="J1838" s="67" t="str">
        <f aca="false">IF(OR($C1838="",$D1838=""),"",IFERROR($D1838*INDEX(Mix_Eff,MATCH($C1838,Mix_Code,0),5),""))</f>
        <v/>
      </c>
      <c r="K1838" s="63"/>
      <c r="L1838" s="16" t="str">
        <f aca="false">IF(AND($A1838="",$B1838="",$C1838="",$D1838=""),"",IF($A1838="","⚠ Date missing",IF($B1838="","⚠ Site missing",IF(ISNA(MATCH($C1838,Mix_Code,0)),"⚠ Unknown mix code",IF($D1838="","⚠ Enter m3 produced",IF(COUNTIF(CI_Site,$B1838)=0,"⚠ Site not set up in Current Inventory",IF($A1838&gt;AsOfDate,"Future date – not yet deducted","OK")))))))</f>
        <v/>
      </c>
    </row>
    <row r="1839" customFormat="false" ht="15" hidden="false" customHeight="false" outlineLevel="0" collapsed="false">
      <c r="A1839" s="65"/>
      <c r="B1839" s="63"/>
      <c r="C1839" s="70"/>
      <c r="D1839" s="66"/>
      <c r="E1839" s="16" t="str">
        <f aca="false">IF($C1839="","",IFERROR(INDEX(Mix_Desc,MATCH($C1839,Mix_Code,0)),"⚠ Unknown mix code"))</f>
        <v/>
      </c>
      <c r="F1839" s="67" t="str">
        <f aca="false">IF(OR($C1839="",$D1839=""),"",IFERROR($D1839*INDEX(Mix_Eff,MATCH($C1839,Mix_Code,0),1),""))</f>
        <v/>
      </c>
      <c r="G1839" s="67" t="str">
        <f aca="false">IF(OR($C1839="",$D1839=""),"",IFERROR($D1839*INDEX(Mix_Eff,MATCH($C1839,Mix_Code,0),2),""))</f>
        <v/>
      </c>
      <c r="H1839" s="67" t="str">
        <f aca="false">IF(OR($C1839="",$D1839=""),"",IFERROR($D1839*INDEX(Mix_Eff,MATCH($C1839,Mix_Code,0),3),""))</f>
        <v/>
      </c>
      <c r="I1839" s="67" t="str">
        <f aca="false">IF(OR($C1839="",$D1839=""),"",IFERROR($D1839*INDEX(Mix_Eff,MATCH($C1839,Mix_Code,0),4),""))</f>
        <v/>
      </c>
      <c r="J1839" s="67" t="str">
        <f aca="false">IF(OR($C1839="",$D1839=""),"",IFERROR($D1839*INDEX(Mix_Eff,MATCH($C1839,Mix_Code,0),5),""))</f>
        <v/>
      </c>
      <c r="K1839" s="63"/>
      <c r="L1839" s="16" t="str">
        <f aca="false">IF(AND($A1839="",$B1839="",$C1839="",$D1839=""),"",IF($A1839="","⚠ Date missing",IF($B1839="","⚠ Site missing",IF(ISNA(MATCH($C1839,Mix_Code,0)),"⚠ Unknown mix code",IF($D1839="","⚠ Enter m3 produced",IF(COUNTIF(CI_Site,$B1839)=0,"⚠ Site not set up in Current Inventory",IF($A1839&gt;AsOfDate,"Future date – not yet deducted","OK")))))))</f>
        <v/>
      </c>
    </row>
    <row r="1840" customFormat="false" ht="15" hidden="false" customHeight="false" outlineLevel="0" collapsed="false">
      <c r="A1840" s="65"/>
      <c r="B1840" s="63"/>
      <c r="C1840" s="70"/>
      <c r="D1840" s="66"/>
      <c r="E1840" s="16" t="str">
        <f aca="false">IF($C1840="","",IFERROR(INDEX(Mix_Desc,MATCH($C1840,Mix_Code,0)),"⚠ Unknown mix code"))</f>
        <v/>
      </c>
      <c r="F1840" s="67" t="str">
        <f aca="false">IF(OR($C1840="",$D1840=""),"",IFERROR($D1840*INDEX(Mix_Eff,MATCH($C1840,Mix_Code,0),1),""))</f>
        <v/>
      </c>
      <c r="G1840" s="67" t="str">
        <f aca="false">IF(OR($C1840="",$D1840=""),"",IFERROR($D1840*INDEX(Mix_Eff,MATCH($C1840,Mix_Code,0),2),""))</f>
        <v/>
      </c>
      <c r="H1840" s="67" t="str">
        <f aca="false">IF(OR($C1840="",$D1840=""),"",IFERROR($D1840*INDEX(Mix_Eff,MATCH($C1840,Mix_Code,0),3),""))</f>
        <v/>
      </c>
      <c r="I1840" s="67" t="str">
        <f aca="false">IF(OR($C1840="",$D1840=""),"",IFERROR($D1840*INDEX(Mix_Eff,MATCH($C1840,Mix_Code,0),4),""))</f>
        <v/>
      </c>
      <c r="J1840" s="67" t="str">
        <f aca="false">IF(OR($C1840="",$D1840=""),"",IFERROR($D1840*INDEX(Mix_Eff,MATCH($C1840,Mix_Code,0),5),""))</f>
        <v/>
      </c>
      <c r="K1840" s="63"/>
      <c r="L1840" s="16" t="str">
        <f aca="false">IF(AND($A1840="",$B1840="",$C1840="",$D1840=""),"",IF($A1840="","⚠ Date missing",IF($B1840="","⚠ Site missing",IF(ISNA(MATCH($C1840,Mix_Code,0)),"⚠ Unknown mix code",IF($D1840="","⚠ Enter m3 produced",IF(COUNTIF(CI_Site,$B1840)=0,"⚠ Site not set up in Current Inventory",IF($A1840&gt;AsOfDate,"Future date – not yet deducted","OK")))))))</f>
        <v/>
      </c>
    </row>
    <row r="1841" customFormat="false" ht="15" hidden="false" customHeight="false" outlineLevel="0" collapsed="false">
      <c r="A1841" s="65"/>
      <c r="B1841" s="63"/>
      <c r="C1841" s="70"/>
      <c r="D1841" s="66"/>
      <c r="E1841" s="16" t="str">
        <f aca="false">IF($C1841="","",IFERROR(INDEX(Mix_Desc,MATCH($C1841,Mix_Code,0)),"⚠ Unknown mix code"))</f>
        <v/>
      </c>
      <c r="F1841" s="67" t="str">
        <f aca="false">IF(OR($C1841="",$D1841=""),"",IFERROR($D1841*INDEX(Mix_Eff,MATCH($C1841,Mix_Code,0),1),""))</f>
        <v/>
      </c>
      <c r="G1841" s="67" t="str">
        <f aca="false">IF(OR($C1841="",$D1841=""),"",IFERROR($D1841*INDEX(Mix_Eff,MATCH($C1841,Mix_Code,0),2),""))</f>
        <v/>
      </c>
      <c r="H1841" s="67" t="str">
        <f aca="false">IF(OR($C1841="",$D1841=""),"",IFERROR($D1841*INDEX(Mix_Eff,MATCH($C1841,Mix_Code,0),3),""))</f>
        <v/>
      </c>
      <c r="I1841" s="67" t="str">
        <f aca="false">IF(OR($C1841="",$D1841=""),"",IFERROR($D1841*INDEX(Mix_Eff,MATCH($C1841,Mix_Code,0),4),""))</f>
        <v/>
      </c>
      <c r="J1841" s="67" t="str">
        <f aca="false">IF(OR($C1841="",$D1841=""),"",IFERROR($D1841*INDEX(Mix_Eff,MATCH($C1841,Mix_Code,0),5),""))</f>
        <v/>
      </c>
      <c r="K1841" s="63"/>
      <c r="L1841" s="16" t="str">
        <f aca="false">IF(AND($A1841="",$B1841="",$C1841="",$D1841=""),"",IF($A1841="","⚠ Date missing",IF($B1841="","⚠ Site missing",IF(ISNA(MATCH($C1841,Mix_Code,0)),"⚠ Unknown mix code",IF($D1841="","⚠ Enter m3 produced",IF(COUNTIF(CI_Site,$B1841)=0,"⚠ Site not set up in Current Inventory",IF($A1841&gt;AsOfDate,"Future date – not yet deducted","OK")))))))</f>
        <v/>
      </c>
    </row>
    <row r="1842" customFormat="false" ht="15" hidden="false" customHeight="false" outlineLevel="0" collapsed="false">
      <c r="A1842" s="65"/>
      <c r="B1842" s="63"/>
      <c r="C1842" s="70"/>
      <c r="D1842" s="66"/>
      <c r="E1842" s="16" t="str">
        <f aca="false">IF($C1842="","",IFERROR(INDEX(Mix_Desc,MATCH($C1842,Mix_Code,0)),"⚠ Unknown mix code"))</f>
        <v/>
      </c>
      <c r="F1842" s="67" t="str">
        <f aca="false">IF(OR($C1842="",$D1842=""),"",IFERROR($D1842*INDEX(Mix_Eff,MATCH($C1842,Mix_Code,0),1),""))</f>
        <v/>
      </c>
      <c r="G1842" s="67" t="str">
        <f aca="false">IF(OR($C1842="",$D1842=""),"",IFERROR($D1842*INDEX(Mix_Eff,MATCH($C1842,Mix_Code,0),2),""))</f>
        <v/>
      </c>
      <c r="H1842" s="67" t="str">
        <f aca="false">IF(OR($C1842="",$D1842=""),"",IFERROR($D1842*INDEX(Mix_Eff,MATCH($C1842,Mix_Code,0),3),""))</f>
        <v/>
      </c>
      <c r="I1842" s="67" t="str">
        <f aca="false">IF(OR($C1842="",$D1842=""),"",IFERROR($D1842*INDEX(Mix_Eff,MATCH($C1842,Mix_Code,0),4),""))</f>
        <v/>
      </c>
      <c r="J1842" s="67" t="str">
        <f aca="false">IF(OR($C1842="",$D1842=""),"",IFERROR($D1842*INDEX(Mix_Eff,MATCH($C1842,Mix_Code,0),5),""))</f>
        <v/>
      </c>
      <c r="K1842" s="63"/>
      <c r="L1842" s="16" t="str">
        <f aca="false">IF(AND($A1842="",$B1842="",$C1842="",$D1842=""),"",IF($A1842="","⚠ Date missing",IF($B1842="","⚠ Site missing",IF(ISNA(MATCH($C1842,Mix_Code,0)),"⚠ Unknown mix code",IF($D1842="","⚠ Enter m3 produced",IF(COUNTIF(CI_Site,$B1842)=0,"⚠ Site not set up in Current Inventory",IF($A1842&gt;AsOfDate,"Future date – not yet deducted","OK")))))))</f>
        <v/>
      </c>
    </row>
    <row r="1843" customFormat="false" ht="15" hidden="false" customHeight="false" outlineLevel="0" collapsed="false">
      <c r="A1843" s="65"/>
      <c r="B1843" s="63"/>
      <c r="C1843" s="70"/>
      <c r="D1843" s="66"/>
      <c r="E1843" s="16" t="str">
        <f aca="false">IF($C1843="","",IFERROR(INDEX(Mix_Desc,MATCH($C1843,Mix_Code,0)),"⚠ Unknown mix code"))</f>
        <v/>
      </c>
      <c r="F1843" s="67" t="str">
        <f aca="false">IF(OR($C1843="",$D1843=""),"",IFERROR($D1843*INDEX(Mix_Eff,MATCH($C1843,Mix_Code,0),1),""))</f>
        <v/>
      </c>
      <c r="G1843" s="67" t="str">
        <f aca="false">IF(OR($C1843="",$D1843=""),"",IFERROR($D1843*INDEX(Mix_Eff,MATCH($C1843,Mix_Code,0),2),""))</f>
        <v/>
      </c>
      <c r="H1843" s="67" t="str">
        <f aca="false">IF(OR($C1843="",$D1843=""),"",IFERROR($D1843*INDEX(Mix_Eff,MATCH($C1843,Mix_Code,0),3),""))</f>
        <v/>
      </c>
      <c r="I1843" s="67" t="str">
        <f aca="false">IF(OR($C1843="",$D1843=""),"",IFERROR($D1843*INDEX(Mix_Eff,MATCH($C1843,Mix_Code,0),4),""))</f>
        <v/>
      </c>
      <c r="J1843" s="67" t="str">
        <f aca="false">IF(OR($C1843="",$D1843=""),"",IFERROR($D1843*INDEX(Mix_Eff,MATCH($C1843,Mix_Code,0),5),""))</f>
        <v/>
      </c>
      <c r="K1843" s="63"/>
      <c r="L1843" s="16" t="str">
        <f aca="false">IF(AND($A1843="",$B1843="",$C1843="",$D1843=""),"",IF($A1843="","⚠ Date missing",IF($B1843="","⚠ Site missing",IF(ISNA(MATCH($C1843,Mix_Code,0)),"⚠ Unknown mix code",IF($D1843="","⚠ Enter m3 produced",IF(COUNTIF(CI_Site,$B1843)=0,"⚠ Site not set up in Current Inventory",IF($A1843&gt;AsOfDate,"Future date – not yet deducted","OK")))))))</f>
        <v/>
      </c>
    </row>
    <row r="1844" customFormat="false" ht="15" hidden="false" customHeight="false" outlineLevel="0" collapsed="false">
      <c r="A1844" s="65"/>
      <c r="B1844" s="63"/>
      <c r="C1844" s="70"/>
      <c r="D1844" s="66"/>
      <c r="E1844" s="16" t="str">
        <f aca="false">IF($C1844="","",IFERROR(INDEX(Mix_Desc,MATCH($C1844,Mix_Code,0)),"⚠ Unknown mix code"))</f>
        <v/>
      </c>
      <c r="F1844" s="67" t="str">
        <f aca="false">IF(OR($C1844="",$D1844=""),"",IFERROR($D1844*INDEX(Mix_Eff,MATCH($C1844,Mix_Code,0),1),""))</f>
        <v/>
      </c>
      <c r="G1844" s="67" t="str">
        <f aca="false">IF(OR($C1844="",$D1844=""),"",IFERROR($D1844*INDEX(Mix_Eff,MATCH($C1844,Mix_Code,0),2),""))</f>
        <v/>
      </c>
      <c r="H1844" s="67" t="str">
        <f aca="false">IF(OR($C1844="",$D1844=""),"",IFERROR($D1844*INDEX(Mix_Eff,MATCH($C1844,Mix_Code,0),3),""))</f>
        <v/>
      </c>
      <c r="I1844" s="67" t="str">
        <f aca="false">IF(OR($C1844="",$D1844=""),"",IFERROR($D1844*INDEX(Mix_Eff,MATCH($C1844,Mix_Code,0),4),""))</f>
        <v/>
      </c>
      <c r="J1844" s="67" t="str">
        <f aca="false">IF(OR($C1844="",$D1844=""),"",IFERROR($D1844*INDEX(Mix_Eff,MATCH($C1844,Mix_Code,0),5),""))</f>
        <v/>
      </c>
      <c r="K1844" s="63"/>
      <c r="L1844" s="16" t="str">
        <f aca="false">IF(AND($A1844="",$B1844="",$C1844="",$D1844=""),"",IF($A1844="","⚠ Date missing",IF($B1844="","⚠ Site missing",IF(ISNA(MATCH($C1844,Mix_Code,0)),"⚠ Unknown mix code",IF($D1844="","⚠ Enter m3 produced",IF(COUNTIF(CI_Site,$B1844)=0,"⚠ Site not set up in Current Inventory",IF($A1844&gt;AsOfDate,"Future date – not yet deducted","OK")))))))</f>
        <v/>
      </c>
    </row>
    <row r="1845" customFormat="false" ht="15" hidden="false" customHeight="false" outlineLevel="0" collapsed="false">
      <c r="A1845" s="65"/>
      <c r="B1845" s="63"/>
      <c r="C1845" s="70"/>
      <c r="D1845" s="66"/>
      <c r="E1845" s="16" t="str">
        <f aca="false">IF($C1845="","",IFERROR(INDEX(Mix_Desc,MATCH($C1845,Mix_Code,0)),"⚠ Unknown mix code"))</f>
        <v/>
      </c>
      <c r="F1845" s="67" t="str">
        <f aca="false">IF(OR($C1845="",$D1845=""),"",IFERROR($D1845*INDEX(Mix_Eff,MATCH($C1845,Mix_Code,0),1),""))</f>
        <v/>
      </c>
      <c r="G1845" s="67" t="str">
        <f aca="false">IF(OR($C1845="",$D1845=""),"",IFERROR($D1845*INDEX(Mix_Eff,MATCH($C1845,Mix_Code,0),2),""))</f>
        <v/>
      </c>
      <c r="H1845" s="67" t="str">
        <f aca="false">IF(OR($C1845="",$D1845=""),"",IFERROR($D1845*INDEX(Mix_Eff,MATCH($C1845,Mix_Code,0),3),""))</f>
        <v/>
      </c>
      <c r="I1845" s="67" t="str">
        <f aca="false">IF(OR($C1845="",$D1845=""),"",IFERROR($D1845*INDEX(Mix_Eff,MATCH($C1845,Mix_Code,0),4),""))</f>
        <v/>
      </c>
      <c r="J1845" s="67" t="str">
        <f aca="false">IF(OR($C1845="",$D1845=""),"",IFERROR($D1845*INDEX(Mix_Eff,MATCH($C1845,Mix_Code,0),5),""))</f>
        <v/>
      </c>
      <c r="K1845" s="63"/>
      <c r="L1845" s="16" t="str">
        <f aca="false">IF(AND($A1845="",$B1845="",$C1845="",$D1845=""),"",IF($A1845="","⚠ Date missing",IF($B1845="","⚠ Site missing",IF(ISNA(MATCH($C1845,Mix_Code,0)),"⚠ Unknown mix code",IF($D1845="","⚠ Enter m3 produced",IF(COUNTIF(CI_Site,$B1845)=0,"⚠ Site not set up in Current Inventory",IF($A1845&gt;AsOfDate,"Future date – not yet deducted","OK")))))))</f>
        <v/>
      </c>
    </row>
    <row r="1846" customFormat="false" ht="15" hidden="false" customHeight="false" outlineLevel="0" collapsed="false">
      <c r="A1846" s="65"/>
      <c r="B1846" s="63"/>
      <c r="C1846" s="70"/>
      <c r="D1846" s="66"/>
      <c r="E1846" s="16" t="str">
        <f aca="false">IF($C1846="","",IFERROR(INDEX(Mix_Desc,MATCH($C1846,Mix_Code,0)),"⚠ Unknown mix code"))</f>
        <v/>
      </c>
      <c r="F1846" s="67" t="str">
        <f aca="false">IF(OR($C1846="",$D1846=""),"",IFERROR($D1846*INDEX(Mix_Eff,MATCH($C1846,Mix_Code,0),1),""))</f>
        <v/>
      </c>
      <c r="G1846" s="67" t="str">
        <f aca="false">IF(OR($C1846="",$D1846=""),"",IFERROR($D1846*INDEX(Mix_Eff,MATCH($C1846,Mix_Code,0),2),""))</f>
        <v/>
      </c>
      <c r="H1846" s="67" t="str">
        <f aca="false">IF(OR($C1846="",$D1846=""),"",IFERROR($D1846*INDEX(Mix_Eff,MATCH($C1846,Mix_Code,0),3),""))</f>
        <v/>
      </c>
      <c r="I1846" s="67" t="str">
        <f aca="false">IF(OR($C1846="",$D1846=""),"",IFERROR($D1846*INDEX(Mix_Eff,MATCH($C1846,Mix_Code,0),4),""))</f>
        <v/>
      </c>
      <c r="J1846" s="67" t="str">
        <f aca="false">IF(OR($C1846="",$D1846=""),"",IFERROR($D1846*INDEX(Mix_Eff,MATCH($C1846,Mix_Code,0),5),""))</f>
        <v/>
      </c>
      <c r="K1846" s="63"/>
      <c r="L1846" s="16" t="str">
        <f aca="false">IF(AND($A1846="",$B1846="",$C1846="",$D1846=""),"",IF($A1846="","⚠ Date missing",IF($B1846="","⚠ Site missing",IF(ISNA(MATCH($C1846,Mix_Code,0)),"⚠ Unknown mix code",IF($D1846="","⚠ Enter m3 produced",IF(COUNTIF(CI_Site,$B1846)=0,"⚠ Site not set up in Current Inventory",IF($A1846&gt;AsOfDate,"Future date – not yet deducted","OK")))))))</f>
        <v/>
      </c>
    </row>
    <row r="1847" customFormat="false" ht="15" hidden="false" customHeight="false" outlineLevel="0" collapsed="false">
      <c r="A1847" s="65"/>
      <c r="B1847" s="63"/>
      <c r="C1847" s="70"/>
      <c r="D1847" s="66"/>
      <c r="E1847" s="16" t="str">
        <f aca="false">IF($C1847="","",IFERROR(INDEX(Mix_Desc,MATCH($C1847,Mix_Code,0)),"⚠ Unknown mix code"))</f>
        <v/>
      </c>
      <c r="F1847" s="67" t="str">
        <f aca="false">IF(OR($C1847="",$D1847=""),"",IFERROR($D1847*INDEX(Mix_Eff,MATCH($C1847,Mix_Code,0),1),""))</f>
        <v/>
      </c>
      <c r="G1847" s="67" t="str">
        <f aca="false">IF(OR($C1847="",$D1847=""),"",IFERROR($D1847*INDEX(Mix_Eff,MATCH($C1847,Mix_Code,0),2),""))</f>
        <v/>
      </c>
      <c r="H1847" s="67" t="str">
        <f aca="false">IF(OR($C1847="",$D1847=""),"",IFERROR($D1847*INDEX(Mix_Eff,MATCH($C1847,Mix_Code,0),3),""))</f>
        <v/>
      </c>
      <c r="I1847" s="67" t="str">
        <f aca="false">IF(OR($C1847="",$D1847=""),"",IFERROR($D1847*INDEX(Mix_Eff,MATCH($C1847,Mix_Code,0),4),""))</f>
        <v/>
      </c>
      <c r="J1847" s="67" t="str">
        <f aca="false">IF(OR($C1847="",$D1847=""),"",IFERROR($D1847*INDEX(Mix_Eff,MATCH($C1847,Mix_Code,0),5),""))</f>
        <v/>
      </c>
      <c r="K1847" s="63"/>
      <c r="L1847" s="16" t="str">
        <f aca="false">IF(AND($A1847="",$B1847="",$C1847="",$D1847=""),"",IF($A1847="","⚠ Date missing",IF($B1847="","⚠ Site missing",IF(ISNA(MATCH($C1847,Mix_Code,0)),"⚠ Unknown mix code",IF($D1847="","⚠ Enter m3 produced",IF(COUNTIF(CI_Site,$B1847)=0,"⚠ Site not set up in Current Inventory",IF($A1847&gt;AsOfDate,"Future date – not yet deducted","OK")))))))</f>
        <v/>
      </c>
    </row>
    <row r="1848" customFormat="false" ht="15" hidden="false" customHeight="false" outlineLevel="0" collapsed="false">
      <c r="A1848" s="65"/>
      <c r="B1848" s="63"/>
      <c r="C1848" s="70"/>
      <c r="D1848" s="66"/>
      <c r="E1848" s="16" t="str">
        <f aca="false">IF($C1848="","",IFERROR(INDEX(Mix_Desc,MATCH($C1848,Mix_Code,0)),"⚠ Unknown mix code"))</f>
        <v/>
      </c>
      <c r="F1848" s="67" t="str">
        <f aca="false">IF(OR($C1848="",$D1848=""),"",IFERROR($D1848*INDEX(Mix_Eff,MATCH($C1848,Mix_Code,0),1),""))</f>
        <v/>
      </c>
      <c r="G1848" s="67" t="str">
        <f aca="false">IF(OR($C1848="",$D1848=""),"",IFERROR($D1848*INDEX(Mix_Eff,MATCH($C1848,Mix_Code,0),2),""))</f>
        <v/>
      </c>
      <c r="H1848" s="67" t="str">
        <f aca="false">IF(OR($C1848="",$D1848=""),"",IFERROR($D1848*INDEX(Mix_Eff,MATCH($C1848,Mix_Code,0),3),""))</f>
        <v/>
      </c>
      <c r="I1848" s="67" t="str">
        <f aca="false">IF(OR($C1848="",$D1848=""),"",IFERROR($D1848*INDEX(Mix_Eff,MATCH($C1848,Mix_Code,0),4),""))</f>
        <v/>
      </c>
      <c r="J1848" s="67" t="str">
        <f aca="false">IF(OR($C1848="",$D1848=""),"",IFERROR($D1848*INDEX(Mix_Eff,MATCH($C1848,Mix_Code,0),5),""))</f>
        <v/>
      </c>
      <c r="K1848" s="63"/>
      <c r="L1848" s="16" t="str">
        <f aca="false">IF(AND($A1848="",$B1848="",$C1848="",$D1848=""),"",IF($A1848="","⚠ Date missing",IF($B1848="","⚠ Site missing",IF(ISNA(MATCH($C1848,Mix_Code,0)),"⚠ Unknown mix code",IF($D1848="","⚠ Enter m3 produced",IF(COUNTIF(CI_Site,$B1848)=0,"⚠ Site not set up in Current Inventory",IF($A1848&gt;AsOfDate,"Future date – not yet deducted","OK")))))))</f>
        <v/>
      </c>
    </row>
    <row r="1849" customFormat="false" ht="15" hidden="false" customHeight="false" outlineLevel="0" collapsed="false">
      <c r="A1849" s="65"/>
      <c r="B1849" s="63"/>
      <c r="C1849" s="70"/>
      <c r="D1849" s="66"/>
      <c r="E1849" s="16" t="str">
        <f aca="false">IF($C1849="","",IFERROR(INDEX(Mix_Desc,MATCH($C1849,Mix_Code,0)),"⚠ Unknown mix code"))</f>
        <v/>
      </c>
      <c r="F1849" s="67" t="str">
        <f aca="false">IF(OR($C1849="",$D1849=""),"",IFERROR($D1849*INDEX(Mix_Eff,MATCH($C1849,Mix_Code,0),1),""))</f>
        <v/>
      </c>
      <c r="G1849" s="67" t="str">
        <f aca="false">IF(OR($C1849="",$D1849=""),"",IFERROR($D1849*INDEX(Mix_Eff,MATCH($C1849,Mix_Code,0),2),""))</f>
        <v/>
      </c>
      <c r="H1849" s="67" t="str">
        <f aca="false">IF(OR($C1849="",$D1849=""),"",IFERROR($D1849*INDEX(Mix_Eff,MATCH($C1849,Mix_Code,0),3),""))</f>
        <v/>
      </c>
      <c r="I1849" s="67" t="str">
        <f aca="false">IF(OR($C1849="",$D1849=""),"",IFERROR($D1849*INDEX(Mix_Eff,MATCH($C1849,Mix_Code,0),4),""))</f>
        <v/>
      </c>
      <c r="J1849" s="67" t="str">
        <f aca="false">IF(OR($C1849="",$D1849=""),"",IFERROR($D1849*INDEX(Mix_Eff,MATCH($C1849,Mix_Code,0),5),""))</f>
        <v/>
      </c>
      <c r="K1849" s="63"/>
      <c r="L1849" s="16" t="str">
        <f aca="false">IF(AND($A1849="",$B1849="",$C1849="",$D1849=""),"",IF($A1849="","⚠ Date missing",IF($B1849="","⚠ Site missing",IF(ISNA(MATCH($C1849,Mix_Code,0)),"⚠ Unknown mix code",IF($D1849="","⚠ Enter m3 produced",IF(COUNTIF(CI_Site,$B1849)=0,"⚠ Site not set up in Current Inventory",IF($A1849&gt;AsOfDate,"Future date – not yet deducted","OK")))))))</f>
        <v/>
      </c>
    </row>
    <row r="1850" customFormat="false" ht="15" hidden="false" customHeight="false" outlineLevel="0" collapsed="false">
      <c r="A1850" s="65"/>
      <c r="B1850" s="63"/>
      <c r="C1850" s="70"/>
      <c r="D1850" s="66"/>
      <c r="E1850" s="16" t="str">
        <f aca="false">IF($C1850="","",IFERROR(INDEX(Mix_Desc,MATCH($C1850,Mix_Code,0)),"⚠ Unknown mix code"))</f>
        <v/>
      </c>
      <c r="F1850" s="67" t="str">
        <f aca="false">IF(OR($C1850="",$D1850=""),"",IFERROR($D1850*INDEX(Mix_Eff,MATCH($C1850,Mix_Code,0),1),""))</f>
        <v/>
      </c>
      <c r="G1850" s="67" t="str">
        <f aca="false">IF(OR($C1850="",$D1850=""),"",IFERROR($D1850*INDEX(Mix_Eff,MATCH($C1850,Mix_Code,0),2),""))</f>
        <v/>
      </c>
      <c r="H1850" s="67" t="str">
        <f aca="false">IF(OR($C1850="",$D1850=""),"",IFERROR($D1850*INDEX(Mix_Eff,MATCH($C1850,Mix_Code,0),3),""))</f>
        <v/>
      </c>
      <c r="I1850" s="67" t="str">
        <f aca="false">IF(OR($C1850="",$D1850=""),"",IFERROR($D1850*INDEX(Mix_Eff,MATCH($C1850,Mix_Code,0),4),""))</f>
        <v/>
      </c>
      <c r="J1850" s="67" t="str">
        <f aca="false">IF(OR($C1850="",$D1850=""),"",IFERROR($D1850*INDEX(Mix_Eff,MATCH($C1850,Mix_Code,0),5),""))</f>
        <v/>
      </c>
      <c r="K1850" s="63"/>
      <c r="L1850" s="16" t="str">
        <f aca="false">IF(AND($A1850="",$B1850="",$C1850="",$D1850=""),"",IF($A1850="","⚠ Date missing",IF($B1850="","⚠ Site missing",IF(ISNA(MATCH($C1850,Mix_Code,0)),"⚠ Unknown mix code",IF($D1850="","⚠ Enter m3 produced",IF(COUNTIF(CI_Site,$B1850)=0,"⚠ Site not set up in Current Inventory",IF($A1850&gt;AsOfDate,"Future date – not yet deducted","OK")))))))</f>
        <v/>
      </c>
    </row>
    <row r="1851" customFormat="false" ht="15" hidden="false" customHeight="false" outlineLevel="0" collapsed="false">
      <c r="A1851" s="65"/>
      <c r="B1851" s="63"/>
      <c r="C1851" s="70"/>
      <c r="D1851" s="66"/>
      <c r="E1851" s="16" t="str">
        <f aca="false">IF($C1851="","",IFERROR(INDEX(Mix_Desc,MATCH($C1851,Mix_Code,0)),"⚠ Unknown mix code"))</f>
        <v/>
      </c>
      <c r="F1851" s="67" t="str">
        <f aca="false">IF(OR($C1851="",$D1851=""),"",IFERROR($D1851*INDEX(Mix_Eff,MATCH($C1851,Mix_Code,0),1),""))</f>
        <v/>
      </c>
      <c r="G1851" s="67" t="str">
        <f aca="false">IF(OR($C1851="",$D1851=""),"",IFERROR($D1851*INDEX(Mix_Eff,MATCH($C1851,Mix_Code,0),2),""))</f>
        <v/>
      </c>
      <c r="H1851" s="67" t="str">
        <f aca="false">IF(OR($C1851="",$D1851=""),"",IFERROR($D1851*INDEX(Mix_Eff,MATCH($C1851,Mix_Code,0),3),""))</f>
        <v/>
      </c>
      <c r="I1851" s="67" t="str">
        <f aca="false">IF(OR($C1851="",$D1851=""),"",IFERROR($D1851*INDEX(Mix_Eff,MATCH($C1851,Mix_Code,0),4),""))</f>
        <v/>
      </c>
      <c r="J1851" s="67" t="str">
        <f aca="false">IF(OR($C1851="",$D1851=""),"",IFERROR($D1851*INDEX(Mix_Eff,MATCH($C1851,Mix_Code,0),5),""))</f>
        <v/>
      </c>
      <c r="K1851" s="63"/>
      <c r="L1851" s="16" t="str">
        <f aca="false">IF(AND($A1851="",$B1851="",$C1851="",$D1851=""),"",IF($A1851="","⚠ Date missing",IF($B1851="","⚠ Site missing",IF(ISNA(MATCH($C1851,Mix_Code,0)),"⚠ Unknown mix code",IF($D1851="","⚠ Enter m3 produced",IF(COUNTIF(CI_Site,$B1851)=0,"⚠ Site not set up in Current Inventory",IF($A1851&gt;AsOfDate,"Future date – not yet deducted","OK")))))))</f>
        <v/>
      </c>
    </row>
    <row r="1852" customFormat="false" ht="15" hidden="false" customHeight="false" outlineLevel="0" collapsed="false">
      <c r="A1852" s="65"/>
      <c r="B1852" s="63"/>
      <c r="C1852" s="70"/>
      <c r="D1852" s="66"/>
      <c r="E1852" s="16" t="str">
        <f aca="false">IF($C1852="","",IFERROR(INDEX(Mix_Desc,MATCH($C1852,Mix_Code,0)),"⚠ Unknown mix code"))</f>
        <v/>
      </c>
      <c r="F1852" s="67" t="str">
        <f aca="false">IF(OR($C1852="",$D1852=""),"",IFERROR($D1852*INDEX(Mix_Eff,MATCH($C1852,Mix_Code,0),1),""))</f>
        <v/>
      </c>
      <c r="G1852" s="67" t="str">
        <f aca="false">IF(OR($C1852="",$D1852=""),"",IFERROR($D1852*INDEX(Mix_Eff,MATCH($C1852,Mix_Code,0),2),""))</f>
        <v/>
      </c>
      <c r="H1852" s="67" t="str">
        <f aca="false">IF(OR($C1852="",$D1852=""),"",IFERROR($D1852*INDEX(Mix_Eff,MATCH($C1852,Mix_Code,0),3),""))</f>
        <v/>
      </c>
      <c r="I1852" s="67" t="str">
        <f aca="false">IF(OR($C1852="",$D1852=""),"",IFERROR($D1852*INDEX(Mix_Eff,MATCH($C1852,Mix_Code,0),4),""))</f>
        <v/>
      </c>
      <c r="J1852" s="67" t="str">
        <f aca="false">IF(OR($C1852="",$D1852=""),"",IFERROR($D1852*INDEX(Mix_Eff,MATCH($C1852,Mix_Code,0),5),""))</f>
        <v/>
      </c>
      <c r="K1852" s="63"/>
      <c r="L1852" s="16" t="str">
        <f aca="false">IF(AND($A1852="",$B1852="",$C1852="",$D1852=""),"",IF($A1852="","⚠ Date missing",IF($B1852="","⚠ Site missing",IF(ISNA(MATCH($C1852,Mix_Code,0)),"⚠ Unknown mix code",IF($D1852="","⚠ Enter m3 produced",IF(COUNTIF(CI_Site,$B1852)=0,"⚠ Site not set up in Current Inventory",IF($A1852&gt;AsOfDate,"Future date – not yet deducted","OK")))))))</f>
        <v/>
      </c>
    </row>
    <row r="1853" customFormat="false" ht="15" hidden="false" customHeight="false" outlineLevel="0" collapsed="false">
      <c r="A1853" s="65"/>
      <c r="B1853" s="63"/>
      <c r="C1853" s="70"/>
      <c r="D1853" s="66"/>
      <c r="E1853" s="16" t="str">
        <f aca="false">IF($C1853="","",IFERROR(INDEX(Mix_Desc,MATCH($C1853,Mix_Code,0)),"⚠ Unknown mix code"))</f>
        <v/>
      </c>
      <c r="F1853" s="67" t="str">
        <f aca="false">IF(OR($C1853="",$D1853=""),"",IFERROR($D1853*INDEX(Mix_Eff,MATCH($C1853,Mix_Code,0),1),""))</f>
        <v/>
      </c>
      <c r="G1853" s="67" t="str">
        <f aca="false">IF(OR($C1853="",$D1853=""),"",IFERROR($D1853*INDEX(Mix_Eff,MATCH($C1853,Mix_Code,0),2),""))</f>
        <v/>
      </c>
      <c r="H1853" s="67" t="str">
        <f aca="false">IF(OR($C1853="",$D1853=""),"",IFERROR($D1853*INDEX(Mix_Eff,MATCH($C1853,Mix_Code,0),3),""))</f>
        <v/>
      </c>
      <c r="I1853" s="67" t="str">
        <f aca="false">IF(OR($C1853="",$D1853=""),"",IFERROR($D1853*INDEX(Mix_Eff,MATCH($C1853,Mix_Code,0),4),""))</f>
        <v/>
      </c>
      <c r="J1853" s="67" t="str">
        <f aca="false">IF(OR($C1853="",$D1853=""),"",IFERROR($D1853*INDEX(Mix_Eff,MATCH($C1853,Mix_Code,0),5),""))</f>
        <v/>
      </c>
      <c r="K1853" s="63"/>
      <c r="L1853" s="16" t="str">
        <f aca="false">IF(AND($A1853="",$B1853="",$C1853="",$D1853=""),"",IF($A1853="","⚠ Date missing",IF($B1853="","⚠ Site missing",IF(ISNA(MATCH($C1853,Mix_Code,0)),"⚠ Unknown mix code",IF($D1853="","⚠ Enter m3 produced",IF(COUNTIF(CI_Site,$B1853)=0,"⚠ Site not set up in Current Inventory",IF($A1853&gt;AsOfDate,"Future date – not yet deducted","OK")))))))</f>
        <v/>
      </c>
    </row>
    <row r="1854" customFormat="false" ht="15" hidden="false" customHeight="false" outlineLevel="0" collapsed="false">
      <c r="A1854" s="65"/>
      <c r="B1854" s="63"/>
      <c r="C1854" s="70"/>
      <c r="D1854" s="66"/>
      <c r="E1854" s="16" t="str">
        <f aca="false">IF($C1854="","",IFERROR(INDEX(Mix_Desc,MATCH($C1854,Mix_Code,0)),"⚠ Unknown mix code"))</f>
        <v/>
      </c>
      <c r="F1854" s="67" t="str">
        <f aca="false">IF(OR($C1854="",$D1854=""),"",IFERROR($D1854*INDEX(Mix_Eff,MATCH($C1854,Mix_Code,0),1),""))</f>
        <v/>
      </c>
      <c r="G1854" s="67" t="str">
        <f aca="false">IF(OR($C1854="",$D1854=""),"",IFERROR($D1854*INDEX(Mix_Eff,MATCH($C1854,Mix_Code,0),2),""))</f>
        <v/>
      </c>
      <c r="H1854" s="67" t="str">
        <f aca="false">IF(OR($C1854="",$D1854=""),"",IFERROR($D1854*INDEX(Mix_Eff,MATCH($C1854,Mix_Code,0),3),""))</f>
        <v/>
      </c>
      <c r="I1854" s="67" t="str">
        <f aca="false">IF(OR($C1854="",$D1854=""),"",IFERROR($D1854*INDEX(Mix_Eff,MATCH($C1854,Mix_Code,0),4),""))</f>
        <v/>
      </c>
      <c r="J1854" s="67" t="str">
        <f aca="false">IF(OR($C1854="",$D1854=""),"",IFERROR($D1854*INDEX(Mix_Eff,MATCH($C1854,Mix_Code,0),5),""))</f>
        <v/>
      </c>
      <c r="K1854" s="63"/>
      <c r="L1854" s="16" t="str">
        <f aca="false">IF(AND($A1854="",$B1854="",$C1854="",$D1854=""),"",IF($A1854="","⚠ Date missing",IF($B1854="","⚠ Site missing",IF(ISNA(MATCH($C1854,Mix_Code,0)),"⚠ Unknown mix code",IF($D1854="","⚠ Enter m3 produced",IF(COUNTIF(CI_Site,$B1854)=0,"⚠ Site not set up in Current Inventory",IF($A1854&gt;AsOfDate,"Future date – not yet deducted","OK")))))))</f>
        <v/>
      </c>
    </row>
    <row r="1855" customFormat="false" ht="15" hidden="false" customHeight="false" outlineLevel="0" collapsed="false">
      <c r="A1855" s="65"/>
      <c r="B1855" s="63"/>
      <c r="C1855" s="70"/>
      <c r="D1855" s="66"/>
      <c r="E1855" s="16" t="str">
        <f aca="false">IF($C1855="","",IFERROR(INDEX(Mix_Desc,MATCH($C1855,Mix_Code,0)),"⚠ Unknown mix code"))</f>
        <v/>
      </c>
      <c r="F1855" s="67" t="str">
        <f aca="false">IF(OR($C1855="",$D1855=""),"",IFERROR($D1855*INDEX(Mix_Eff,MATCH($C1855,Mix_Code,0),1),""))</f>
        <v/>
      </c>
      <c r="G1855" s="67" t="str">
        <f aca="false">IF(OR($C1855="",$D1855=""),"",IFERROR($D1855*INDEX(Mix_Eff,MATCH($C1855,Mix_Code,0),2),""))</f>
        <v/>
      </c>
      <c r="H1855" s="67" t="str">
        <f aca="false">IF(OR($C1855="",$D1855=""),"",IFERROR($D1855*INDEX(Mix_Eff,MATCH($C1855,Mix_Code,0),3),""))</f>
        <v/>
      </c>
      <c r="I1855" s="67" t="str">
        <f aca="false">IF(OR($C1855="",$D1855=""),"",IFERROR($D1855*INDEX(Mix_Eff,MATCH($C1855,Mix_Code,0),4),""))</f>
        <v/>
      </c>
      <c r="J1855" s="67" t="str">
        <f aca="false">IF(OR($C1855="",$D1855=""),"",IFERROR($D1855*INDEX(Mix_Eff,MATCH($C1855,Mix_Code,0),5),""))</f>
        <v/>
      </c>
      <c r="K1855" s="63"/>
      <c r="L1855" s="16" t="str">
        <f aca="false">IF(AND($A1855="",$B1855="",$C1855="",$D1855=""),"",IF($A1855="","⚠ Date missing",IF($B1855="","⚠ Site missing",IF(ISNA(MATCH($C1855,Mix_Code,0)),"⚠ Unknown mix code",IF($D1855="","⚠ Enter m3 produced",IF(COUNTIF(CI_Site,$B1855)=0,"⚠ Site not set up in Current Inventory",IF($A1855&gt;AsOfDate,"Future date – not yet deducted","OK")))))))</f>
        <v/>
      </c>
    </row>
    <row r="1856" customFormat="false" ht="15" hidden="false" customHeight="false" outlineLevel="0" collapsed="false">
      <c r="A1856" s="65"/>
      <c r="B1856" s="63"/>
      <c r="C1856" s="70"/>
      <c r="D1856" s="66"/>
      <c r="E1856" s="16" t="str">
        <f aca="false">IF($C1856="","",IFERROR(INDEX(Mix_Desc,MATCH($C1856,Mix_Code,0)),"⚠ Unknown mix code"))</f>
        <v/>
      </c>
      <c r="F1856" s="67" t="str">
        <f aca="false">IF(OR($C1856="",$D1856=""),"",IFERROR($D1856*INDEX(Mix_Eff,MATCH($C1856,Mix_Code,0),1),""))</f>
        <v/>
      </c>
      <c r="G1856" s="67" t="str">
        <f aca="false">IF(OR($C1856="",$D1856=""),"",IFERROR($D1856*INDEX(Mix_Eff,MATCH($C1856,Mix_Code,0),2),""))</f>
        <v/>
      </c>
      <c r="H1856" s="67" t="str">
        <f aca="false">IF(OR($C1856="",$D1856=""),"",IFERROR($D1856*INDEX(Mix_Eff,MATCH($C1856,Mix_Code,0),3),""))</f>
        <v/>
      </c>
      <c r="I1856" s="67" t="str">
        <f aca="false">IF(OR($C1856="",$D1856=""),"",IFERROR($D1856*INDEX(Mix_Eff,MATCH($C1856,Mix_Code,0),4),""))</f>
        <v/>
      </c>
      <c r="J1856" s="67" t="str">
        <f aca="false">IF(OR($C1856="",$D1856=""),"",IFERROR($D1856*INDEX(Mix_Eff,MATCH($C1856,Mix_Code,0),5),""))</f>
        <v/>
      </c>
      <c r="K1856" s="63"/>
      <c r="L1856" s="16" t="str">
        <f aca="false">IF(AND($A1856="",$B1856="",$C1856="",$D1856=""),"",IF($A1856="","⚠ Date missing",IF($B1856="","⚠ Site missing",IF(ISNA(MATCH($C1856,Mix_Code,0)),"⚠ Unknown mix code",IF($D1856="","⚠ Enter m3 produced",IF(COUNTIF(CI_Site,$B1856)=0,"⚠ Site not set up in Current Inventory",IF($A1856&gt;AsOfDate,"Future date – not yet deducted","OK")))))))</f>
        <v/>
      </c>
    </row>
    <row r="1857" customFormat="false" ht="15" hidden="false" customHeight="false" outlineLevel="0" collapsed="false">
      <c r="A1857" s="65"/>
      <c r="B1857" s="63"/>
      <c r="C1857" s="70"/>
      <c r="D1857" s="66"/>
      <c r="E1857" s="16" t="str">
        <f aca="false">IF($C1857="","",IFERROR(INDEX(Mix_Desc,MATCH($C1857,Mix_Code,0)),"⚠ Unknown mix code"))</f>
        <v/>
      </c>
      <c r="F1857" s="67" t="str">
        <f aca="false">IF(OR($C1857="",$D1857=""),"",IFERROR($D1857*INDEX(Mix_Eff,MATCH($C1857,Mix_Code,0),1),""))</f>
        <v/>
      </c>
      <c r="G1857" s="67" t="str">
        <f aca="false">IF(OR($C1857="",$D1857=""),"",IFERROR($D1857*INDEX(Mix_Eff,MATCH($C1857,Mix_Code,0),2),""))</f>
        <v/>
      </c>
      <c r="H1857" s="67" t="str">
        <f aca="false">IF(OR($C1857="",$D1857=""),"",IFERROR($D1857*INDEX(Mix_Eff,MATCH($C1857,Mix_Code,0),3),""))</f>
        <v/>
      </c>
      <c r="I1857" s="67" t="str">
        <f aca="false">IF(OR($C1857="",$D1857=""),"",IFERROR($D1857*INDEX(Mix_Eff,MATCH($C1857,Mix_Code,0),4),""))</f>
        <v/>
      </c>
      <c r="J1857" s="67" t="str">
        <f aca="false">IF(OR($C1857="",$D1857=""),"",IFERROR($D1857*INDEX(Mix_Eff,MATCH($C1857,Mix_Code,0),5),""))</f>
        <v/>
      </c>
      <c r="K1857" s="63"/>
      <c r="L1857" s="16" t="str">
        <f aca="false">IF(AND($A1857="",$B1857="",$C1857="",$D1857=""),"",IF($A1857="","⚠ Date missing",IF($B1857="","⚠ Site missing",IF(ISNA(MATCH($C1857,Mix_Code,0)),"⚠ Unknown mix code",IF($D1857="","⚠ Enter m3 produced",IF(COUNTIF(CI_Site,$B1857)=0,"⚠ Site not set up in Current Inventory",IF($A1857&gt;AsOfDate,"Future date – not yet deducted","OK")))))))</f>
        <v/>
      </c>
    </row>
    <row r="1858" customFormat="false" ht="15" hidden="false" customHeight="false" outlineLevel="0" collapsed="false">
      <c r="A1858" s="65"/>
      <c r="B1858" s="63"/>
      <c r="C1858" s="70"/>
      <c r="D1858" s="66"/>
      <c r="E1858" s="16" t="str">
        <f aca="false">IF($C1858="","",IFERROR(INDEX(Mix_Desc,MATCH($C1858,Mix_Code,0)),"⚠ Unknown mix code"))</f>
        <v/>
      </c>
      <c r="F1858" s="67" t="str">
        <f aca="false">IF(OR($C1858="",$D1858=""),"",IFERROR($D1858*INDEX(Mix_Eff,MATCH($C1858,Mix_Code,0),1),""))</f>
        <v/>
      </c>
      <c r="G1858" s="67" t="str">
        <f aca="false">IF(OR($C1858="",$D1858=""),"",IFERROR($D1858*INDEX(Mix_Eff,MATCH($C1858,Mix_Code,0),2),""))</f>
        <v/>
      </c>
      <c r="H1858" s="67" t="str">
        <f aca="false">IF(OR($C1858="",$D1858=""),"",IFERROR($D1858*INDEX(Mix_Eff,MATCH($C1858,Mix_Code,0),3),""))</f>
        <v/>
      </c>
      <c r="I1858" s="67" t="str">
        <f aca="false">IF(OR($C1858="",$D1858=""),"",IFERROR($D1858*INDEX(Mix_Eff,MATCH($C1858,Mix_Code,0),4),""))</f>
        <v/>
      </c>
      <c r="J1858" s="67" t="str">
        <f aca="false">IF(OR($C1858="",$D1858=""),"",IFERROR($D1858*INDEX(Mix_Eff,MATCH($C1858,Mix_Code,0),5),""))</f>
        <v/>
      </c>
      <c r="K1858" s="63"/>
      <c r="L1858" s="16" t="str">
        <f aca="false">IF(AND($A1858="",$B1858="",$C1858="",$D1858=""),"",IF($A1858="","⚠ Date missing",IF($B1858="","⚠ Site missing",IF(ISNA(MATCH($C1858,Mix_Code,0)),"⚠ Unknown mix code",IF($D1858="","⚠ Enter m3 produced",IF(COUNTIF(CI_Site,$B1858)=0,"⚠ Site not set up in Current Inventory",IF($A1858&gt;AsOfDate,"Future date – not yet deducted","OK")))))))</f>
        <v/>
      </c>
    </row>
    <row r="1859" customFormat="false" ht="15" hidden="false" customHeight="false" outlineLevel="0" collapsed="false">
      <c r="A1859" s="65"/>
      <c r="B1859" s="63"/>
      <c r="C1859" s="70"/>
      <c r="D1859" s="66"/>
      <c r="E1859" s="16" t="str">
        <f aca="false">IF($C1859="","",IFERROR(INDEX(Mix_Desc,MATCH($C1859,Mix_Code,0)),"⚠ Unknown mix code"))</f>
        <v/>
      </c>
      <c r="F1859" s="67" t="str">
        <f aca="false">IF(OR($C1859="",$D1859=""),"",IFERROR($D1859*INDEX(Mix_Eff,MATCH($C1859,Mix_Code,0),1),""))</f>
        <v/>
      </c>
      <c r="G1859" s="67" t="str">
        <f aca="false">IF(OR($C1859="",$D1859=""),"",IFERROR($D1859*INDEX(Mix_Eff,MATCH($C1859,Mix_Code,0),2),""))</f>
        <v/>
      </c>
      <c r="H1859" s="67" t="str">
        <f aca="false">IF(OR($C1859="",$D1859=""),"",IFERROR($D1859*INDEX(Mix_Eff,MATCH($C1859,Mix_Code,0),3),""))</f>
        <v/>
      </c>
      <c r="I1859" s="67" t="str">
        <f aca="false">IF(OR($C1859="",$D1859=""),"",IFERROR($D1859*INDEX(Mix_Eff,MATCH($C1859,Mix_Code,0),4),""))</f>
        <v/>
      </c>
      <c r="J1859" s="67" t="str">
        <f aca="false">IF(OR($C1859="",$D1859=""),"",IFERROR($D1859*INDEX(Mix_Eff,MATCH($C1859,Mix_Code,0),5),""))</f>
        <v/>
      </c>
      <c r="K1859" s="63"/>
      <c r="L1859" s="16" t="str">
        <f aca="false">IF(AND($A1859="",$B1859="",$C1859="",$D1859=""),"",IF($A1859="","⚠ Date missing",IF($B1859="","⚠ Site missing",IF(ISNA(MATCH($C1859,Mix_Code,0)),"⚠ Unknown mix code",IF($D1859="","⚠ Enter m3 produced",IF(COUNTIF(CI_Site,$B1859)=0,"⚠ Site not set up in Current Inventory",IF($A1859&gt;AsOfDate,"Future date – not yet deducted","OK")))))))</f>
        <v/>
      </c>
    </row>
    <row r="1860" customFormat="false" ht="15" hidden="false" customHeight="false" outlineLevel="0" collapsed="false">
      <c r="A1860" s="65"/>
      <c r="B1860" s="63"/>
      <c r="C1860" s="70"/>
      <c r="D1860" s="66"/>
      <c r="E1860" s="16" t="str">
        <f aca="false">IF($C1860="","",IFERROR(INDEX(Mix_Desc,MATCH($C1860,Mix_Code,0)),"⚠ Unknown mix code"))</f>
        <v/>
      </c>
      <c r="F1860" s="67" t="str">
        <f aca="false">IF(OR($C1860="",$D1860=""),"",IFERROR($D1860*INDEX(Mix_Eff,MATCH($C1860,Mix_Code,0),1),""))</f>
        <v/>
      </c>
      <c r="G1860" s="67" t="str">
        <f aca="false">IF(OR($C1860="",$D1860=""),"",IFERROR($D1860*INDEX(Mix_Eff,MATCH($C1860,Mix_Code,0),2),""))</f>
        <v/>
      </c>
      <c r="H1860" s="67" t="str">
        <f aca="false">IF(OR($C1860="",$D1860=""),"",IFERROR($D1860*INDEX(Mix_Eff,MATCH($C1860,Mix_Code,0),3),""))</f>
        <v/>
      </c>
      <c r="I1860" s="67" t="str">
        <f aca="false">IF(OR($C1860="",$D1860=""),"",IFERROR($D1860*INDEX(Mix_Eff,MATCH($C1860,Mix_Code,0),4),""))</f>
        <v/>
      </c>
      <c r="J1860" s="67" t="str">
        <f aca="false">IF(OR($C1860="",$D1860=""),"",IFERROR($D1860*INDEX(Mix_Eff,MATCH($C1860,Mix_Code,0),5),""))</f>
        <v/>
      </c>
      <c r="K1860" s="63"/>
      <c r="L1860" s="16" t="str">
        <f aca="false">IF(AND($A1860="",$B1860="",$C1860="",$D1860=""),"",IF($A1860="","⚠ Date missing",IF($B1860="","⚠ Site missing",IF(ISNA(MATCH($C1860,Mix_Code,0)),"⚠ Unknown mix code",IF($D1860="","⚠ Enter m3 produced",IF(COUNTIF(CI_Site,$B1860)=0,"⚠ Site not set up in Current Inventory",IF($A1860&gt;AsOfDate,"Future date – not yet deducted","OK")))))))</f>
        <v/>
      </c>
    </row>
    <row r="1861" customFormat="false" ht="15" hidden="false" customHeight="false" outlineLevel="0" collapsed="false">
      <c r="A1861" s="65"/>
      <c r="B1861" s="63"/>
      <c r="C1861" s="70"/>
      <c r="D1861" s="66"/>
      <c r="E1861" s="16" t="str">
        <f aca="false">IF($C1861="","",IFERROR(INDEX(Mix_Desc,MATCH($C1861,Mix_Code,0)),"⚠ Unknown mix code"))</f>
        <v/>
      </c>
      <c r="F1861" s="67" t="str">
        <f aca="false">IF(OR($C1861="",$D1861=""),"",IFERROR($D1861*INDEX(Mix_Eff,MATCH($C1861,Mix_Code,0),1),""))</f>
        <v/>
      </c>
      <c r="G1861" s="67" t="str">
        <f aca="false">IF(OR($C1861="",$D1861=""),"",IFERROR($D1861*INDEX(Mix_Eff,MATCH($C1861,Mix_Code,0),2),""))</f>
        <v/>
      </c>
      <c r="H1861" s="67" t="str">
        <f aca="false">IF(OR($C1861="",$D1861=""),"",IFERROR($D1861*INDEX(Mix_Eff,MATCH($C1861,Mix_Code,0),3),""))</f>
        <v/>
      </c>
      <c r="I1861" s="67" t="str">
        <f aca="false">IF(OR($C1861="",$D1861=""),"",IFERROR($D1861*INDEX(Mix_Eff,MATCH($C1861,Mix_Code,0),4),""))</f>
        <v/>
      </c>
      <c r="J1861" s="67" t="str">
        <f aca="false">IF(OR($C1861="",$D1861=""),"",IFERROR($D1861*INDEX(Mix_Eff,MATCH($C1861,Mix_Code,0),5),""))</f>
        <v/>
      </c>
      <c r="K1861" s="63"/>
      <c r="L1861" s="16" t="str">
        <f aca="false">IF(AND($A1861="",$B1861="",$C1861="",$D1861=""),"",IF($A1861="","⚠ Date missing",IF($B1861="","⚠ Site missing",IF(ISNA(MATCH($C1861,Mix_Code,0)),"⚠ Unknown mix code",IF($D1861="","⚠ Enter m3 produced",IF(COUNTIF(CI_Site,$B1861)=0,"⚠ Site not set up in Current Inventory",IF($A1861&gt;AsOfDate,"Future date – not yet deducted","OK")))))))</f>
        <v/>
      </c>
    </row>
    <row r="1862" customFormat="false" ht="15" hidden="false" customHeight="false" outlineLevel="0" collapsed="false">
      <c r="A1862" s="65"/>
      <c r="B1862" s="63"/>
      <c r="C1862" s="70"/>
      <c r="D1862" s="66"/>
      <c r="E1862" s="16" t="str">
        <f aca="false">IF($C1862="","",IFERROR(INDEX(Mix_Desc,MATCH($C1862,Mix_Code,0)),"⚠ Unknown mix code"))</f>
        <v/>
      </c>
      <c r="F1862" s="67" t="str">
        <f aca="false">IF(OR($C1862="",$D1862=""),"",IFERROR($D1862*INDEX(Mix_Eff,MATCH($C1862,Mix_Code,0),1),""))</f>
        <v/>
      </c>
      <c r="G1862" s="67" t="str">
        <f aca="false">IF(OR($C1862="",$D1862=""),"",IFERROR($D1862*INDEX(Mix_Eff,MATCH($C1862,Mix_Code,0),2),""))</f>
        <v/>
      </c>
      <c r="H1862" s="67" t="str">
        <f aca="false">IF(OR($C1862="",$D1862=""),"",IFERROR($D1862*INDEX(Mix_Eff,MATCH($C1862,Mix_Code,0),3),""))</f>
        <v/>
      </c>
      <c r="I1862" s="67" t="str">
        <f aca="false">IF(OR($C1862="",$D1862=""),"",IFERROR($D1862*INDEX(Mix_Eff,MATCH($C1862,Mix_Code,0),4),""))</f>
        <v/>
      </c>
      <c r="J1862" s="67" t="str">
        <f aca="false">IF(OR($C1862="",$D1862=""),"",IFERROR($D1862*INDEX(Mix_Eff,MATCH($C1862,Mix_Code,0),5),""))</f>
        <v/>
      </c>
      <c r="K1862" s="63"/>
      <c r="L1862" s="16" t="str">
        <f aca="false">IF(AND($A1862="",$B1862="",$C1862="",$D1862=""),"",IF($A1862="","⚠ Date missing",IF($B1862="","⚠ Site missing",IF(ISNA(MATCH($C1862,Mix_Code,0)),"⚠ Unknown mix code",IF($D1862="","⚠ Enter m3 produced",IF(COUNTIF(CI_Site,$B1862)=0,"⚠ Site not set up in Current Inventory",IF($A1862&gt;AsOfDate,"Future date – not yet deducted","OK")))))))</f>
        <v/>
      </c>
    </row>
    <row r="1863" customFormat="false" ht="15" hidden="false" customHeight="false" outlineLevel="0" collapsed="false">
      <c r="A1863" s="65"/>
      <c r="B1863" s="63"/>
      <c r="C1863" s="70"/>
      <c r="D1863" s="66"/>
      <c r="E1863" s="16" t="str">
        <f aca="false">IF($C1863="","",IFERROR(INDEX(Mix_Desc,MATCH($C1863,Mix_Code,0)),"⚠ Unknown mix code"))</f>
        <v/>
      </c>
      <c r="F1863" s="67" t="str">
        <f aca="false">IF(OR($C1863="",$D1863=""),"",IFERROR($D1863*INDEX(Mix_Eff,MATCH($C1863,Mix_Code,0),1),""))</f>
        <v/>
      </c>
      <c r="G1863" s="67" t="str">
        <f aca="false">IF(OR($C1863="",$D1863=""),"",IFERROR($D1863*INDEX(Mix_Eff,MATCH($C1863,Mix_Code,0),2),""))</f>
        <v/>
      </c>
      <c r="H1863" s="67" t="str">
        <f aca="false">IF(OR($C1863="",$D1863=""),"",IFERROR($D1863*INDEX(Mix_Eff,MATCH($C1863,Mix_Code,0),3),""))</f>
        <v/>
      </c>
      <c r="I1863" s="67" t="str">
        <f aca="false">IF(OR($C1863="",$D1863=""),"",IFERROR($D1863*INDEX(Mix_Eff,MATCH($C1863,Mix_Code,0),4),""))</f>
        <v/>
      </c>
      <c r="J1863" s="67" t="str">
        <f aca="false">IF(OR($C1863="",$D1863=""),"",IFERROR($D1863*INDEX(Mix_Eff,MATCH($C1863,Mix_Code,0),5),""))</f>
        <v/>
      </c>
      <c r="K1863" s="63"/>
      <c r="L1863" s="16" t="str">
        <f aca="false">IF(AND($A1863="",$B1863="",$C1863="",$D1863=""),"",IF($A1863="","⚠ Date missing",IF($B1863="","⚠ Site missing",IF(ISNA(MATCH($C1863,Mix_Code,0)),"⚠ Unknown mix code",IF($D1863="","⚠ Enter m3 produced",IF(COUNTIF(CI_Site,$B1863)=0,"⚠ Site not set up in Current Inventory",IF($A1863&gt;AsOfDate,"Future date – not yet deducted","OK")))))))</f>
        <v/>
      </c>
    </row>
    <row r="1864" customFormat="false" ht="15" hidden="false" customHeight="false" outlineLevel="0" collapsed="false">
      <c r="A1864" s="65"/>
      <c r="B1864" s="63"/>
      <c r="C1864" s="70"/>
      <c r="D1864" s="66"/>
      <c r="E1864" s="16" t="str">
        <f aca="false">IF($C1864="","",IFERROR(INDEX(Mix_Desc,MATCH($C1864,Mix_Code,0)),"⚠ Unknown mix code"))</f>
        <v/>
      </c>
      <c r="F1864" s="67" t="str">
        <f aca="false">IF(OR($C1864="",$D1864=""),"",IFERROR($D1864*INDEX(Mix_Eff,MATCH($C1864,Mix_Code,0),1),""))</f>
        <v/>
      </c>
      <c r="G1864" s="67" t="str">
        <f aca="false">IF(OR($C1864="",$D1864=""),"",IFERROR($D1864*INDEX(Mix_Eff,MATCH($C1864,Mix_Code,0),2),""))</f>
        <v/>
      </c>
      <c r="H1864" s="67" t="str">
        <f aca="false">IF(OR($C1864="",$D1864=""),"",IFERROR($D1864*INDEX(Mix_Eff,MATCH($C1864,Mix_Code,0),3),""))</f>
        <v/>
      </c>
      <c r="I1864" s="67" t="str">
        <f aca="false">IF(OR($C1864="",$D1864=""),"",IFERROR($D1864*INDEX(Mix_Eff,MATCH($C1864,Mix_Code,0),4),""))</f>
        <v/>
      </c>
      <c r="J1864" s="67" t="str">
        <f aca="false">IF(OR($C1864="",$D1864=""),"",IFERROR($D1864*INDEX(Mix_Eff,MATCH($C1864,Mix_Code,0),5),""))</f>
        <v/>
      </c>
      <c r="K1864" s="63"/>
      <c r="L1864" s="16" t="str">
        <f aca="false">IF(AND($A1864="",$B1864="",$C1864="",$D1864=""),"",IF($A1864="","⚠ Date missing",IF($B1864="","⚠ Site missing",IF(ISNA(MATCH($C1864,Mix_Code,0)),"⚠ Unknown mix code",IF($D1864="","⚠ Enter m3 produced",IF(COUNTIF(CI_Site,$B1864)=0,"⚠ Site not set up in Current Inventory",IF($A1864&gt;AsOfDate,"Future date – not yet deducted","OK")))))))</f>
        <v/>
      </c>
    </row>
    <row r="1865" customFormat="false" ht="15" hidden="false" customHeight="false" outlineLevel="0" collapsed="false">
      <c r="A1865" s="65"/>
      <c r="B1865" s="63"/>
      <c r="C1865" s="70"/>
      <c r="D1865" s="66"/>
      <c r="E1865" s="16" t="str">
        <f aca="false">IF($C1865="","",IFERROR(INDEX(Mix_Desc,MATCH($C1865,Mix_Code,0)),"⚠ Unknown mix code"))</f>
        <v/>
      </c>
      <c r="F1865" s="67" t="str">
        <f aca="false">IF(OR($C1865="",$D1865=""),"",IFERROR($D1865*INDEX(Mix_Eff,MATCH($C1865,Mix_Code,0),1),""))</f>
        <v/>
      </c>
      <c r="G1865" s="67" t="str">
        <f aca="false">IF(OR($C1865="",$D1865=""),"",IFERROR($D1865*INDEX(Mix_Eff,MATCH($C1865,Mix_Code,0),2),""))</f>
        <v/>
      </c>
      <c r="H1865" s="67" t="str">
        <f aca="false">IF(OR($C1865="",$D1865=""),"",IFERROR($D1865*INDEX(Mix_Eff,MATCH($C1865,Mix_Code,0),3),""))</f>
        <v/>
      </c>
      <c r="I1865" s="67" t="str">
        <f aca="false">IF(OR($C1865="",$D1865=""),"",IFERROR($D1865*INDEX(Mix_Eff,MATCH($C1865,Mix_Code,0),4),""))</f>
        <v/>
      </c>
      <c r="J1865" s="67" t="str">
        <f aca="false">IF(OR($C1865="",$D1865=""),"",IFERROR($D1865*INDEX(Mix_Eff,MATCH($C1865,Mix_Code,0),5),""))</f>
        <v/>
      </c>
      <c r="K1865" s="63"/>
      <c r="L1865" s="16" t="str">
        <f aca="false">IF(AND($A1865="",$B1865="",$C1865="",$D1865=""),"",IF($A1865="","⚠ Date missing",IF($B1865="","⚠ Site missing",IF(ISNA(MATCH($C1865,Mix_Code,0)),"⚠ Unknown mix code",IF($D1865="","⚠ Enter m3 produced",IF(COUNTIF(CI_Site,$B1865)=0,"⚠ Site not set up in Current Inventory",IF($A1865&gt;AsOfDate,"Future date – not yet deducted","OK")))))))</f>
        <v/>
      </c>
    </row>
    <row r="1866" customFormat="false" ht="15" hidden="false" customHeight="false" outlineLevel="0" collapsed="false">
      <c r="A1866" s="65"/>
      <c r="B1866" s="63"/>
      <c r="C1866" s="70"/>
      <c r="D1866" s="66"/>
      <c r="E1866" s="16" t="str">
        <f aca="false">IF($C1866="","",IFERROR(INDEX(Mix_Desc,MATCH($C1866,Mix_Code,0)),"⚠ Unknown mix code"))</f>
        <v/>
      </c>
      <c r="F1866" s="67" t="str">
        <f aca="false">IF(OR($C1866="",$D1866=""),"",IFERROR($D1866*INDEX(Mix_Eff,MATCH($C1866,Mix_Code,0),1),""))</f>
        <v/>
      </c>
      <c r="G1866" s="67" t="str">
        <f aca="false">IF(OR($C1866="",$D1866=""),"",IFERROR($D1866*INDEX(Mix_Eff,MATCH($C1866,Mix_Code,0),2),""))</f>
        <v/>
      </c>
      <c r="H1866" s="67" t="str">
        <f aca="false">IF(OR($C1866="",$D1866=""),"",IFERROR($D1866*INDEX(Mix_Eff,MATCH($C1866,Mix_Code,0),3),""))</f>
        <v/>
      </c>
      <c r="I1866" s="67" t="str">
        <f aca="false">IF(OR($C1866="",$D1866=""),"",IFERROR($D1866*INDEX(Mix_Eff,MATCH($C1866,Mix_Code,0),4),""))</f>
        <v/>
      </c>
      <c r="J1866" s="67" t="str">
        <f aca="false">IF(OR($C1866="",$D1866=""),"",IFERROR($D1866*INDEX(Mix_Eff,MATCH($C1866,Mix_Code,0),5),""))</f>
        <v/>
      </c>
      <c r="K1866" s="63"/>
      <c r="L1866" s="16" t="str">
        <f aca="false">IF(AND($A1866="",$B1866="",$C1866="",$D1866=""),"",IF($A1866="","⚠ Date missing",IF($B1866="","⚠ Site missing",IF(ISNA(MATCH($C1866,Mix_Code,0)),"⚠ Unknown mix code",IF($D1866="","⚠ Enter m3 produced",IF(COUNTIF(CI_Site,$B1866)=0,"⚠ Site not set up in Current Inventory",IF($A1866&gt;AsOfDate,"Future date – not yet deducted","OK")))))))</f>
        <v/>
      </c>
    </row>
    <row r="1867" customFormat="false" ht="15" hidden="false" customHeight="false" outlineLevel="0" collapsed="false">
      <c r="A1867" s="65"/>
      <c r="B1867" s="63"/>
      <c r="C1867" s="70"/>
      <c r="D1867" s="66"/>
      <c r="E1867" s="16" t="str">
        <f aca="false">IF($C1867="","",IFERROR(INDEX(Mix_Desc,MATCH($C1867,Mix_Code,0)),"⚠ Unknown mix code"))</f>
        <v/>
      </c>
      <c r="F1867" s="67" t="str">
        <f aca="false">IF(OR($C1867="",$D1867=""),"",IFERROR($D1867*INDEX(Mix_Eff,MATCH($C1867,Mix_Code,0),1),""))</f>
        <v/>
      </c>
      <c r="G1867" s="67" t="str">
        <f aca="false">IF(OR($C1867="",$D1867=""),"",IFERROR($D1867*INDEX(Mix_Eff,MATCH($C1867,Mix_Code,0),2),""))</f>
        <v/>
      </c>
      <c r="H1867" s="67" t="str">
        <f aca="false">IF(OR($C1867="",$D1867=""),"",IFERROR($D1867*INDEX(Mix_Eff,MATCH($C1867,Mix_Code,0),3),""))</f>
        <v/>
      </c>
      <c r="I1867" s="67" t="str">
        <f aca="false">IF(OR($C1867="",$D1867=""),"",IFERROR($D1867*INDEX(Mix_Eff,MATCH($C1867,Mix_Code,0),4),""))</f>
        <v/>
      </c>
      <c r="J1867" s="67" t="str">
        <f aca="false">IF(OR($C1867="",$D1867=""),"",IFERROR($D1867*INDEX(Mix_Eff,MATCH($C1867,Mix_Code,0),5),""))</f>
        <v/>
      </c>
      <c r="K1867" s="63"/>
      <c r="L1867" s="16" t="str">
        <f aca="false">IF(AND($A1867="",$B1867="",$C1867="",$D1867=""),"",IF($A1867="","⚠ Date missing",IF($B1867="","⚠ Site missing",IF(ISNA(MATCH($C1867,Mix_Code,0)),"⚠ Unknown mix code",IF($D1867="","⚠ Enter m3 produced",IF(COUNTIF(CI_Site,$B1867)=0,"⚠ Site not set up in Current Inventory",IF($A1867&gt;AsOfDate,"Future date – not yet deducted","OK")))))))</f>
        <v/>
      </c>
    </row>
    <row r="1868" customFormat="false" ht="15" hidden="false" customHeight="false" outlineLevel="0" collapsed="false">
      <c r="A1868" s="65"/>
      <c r="B1868" s="63"/>
      <c r="C1868" s="70"/>
      <c r="D1868" s="66"/>
      <c r="E1868" s="16" t="str">
        <f aca="false">IF($C1868="","",IFERROR(INDEX(Mix_Desc,MATCH($C1868,Mix_Code,0)),"⚠ Unknown mix code"))</f>
        <v/>
      </c>
      <c r="F1868" s="67" t="str">
        <f aca="false">IF(OR($C1868="",$D1868=""),"",IFERROR($D1868*INDEX(Mix_Eff,MATCH($C1868,Mix_Code,0),1),""))</f>
        <v/>
      </c>
      <c r="G1868" s="67" t="str">
        <f aca="false">IF(OR($C1868="",$D1868=""),"",IFERROR($D1868*INDEX(Mix_Eff,MATCH($C1868,Mix_Code,0),2),""))</f>
        <v/>
      </c>
      <c r="H1868" s="67" t="str">
        <f aca="false">IF(OR($C1868="",$D1868=""),"",IFERROR($D1868*INDEX(Mix_Eff,MATCH($C1868,Mix_Code,0),3),""))</f>
        <v/>
      </c>
      <c r="I1868" s="67" t="str">
        <f aca="false">IF(OR($C1868="",$D1868=""),"",IFERROR($D1868*INDEX(Mix_Eff,MATCH($C1868,Mix_Code,0),4),""))</f>
        <v/>
      </c>
      <c r="J1868" s="67" t="str">
        <f aca="false">IF(OR($C1868="",$D1868=""),"",IFERROR($D1868*INDEX(Mix_Eff,MATCH($C1868,Mix_Code,0),5),""))</f>
        <v/>
      </c>
      <c r="K1868" s="63"/>
      <c r="L1868" s="16" t="str">
        <f aca="false">IF(AND($A1868="",$B1868="",$C1868="",$D1868=""),"",IF($A1868="","⚠ Date missing",IF($B1868="","⚠ Site missing",IF(ISNA(MATCH($C1868,Mix_Code,0)),"⚠ Unknown mix code",IF($D1868="","⚠ Enter m3 produced",IF(COUNTIF(CI_Site,$B1868)=0,"⚠ Site not set up in Current Inventory",IF($A1868&gt;AsOfDate,"Future date – not yet deducted","OK")))))))</f>
        <v/>
      </c>
    </row>
    <row r="1869" customFormat="false" ht="15" hidden="false" customHeight="false" outlineLevel="0" collapsed="false">
      <c r="A1869" s="65"/>
      <c r="B1869" s="63"/>
      <c r="C1869" s="70"/>
      <c r="D1869" s="66"/>
      <c r="E1869" s="16" t="str">
        <f aca="false">IF($C1869="","",IFERROR(INDEX(Mix_Desc,MATCH($C1869,Mix_Code,0)),"⚠ Unknown mix code"))</f>
        <v/>
      </c>
      <c r="F1869" s="67" t="str">
        <f aca="false">IF(OR($C1869="",$D1869=""),"",IFERROR($D1869*INDEX(Mix_Eff,MATCH($C1869,Mix_Code,0),1),""))</f>
        <v/>
      </c>
      <c r="G1869" s="67" t="str">
        <f aca="false">IF(OR($C1869="",$D1869=""),"",IFERROR($D1869*INDEX(Mix_Eff,MATCH($C1869,Mix_Code,0),2),""))</f>
        <v/>
      </c>
      <c r="H1869" s="67" t="str">
        <f aca="false">IF(OR($C1869="",$D1869=""),"",IFERROR($D1869*INDEX(Mix_Eff,MATCH($C1869,Mix_Code,0),3),""))</f>
        <v/>
      </c>
      <c r="I1869" s="67" t="str">
        <f aca="false">IF(OR($C1869="",$D1869=""),"",IFERROR($D1869*INDEX(Mix_Eff,MATCH($C1869,Mix_Code,0),4),""))</f>
        <v/>
      </c>
      <c r="J1869" s="67" t="str">
        <f aca="false">IF(OR($C1869="",$D1869=""),"",IFERROR($D1869*INDEX(Mix_Eff,MATCH($C1869,Mix_Code,0),5),""))</f>
        <v/>
      </c>
      <c r="K1869" s="63"/>
      <c r="L1869" s="16" t="str">
        <f aca="false">IF(AND($A1869="",$B1869="",$C1869="",$D1869=""),"",IF($A1869="","⚠ Date missing",IF($B1869="","⚠ Site missing",IF(ISNA(MATCH($C1869,Mix_Code,0)),"⚠ Unknown mix code",IF($D1869="","⚠ Enter m3 produced",IF(COUNTIF(CI_Site,$B1869)=0,"⚠ Site not set up in Current Inventory",IF($A1869&gt;AsOfDate,"Future date – not yet deducted","OK")))))))</f>
        <v/>
      </c>
    </row>
    <row r="1870" customFormat="false" ht="15" hidden="false" customHeight="false" outlineLevel="0" collapsed="false">
      <c r="A1870" s="65"/>
      <c r="B1870" s="63"/>
      <c r="C1870" s="70"/>
      <c r="D1870" s="66"/>
      <c r="E1870" s="16" t="str">
        <f aca="false">IF($C1870="","",IFERROR(INDEX(Mix_Desc,MATCH($C1870,Mix_Code,0)),"⚠ Unknown mix code"))</f>
        <v/>
      </c>
      <c r="F1870" s="67" t="str">
        <f aca="false">IF(OR($C1870="",$D1870=""),"",IFERROR($D1870*INDEX(Mix_Eff,MATCH($C1870,Mix_Code,0),1),""))</f>
        <v/>
      </c>
      <c r="G1870" s="67" t="str">
        <f aca="false">IF(OR($C1870="",$D1870=""),"",IFERROR($D1870*INDEX(Mix_Eff,MATCH($C1870,Mix_Code,0),2),""))</f>
        <v/>
      </c>
      <c r="H1870" s="67" t="str">
        <f aca="false">IF(OR($C1870="",$D1870=""),"",IFERROR($D1870*INDEX(Mix_Eff,MATCH($C1870,Mix_Code,0),3),""))</f>
        <v/>
      </c>
      <c r="I1870" s="67" t="str">
        <f aca="false">IF(OR($C1870="",$D1870=""),"",IFERROR($D1870*INDEX(Mix_Eff,MATCH($C1870,Mix_Code,0),4),""))</f>
        <v/>
      </c>
      <c r="J1870" s="67" t="str">
        <f aca="false">IF(OR($C1870="",$D1870=""),"",IFERROR($D1870*INDEX(Mix_Eff,MATCH($C1870,Mix_Code,0),5),""))</f>
        <v/>
      </c>
      <c r="K1870" s="63"/>
      <c r="L1870" s="16" t="str">
        <f aca="false">IF(AND($A1870="",$B1870="",$C1870="",$D1870=""),"",IF($A1870="","⚠ Date missing",IF($B1870="","⚠ Site missing",IF(ISNA(MATCH($C1870,Mix_Code,0)),"⚠ Unknown mix code",IF($D1870="","⚠ Enter m3 produced",IF(COUNTIF(CI_Site,$B1870)=0,"⚠ Site not set up in Current Inventory",IF($A1870&gt;AsOfDate,"Future date – not yet deducted","OK")))))))</f>
        <v/>
      </c>
    </row>
    <row r="1871" customFormat="false" ht="15" hidden="false" customHeight="false" outlineLevel="0" collapsed="false">
      <c r="A1871" s="65"/>
      <c r="B1871" s="63"/>
      <c r="C1871" s="70"/>
      <c r="D1871" s="66"/>
      <c r="E1871" s="16" t="str">
        <f aca="false">IF($C1871="","",IFERROR(INDEX(Mix_Desc,MATCH($C1871,Mix_Code,0)),"⚠ Unknown mix code"))</f>
        <v/>
      </c>
      <c r="F1871" s="67" t="str">
        <f aca="false">IF(OR($C1871="",$D1871=""),"",IFERROR($D1871*INDEX(Mix_Eff,MATCH($C1871,Mix_Code,0),1),""))</f>
        <v/>
      </c>
      <c r="G1871" s="67" t="str">
        <f aca="false">IF(OR($C1871="",$D1871=""),"",IFERROR($D1871*INDEX(Mix_Eff,MATCH($C1871,Mix_Code,0),2),""))</f>
        <v/>
      </c>
      <c r="H1871" s="67" t="str">
        <f aca="false">IF(OR($C1871="",$D1871=""),"",IFERROR($D1871*INDEX(Mix_Eff,MATCH($C1871,Mix_Code,0),3),""))</f>
        <v/>
      </c>
      <c r="I1871" s="67" t="str">
        <f aca="false">IF(OR($C1871="",$D1871=""),"",IFERROR($D1871*INDEX(Mix_Eff,MATCH($C1871,Mix_Code,0),4),""))</f>
        <v/>
      </c>
      <c r="J1871" s="67" t="str">
        <f aca="false">IF(OR($C1871="",$D1871=""),"",IFERROR($D1871*INDEX(Mix_Eff,MATCH($C1871,Mix_Code,0),5),""))</f>
        <v/>
      </c>
      <c r="K1871" s="63"/>
      <c r="L1871" s="16" t="str">
        <f aca="false">IF(AND($A1871="",$B1871="",$C1871="",$D1871=""),"",IF($A1871="","⚠ Date missing",IF($B1871="","⚠ Site missing",IF(ISNA(MATCH($C1871,Mix_Code,0)),"⚠ Unknown mix code",IF($D1871="","⚠ Enter m3 produced",IF(COUNTIF(CI_Site,$B1871)=0,"⚠ Site not set up in Current Inventory",IF($A1871&gt;AsOfDate,"Future date – not yet deducted","OK")))))))</f>
        <v/>
      </c>
    </row>
    <row r="1872" customFormat="false" ht="15" hidden="false" customHeight="false" outlineLevel="0" collapsed="false">
      <c r="A1872" s="65"/>
      <c r="B1872" s="63"/>
      <c r="C1872" s="70"/>
      <c r="D1872" s="66"/>
      <c r="E1872" s="16" t="str">
        <f aca="false">IF($C1872="","",IFERROR(INDEX(Mix_Desc,MATCH($C1872,Mix_Code,0)),"⚠ Unknown mix code"))</f>
        <v/>
      </c>
      <c r="F1872" s="67" t="str">
        <f aca="false">IF(OR($C1872="",$D1872=""),"",IFERROR($D1872*INDEX(Mix_Eff,MATCH($C1872,Mix_Code,0),1),""))</f>
        <v/>
      </c>
      <c r="G1872" s="67" t="str">
        <f aca="false">IF(OR($C1872="",$D1872=""),"",IFERROR($D1872*INDEX(Mix_Eff,MATCH($C1872,Mix_Code,0),2),""))</f>
        <v/>
      </c>
      <c r="H1872" s="67" t="str">
        <f aca="false">IF(OR($C1872="",$D1872=""),"",IFERROR($D1872*INDEX(Mix_Eff,MATCH($C1872,Mix_Code,0),3),""))</f>
        <v/>
      </c>
      <c r="I1872" s="67" t="str">
        <f aca="false">IF(OR($C1872="",$D1872=""),"",IFERROR($D1872*INDEX(Mix_Eff,MATCH($C1872,Mix_Code,0),4),""))</f>
        <v/>
      </c>
      <c r="J1872" s="67" t="str">
        <f aca="false">IF(OR($C1872="",$D1872=""),"",IFERROR($D1872*INDEX(Mix_Eff,MATCH($C1872,Mix_Code,0),5),""))</f>
        <v/>
      </c>
      <c r="K1872" s="63"/>
      <c r="L1872" s="16" t="str">
        <f aca="false">IF(AND($A1872="",$B1872="",$C1872="",$D1872=""),"",IF($A1872="","⚠ Date missing",IF($B1872="","⚠ Site missing",IF(ISNA(MATCH($C1872,Mix_Code,0)),"⚠ Unknown mix code",IF($D1872="","⚠ Enter m3 produced",IF(COUNTIF(CI_Site,$B1872)=0,"⚠ Site not set up in Current Inventory",IF($A1872&gt;AsOfDate,"Future date – not yet deducted","OK")))))))</f>
        <v/>
      </c>
    </row>
    <row r="1873" customFormat="false" ht="15" hidden="false" customHeight="false" outlineLevel="0" collapsed="false">
      <c r="A1873" s="65"/>
      <c r="B1873" s="63"/>
      <c r="C1873" s="70"/>
      <c r="D1873" s="66"/>
      <c r="E1873" s="16" t="str">
        <f aca="false">IF($C1873="","",IFERROR(INDEX(Mix_Desc,MATCH($C1873,Mix_Code,0)),"⚠ Unknown mix code"))</f>
        <v/>
      </c>
      <c r="F1873" s="67" t="str">
        <f aca="false">IF(OR($C1873="",$D1873=""),"",IFERROR($D1873*INDEX(Mix_Eff,MATCH($C1873,Mix_Code,0),1),""))</f>
        <v/>
      </c>
      <c r="G1873" s="67" t="str">
        <f aca="false">IF(OR($C1873="",$D1873=""),"",IFERROR($D1873*INDEX(Mix_Eff,MATCH($C1873,Mix_Code,0),2),""))</f>
        <v/>
      </c>
      <c r="H1873" s="67" t="str">
        <f aca="false">IF(OR($C1873="",$D1873=""),"",IFERROR($D1873*INDEX(Mix_Eff,MATCH($C1873,Mix_Code,0),3),""))</f>
        <v/>
      </c>
      <c r="I1873" s="67" t="str">
        <f aca="false">IF(OR($C1873="",$D1873=""),"",IFERROR($D1873*INDEX(Mix_Eff,MATCH($C1873,Mix_Code,0),4),""))</f>
        <v/>
      </c>
      <c r="J1873" s="67" t="str">
        <f aca="false">IF(OR($C1873="",$D1873=""),"",IFERROR($D1873*INDEX(Mix_Eff,MATCH($C1873,Mix_Code,0),5),""))</f>
        <v/>
      </c>
      <c r="K1873" s="63"/>
      <c r="L1873" s="16" t="str">
        <f aca="false">IF(AND($A1873="",$B1873="",$C1873="",$D1873=""),"",IF($A1873="","⚠ Date missing",IF($B1873="","⚠ Site missing",IF(ISNA(MATCH($C1873,Mix_Code,0)),"⚠ Unknown mix code",IF($D1873="","⚠ Enter m3 produced",IF(COUNTIF(CI_Site,$B1873)=0,"⚠ Site not set up in Current Inventory",IF($A1873&gt;AsOfDate,"Future date – not yet deducted","OK")))))))</f>
        <v/>
      </c>
    </row>
    <row r="1874" customFormat="false" ht="15" hidden="false" customHeight="false" outlineLevel="0" collapsed="false">
      <c r="A1874" s="65"/>
      <c r="B1874" s="63"/>
      <c r="C1874" s="70"/>
      <c r="D1874" s="66"/>
      <c r="E1874" s="16" t="str">
        <f aca="false">IF($C1874="","",IFERROR(INDEX(Mix_Desc,MATCH($C1874,Mix_Code,0)),"⚠ Unknown mix code"))</f>
        <v/>
      </c>
      <c r="F1874" s="67" t="str">
        <f aca="false">IF(OR($C1874="",$D1874=""),"",IFERROR($D1874*INDEX(Mix_Eff,MATCH($C1874,Mix_Code,0),1),""))</f>
        <v/>
      </c>
      <c r="G1874" s="67" t="str">
        <f aca="false">IF(OR($C1874="",$D1874=""),"",IFERROR($D1874*INDEX(Mix_Eff,MATCH($C1874,Mix_Code,0),2),""))</f>
        <v/>
      </c>
      <c r="H1874" s="67" t="str">
        <f aca="false">IF(OR($C1874="",$D1874=""),"",IFERROR($D1874*INDEX(Mix_Eff,MATCH($C1874,Mix_Code,0),3),""))</f>
        <v/>
      </c>
      <c r="I1874" s="67" t="str">
        <f aca="false">IF(OR($C1874="",$D1874=""),"",IFERROR($D1874*INDEX(Mix_Eff,MATCH($C1874,Mix_Code,0),4),""))</f>
        <v/>
      </c>
      <c r="J1874" s="67" t="str">
        <f aca="false">IF(OR($C1874="",$D1874=""),"",IFERROR($D1874*INDEX(Mix_Eff,MATCH($C1874,Mix_Code,0),5),""))</f>
        <v/>
      </c>
      <c r="K1874" s="63"/>
      <c r="L1874" s="16" t="str">
        <f aca="false">IF(AND($A1874="",$B1874="",$C1874="",$D1874=""),"",IF($A1874="","⚠ Date missing",IF($B1874="","⚠ Site missing",IF(ISNA(MATCH($C1874,Mix_Code,0)),"⚠ Unknown mix code",IF($D1874="","⚠ Enter m3 produced",IF(COUNTIF(CI_Site,$B1874)=0,"⚠ Site not set up in Current Inventory",IF($A1874&gt;AsOfDate,"Future date – not yet deducted","OK")))))))</f>
        <v/>
      </c>
    </row>
    <row r="1875" customFormat="false" ht="15" hidden="false" customHeight="false" outlineLevel="0" collapsed="false">
      <c r="A1875" s="65"/>
      <c r="B1875" s="63"/>
      <c r="C1875" s="70"/>
      <c r="D1875" s="66"/>
      <c r="E1875" s="16" t="str">
        <f aca="false">IF($C1875="","",IFERROR(INDEX(Mix_Desc,MATCH($C1875,Mix_Code,0)),"⚠ Unknown mix code"))</f>
        <v/>
      </c>
      <c r="F1875" s="67" t="str">
        <f aca="false">IF(OR($C1875="",$D1875=""),"",IFERROR($D1875*INDEX(Mix_Eff,MATCH($C1875,Mix_Code,0),1),""))</f>
        <v/>
      </c>
      <c r="G1875" s="67" t="str">
        <f aca="false">IF(OR($C1875="",$D1875=""),"",IFERROR($D1875*INDEX(Mix_Eff,MATCH($C1875,Mix_Code,0),2),""))</f>
        <v/>
      </c>
      <c r="H1875" s="67" t="str">
        <f aca="false">IF(OR($C1875="",$D1875=""),"",IFERROR($D1875*INDEX(Mix_Eff,MATCH($C1875,Mix_Code,0),3),""))</f>
        <v/>
      </c>
      <c r="I1875" s="67" t="str">
        <f aca="false">IF(OR($C1875="",$D1875=""),"",IFERROR($D1875*INDEX(Mix_Eff,MATCH($C1875,Mix_Code,0),4),""))</f>
        <v/>
      </c>
      <c r="J1875" s="67" t="str">
        <f aca="false">IF(OR($C1875="",$D1875=""),"",IFERROR($D1875*INDEX(Mix_Eff,MATCH($C1875,Mix_Code,0),5),""))</f>
        <v/>
      </c>
      <c r="K1875" s="63"/>
      <c r="L1875" s="16" t="str">
        <f aca="false">IF(AND($A1875="",$B1875="",$C1875="",$D1875=""),"",IF($A1875="","⚠ Date missing",IF($B1875="","⚠ Site missing",IF(ISNA(MATCH($C1875,Mix_Code,0)),"⚠ Unknown mix code",IF($D1875="","⚠ Enter m3 produced",IF(COUNTIF(CI_Site,$B1875)=0,"⚠ Site not set up in Current Inventory",IF($A1875&gt;AsOfDate,"Future date – not yet deducted","OK")))))))</f>
        <v/>
      </c>
    </row>
    <row r="1876" customFormat="false" ht="15" hidden="false" customHeight="false" outlineLevel="0" collapsed="false">
      <c r="A1876" s="65"/>
      <c r="B1876" s="63"/>
      <c r="C1876" s="70"/>
      <c r="D1876" s="66"/>
      <c r="E1876" s="16" t="str">
        <f aca="false">IF($C1876="","",IFERROR(INDEX(Mix_Desc,MATCH($C1876,Mix_Code,0)),"⚠ Unknown mix code"))</f>
        <v/>
      </c>
      <c r="F1876" s="67" t="str">
        <f aca="false">IF(OR($C1876="",$D1876=""),"",IFERROR($D1876*INDEX(Mix_Eff,MATCH($C1876,Mix_Code,0),1),""))</f>
        <v/>
      </c>
      <c r="G1876" s="67" t="str">
        <f aca="false">IF(OR($C1876="",$D1876=""),"",IFERROR($D1876*INDEX(Mix_Eff,MATCH($C1876,Mix_Code,0),2),""))</f>
        <v/>
      </c>
      <c r="H1876" s="67" t="str">
        <f aca="false">IF(OR($C1876="",$D1876=""),"",IFERROR($D1876*INDEX(Mix_Eff,MATCH($C1876,Mix_Code,0),3),""))</f>
        <v/>
      </c>
      <c r="I1876" s="67" t="str">
        <f aca="false">IF(OR($C1876="",$D1876=""),"",IFERROR($D1876*INDEX(Mix_Eff,MATCH($C1876,Mix_Code,0),4),""))</f>
        <v/>
      </c>
      <c r="J1876" s="67" t="str">
        <f aca="false">IF(OR($C1876="",$D1876=""),"",IFERROR($D1876*INDEX(Mix_Eff,MATCH($C1876,Mix_Code,0),5),""))</f>
        <v/>
      </c>
      <c r="K1876" s="63"/>
      <c r="L1876" s="16" t="str">
        <f aca="false">IF(AND($A1876="",$B1876="",$C1876="",$D1876=""),"",IF($A1876="","⚠ Date missing",IF($B1876="","⚠ Site missing",IF(ISNA(MATCH($C1876,Mix_Code,0)),"⚠ Unknown mix code",IF($D1876="","⚠ Enter m3 produced",IF(COUNTIF(CI_Site,$B1876)=0,"⚠ Site not set up in Current Inventory",IF($A1876&gt;AsOfDate,"Future date – not yet deducted","OK")))))))</f>
        <v/>
      </c>
    </row>
    <row r="1877" customFormat="false" ht="15" hidden="false" customHeight="false" outlineLevel="0" collapsed="false">
      <c r="A1877" s="65"/>
      <c r="B1877" s="63"/>
      <c r="C1877" s="70"/>
      <c r="D1877" s="66"/>
      <c r="E1877" s="16" t="str">
        <f aca="false">IF($C1877="","",IFERROR(INDEX(Mix_Desc,MATCH($C1877,Mix_Code,0)),"⚠ Unknown mix code"))</f>
        <v/>
      </c>
      <c r="F1877" s="67" t="str">
        <f aca="false">IF(OR($C1877="",$D1877=""),"",IFERROR($D1877*INDEX(Mix_Eff,MATCH($C1877,Mix_Code,0),1),""))</f>
        <v/>
      </c>
      <c r="G1877" s="67" t="str">
        <f aca="false">IF(OR($C1877="",$D1877=""),"",IFERROR($D1877*INDEX(Mix_Eff,MATCH($C1877,Mix_Code,0),2),""))</f>
        <v/>
      </c>
      <c r="H1877" s="67" t="str">
        <f aca="false">IF(OR($C1877="",$D1877=""),"",IFERROR($D1877*INDEX(Mix_Eff,MATCH($C1877,Mix_Code,0),3),""))</f>
        <v/>
      </c>
      <c r="I1877" s="67" t="str">
        <f aca="false">IF(OR($C1877="",$D1877=""),"",IFERROR($D1877*INDEX(Mix_Eff,MATCH($C1877,Mix_Code,0),4),""))</f>
        <v/>
      </c>
      <c r="J1877" s="67" t="str">
        <f aca="false">IF(OR($C1877="",$D1877=""),"",IFERROR($D1877*INDEX(Mix_Eff,MATCH($C1877,Mix_Code,0),5),""))</f>
        <v/>
      </c>
      <c r="K1877" s="63"/>
      <c r="L1877" s="16" t="str">
        <f aca="false">IF(AND($A1877="",$B1877="",$C1877="",$D1877=""),"",IF($A1877="","⚠ Date missing",IF($B1877="","⚠ Site missing",IF(ISNA(MATCH($C1877,Mix_Code,0)),"⚠ Unknown mix code",IF($D1877="","⚠ Enter m3 produced",IF(COUNTIF(CI_Site,$B1877)=0,"⚠ Site not set up in Current Inventory",IF($A1877&gt;AsOfDate,"Future date – not yet deducted","OK")))))))</f>
        <v/>
      </c>
    </row>
    <row r="1878" customFormat="false" ht="15" hidden="false" customHeight="false" outlineLevel="0" collapsed="false">
      <c r="A1878" s="65"/>
      <c r="B1878" s="63"/>
      <c r="C1878" s="70"/>
      <c r="D1878" s="66"/>
      <c r="E1878" s="16" t="str">
        <f aca="false">IF($C1878="","",IFERROR(INDEX(Mix_Desc,MATCH($C1878,Mix_Code,0)),"⚠ Unknown mix code"))</f>
        <v/>
      </c>
      <c r="F1878" s="67" t="str">
        <f aca="false">IF(OR($C1878="",$D1878=""),"",IFERROR($D1878*INDEX(Mix_Eff,MATCH($C1878,Mix_Code,0),1),""))</f>
        <v/>
      </c>
      <c r="G1878" s="67" t="str">
        <f aca="false">IF(OR($C1878="",$D1878=""),"",IFERROR($D1878*INDEX(Mix_Eff,MATCH($C1878,Mix_Code,0),2),""))</f>
        <v/>
      </c>
      <c r="H1878" s="67" t="str">
        <f aca="false">IF(OR($C1878="",$D1878=""),"",IFERROR($D1878*INDEX(Mix_Eff,MATCH($C1878,Mix_Code,0),3),""))</f>
        <v/>
      </c>
      <c r="I1878" s="67" t="str">
        <f aca="false">IF(OR($C1878="",$D1878=""),"",IFERROR($D1878*INDEX(Mix_Eff,MATCH($C1878,Mix_Code,0),4),""))</f>
        <v/>
      </c>
      <c r="J1878" s="67" t="str">
        <f aca="false">IF(OR($C1878="",$D1878=""),"",IFERROR($D1878*INDEX(Mix_Eff,MATCH($C1878,Mix_Code,0),5),""))</f>
        <v/>
      </c>
      <c r="K1878" s="63"/>
      <c r="L1878" s="16" t="str">
        <f aca="false">IF(AND($A1878="",$B1878="",$C1878="",$D1878=""),"",IF($A1878="","⚠ Date missing",IF($B1878="","⚠ Site missing",IF(ISNA(MATCH($C1878,Mix_Code,0)),"⚠ Unknown mix code",IF($D1878="","⚠ Enter m3 produced",IF(COUNTIF(CI_Site,$B1878)=0,"⚠ Site not set up in Current Inventory",IF($A1878&gt;AsOfDate,"Future date – not yet deducted","OK")))))))</f>
        <v/>
      </c>
    </row>
    <row r="1879" customFormat="false" ht="15" hidden="false" customHeight="false" outlineLevel="0" collapsed="false">
      <c r="A1879" s="65"/>
      <c r="B1879" s="63"/>
      <c r="C1879" s="70"/>
      <c r="D1879" s="66"/>
      <c r="E1879" s="16" t="str">
        <f aca="false">IF($C1879="","",IFERROR(INDEX(Mix_Desc,MATCH($C1879,Mix_Code,0)),"⚠ Unknown mix code"))</f>
        <v/>
      </c>
      <c r="F1879" s="67" t="str">
        <f aca="false">IF(OR($C1879="",$D1879=""),"",IFERROR($D1879*INDEX(Mix_Eff,MATCH($C1879,Mix_Code,0),1),""))</f>
        <v/>
      </c>
      <c r="G1879" s="67" t="str">
        <f aca="false">IF(OR($C1879="",$D1879=""),"",IFERROR($D1879*INDEX(Mix_Eff,MATCH($C1879,Mix_Code,0),2),""))</f>
        <v/>
      </c>
      <c r="H1879" s="67" t="str">
        <f aca="false">IF(OR($C1879="",$D1879=""),"",IFERROR($D1879*INDEX(Mix_Eff,MATCH($C1879,Mix_Code,0),3),""))</f>
        <v/>
      </c>
      <c r="I1879" s="67" t="str">
        <f aca="false">IF(OR($C1879="",$D1879=""),"",IFERROR($D1879*INDEX(Mix_Eff,MATCH($C1879,Mix_Code,0),4),""))</f>
        <v/>
      </c>
      <c r="J1879" s="67" t="str">
        <f aca="false">IF(OR($C1879="",$D1879=""),"",IFERROR($D1879*INDEX(Mix_Eff,MATCH($C1879,Mix_Code,0),5),""))</f>
        <v/>
      </c>
      <c r="K1879" s="63"/>
      <c r="L1879" s="16" t="str">
        <f aca="false">IF(AND($A1879="",$B1879="",$C1879="",$D1879=""),"",IF($A1879="","⚠ Date missing",IF($B1879="","⚠ Site missing",IF(ISNA(MATCH($C1879,Mix_Code,0)),"⚠ Unknown mix code",IF($D1879="","⚠ Enter m3 produced",IF(COUNTIF(CI_Site,$B1879)=0,"⚠ Site not set up in Current Inventory",IF($A1879&gt;AsOfDate,"Future date – not yet deducted","OK")))))))</f>
        <v/>
      </c>
    </row>
    <row r="1880" customFormat="false" ht="15" hidden="false" customHeight="false" outlineLevel="0" collapsed="false">
      <c r="A1880" s="65"/>
      <c r="B1880" s="63"/>
      <c r="C1880" s="70"/>
      <c r="D1880" s="66"/>
      <c r="E1880" s="16" t="str">
        <f aca="false">IF($C1880="","",IFERROR(INDEX(Mix_Desc,MATCH($C1880,Mix_Code,0)),"⚠ Unknown mix code"))</f>
        <v/>
      </c>
      <c r="F1880" s="67" t="str">
        <f aca="false">IF(OR($C1880="",$D1880=""),"",IFERROR($D1880*INDEX(Mix_Eff,MATCH($C1880,Mix_Code,0),1),""))</f>
        <v/>
      </c>
      <c r="G1880" s="67" t="str">
        <f aca="false">IF(OR($C1880="",$D1880=""),"",IFERROR($D1880*INDEX(Mix_Eff,MATCH($C1880,Mix_Code,0),2),""))</f>
        <v/>
      </c>
      <c r="H1880" s="67" t="str">
        <f aca="false">IF(OR($C1880="",$D1880=""),"",IFERROR($D1880*INDEX(Mix_Eff,MATCH($C1880,Mix_Code,0),3),""))</f>
        <v/>
      </c>
      <c r="I1880" s="67" t="str">
        <f aca="false">IF(OR($C1880="",$D1880=""),"",IFERROR($D1880*INDEX(Mix_Eff,MATCH($C1880,Mix_Code,0),4),""))</f>
        <v/>
      </c>
      <c r="J1880" s="67" t="str">
        <f aca="false">IF(OR($C1880="",$D1880=""),"",IFERROR($D1880*INDEX(Mix_Eff,MATCH($C1880,Mix_Code,0),5),""))</f>
        <v/>
      </c>
      <c r="K1880" s="63"/>
      <c r="L1880" s="16" t="str">
        <f aca="false">IF(AND($A1880="",$B1880="",$C1880="",$D1880=""),"",IF($A1880="","⚠ Date missing",IF($B1880="","⚠ Site missing",IF(ISNA(MATCH($C1880,Mix_Code,0)),"⚠ Unknown mix code",IF($D1880="","⚠ Enter m3 produced",IF(COUNTIF(CI_Site,$B1880)=0,"⚠ Site not set up in Current Inventory",IF($A1880&gt;AsOfDate,"Future date – not yet deducted","OK")))))))</f>
        <v/>
      </c>
    </row>
    <row r="1881" customFormat="false" ht="15" hidden="false" customHeight="false" outlineLevel="0" collapsed="false">
      <c r="A1881" s="65"/>
      <c r="B1881" s="63"/>
      <c r="C1881" s="70"/>
      <c r="D1881" s="66"/>
      <c r="E1881" s="16" t="str">
        <f aca="false">IF($C1881="","",IFERROR(INDEX(Mix_Desc,MATCH($C1881,Mix_Code,0)),"⚠ Unknown mix code"))</f>
        <v/>
      </c>
      <c r="F1881" s="67" t="str">
        <f aca="false">IF(OR($C1881="",$D1881=""),"",IFERROR($D1881*INDEX(Mix_Eff,MATCH($C1881,Mix_Code,0),1),""))</f>
        <v/>
      </c>
      <c r="G1881" s="67" t="str">
        <f aca="false">IF(OR($C1881="",$D1881=""),"",IFERROR($D1881*INDEX(Mix_Eff,MATCH($C1881,Mix_Code,0),2),""))</f>
        <v/>
      </c>
      <c r="H1881" s="67" t="str">
        <f aca="false">IF(OR($C1881="",$D1881=""),"",IFERROR($D1881*INDEX(Mix_Eff,MATCH($C1881,Mix_Code,0),3),""))</f>
        <v/>
      </c>
      <c r="I1881" s="67" t="str">
        <f aca="false">IF(OR($C1881="",$D1881=""),"",IFERROR($D1881*INDEX(Mix_Eff,MATCH($C1881,Mix_Code,0),4),""))</f>
        <v/>
      </c>
      <c r="J1881" s="67" t="str">
        <f aca="false">IF(OR($C1881="",$D1881=""),"",IFERROR($D1881*INDEX(Mix_Eff,MATCH($C1881,Mix_Code,0),5),""))</f>
        <v/>
      </c>
      <c r="K1881" s="63"/>
      <c r="L1881" s="16" t="str">
        <f aca="false">IF(AND($A1881="",$B1881="",$C1881="",$D1881=""),"",IF($A1881="","⚠ Date missing",IF($B1881="","⚠ Site missing",IF(ISNA(MATCH($C1881,Mix_Code,0)),"⚠ Unknown mix code",IF($D1881="","⚠ Enter m3 produced",IF(COUNTIF(CI_Site,$B1881)=0,"⚠ Site not set up in Current Inventory",IF($A1881&gt;AsOfDate,"Future date – not yet deducted","OK")))))))</f>
        <v/>
      </c>
    </row>
    <row r="1882" customFormat="false" ht="15" hidden="false" customHeight="false" outlineLevel="0" collapsed="false">
      <c r="A1882" s="65"/>
      <c r="B1882" s="63"/>
      <c r="C1882" s="70"/>
      <c r="D1882" s="66"/>
      <c r="E1882" s="16" t="str">
        <f aca="false">IF($C1882="","",IFERROR(INDEX(Mix_Desc,MATCH($C1882,Mix_Code,0)),"⚠ Unknown mix code"))</f>
        <v/>
      </c>
      <c r="F1882" s="67" t="str">
        <f aca="false">IF(OR($C1882="",$D1882=""),"",IFERROR($D1882*INDEX(Mix_Eff,MATCH($C1882,Mix_Code,0),1),""))</f>
        <v/>
      </c>
      <c r="G1882" s="67" t="str">
        <f aca="false">IF(OR($C1882="",$D1882=""),"",IFERROR($D1882*INDEX(Mix_Eff,MATCH($C1882,Mix_Code,0),2),""))</f>
        <v/>
      </c>
      <c r="H1882" s="67" t="str">
        <f aca="false">IF(OR($C1882="",$D1882=""),"",IFERROR($D1882*INDEX(Mix_Eff,MATCH($C1882,Mix_Code,0),3),""))</f>
        <v/>
      </c>
      <c r="I1882" s="67" t="str">
        <f aca="false">IF(OR($C1882="",$D1882=""),"",IFERROR($D1882*INDEX(Mix_Eff,MATCH($C1882,Mix_Code,0),4),""))</f>
        <v/>
      </c>
      <c r="J1882" s="67" t="str">
        <f aca="false">IF(OR($C1882="",$D1882=""),"",IFERROR($D1882*INDEX(Mix_Eff,MATCH($C1882,Mix_Code,0),5),""))</f>
        <v/>
      </c>
      <c r="K1882" s="63"/>
      <c r="L1882" s="16" t="str">
        <f aca="false">IF(AND($A1882="",$B1882="",$C1882="",$D1882=""),"",IF($A1882="","⚠ Date missing",IF($B1882="","⚠ Site missing",IF(ISNA(MATCH($C1882,Mix_Code,0)),"⚠ Unknown mix code",IF($D1882="","⚠ Enter m3 produced",IF(COUNTIF(CI_Site,$B1882)=0,"⚠ Site not set up in Current Inventory",IF($A1882&gt;AsOfDate,"Future date – not yet deducted","OK")))))))</f>
        <v/>
      </c>
    </row>
    <row r="1883" customFormat="false" ht="15" hidden="false" customHeight="false" outlineLevel="0" collapsed="false">
      <c r="A1883" s="65"/>
      <c r="B1883" s="63"/>
      <c r="C1883" s="70"/>
      <c r="D1883" s="66"/>
      <c r="E1883" s="16" t="str">
        <f aca="false">IF($C1883="","",IFERROR(INDEX(Mix_Desc,MATCH($C1883,Mix_Code,0)),"⚠ Unknown mix code"))</f>
        <v/>
      </c>
      <c r="F1883" s="67" t="str">
        <f aca="false">IF(OR($C1883="",$D1883=""),"",IFERROR($D1883*INDEX(Mix_Eff,MATCH($C1883,Mix_Code,0),1),""))</f>
        <v/>
      </c>
      <c r="G1883" s="67" t="str">
        <f aca="false">IF(OR($C1883="",$D1883=""),"",IFERROR($D1883*INDEX(Mix_Eff,MATCH($C1883,Mix_Code,0),2),""))</f>
        <v/>
      </c>
      <c r="H1883" s="67" t="str">
        <f aca="false">IF(OR($C1883="",$D1883=""),"",IFERROR($D1883*INDEX(Mix_Eff,MATCH($C1883,Mix_Code,0),3),""))</f>
        <v/>
      </c>
      <c r="I1883" s="67" t="str">
        <f aca="false">IF(OR($C1883="",$D1883=""),"",IFERROR($D1883*INDEX(Mix_Eff,MATCH($C1883,Mix_Code,0),4),""))</f>
        <v/>
      </c>
      <c r="J1883" s="67" t="str">
        <f aca="false">IF(OR($C1883="",$D1883=""),"",IFERROR($D1883*INDEX(Mix_Eff,MATCH($C1883,Mix_Code,0),5),""))</f>
        <v/>
      </c>
      <c r="K1883" s="63"/>
      <c r="L1883" s="16" t="str">
        <f aca="false">IF(AND($A1883="",$B1883="",$C1883="",$D1883=""),"",IF($A1883="","⚠ Date missing",IF($B1883="","⚠ Site missing",IF(ISNA(MATCH($C1883,Mix_Code,0)),"⚠ Unknown mix code",IF($D1883="","⚠ Enter m3 produced",IF(COUNTIF(CI_Site,$B1883)=0,"⚠ Site not set up in Current Inventory",IF($A1883&gt;AsOfDate,"Future date – not yet deducted","OK")))))))</f>
        <v/>
      </c>
    </row>
    <row r="1884" customFormat="false" ht="15" hidden="false" customHeight="false" outlineLevel="0" collapsed="false">
      <c r="A1884" s="65"/>
      <c r="B1884" s="63"/>
      <c r="C1884" s="70"/>
      <c r="D1884" s="66"/>
      <c r="E1884" s="16" t="str">
        <f aca="false">IF($C1884="","",IFERROR(INDEX(Mix_Desc,MATCH($C1884,Mix_Code,0)),"⚠ Unknown mix code"))</f>
        <v/>
      </c>
      <c r="F1884" s="67" t="str">
        <f aca="false">IF(OR($C1884="",$D1884=""),"",IFERROR($D1884*INDEX(Mix_Eff,MATCH($C1884,Mix_Code,0),1),""))</f>
        <v/>
      </c>
      <c r="G1884" s="67" t="str">
        <f aca="false">IF(OR($C1884="",$D1884=""),"",IFERROR($D1884*INDEX(Mix_Eff,MATCH($C1884,Mix_Code,0),2),""))</f>
        <v/>
      </c>
      <c r="H1884" s="67" t="str">
        <f aca="false">IF(OR($C1884="",$D1884=""),"",IFERROR($D1884*INDEX(Mix_Eff,MATCH($C1884,Mix_Code,0),3),""))</f>
        <v/>
      </c>
      <c r="I1884" s="67" t="str">
        <f aca="false">IF(OR($C1884="",$D1884=""),"",IFERROR($D1884*INDEX(Mix_Eff,MATCH($C1884,Mix_Code,0),4),""))</f>
        <v/>
      </c>
      <c r="J1884" s="67" t="str">
        <f aca="false">IF(OR($C1884="",$D1884=""),"",IFERROR($D1884*INDEX(Mix_Eff,MATCH($C1884,Mix_Code,0),5),""))</f>
        <v/>
      </c>
      <c r="K1884" s="63"/>
      <c r="L1884" s="16" t="str">
        <f aca="false">IF(AND($A1884="",$B1884="",$C1884="",$D1884=""),"",IF($A1884="","⚠ Date missing",IF($B1884="","⚠ Site missing",IF(ISNA(MATCH($C1884,Mix_Code,0)),"⚠ Unknown mix code",IF($D1884="","⚠ Enter m3 produced",IF(COUNTIF(CI_Site,$B1884)=0,"⚠ Site not set up in Current Inventory",IF($A1884&gt;AsOfDate,"Future date – not yet deducted","OK")))))))</f>
        <v/>
      </c>
    </row>
    <row r="1885" customFormat="false" ht="15" hidden="false" customHeight="false" outlineLevel="0" collapsed="false">
      <c r="A1885" s="65"/>
      <c r="B1885" s="63"/>
      <c r="C1885" s="70"/>
      <c r="D1885" s="66"/>
      <c r="E1885" s="16" t="str">
        <f aca="false">IF($C1885="","",IFERROR(INDEX(Mix_Desc,MATCH($C1885,Mix_Code,0)),"⚠ Unknown mix code"))</f>
        <v/>
      </c>
      <c r="F1885" s="67" t="str">
        <f aca="false">IF(OR($C1885="",$D1885=""),"",IFERROR($D1885*INDEX(Mix_Eff,MATCH($C1885,Mix_Code,0),1),""))</f>
        <v/>
      </c>
      <c r="G1885" s="67" t="str">
        <f aca="false">IF(OR($C1885="",$D1885=""),"",IFERROR($D1885*INDEX(Mix_Eff,MATCH($C1885,Mix_Code,0),2),""))</f>
        <v/>
      </c>
      <c r="H1885" s="67" t="str">
        <f aca="false">IF(OR($C1885="",$D1885=""),"",IFERROR($D1885*INDEX(Mix_Eff,MATCH($C1885,Mix_Code,0),3),""))</f>
        <v/>
      </c>
      <c r="I1885" s="67" t="str">
        <f aca="false">IF(OR($C1885="",$D1885=""),"",IFERROR($D1885*INDEX(Mix_Eff,MATCH($C1885,Mix_Code,0),4),""))</f>
        <v/>
      </c>
      <c r="J1885" s="67" t="str">
        <f aca="false">IF(OR($C1885="",$D1885=""),"",IFERROR($D1885*INDEX(Mix_Eff,MATCH($C1885,Mix_Code,0),5),""))</f>
        <v/>
      </c>
      <c r="K1885" s="63"/>
      <c r="L1885" s="16" t="str">
        <f aca="false">IF(AND($A1885="",$B1885="",$C1885="",$D1885=""),"",IF($A1885="","⚠ Date missing",IF($B1885="","⚠ Site missing",IF(ISNA(MATCH($C1885,Mix_Code,0)),"⚠ Unknown mix code",IF($D1885="","⚠ Enter m3 produced",IF(COUNTIF(CI_Site,$B1885)=0,"⚠ Site not set up in Current Inventory",IF($A1885&gt;AsOfDate,"Future date – not yet deducted","OK")))))))</f>
        <v/>
      </c>
    </row>
    <row r="1886" customFormat="false" ht="15" hidden="false" customHeight="false" outlineLevel="0" collapsed="false">
      <c r="A1886" s="65"/>
      <c r="B1886" s="63"/>
      <c r="C1886" s="70"/>
      <c r="D1886" s="66"/>
      <c r="E1886" s="16" t="str">
        <f aca="false">IF($C1886="","",IFERROR(INDEX(Mix_Desc,MATCH($C1886,Mix_Code,0)),"⚠ Unknown mix code"))</f>
        <v/>
      </c>
      <c r="F1886" s="67" t="str">
        <f aca="false">IF(OR($C1886="",$D1886=""),"",IFERROR($D1886*INDEX(Mix_Eff,MATCH($C1886,Mix_Code,0),1),""))</f>
        <v/>
      </c>
      <c r="G1886" s="67" t="str">
        <f aca="false">IF(OR($C1886="",$D1886=""),"",IFERROR($D1886*INDEX(Mix_Eff,MATCH($C1886,Mix_Code,0),2),""))</f>
        <v/>
      </c>
      <c r="H1886" s="67" t="str">
        <f aca="false">IF(OR($C1886="",$D1886=""),"",IFERROR($D1886*INDEX(Mix_Eff,MATCH($C1886,Mix_Code,0),3),""))</f>
        <v/>
      </c>
      <c r="I1886" s="67" t="str">
        <f aca="false">IF(OR($C1886="",$D1886=""),"",IFERROR($D1886*INDEX(Mix_Eff,MATCH($C1886,Mix_Code,0),4),""))</f>
        <v/>
      </c>
      <c r="J1886" s="67" t="str">
        <f aca="false">IF(OR($C1886="",$D1886=""),"",IFERROR($D1886*INDEX(Mix_Eff,MATCH($C1886,Mix_Code,0),5),""))</f>
        <v/>
      </c>
      <c r="K1886" s="63"/>
      <c r="L1886" s="16" t="str">
        <f aca="false">IF(AND($A1886="",$B1886="",$C1886="",$D1886=""),"",IF($A1886="","⚠ Date missing",IF($B1886="","⚠ Site missing",IF(ISNA(MATCH($C1886,Mix_Code,0)),"⚠ Unknown mix code",IF($D1886="","⚠ Enter m3 produced",IF(COUNTIF(CI_Site,$B1886)=0,"⚠ Site not set up in Current Inventory",IF($A1886&gt;AsOfDate,"Future date – not yet deducted","OK")))))))</f>
        <v/>
      </c>
    </row>
    <row r="1887" customFormat="false" ht="15" hidden="false" customHeight="false" outlineLevel="0" collapsed="false">
      <c r="A1887" s="65"/>
      <c r="B1887" s="63"/>
      <c r="C1887" s="70"/>
      <c r="D1887" s="66"/>
      <c r="E1887" s="16" t="str">
        <f aca="false">IF($C1887="","",IFERROR(INDEX(Mix_Desc,MATCH($C1887,Mix_Code,0)),"⚠ Unknown mix code"))</f>
        <v/>
      </c>
      <c r="F1887" s="67" t="str">
        <f aca="false">IF(OR($C1887="",$D1887=""),"",IFERROR($D1887*INDEX(Mix_Eff,MATCH($C1887,Mix_Code,0),1),""))</f>
        <v/>
      </c>
      <c r="G1887" s="67" t="str">
        <f aca="false">IF(OR($C1887="",$D1887=""),"",IFERROR($D1887*INDEX(Mix_Eff,MATCH($C1887,Mix_Code,0),2),""))</f>
        <v/>
      </c>
      <c r="H1887" s="67" t="str">
        <f aca="false">IF(OR($C1887="",$D1887=""),"",IFERROR($D1887*INDEX(Mix_Eff,MATCH($C1887,Mix_Code,0),3),""))</f>
        <v/>
      </c>
      <c r="I1887" s="67" t="str">
        <f aca="false">IF(OR($C1887="",$D1887=""),"",IFERROR($D1887*INDEX(Mix_Eff,MATCH($C1887,Mix_Code,0),4),""))</f>
        <v/>
      </c>
      <c r="J1887" s="67" t="str">
        <f aca="false">IF(OR($C1887="",$D1887=""),"",IFERROR($D1887*INDEX(Mix_Eff,MATCH($C1887,Mix_Code,0),5),""))</f>
        <v/>
      </c>
      <c r="K1887" s="63"/>
      <c r="L1887" s="16" t="str">
        <f aca="false">IF(AND($A1887="",$B1887="",$C1887="",$D1887=""),"",IF($A1887="","⚠ Date missing",IF($B1887="","⚠ Site missing",IF(ISNA(MATCH($C1887,Mix_Code,0)),"⚠ Unknown mix code",IF($D1887="","⚠ Enter m3 produced",IF(COUNTIF(CI_Site,$B1887)=0,"⚠ Site not set up in Current Inventory",IF($A1887&gt;AsOfDate,"Future date – not yet deducted","OK")))))))</f>
        <v/>
      </c>
    </row>
    <row r="1888" customFormat="false" ht="15" hidden="false" customHeight="false" outlineLevel="0" collapsed="false">
      <c r="A1888" s="65"/>
      <c r="B1888" s="63"/>
      <c r="C1888" s="70"/>
      <c r="D1888" s="66"/>
      <c r="E1888" s="16" t="str">
        <f aca="false">IF($C1888="","",IFERROR(INDEX(Mix_Desc,MATCH($C1888,Mix_Code,0)),"⚠ Unknown mix code"))</f>
        <v/>
      </c>
      <c r="F1888" s="67" t="str">
        <f aca="false">IF(OR($C1888="",$D1888=""),"",IFERROR($D1888*INDEX(Mix_Eff,MATCH($C1888,Mix_Code,0),1),""))</f>
        <v/>
      </c>
      <c r="G1888" s="67" t="str">
        <f aca="false">IF(OR($C1888="",$D1888=""),"",IFERROR($D1888*INDEX(Mix_Eff,MATCH($C1888,Mix_Code,0),2),""))</f>
        <v/>
      </c>
      <c r="H1888" s="67" t="str">
        <f aca="false">IF(OR($C1888="",$D1888=""),"",IFERROR($D1888*INDEX(Mix_Eff,MATCH($C1888,Mix_Code,0),3),""))</f>
        <v/>
      </c>
      <c r="I1888" s="67" t="str">
        <f aca="false">IF(OR($C1888="",$D1888=""),"",IFERROR($D1888*INDEX(Mix_Eff,MATCH($C1888,Mix_Code,0),4),""))</f>
        <v/>
      </c>
      <c r="J1888" s="67" t="str">
        <f aca="false">IF(OR($C1888="",$D1888=""),"",IFERROR($D1888*INDEX(Mix_Eff,MATCH($C1888,Mix_Code,0),5),""))</f>
        <v/>
      </c>
      <c r="K1888" s="63"/>
      <c r="L1888" s="16" t="str">
        <f aca="false">IF(AND($A1888="",$B1888="",$C1888="",$D1888=""),"",IF($A1888="","⚠ Date missing",IF($B1888="","⚠ Site missing",IF(ISNA(MATCH($C1888,Mix_Code,0)),"⚠ Unknown mix code",IF($D1888="","⚠ Enter m3 produced",IF(COUNTIF(CI_Site,$B1888)=0,"⚠ Site not set up in Current Inventory",IF($A1888&gt;AsOfDate,"Future date – not yet deducted","OK")))))))</f>
        <v/>
      </c>
    </row>
    <row r="1889" customFormat="false" ht="15" hidden="false" customHeight="false" outlineLevel="0" collapsed="false">
      <c r="A1889" s="65"/>
      <c r="B1889" s="63"/>
      <c r="C1889" s="70"/>
      <c r="D1889" s="66"/>
      <c r="E1889" s="16" t="str">
        <f aca="false">IF($C1889="","",IFERROR(INDEX(Mix_Desc,MATCH($C1889,Mix_Code,0)),"⚠ Unknown mix code"))</f>
        <v/>
      </c>
      <c r="F1889" s="67" t="str">
        <f aca="false">IF(OR($C1889="",$D1889=""),"",IFERROR($D1889*INDEX(Mix_Eff,MATCH($C1889,Mix_Code,0),1),""))</f>
        <v/>
      </c>
      <c r="G1889" s="67" t="str">
        <f aca="false">IF(OR($C1889="",$D1889=""),"",IFERROR($D1889*INDEX(Mix_Eff,MATCH($C1889,Mix_Code,0),2),""))</f>
        <v/>
      </c>
      <c r="H1889" s="67" t="str">
        <f aca="false">IF(OR($C1889="",$D1889=""),"",IFERROR($D1889*INDEX(Mix_Eff,MATCH($C1889,Mix_Code,0),3),""))</f>
        <v/>
      </c>
      <c r="I1889" s="67" t="str">
        <f aca="false">IF(OR($C1889="",$D1889=""),"",IFERROR($D1889*INDEX(Mix_Eff,MATCH($C1889,Mix_Code,0),4),""))</f>
        <v/>
      </c>
      <c r="J1889" s="67" t="str">
        <f aca="false">IF(OR($C1889="",$D1889=""),"",IFERROR($D1889*INDEX(Mix_Eff,MATCH($C1889,Mix_Code,0),5),""))</f>
        <v/>
      </c>
      <c r="K1889" s="63"/>
      <c r="L1889" s="16" t="str">
        <f aca="false">IF(AND($A1889="",$B1889="",$C1889="",$D1889=""),"",IF($A1889="","⚠ Date missing",IF($B1889="","⚠ Site missing",IF(ISNA(MATCH($C1889,Mix_Code,0)),"⚠ Unknown mix code",IF($D1889="","⚠ Enter m3 produced",IF(COUNTIF(CI_Site,$B1889)=0,"⚠ Site not set up in Current Inventory",IF($A1889&gt;AsOfDate,"Future date – not yet deducted","OK")))))))</f>
        <v/>
      </c>
    </row>
    <row r="1890" customFormat="false" ht="15" hidden="false" customHeight="false" outlineLevel="0" collapsed="false">
      <c r="A1890" s="65"/>
      <c r="B1890" s="63"/>
      <c r="C1890" s="70"/>
      <c r="D1890" s="66"/>
      <c r="E1890" s="16" t="str">
        <f aca="false">IF($C1890="","",IFERROR(INDEX(Mix_Desc,MATCH($C1890,Mix_Code,0)),"⚠ Unknown mix code"))</f>
        <v/>
      </c>
      <c r="F1890" s="67" t="str">
        <f aca="false">IF(OR($C1890="",$D1890=""),"",IFERROR($D1890*INDEX(Mix_Eff,MATCH($C1890,Mix_Code,0),1),""))</f>
        <v/>
      </c>
      <c r="G1890" s="67" t="str">
        <f aca="false">IF(OR($C1890="",$D1890=""),"",IFERROR($D1890*INDEX(Mix_Eff,MATCH($C1890,Mix_Code,0),2),""))</f>
        <v/>
      </c>
      <c r="H1890" s="67" t="str">
        <f aca="false">IF(OR($C1890="",$D1890=""),"",IFERROR($D1890*INDEX(Mix_Eff,MATCH($C1890,Mix_Code,0),3),""))</f>
        <v/>
      </c>
      <c r="I1890" s="67" t="str">
        <f aca="false">IF(OR($C1890="",$D1890=""),"",IFERROR($D1890*INDEX(Mix_Eff,MATCH($C1890,Mix_Code,0),4),""))</f>
        <v/>
      </c>
      <c r="J1890" s="67" t="str">
        <f aca="false">IF(OR($C1890="",$D1890=""),"",IFERROR($D1890*INDEX(Mix_Eff,MATCH($C1890,Mix_Code,0),5),""))</f>
        <v/>
      </c>
      <c r="K1890" s="63"/>
      <c r="L1890" s="16" t="str">
        <f aca="false">IF(AND($A1890="",$B1890="",$C1890="",$D1890=""),"",IF($A1890="","⚠ Date missing",IF($B1890="","⚠ Site missing",IF(ISNA(MATCH($C1890,Mix_Code,0)),"⚠ Unknown mix code",IF($D1890="","⚠ Enter m3 produced",IF(COUNTIF(CI_Site,$B1890)=0,"⚠ Site not set up in Current Inventory",IF($A1890&gt;AsOfDate,"Future date – not yet deducted","OK")))))))</f>
        <v/>
      </c>
    </row>
    <row r="1891" customFormat="false" ht="15" hidden="false" customHeight="false" outlineLevel="0" collapsed="false">
      <c r="A1891" s="65"/>
      <c r="B1891" s="63"/>
      <c r="C1891" s="70"/>
      <c r="D1891" s="66"/>
      <c r="E1891" s="16" t="str">
        <f aca="false">IF($C1891="","",IFERROR(INDEX(Mix_Desc,MATCH($C1891,Mix_Code,0)),"⚠ Unknown mix code"))</f>
        <v/>
      </c>
      <c r="F1891" s="67" t="str">
        <f aca="false">IF(OR($C1891="",$D1891=""),"",IFERROR($D1891*INDEX(Mix_Eff,MATCH($C1891,Mix_Code,0),1),""))</f>
        <v/>
      </c>
      <c r="G1891" s="67" t="str">
        <f aca="false">IF(OR($C1891="",$D1891=""),"",IFERROR($D1891*INDEX(Mix_Eff,MATCH($C1891,Mix_Code,0),2),""))</f>
        <v/>
      </c>
      <c r="H1891" s="67" t="str">
        <f aca="false">IF(OR($C1891="",$D1891=""),"",IFERROR($D1891*INDEX(Mix_Eff,MATCH($C1891,Mix_Code,0),3),""))</f>
        <v/>
      </c>
      <c r="I1891" s="67" t="str">
        <f aca="false">IF(OR($C1891="",$D1891=""),"",IFERROR($D1891*INDEX(Mix_Eff,MATCH($C1891,Mix_Code,0),4),""))</f>
        <v/>
      </c>
      <c r="J1891" s="67" t="str">
        <f aca="false">IF(OR($C1891="",$D1891=""),"",IFERROR($D1891*INDEX(Mix_Eff,MATCH($C1891,Mix_Code,0),5),""))</f>
        <v/>
      </c>
      <c r="K1891" s="63"/>
      <c r="L1891" s="16" t="str">
        <f aca="false">IF(AND($A1891="",$B1891="",$C1891="",$D1891=""),"",IF($A1891="","⚠ Date missing",IF($B1891="","⚠ Site missing",IF(ISNA(MATCH($C1891,Mix_Code,0)),"⚠ Unknown mix code",IF($D1891="","⚠ Enter m3 produced",IF(COUNTIF(CI_Site,$B1891)=0,"⚠ Site not set up in Current Inventory",IF($A1891&gt;AsOfDate,"Future date – not yet deducted","OK")))))))</f>
        <v/>
      </c>
    </row>
    <row r="1892" customFormat="false" ht="15" hidden="false" customHeight="false" outlineLevel="0" collapsed="false">
      <c r="A1892" s="65"/>
      <c r="B1892" s="63"/>
      <c r="C1892" s="70"/>
      <c r="D1892" s="66"/>
      <c r="E1892" s="16" t="str">
        <f aca="false">IF($C1892="","",IFERROR(INDEX(Mix_Desc,MATCH($C1892,Mix_Code,0)),"⚠ Unknown mix code"))</f>
        <v/>
      </c>
      <c r="F1892" s="67" t="str">
        <f aca="false">IF(OR($C1892="",$D1892=""),"",IFERROR($D1892*INDEX(Mix_Eff,MATCH($C1892,Mix_Code,0),1),""))</f>
        <v/>
      </c>
      <c r="G1892" s="67" t="str">
        <f aca="false">IF(OR($C1892="",$D1892=""),"",IFERROR($D1892*INDEX(Mix_Eff,MATCH($C1892,Mix_Code,0),2),""))</f>
        <v/>
      </c>
      <c r="H1892" s="67" t="str">
        <f aca="false">IF(OR($C1892="",$D1892=""),"",IFERROR($D1892*INDEX(Mix_Eff,MATCH($C1892,Mix_Code,0),3),""))</f>
        <v/>
      </c>
      <c r="I1892" s="67" t="str">
        <f aca="false">IF(OR($C1892="",$D1892=""),"",IFERROR($D1892*INDEX(Mix_Eff,MATCH($C1892,Mix_Code,0),4),""))</f>
        <v/>
      </c>
      <c r="J1892" s="67" t="str">
        <f aca="false">IF(OR($C1892="",$D1892=""),"",IFERROR($D1892*INDEX(Mix_Eff,MATCH($C1892,Mix_Code,0),5),""))</f>
        <v/>
      </c>
      <c r="K1892" s="63"/>
      <c r="L1892" s="16" t="str">
        <f aca="false">IF(AND($A1892="",$B1892="",$C1892="",$D1892=""),"",IF($A1892="","⚠ Date missing",IF($B1892="","⚠ Site missing",IF(ISNA(MATCH($C1892,Mix_Code,0)),"⚠ Unknown mix code",IF($D1892="","⚠ Enter m3 produced",IF(COUNTIF(CI_Site,$B1892)=0,"⚠ Site not set up in Current Inventory",IF($A1892&gt;AsOfDate,"Future date – not yet deducted","OK")))))))</f>
        <v/>
      </c>
    </row>
    <row r="1893" customFormat="false" ht="15" hidden="false" customHeight="false" outlineLevel="0" collapsed="false">
      <c r="A1893" s="65"/>
      <c r="B1893" s="63"/>
      <c r="C1893" s="70"/>
      <c r="D1893" s="66"/>
      <c r="E1893" s="16" t="str">
        <f aca="false">IF($C1893="","",IFERROR(INDEX(Mix_Desc,MATCH($C1893,Mix_Code,0)),"⚠ Unknown mix code"))</f>
        <v/>
      </c>
      <c r="F1893" s="67" t="str">
        <f aca="false">IF(OR($C1893="",$D1893=""),"",IFERROR($D1893*INDEX(Mix_Eff,MATCH($C1893,Mix_Code,0),1),""))</f>
        <v/>
      </c>
      <c r="G1893" s="67" t="str">
        <f aca="false">IF(OR($C1893="",$D1893=""),"",IFERROR($D1893*INDEX(Mix_Eff,MATCH($C1893,Mix_Code,0),2),""))</f>
        <v/>
      </c>
      <c r="H1893" s="67" t="str">
        <f aca="false">IF(OR($C1893="",$D1893=""),"",IFERROR($D1893*INDEX(Mix_Eff,MATCH($C1893,Mix_Code,0),3),""))</f>
        <v/>
      </c>
      <c r="I1893" s="67" t="str">
        <f aca="false">IF(OR($C1893="",$D1893=""),"",IFERROR($D1893*INDEX(Mix_Eff,MATCH($C1893,Mix_Code,0),4),""))</f>
        <v/>
      </c>
      <c r="J1893" s="67" t="str">
        <f aca="false">IF(OR($C1893="",$D1893=""),"",IFERROR($D1893*INDEX(Mix_Eff,MATCH($C1893,Mix_Code,0),5),""))</f>
        <v/>
      </c>
      <c r="K1893" s="63"/>
      <c r="L1893" s="16" t="str">
        <f aca="false">IF(AND($A1893="",$B1893="",$C1893="",$D1893=""),"",IF($A1893="","⚠ Date missing",IF($B1893="","⚠ Site missing",IF(ISNA(MATCH($C1893,Mix_Code,0)),"⚠ Unknown mix code",IF($D1893="","⚠ Enter m3 produced",IF(COUNTIF(CI_Site,$B1893)=0,"⚠ Site not set up in Current Inventory",IF($A1893&gt;AsOfDate,"Future date – not yet deducted","OK")))))))</f>
        <v/>
      </c>
    </row>
    <row r="1894" customFormat="false" ht="15" hidden="false" customHeight="false" outlineLevel="0" collapsed="false">
      <c r="A1894" s="65"/>
      <c r="B1894" s="63"/>
      <c r="C1894" s="70"/>
      <c r="D1894" s="66"/>
      <c r="E1894" s="16" t="str">
        <f aca="false">IF($C1894="","",IFERROR(INDEX(Mix_Desc,MATCH($C1894,Mix_Code,0)),"⚠ Unknown mix code"))</f>
        <v/>
      </c>
      <c r="F1894" s="67" t="str">
        <f aca="false">IF(OR($C1894="",$D1894=""),"",IFERROR($D1894*INDEX(Mix_Eff,MATCH($C1894,Mix_Code,0),1),""))</f>
        <v/>
      </c>
      <c r="G1894" s="67" t="str">
        <f aca="false">IF(OR($C1894="",$D1894=""),"",IFERROR($D1894*INDEX(Mix_Eff,MATCH($C1894,Mix_Code,0),2),""))</f>
        <v/>
      </c>
      <c r="H1894" s="67" t="str">
        <f aca="false">IF(OR($C1894="",$D1894=""),"",IFERROR($D1894*INDEX(Mix_Eff,MATCH($C1894,Mix_Code,0),3),""))</f>
        <v/>
      </c>
      <c r="I1894" s="67" t="str">
        <f aca="false">IF(OR($C1894="",$D1894=""),"",IFERROR($D1894*INDEX(Mix_Eff,MATCH($C1894,Mix_Code,0),4),""))</f>
        <v/>
      </c>
      <c r="J1894" s="67" t="str">
        <f aca="false">IF(OR($C1894="",$D1894=""),"",IFERROR($D1894*INDEX(Mix_Eff,MATCH($C1894,Mix_Code,0),5),""))</f>
        <v/>
      </c>
      <c r="K1894" s="63"/>
      <c r="L1894" s="16" t="str">
        <f aca="false">IF(AND($A1894="",$B1894="",$C1894="",$D1894=""),"",IF($A1894="","⚠ Date missing",IF($B1894="","⚠ Site missing",IF(ISNA(MATCH($C1894,Mix_Code,0)),"⚠ Unknown mix code",IF($D1894="","⚠ Enter m3 produced",IF(COUNTIF(CI_Site,$B1894)=0,"⚠ Site not set up in Current Inventory",IF($A1894&gt;AsOfDate,"Future date – not yet deducted","OK")))))))</f>
        <v/>
      </c>
    </row>
    <row r="1895" customFormat="false" ht="15" hidden="false" customHeight="false" outlineLevel="0" collapsed="false">
      <c r="A1895" s="65"/>
      <c r="B1895" s="63"/>
      <c r="C1895" s="70"/>
      <c r="D1895" s="66"/>
      <c r="E1895" s="16" t="str">
        <f aca="false">IF($C1895="","",IFERROR(INDEX(Mix_Desc,MATCH($C1895,Mix_Code,0)),"⚠ Unknown mix code"))</f>
        <v/>
      </c>
      <c r="F1895" s="67" t="str">
        <f aca="false">IF(OR($C1895="",$D1895=""),"",IFERROR($D1895*INDEX(Mix_Eff,MATCH($C1895,Mix_Code,0),1),""))</f>
        <v/>
      </c>
      <c r="G1895" s="67" t="str">
        <f aca="false">IF(OR($C1895="",$D1895=""),"",IFERROR($D1895*INDEX(Mix_Eff,MATCH($C1895,Mix_Code,0),2),""))</f>
        <v/>
      </c>
      <c r="H1895" s="67" t="str">
        <f aca="false">IF(OR($C1895="",$D1895=""),"",IFERROR($D1895*INDEX(Mix_Eff,MATCH($C1895,Mix_Code,0),3),""))</f>
        <v/>
      </c>
      <c r="I1895" s="67" t="str">
        <f aca="false">IF(OR($C1895="",$D1895=""),"",IFERROR($D1895*INDEX(Mix_Eff,MATCH($C1895,Mix_Code,0),4),""))</f>
        <v/>
      </c>
      <c r="J1895" s="67" t="str">
        <f aca="false">IF(OR($C1895="",$D1895=""),"",IFERROR($D1895*INDEX(Mix_Eff,MATCH($C1895,Mix_Code,0),5),""))</f>
        <v/>
      </c>
      <c r="K1895" s="63"/>
      <c r="L1895" s="16" t="str">
        <f aca="false">IF(AND($A1895="",$B1895="",$C1895="",$D1895=""),"",IF($A1895="","⚠ Date missing",IF($B1895="","⚠ Site missing",IF(ISNA(MATCH($C1895,Mix_Code,0)),"⚠ Unknown mix code",IF($D1895="","⚠ Enter m3 produced",IF(COUNTIF(CI_Site,$B1895)=0,"⚠ Site not set up in Current Inventory",IF($A1895&gt;AsOfDate,"Future date – not yet deducted","OK")))))))</f>
        <v/>
      </c>
    </row>
    <row r="1896" customFormat="false" ht="15" hidden="false" customHeight="false" outlineLevel="0" collapsed="false">
      <c r="A1896" s="65"/>
      <c r="B1896" s="63"/>
      <c r="C1896" s="70"/>
      <c r="D1896" s="66"/>
      <c r="E1896" s="16" t="str">
        <f aca="false">IF($C1896="","",IFERROR(INDEX(Mix_Desc,MATCH($C1896,Mix_Code,0)),"⚠ Unknown mix code"))</f>
        <v/>
      </c>
      <c r="F1896" s="67" t="str">
        <f aca="false">IF(OR($C1896="",$D1896=""),"",IFERROR($D1896*INDEX(Mix_Eff,MATCH($C1896,Mix_Code,0),1),""))</f>
        <v/>
      </c>
      <c r="G1896" s="67" t="str">
        <f aca="false">IF(OR($C1896="",$D1896=""),"",IFERROR($D1896*INDEX(Mix_Eff,MATCH($C1896,Mix_Code,0),2),""))</f>
        <v/>
      </c>
      <c r="H1896" s="67" t="str">
        <f aca="false">IF(OR($C1896="",$D1896=""),"",IFERROR($D1896*INDEX(Mix_Eff,MATCH($C1896,Mix_Code,0),3),""))</f>
        <v/>
      </c>
      <c r="I1896" s="67" t="str">
        <f aca="false">IF(OR($C1896="",$D1896=""),"",IFERROR($D1896*INDEX(Mix_Eff,MATCH($C1896,Mix_Code,0),4),""))</f>
        <v/>
      </c>
      <c r="J1896" s="67" t="str">
        <f aca="false">IF(OR($C1896="",$D1896=""),"",IFERROR($D1896*INDEX(Mix_Eff,MATCH($C1896,Mix_Code,0),5),""))</f>
        <v/>
      </c>
      <c r="K1896" s="63"/>
      <c r="L1896" s="16" t="str">
        <f aca="false">IF(AND($A1896="",$B1896="",$C1896="",$D1896=""),"",IF($A1896="","⚠ Date missing",IF($B1896="","⚠ Site missing",IF(ISNA(MATCH($C1896,Mix_Code,0)),"⚠ Unknown mix code",IF($D1896="","⚠ Enter m3 produced",IF(COUNTIF(CI_Site,$B1896)=0,"⚠ Site not set up in Current Inventory",IF($A1896&gt;AsOfDate,"Future date – not yet deducted","OK")))))))</f>
        <v/>
      </c>
    </row>
    <row r="1897" customFormat="false" ht="15" hidden="false" customHeight="false" outlineLevel="0" collapsed="false">
      <c r="A1897" s="65"/>
      <c r="B1897" s="63"/>
      <c r="C1897" s="70"/>
      <c r="D1897" s="66"/>
      <c r="E1897" s="16" t="str">
        <f aca="false">IF($C1897="","",IFERROR(INDEX(Mix_Desc,MATCH($C1897,Mix_Code,0)),"⚠ Unknown mix code"))</f>
        <v/>
      </c>
      <c r="F1897" s="67" t="str">
        <f aca="false">IF(OR($C1897="",$D1897=""),"",IFERROR($D1897*INDEX(Mix_Eff,MATCH($C1897,Mix_Code,0),1),""))</f>
        <v/>
      </c>
      <c r="G1897" s="67" t="str">
        <f aca="false">IF(OR($C1897="",$D1897=""),"",IFERROR($D1897*INDEX(Mix_Eff,MATCH($C1897,Mix_Code,0),2),""))</f>
        <v/>
      </c>
      <c r="H1897" s="67" t="str">
        <f aca="false">IF(OR($C1897="",$D1897=""),"",IFERROR($D1897*INDEX(Mix_Eff,MATCH($C1897,Mix_Code,0),3),""))</f>
        <v/>
      </c>
      <c r="I1897" s="67" t="str">
        <f aca="false">IF(OR($C1897="",$D1897=""),"",IFERROR($D1897*INDEX(Mix_Eff,MATCH($C1897,Mix_Code,0),4),""))</f>
        <v/>
      </c>
      <c r="J1897" s="67" t="str">
        <f aca="false">IF(OR($C1897="",$D1897=""),"",IFERROR($D1897*INDEX(Mix_Eff,MATCH($C1897,Mix_Code,0),5),""))</f>
        <v/>
      </c>
      <c r="K1897" s="63"/>
      <c r="L1897" s="16" t="str">
        <f aca="false">IF(AND($A1897="",$B1897="",$C1897="",$D1897=""),"",IF($A1897="","⚠ Date missing",IF($B1897="","⚠ Site missing",IF(ISNA(MATCH($C1897,Mix_Code,0)),"⚠ Unknown mix code",IF($D1897="","⚠ Enter m3 produced",IF(COUNTIF(CI_Site,$B1897)=0,"⚠ Site not set up in Current Inventory",IF($A1897&gt;AsOfDate,"Future date – not yet deducted","OK")))))))</f>
        <v/>
      </c>
    </row>
    <row r="1898" customFormat="false" ht="15" hidden="false" customHeight="false" outlineLevel="0" collapsed="false">
      <c r="A1898" s="65"/>
      <c r="B1898" s="63"/>
      <c r="C1898" s="70"/>
      <c r="D1898" s="66"/>
      <c r="E1898" s="16" t="str">
        <f aca="false">IF($C1898="","",IFERROR(INDEX(Mix_Desc,MATCH($C1898,Mix_Code,0)),"⚠ Unknown mix code"))</f>
        <v/>
      </c>
      <c r="F1898" s="67" t="str">
        <f aca="false">IF(OR($C1898="",$D1898=""),"",IFERROR($D1898*INDEX(Mix_Eff,MATCH($C1898,Mix_Code,0),1),""))</f>
        <v/>
      </c>
      <c r="G1898" s="67" t="str">
        <f aca="false">IF(OR($C1898="",$D1898=""),"",IFERROR($D1898*INDEX(Mix_Eff,MATCH($C1898,Mix_Code,0),2),""))</f>
        <v/>
      </c>
      <c r="H1898" s="67" t="str">
        <f aca="false">IF(OR($C1898="",$D1898=""),"",IFERROR($D1898*INDEX(Mix_Eff,MATCH($C1898,Mix_Code,0),3),""))</f>
        <v/>
      </c>
      <c r="I1898" s="67" t="str">
        <f aca="false">IF(OR($C1898="",$D1898=""),"",IFERROR($D1898*INDEX(Mix_Eff,MATCH($C1898,Mix_Code,0),4),""))</f>
        <v/>
      </c>
      <c r="J1898" s="67" t="str">
        <f aca="false">IF(OR($C1898="",$D1898=""),"",IFERROR($D1898*INDEX(Mix_Eff,MATCH($C1898,Mix_Code,0),5),""))</f>
        <v/>
      </c>
      <c r="K1898" s="63"/>
      <c r="L1898" s="16" t="str">
        <f aca="false">IF(AND($A1898="",$B1898="",$C1898="",$D1898=""),"",IF($A1898="","⚠ Date missing",IF($B1898="","⚠ Site missing",IF(ISNA(MATCH($C1898,Mix_Code,0)),"⚠ Unknown mix code",IF($D1898="","⚠ Enter m3 produced",IF(COUNTIF(CI_Site,$B1898)=0,"⚠ Site not set up in Current Inventory",IF($A1898&gt;AsOfDate,"Future date – not yet deducted","OK")))))))</f>
        <v/>
      </c>
    </row>
    <row r="1899" customFormat="false" ht="15" hidden="false" customHeight="false" outlineLevel="0" collapsed="false">
      <c r="A1899" s="65"/>
      <c r="B1899" s="63"/>
      <c r="C1899" s="70"/>
      <c r="D1899" s="66"/>
      <c r="E1899" s="16" t="str">
        <f aca="false">IF($C1899="","",IFERROR(INDEX(Mix_Desc,MATCH($C1899,Mix_Code,0)),"⚠ Unknown mix code"))</f>
        <v/>
      </c>
      <c r="F1899" s="67" t="str">
        <f aca="false">IF(OR($C1899="",$D1899=""),"",IFERROR($D1899*INDEX(Mix_Eff,MATCH($C1899,Mix_Code,0),1),""))</f>
        <v/>
      </c>
      <c r="G1899" s="67" t="str">
        <f aca="false">IF(OR($C1899="",$D1899=""),"",IFERROR($D1899*INDEX(Mix_Eff,MATCH($C1899,Mix_Code,0),2),""))</f>
        <v/>
      </c>
      <c r="H1899" s="67" t="str">
        <f aca="false">IF(OR($C1899="",$D1899=""),"",IFERROR($D1899*INDEX(Mix_Eff,MATCH($C1899,Mix_Code,0),3),""))</f>
        <v/>
      </c>
      <c r="I1899" s="67" t="str">
        <f aca="false">IF(OR($C1899="",$D1899=""),"",IFERROR($D1899*INDEX(Mix_Eff,MATCH($C1899,Mix_Code,0),4),""))</f>
        <v/>
      </c>
      <c r="J1899" s="67" t="str">
        <f aca="false">IF(OR($C1899="",$D1899=""),"",IFERROR($D1899*INDEX(Mix_Eff,MATCH($C1899,Mix_Code,0),5),""))</f>
        <v/>
      </c>
      <c r="K1899" s="63"/>
      <c r="L1899" s="16" t="str">
        <f aca="false">IF(AND($A1899="",$B1899="",$C1899="",$D1899=""),"",IF($A1899="","⚠ Date missing",IF($B1899="","⚠ Site missing",IF(ISNA(MATCH($C1899,Mix_Code,0)),"⚠ Unknown mix code",IF($D1899="","⚠ Enter m3 produced",IF(COUNTIF(CI_Site,$B1899)=0,"⚠ Site not set up in Current Inventory",IF($A1899&gt;AsOfDate,"Future date – not yet deducted","OK")))))))</f>
        <v/>
      </c>
    </row>
    <row r="1900" customFormat="false" ht="15" hidden="false" customHeight="false" outlineLevel="0" collapsed="false">
      <c r="A1900" s="65"/>
      <c r="B1900" s="63"/>
      <c r="C1900" s="70"/>
      <c r="D1900" s="66"/>
      <c r="E1900" s="16" t="str">
        <f aca="false">IF($C1900="","",IFERROR(INDEX(Mix_Desc,MATCH($C1900,Mix_Code,0)),"⚠ Unknown mix code"))</f>
        <v/>
      </c>
      <c r="F1900" s="67" t="str">
        <f aca="false">IF(OR($C1900="",$D1900=""),"",IFERROR($D1900*INDEX(Mix_Eff,MATCH($C1900,Mix_Code,0),1),""))</f>
        <v/>
      </c>
      <c r="G1900" s="67" t="str">
        <f aca="false">IF(OR($C1900="",$D1900=""),"",IFERROR($D1900*INDEX(Mix_Eff,MATCH($C1900,Mix_Code,0),2),""))</f>
        <v/>
      </c>
      <c r="H1900" s="67" t="str">
        <f aca="false">IF(OR($C1900="",$D1900=""),"",IFERROR($D1900*INDEX(Mix_Eff,MATCH($C1900,Mix_Code,0),3),""))</f>
        <v/>
      </c>
      <c r="I1900" s="67" t="str">
        <f aca="false">IF(OR($C1900="",$D1900=""),"",IFERROR($D1900*INDEX(Mix_Eff,MATCH($C1900,Mix_Code,0),4),""))</f>
        <v/>
      </c>
      <c r="J1900" s="67" t="str">
        <f aca="false">IF(OR($C1900="",$D1900=""),"",IFERROR($D1900*INDEX(Mix_Eff,MATCH($C1900,Mix_Code,0),5),""))</f>
        <v/>
      </c>
      <c r="K1900" s="63"/>
      <c r="L1900" s="16" t="str">
        <f aca="false">IF(AND($A1900="",$B1900="",$C1900="",$D1900=""),"",IF($A1900="","⚠ Date missing",IF($B1900="","⚠ Site missing",IF(ISNA(MATCH($C1900,Mix_Code,0)),"⚠ Unknown mix code",IF($D1900="","⚠ Enter m3 produced",IF(COUNTIF(CI_Site,$B1900)=0,"⚠ Site not set up in Current Inventory",IF($A1900&gt;AsOfDate,"Future date – not yet deducted","OK")))))))</f>
        <v/>
      </c>
    </row>
    <row r="1901" customFormat="false" ht="15" hidden="false" customHeight="false" outlineLevel="0" collapsed="false">
      <c r="A1901" s="65"/>
      <c r="B1901" s="63"/>
      <c r="C1901" s="70"/>
      <c r="D1901" s="66"/>
      <c r="E1901" s="16" t="str">
        <f aca="false">IF($C1901="","",IFERROR(INDEX(Mix_Desc,MATCH($C1901,Mix_Code,0)),"⚠ Unknown mix code"))</f>
        <v/>
      </c>
      <c r="F1901" s="67" t="str">
        <f aca="false">IF(OR($C1901="",$D1901=""),"",IFERROR($D1901*INDEX(Mix_Eff,MATCH($C1901,Mix_Code,0),1),""))</f>
        <v/>
      </c>
      <c r="G1901" s="67" t="str">
        <f aca="false">IF(OR($C1901="",$D1901=""),"",IFERROR($D1901*INDEX(Mix_Eff,MATCH($C1901,Mix_Code,0),2),""))</f>
        <v/>
      </c>
      <c r="H1901" s="67" t="str">
        <f aca="false">IF(OR($C1901="",$D1901=""),"",IFERROR($D1901*INDEX(Mix_Eff,MATCH($C1901,Mix_Code,0),3),""))</f>
        <v/>
      </c>
      <c r="I1901" s="67" t="str">
        <f aca="false">IF(OR($C1901="",$D1901=""),"",IFERROR($D1901*INDEX(Mix_Eff,MATCH($C1901,Mix_Code,0),4),""))</f>
        <v/>
      </c>
      <c r="J1901" s="67" t="str">
        <f aca="false">IF(OR($C1901="",$D1901=""),"",IFERROR($D1901*INDEX(Mix_Eff,MATCH($C1901,Mix_Code,0),5),""))</f>
        <v/>
      </c>
      <c r="K1901" s="63"/>
      <c r="L1901" s="16" t="str">
        <f aca="false">IF(AND($A1901="",$B1901="",$C1901="",$D1901=""),"",IF($A1901="","⚠ Date missing",IF($B1901="","⚠ Site missing",IF(ISNA(MATCH($C1901,Mix_Code,0)),"⚠ Unknown mix code",IF($D1901="","⚠ Enter m3 produced",IF(COUNTIF(CI_Site,$B1901)=0,"⚠ Site not set up in Current Inventory",IF($A1901&gt;AsOfDate,"Future date – not yet deducted","OK")))))))</f>
        <v/>
      </c>
    </row>
    <row r="1902" customFormat="false" ht="15" hidden="false" customHeight="false" outlineLevel="0" collapsed="false">
      <c r="A1902" s="65"/>
      <c r="B1902" s="63"/>
      <c r="C1902" s="70"/>
      <c r="D1902" s="66"/>
      <c r="E1902" s="16" t="str">
        <f aca="false">IF($C1902="","",IFERROR(INDEX(Mix_Desc,MATCH($C1902,Mix_Code,0)),"⚠ Unknown mix code"))</f>
        <v/>
      </c>
      <c r="F1902" s="67" t="str">
        <f aca="false">IF(OR($C1902="",$D1902=""),"",IFERROR($D1902*INDEX(Mix_Eff,MATCH($C1902,Mix_Code,0),1),""))</f>
        <v/>
      </c>
      <c r="G1902" s="67" t="str">
        <f aca="false">IF(OR($C1902="",$D1902=""),"",IFERROR($D1902*INDEX(Mix_Eff,MATCH($C1902,Mix_Code,0),2),""))</f>
        <v/>
      </c>
      <c r="H1902" s="67" t="str">
        <f aca="false">IF(OR($C1902="",$D1902=""),"",IFERROR($D1902*INDEX(Mix_Eff,MATCH($C1902,Mix_Code,0),3),""))</f>
        <v/>
      </c>
      <c r="I1902" s="67" t="str">
        <f aca="false">IF(OR($C1902="",$D1902=""),"",IFERROR($D1902*INDEX(Mix_Eff,MATCH($C1902,Mix_Code,0),4),""))</f>
        <v/>
      </c>
      <c r="J1902" s="67" t="str">
        <f aca="false">IF(OR($C1902="",$D1902=""),"",IFERROR($D1902*INDEX(Mix_Eff,MATCH($C1902,Mix_Code,0),5),""))</f>
        <v/>
      </c>
      <c r="K1902" s="63"/>
      <c r="L1902" s="16" t="str">
        <f aca="false">IF(AND($A1902="",$B1902="",$C1902="",$D1902=""),"",IF($A1902="","⚠ Date missing",IF($B1902="","⚠ Site missing",IF(ISNA(MATCH($C1902,Mix_Code,0)),"⚠ Unknown mix code",IF($D1902="","⚠ Enter m3 produced",IF(COUNTIF(CI_Site,$B1902)=0,"⚠ Site not set up in Current Inventory",IF($A1902&gt;AsOfDate,"Future date – not yet deducted","OK")))))))</f>
        <v/>
      </c>
    </row>
    <row r="1903" customFormat="false" ht="15" hidden="false" customHeight="false" outlineLevel="0" collapsed="false">
      <c r="A1903" s="65"/>
      <c r="B1903" s="63"/>
      <c r="C1903" s="70"/>
      <c r="D1903" s="66"/>
      <c r="E1903" s="16" t="str">
        <f aca="false">IF($C1903="","",IFERROR(INDEX(Mix_Desc,MATCH($C1903,Mix_Code,0)),"⚠ Unknown mix code"))</f>
        <v/>
      </c>
      <c r="F1903" s="67" t="str">
        <f aca="false">IF(OR($C1903="",$D1903=""),"",IFERROR($D1903*INDEX(Mix_Eff,MATCH($C1903,Mix_Code,0),1),""))</f>
        <v/>
      </c>
      <c r="G1903" s="67" t="str">
        <f aca="false">IF(OR($C1903="",$D1903=""),"",IFERROR($D1903*INDEX(Mix_Eff,MATCH($C1903,Mix_Code,0),2),""))</f>
        <v/>
      </c>
      <c r="H1903" s="67" t="str">
        <f aca="false">IF(OR($C1903="",$D1903=""),"",IFERROR($D1903*INDEX(Mix_Eff,MATCH($C1903,Mix_Code,0),3),""))</f>
        <v/>
      </c>
      <c r="I1903" s="67" t="str">
        <f aca="false">IF(OR($C1903="",$D1903=""),"",IFERROR($D1903*INDEX(Mix_Eff,MATCH($C1903,Mix_Code,0),4),""))</f>
        <v/>
      </c>
      <c r="J1903" s="67" t="str">
        <f aca="false">IF(OR($C1903="",$D1903=""),"",IFERROR($D1903*INDEX(Mix_Eff,MATCH($C1903,Mix_Code,0),5),""))</f>
        <v/>
      </c>
      <c r="K1903" s="63"/>
      <c r="L1903" s="16" t="str">
        <f aca="false">IF(AND($A1903="",$B1903="",$C1903="",$D1903=""),"",IF($A1903="","⚠ Date missing",IF($B1903="","⚠ Site missing",IF(ISNA(MATCH($C1903,Mix_Code,0)),"⚠ Unknown mix code",IF($D1903="","⚠ Enter m3 produced",IF(COUNTIF(CI_Site,$B1903)=0,"⚠ Site not set up in Current Inventory",IF($A1903&gt;AsOfDate,"Future date – not yet deducted","OK")))))))</f>
        <v/>
      </c>
    </row>
    <row r="1904" customFormat="false" ht="15" hidden="false" customHeight="false" outlineLevel="0" collapsed="false">
      <c r="A1904" s="65"/>
      <c r="B1904" s="63"/>
      <c r="C1904" s="70"/>
      <c r="D1904" s="66"/>
      <c r="E1904" s="16" t="str">
        <f aca="false">IF($C1904="","",IFERROR(INDEX(Mix_Desc,MATCH($C1904,Mix_Code,0)),"⚠ Unknown mix code"))</f>
        <v/>
      </c>
      <c r="F1904" s="67" t="str">
        <f aca="false">IF(OR($C1904="",$D1904=""),"",IFERROR($D1904*INDEX(Mix_Eff,MATCH($C1904,Mix_Code,0),1),""))</f>
        <v/>
      </c>
      <c r="G1904" s="67" t="str">
        <f aca="false">IF(OR($C1904="",$D1904=""),"",IFERROR($D1904*INDEX(Mix_Eff,MATCH($C1904,Mix_Code,0),2),""))</f>
        <v/>
      </c>
      <c r="H1904" s="67" t="str">
        <f aca="false">IF(OR($C1904="",$D1904=""),"",IFERROR($D1904*INDEX(Mix_Eff,MATCH($C1904,Mix_Code,0),3),""))</f>
        <v/>
      </c>
      <c r="I1904" s="67" t="str">
        <f aca="false">IF(OR($C1904="",$D1904=""),"",IFERROR($D1904*INDEX(Mix_Eff,MATCH($C1904,Mix_Code,0),4),""))</f>
        <v/>
      </c>
      <c r="J1904" s="67" t="str">
        <f aca="false">IF(OR($C1904="",$D1904=""),"",IFERROR($D1904*INDEX(Mix_Eff,MATCH($C1904,Mix_Code,0),5),""))</f>
        <v/>
      </c>
      <c r="K1904" s="63"/>
      <c r="L1904" s="16" t="str">
        <f aca="false">IF(AND($A1904="",$B1904="",$C1904="",$D1904=""),"",IF($A1904="","⚠ Date missing",IF($B1904="","⚠ Site missing",IF(ISNA(MATCH($C1904,Mix_Code,0)),"⚠ Unknown mix code",IF($D1904="","⚠ Enter m3 produced",IF(COUNTIF(CI_Site,$B1904)=0,"⚠ Site not set up in Current Inventory",IF($A1904&gt;AsOfDate,"Future date – not yet deducted","OK")))))))</f>
        <v/>
      </c>
    </row>
    <row r="1905" customFormat="false" ht="15" hidden="false" customHeight="false" outlineLevel="0" collapsed="false">
      <c r="A1905" s="65"/>
      <c r="B1905" s="63"/>
      <c r="C1905" s="70"/>
      <c r="D1905" s="66"/>
      <c r="E1905" s="16" t="str">
        <f aca="false">IF($C1905="","",IFERROR(INDEX(Mix_Desc,MATCH($C1905,Mix_Code,0)),"⚠ Unknown mix code"))</f>
        <v/>
      </c>
      <c r="F1905" s="67" t="str">
        <f aca="false">IF(OR($C1905="",$D1905=""),"",IFERROR($D1905*INDEX(Mix_Eff,MATCH($C1905,Mix_Code,0),1),""))</f>
        <v/>
      </c>
      <c r="G1905" s="67" t="str">
        <f aca="false">IF(OR($C1905="",$D1905=""),"",IFERROR($D1905*INDEX(Mix_Eff,MATCH($C1905,Mix_Code,0),2),""))</f>
        <v/>
      </c>
      <c r="H1905" s="67" t="str">
        <f aca="false">IF(OR($C1905="",$D1905=""),"",IFERROR($D1905*INDEX(Mix_Eff,MATCH($C1905,Mix_Code,0),3),""))</f>
        <v/>
      </c>
      <c r="I1905" s="67" t="str">
        <f aca="false">IF(OR($C1905="",$D1905=""),"",IFERROR($D1905*INDEX(Mix_Eff,MATCH($C1905,Mix_Code,0),4),""))</f>
        <v/>
      </c>
      <c r="J1905" s="67" t="str">
        <f aca="false">IF(OR($C1905="",$D1905=""),"",IFERROR($D1905*INDEX(Mix_Eff,MATCH($C1905,Mix_Code,0),5),""))</f>
        <v/>
      </c>
      <c r="K1905" s="63"/>
      <c r="L1905" s="16" t="str">
        <f aca="false">IF(AND($A1905="",$B1905="",$C1905="",$D1905=""),"",IF($A1905="","⚠ Date missing",IF($B1905="","⚠ Site missing",IF(ISNA(MATCH($C1905,Mix_Code,0)),"⚠ Unknown mix code",IF($D1905="","⚠ Enter m3 produced",IF(COUNTIF(CI_Site,$B1905)=0,"⚠ Site not set up in Current Inventory",IF($A1905&gt;AsOfDate,"Future date – not yet deducted","OK")))))))</f>
        <v/>
      </c>
    </row>
    <row r="1906" customFormat="false" ht="15" hidden="false" customHeight="false" outlineLevel="0" collapsed="false">
      <c r="A1906" s="65"/>
      <c r="B1906" s="63"/>
      <c r="C1906" s="70"/>
      <c r="D1906" s="66"/>
      <c r="E1906" s="16" t="str">
        <f aca="false">IF($C1906="","",IFERROR(INDEX(Mix_Desc,MATCH($C1906,Mix_Code,0)),"⚠ Unknown mix code"))</f>
        <v/>
      </c>
      <c r="F1906" s="67" t="str">
        <f aca="false">IF(OR($C1906="",$D1906=""),"",IFERROR($D1906*INDEX(Mix_Eff,MATCH($C1906,Mix_Code,0),1),""))</f>
        <v/>
      </c>
      <c r="G1906" s="67" t="str">
        <f aca="false">IF(OR($C1906="",$D1906=""),"",IFERROR($D1906*INDEX(Mix_Eff,MATCH($C1906,Mix_Code,0),2),""))</f>
        <v/>
      </c>
      <c r="H1906" s="67" t="str">
        <f aca="false">IF(OR($C1906="",$D1906=""),"",IFERROR($D1906*INDEX(Mix_Eff,MATCH($C1906,Mix_Code,0),3),""))</f>
        <v/>
      </c>
      <c r="I1906" s="67" t="str">
        <f aca="false">IF(OR($C1906="",$D1906=""),"",IFERROR($D1906*INDEX(Mix_Eff,MATCH($C1906,Mix_Code,0),4),""))</f>
        <v/>
      </c>
      <c r="J1906" s="67" t="str">
        <f aca="false">IF(OR($C1906="",$D1906=""),"",IFERROR($D1906*INDEX(Mix_Eff,MATCH($C1906,Mix_Code,0),5),""))</f>
        <v/>
      </c>
      <c r="K1906" s="63"/>
      <c r="L1906" s="16" t="str">
        <f aca="false">IF(AND($A1906="",$B1906="",$C1906="",$D1906=""),"",IF($A1906="","⚠ Date missing",IF($B1906="","⚠ Site missing",IF(ISNA(MATCH($C1906,Mix_Code,0)),"⚠ Unknown mix code",IF($D1906="","⚠ Enter m3 produced",IF(COUNTIF(CI_Site,$B1906)=0,"⚠ Site not set up in Current Inventory",IF($A1906&gt;AsOfDate,"Future date – not yet deducted","OK")))))))</f>
        <v/>
      </c>
    </row>
    <row r="1907" customFormat="false" ht="15" hidden="false" customHeight="false" outlineLevel="0" collapsed="false">
      <c r="A1907" s="65"/>
      <c r="B1907" s="63"/>
      <c r="C1907" s="70"/>
      <c r="D1907" s="66"/>
      <c r="E1907" s="16" t="str">
        <f aca="false">IF($C1907="","",IFERROR(INDEX(Mix_Desc,MATCH($C1907,Mix_Code,0)),"⚠ Unknown mix code"))</f>
        <v/>
      </c>
      <c r="F1907" s="67" t="str">
        <f aca="false">IF(OR($C1907="",$D1907=""),"",IFERROR($D1907*INDEX(Mix_Eff,MATCH($C1907,Mix_Code,0),1),""))</f>
        <v/>
      </c>
      <c r="G1907" s="67" t="str">
        <f aca="false">IF(OR($C1907="",$D1907=""),"",IFERROR($D1907*INDEX(Mix_Eff,MATCH($C1907,Mix_Code,0),2),""))</f>
        <v/>
      </c>
      <c r="H1907" s="67" t="str">
        <f aca="false">IF(OR($C1907="",$D1907=""),"",IFERROR($D1907*INDEX(Mix_Eff,MATCH($C1907,Mix_Code,0),3),""))</f>
        <v/>
      </c>
      <c r="I1907" s="67" t="str">
        <f aca="false">IF(OR($C1907="",$D1907=""),"",IFERROR($D1907*INDEX(Mix_Eff,MATCH($C1907,Mix_Code,0),4),""))</f>
        <v/>
      </c>
      <c r="J1907" s="67" t="str">
        <f aca="false">IF(OR($C1907="",$D1907=""),"",IFERROR($D1907*INDEX(Mix_Eff,MATCH($C1907,Mix_Code,0),5),""))</f>
        <v/>
      </c>
      <c r="K1907" s="63"/>
      <c r="L1907" s="16" t="str">
        <f aca="false">IF(AND($A1907="",$B1907="",$C1907="",$D1907=""),"",IF($A1907="","⚠ Date missing",IF($B1907="","⚠ Site missing",IF(ISNA(MATCH($C1907,Mix_Code,0)),"⚠ Unknown mix code",IF($D1907="","⚠ Enter m3 produced",IF(COUNTIF(CI_Site,$B1907)=0,"⚠ Site not set up in Current Inventory",IF($A1907&gt;AsOfDate,"Future date – not yet deducted","OK")))))))</f>
        <v/>
      </c>
    </row>
    <row r="1908" customFormat="false" ht="15" hidden="false" customHeight="false" outlineLevel="0" collapsed="false">
      <c r="A1908" s="65"/>
      <c r="B1908" s="63"/>
      <c r="C1908" s="70"/>
      <c r="D1908" s="66"/>
      <c r="E1908" s="16" t="str">
        <f aca="false">IF($C1908="","",IFERROR(INDEX(Mix_Desc,MATCH($C1908,Mix_Code,0)),"⚠ Unknown mix code"))</f>
        <v/>
      </c>
      <c r="F1908" s="67" t="str">
        <f aca="false">IF(OR($C1908="",$D1908=""),"",IFERROR($D1908*INDEX(Mix_Eff,MATCH($C1908,Mix_Code,0),1),""))</f>
        <v/>
      </c>
      <c r="G1908" s="67" t="str">
        <f aca="false">IF(OR($C1908="",$D1908=""),"",IFERROR($D1908*INDEX(Mix_Eff,MATCH($C1908,Mix_Code,0),2),""))</f>
        <v/>
      </c>
      <c r="H1908" s="67" t="str">
        <f aca="false">IF(OR($C1908="",$D1908=""),"",IFERROR($D1908*INDEX(Mix_Eff,MATCH($C1908,Mix_Code,0),3),""))</f>
        <v/>
      </c>
      <c r="I1908" s="67" t="str">
        <f aca="false">IF(OR($C1908="",$D1908=""),"",IFERROR($D1908*INDEX(Mix_Eff,MATCH($C1908,Mix_Code,0),4),""))</f>
        <v/>
      </c>
      <c r="J1908" s="67" t="str">
        <f aca="false">IF(OR($C1908="",$D1908=""),"",IFERROR($D1908*INDEX(Mix_Eff,MATCH($C1908,Mix_Code,0),5),""))</f>
        <v/>
      </c>
      <c r="K1908" s="63"/>
      <c r="L1908" s="16" t="str">
        <f aca="false">IF(AND($A1908="",$B1908="",$C1908="",$D1908=""),"",IF($A1908="","⚠ Date missing",IF($B1908="","⚠ Site missing",IF(ISNA(MATCH($C1908,Mix_Code,0)),"⚠ Unknown mix code",IF($D1908="","⚠ Enter m3 produced",IF(COUNTIF(CI_Site,$B1908)=0,"⚠ Site not set up in Current Inventory",IF($A1908&gt;AsOfDate,"Future date – not yet deducted","OK")))))))</f>
        <v/>
      </c>
    </row>
    <row r="1909" customFormat="false" ht="15" hidden="false" customHeight="false" outlineLevel="0" collapsed="false">
      <c r="A1909" s="65"/>
      <c r="B1909" s="63"/>
      <c r="C1909" s="70"/>
      <c r="D1909" s="66"/>
      <c r="E1909" s="16" t="str">
        <f aca="false">IF($C1909="","",IFERROR(INDEX(Mix_Desc,MATCH($C1909,Mix_Code,0)),"⚠ Unknown mix code"))</f>
        <v/>
      </c>
      <c r="F1909" s="67" t="str">
        <f aca="false">IF(OR($C1909="",$D1909=""),"",IFERROR($D1909*INDEX(Mix_Eff,MATCH($C1909,Mix_Code,0),1),""))</f>
        <v/>
      </c>
      <c r="G1909" s="67" t="str">
        <f aca="false">IF(OR($C1909="",$D1909=""),"",IFERROR($D1909*INDEX(Mix_Eff,MATCH($C1909,Mix_Code,0),2),""))</f>
        <v/>
      </c>
      <c r="H1909" s="67" t="str">
        <f aca="false">IF(OR($C1909="",$D1909=""),"",IFERROR($D1909*INDEX(Mix_Eff,MATCH($C1909,Mix_Code,0),3),""))</f>
        <v/>
      </c>
      <c r="I1909" s="67" t="str">
        <f aca="false">IF(OR($C1909="",$D1909=""),"",IFERROR($D1909*INDEX(Mix_Eff,MATCH($C1909,Mix_Code,0),4),""))</f>
        <v/>
      </c>
      <c r="J1909" s="67" t="str">
        <f aca="false">IF(OR($C1909="",$D1909=""),"",IFERROR($D1909*INDEX(Mix_Eff,MATCH($C1909,Mix_Code,0),5),""))</f>
        <v/>
      </c>
      <c r="K1909" s="63"/>
      <c r="L1909" s="16" t="str">
        <f aca="false">IF(AND($A1909="",$B1909="",$C1909="",$D1909=""),"",IF($A1909="","⚠ Date missing",IF($B1909="","⚠ Site missing",IF(ISNA(MATCH($C1909,Mix_Code,0)),"⚠ Unknown mix code",IF($D1909="","⚠ Enter m3 produced",IF(COUNTIF(CI_Site,$B1909)=0,"⚠ Site not set up in Current Inventory",IF($A1909&gt;AsOfDate,"Future date – not yet deducted","OK")))))))</f>
        <v/>
      </c>
    </row>
    <row r="1910" customFormat="false" ht="15" hidden="false" customHeight="false" outlineLevel="0" collapsed="false">
      <c r="A1910" s="65"/>
      <c r="B1910" s="63"/>
      <c r="C1910" s="70"/>
      <c r="D1910" s="66"/>
      <c r="E1910" s="16" t="str">
        <f aca="false">IF($C1910="","",IFERROR(INDEX(Mix_Desc,MATCH($C1910,Mix_Code,0)),"⚠ Unknown mix code"))</f>
        <v/>
      </c>
      <c r="F1910" s="67" t="str">
        <f aca="false">IF(OR($C1910="",$D1910=""),"",IFERROR($D1910*INDEX(Mix_Eff,MATCH($C1910,Mix_Code,0),1),""))</f>
        <v/>
      </c>
      <c r="G1910" s="67" t="str">
        <f aca="false">IF(OR($C1910="",$D1910=""),"",IFERROR($D1910*INDEX(Mix_Eff,MATCH($C1910,Mix_Code,0),2),""))</f>
        <v/>
      </c>
      <c r="H1910" s="67" t="str">
        <f aca="false">IF(OR($C1910="",$D1910=""),"",IFERROR($D1910*INDEX(Mix_Eff,MATCH($C1910,Mix_Code,0),3),""))</f>
        <v/>
      </c>
      <c r="I1910" s="67" t="str">
        <f aca="false">IF(OR($C1910="",$D1910=""),"",IFERROR($D1910*INDEX(Mix_Eff,MATCH($C1910,Mix_Code,0),4),""))</f>
        <v/>
      </c>
      <c r="J1910" s="67" t="str">
        <f aca="false">IF(OR($C1910="",$D1910=""),"",IFERROR($D1910*INDEX(Mix_Eff,MATCH($C1910,Mix_Code,0),5),""))</f>
        <v/>
      </c>
      <c r="K1910" s="63"/>
      <c r="L1910" s="16" t="str">
        <f aca="false">IF(AND($A1910="",$B1910="",$C1910="",$D1910=""),"",IF($A1910="","⚠ Date missing",IF($B1910="","⚠ Site missing",IF(ISNA(MATCH($C1910,Mix_Code,0)),"⚠ Unknown mix code",IF($D1910="","⚠ Enter m3 produced",IF(COUNTIF(CI_Site,$B1910)=0,"⚠ Site not set up in Current Inventory",IF($A1910&gt;AsOfDate,"Future date – not yet deducted","OK")))))))</f>
        <v/>
      </c>
    </row>
    <row r="1911" customFormat="false" ht="15" hidden="false" customHeight="false" outlineLevel="0" collapsed="false">
      <c r="A1911" s="65"/>
      <c r="B1911" s="63"/>
      <c r="C1911" s="70"/>
      <c r="D1911" s="66"/>
      <c r="E1911" s="16" t="str">
        <f aca="false">IF($C1911="","",IFERROR(INDEX(Mix_Desc,MATCH($C1911,Mix_Code,0)),"⚠ Unknown mix code"))</f>
        <v/>
      </c>
      <c r="F1911" s="67" t="str">
        <f aca="false">IF(OR($C1911="",$D1911=""),"",IFERROR($D1911*INDEX(Mix_Eff,MATCH($C1911,Mix_Code,0),1),""))</f>
        <v/>
      </c>
      <c r="G1911" s="67" t="str">
        <f aca="false">IF(OR($C1911="",$D1911=""),"",IFERROR($D1911*INDEX(Mix_Eff,MATCH($C1911,Mix_Code,0),2),""))</f>
        <v/>
      </c>
      <c r="H1911" s="67" t="str">
        <f aca="false">IF(OR($C1911="",$D1911=""),"",IFERROR($D1911*INDEX(Mix_Eff,MATCH($C1911,Mix_Code,0),3),""))</f>
        <v/>
      </c>
      <c r="I1911" s="67" t="str">
        <f aca="false">IF(OR($C1911="",$D1911=""),"",IFERROR($D1911*INDEX(Mix_Eff,MATCH($C1911,Mix_Code,0),4),""))</f>
        <v/>
      </c>
      <c r="J1911" s="67" t="str">
        <f aca="false">IF(OR($C1911="",$D1911=""),"",IFERROR($D1911*INDEX(Mix_Eff,MATCH($C1911,Mix_Code,0),5),""))</f>
        <v/>
      </c>
      <c r="K1911" s="63"/>
      <c r="L1911" s="16" t="str">
        <f aca="false">IF(AND($A1911="",$B1911="",$C1911="",$D1911=""),"",IF($A1911="","⚠ Date missing",IF($B1911="","⚠ Site missing",IF(ISNA(MATCH($C1911,Mix_Code,0)),"⚠ Unknown mix code",IF($D1911="","⚠ Enter m3 produced",IF(COUNTIF(CI_Site,$B1911)=0,"⚠ Site not set up in Current Inventory",IF($A1911&gt;AsOfDate,"Future date – not yet deducted","OK")))))))</f>
        <v/>
      </c>
    </row>
    <row r="1912" customFormat="false" ht="15" hidden="false" customHeight="false" outlineLevel="0" collapsed="false">
      <c r="A1912" s="65"/>
      <c r="B1912" s="63"/>
      <c r="C1912" s="70"/>
      <c r="D1912" s="66"/>
      <c r="E1912" s="16" t="str">
        <f aca="false">IF($C1912="","",IFERROR(INDEX(Mix_Desc,MATCH($C1912,Mix_Code,0)),"⚠ Unknown mix code"))</f>
        <v/>
      </c>
      <c r="F1912" s="67" t="str">
        <f aca="false">IF(OR($C1912="",$D1912=""),"",IFERROR($D1912*INDEX(Mix_Eff,MATCH($C1912,Mix_Code,0),1),""))</f>
        <v/>
      </c>
      <c r="G1912" s="67" t="str">
        <f aca="false">IF(OR($C1912="",$D1912=""),"",IFERROR($D1912*INDEX(Mix_Eff,MATCH($C1912,Mix_Code,0),2),""))</f>
        <v/>
      </c>
      <c r="H1912" s="67" t="str">
        <f aca="false">IF(OR($C1912="",$D1912=""),"",IFERROR($D1912*INDEX(Mix_Eff,MATCH($C1912,Mix_Code,0),3),""))</f>
        <v/>
      </c>
      <c r="I1912" s="67" t="str">
        <f aca="false">IF(OR($C1912="",$D1912=""),"",IFERROR($D1912*INDEX(Mix_Eff,MATCH($C1912,Mix_Code,0),4),""))</f>
        <v/>
      </c>
      <c r="J1912" s="67" t="str">
        <f aca="false">IF(OR($C1912="",$D1912=""),"",IFERROR($D1912*INDEX(Mix_Eff,MATCH($C1912,Mix_Code,0),5),""))</f>
        <v/>
      </c>
      <c r="K1912" s="63"/>
      <c r="L1912" s="16" t="str">
        <f aca="false">IF(AND($A1912="",$B1912="",$C1912="",$D1912=""),"",IF($A1912="","⚠ Date missing",IF($B1912="","⚠ Site missing",IF(ISNA(MATCH($C1912,Mix_Code,0)),"⚠ Unknown mix code",IF($D1912="","⚠ Enter m3 produced",IF(COUNTIF(CI_Site,$B1912)=0,"⚠ Site not set up in Current Inventory",IF($A1912&gt;AsOfDate,"Future date – not yet deducted","OK")))))))</f>
        <v/>
      </c>
    </row>
    <row r="1913" customFormat="false" ht="15" hidden="false" customHeight="false" outlineLevel="0" collapsed="false">
      <c r="A1913" s="65"/>
      <c r="B1913" s="63"/>
      <c r="C1913" s="70"/>
      <c r="D1913" s="66"/>
      <c r="E1913" s="16" t="str">
        <f aca="false">IF($C1913="","",IFERROR(INDEX(Mix_Desc,MATCH($C1913,Mix_Code,0)),"⚠ Unknown mix code"))</f>
        <v/>
      </c>
      <c r="F1913" s="67" t="str">
        <f aca="false">IF(OR($C1913="",$D1913=""),"",IFERROR($D1913*INDEX(Mix_Eff,MATCH($C1913,Mix_Code,0),1),""))</f>
        <v/>
      </c>
      <c r="G1913" s="67" t="str">
        <f aca="false">IF(OR($C1913="",$D1913=""),"",IFERROR($D1913*INDEX(Mix_Eff,MATCH($C1913,Mix_Code,0),2),""))</f>
        <v/>
      </c>
      <c r="H1913" s="67" t="str">
        <f aca="false">IF(OR($C1913="",$D1913=""),"",IFERROR($D1913*INDEX(Mix_Eff,MATCH($C1913,Mix_Code,0),3),""))</f>
        <v/>
      </c>
      <c r="I1913" s="67" t="str">
        <f aca="false">IF(OR($C1913="",$D1913=""),"",IFERROR($D1913*INDEX(Mix_Eff,MATCH($C1913,Mix_Code,0),4),""))</f>
        <v/>
      </c>
      <c r="J1913" s="67" t="str">
        <f aca="false">IF(OR($C1913="",$D1913=""),"",IFERROR($D1913*INDEX(Mix_Eff,MATCH($C1913,Mix_Code,0),5),""))</f>
        <v/>
      </c>
      <c r="K1913" s="63"/>
      <c r="L1913" s="16" t="str">
        <f aca="false">IF(AND($A1913="",$B1913="",$C1913="",$D1913=""),"",IF($A1913="","⚠ Date missing",IF($B1913="","⚠ Site missing",IF(ISNA(MATCH($C1913,Mix_Code,0)),"⚠ Unknown mix code",IF($D1913="","⚠ Enter m3 produced",IF(COUNTIF(CI_Site,$B1913)=0,"⚠ Site not set up in Current Inventory",IF($A1913&gt;AsOfDate,"Future date – not yet deducted","OK")))))))</f>
        <v/>
      </c>
    </row>
    <row r="1914" customFormat="false" ht="15" hidden="false" customHeight="false" outlineLevel="0" collapsed="false">
      <c r="A1914" s="65"/>
      <c r="B1914" s="63"/>
      <c r="C1914" s="70"/>
      <c r="D1914" s="66"/>
      <c r="E1914" s="16" t="str">
        <f aca="false">IF($C1914="","",IFERROR(INDEX(Mix_Desc,MATCH($C1914,Mix_Code,0)),"⚠ Unknown mix code"))</f>
        <v/>
      </c>
      <c r="F1914" s="67" t="str">
        <f aca="false">IF(OR($C1914="",$D1914=""),"",IFERROR($D1914*INDEX(Mix_Eff,MATCH($C1914,Mix_Code,0),1),""))</f>
        <v/>
      </c>
      <c r="G1914" s="67" t="str">
        <f aca="false">IF(OR($C1914="",$D1914=""),"",IFERROR($D1914*INDEX(Mix_Eff,MATCH($C1914,Mix_Code,0),2),""))</f>
        <v/>
      </c>
      <c r="H1914" s="67" t="str">
        <f aca="false">IF(OR($C1914="",$D1914=""),"",IFERROR($D1914*INDEX(Mix_Eff,MATCH($C1914,Mix_Code,0),3),""))</f>
        <v/>
      </c>
      <c r="I1914" s="67" t="str">
        <f aca="false">IF(OR($C1914="",$D1914=""),"",IFERROR($D1914*INDEX(Mix_Eff,MATCH($C1914,Mix_Code,0),4),""))</f>
        <v/>
      </c>
      <c r="J1914" s="67" t="str">
        <f aca="false">IF(OR($C1914="",$D1914=""),"",IFERROR($D1914*INDEX(Mix_Eff,MATCH($C1914,Mix_Code,0),5),""))</f>
        <v/>
      </c>
      <c r="K1914" s="63"/>
      <c r="L1914" s="16" t="str">
        <f aca="false">IF(AND($A1914="",$B1914="",$C1914="",$D1914=""),"",IF($A1914="","⚠ Date missing",IF($B1914="","⚠ Site missing",IF(ISNA(MATCH($C1914,Mix_Code,0)),"⚠ Unknown mix code",IF($D1914="","⚠ Enter m3 produced",IF(COUNTIF(CI_Site,$B1914)=0,"⚠ Site not set up in Current Inventory",IF($A1914&gt;AsOfDate,"Future date – not yet deducted","OK")))))))</f>
        <v/>
      </c>
    </row>
    <row r="1915" customFormat="false" ht="15" hidden="false" customHeight="false" outlineLevel="0" collapsed="false">
      <c r="A1915" s="65"/>
      <c r="B1915" s="63"/>
      <c r="C1915" s="70"/>
      <c r="D1915" s="66"/>
      <c r="E1915" s="16" t="str">
        <f aca="false">IF($C1915="","",IFERROR(INDEX(Mix_Desc,MATCH($C1915,Mix_Code,0)),"⚠ Unknown mix code"))</f>
        <v/>
      </c>
      <c r="F1915" s="67" t="str">
        <f aca="false">IF(OR($C1915="",$D1915=""),"",IFERROR($D1915*INDEX(Mix_Eff,MATCH($C1915,Mix_Code,0),1),""))</f>
        <v/>
      </c>
      <c r="G1915" s="67" t="str">
        <f aca="false">IF(OR($C1915="",$D1915=""),"",IFERROR($D1915*INDEX(Mix_Eff,MATCH($C1915,Mix_Code,0),2),""))</f>
        <v/>
      </c>
      <c r="H1915" s="67" t="str">
        <f aca="false">IF(OR($C1915="",$D1915=""),"",IFERROR($D1915*INDEX(Mix_Eff,MATCH($C1915,Mix_Code,0),3),""))</f>
        <v/>
      </c>
      <c r="I1915" s="67" t="str">
        <f aca="false">IF(OR($C1915="",$D1915=""),"",IFERROR($D1915*INDEX(Mix_Eff,MATCH($C1915,Mix_Code,0),4),""))</f>
        <v/>
      </c>
      <c r="J1915" s="67" t="str">
        <f aca="false">IF(OR($C1915="",$D1915=""),"",IFERROR($D1915*INDEX(Mix_Eff,MATCH($C1915,Mix_Code,0),5),""))</f>
        <v/>
      </c>
      <c r="K1915" s="63"/>
      <c r="L1915" s="16" t="str">
        <f aca="false">IF(AND($A1915="",$B1915="",$C1915="",$D1915=""),"",IF($A1915="","⚠ Date missing",IF($B1915="","⚠ Site missing",IF(ISNA(MATCH($C1915,Mix_Code,0)),"⚠ Unknown mix code",IF($D1915="","⚠ Enter m3 produced",IF(COUNTIF(CI_Site,$B1915)=0,"⚠ Site not set up in Current Inventory",IF($A1915&gt;AsOfDate,"Future date – not yet deducted","OK")))))))</f>
        <v/>
      </c>
    </row>
    <row r="1916" customFormat="false" ht="15" hidden="false" customHeight="false" outlineLevel="0" collapsed="false">
      <c r="A1916" s="65"/>
      <c r="B1916" s="63"/>
      <c r="C1916" s="70"/>
      <c r="D1916" s="66"/>
      <c r="E1916" s="16" t="str">
        <f aca="false">IF($C1916="","",IFERROR(INDEX(Mix_Desc,MATCH($C1916,Mix_Code,0)),"⚠ Unknown mix code"))</f>
        <v/>
      </c>
      <c r="F1916" s="67" t="str">
        <f aca="false">IF(OR($C1916="",$D1916=""),"",IFERROR($D1916*INDEX(Mix_Eff,MATCH($C1916,Mix_Code,0),1),""))</f>
        <v/>
      </c>
      <c r="G1916" s="67" t="str">
        <f aca="false">IF(OR($C1916="",$D1916=""),"",IFERROR($D1916*INDEX(Mix_Eff,MATCH($C1916,Mix_Code,0),2),""))</f>
        <v/>
      </c>
      <c r="H1916" s="67" t="str">
        <f aca="false">IF(OR($C1916="",$D1916=""),"",IFERROR($D1916*INDEX(Mix_Eff,MATCH($C1916,Mix_Code,0),3),""))</f>
        <v/>
      </c>
      <c r="I1916" s="67" t="str">
        <f aca="false">IF(OR($C1916="",$D1916=""),"",IFERROR($D1916*INDEX(Mix_Eff,MATCH($C1916,Mix_Code,0),4),""))</f>
        <v/>
      </c>
      <c r="J1916" s="67" t="str">
        <f aca="false">IF(OR($C1916="",$D1916=""),"",IFERROR($D1916*INDEX(Mix_Eff,MATCH($C1916,Mix_Code,0),5),""))</f>
        <v/>
      </c>
      <c r="K1916" s="63"/>
      <c r="L1916" s="16" t="str">
        <f aca="false">IF(AND($A1916="",$B1916="",$C1916="",$D1916=""),"",IF($A1916="","⚠ Date missing",IF($B1916="","⚠ Site missing",IF(ISNA(MATCH($C1916,Mix_Code,0)),"⚠ Unknown mix code",IF($D1916="","⚠ Enter m3 produced",IF(COUNTIF(CI_Site,$B1916)=0,"⚠ Site not set up in Current Inventory",IF($A1916&gt;AsOfDate,"Future date – not yet deducted","OK")))))))</f>
        <v/>
      </c>
    </row>
    <row r="1917" customFormat="false" ht="15" hidden="false" customHeight="false" outlineLevel="0" collapsed="false">
      <c r="A1917" s="65"/>
      <c r="B1917" s="63"/>
      <c r="C1917" s="70"/>
      <c r="D1917" s="66"/>
      <c r="E1917" s="16" t="str">
        <f aca="false">IF($C1917="","",IFERROR(INDEX(Mix_Desc,MATCH($C1917,Mix_Code,0)),"⚠ Unknown mix code"))</f>
        <v/>
      </c>
      <c r="F1917" s="67" t="str">
        <f aca="false">IF(OR($C1917="",$D1917=""),"",IFERROR($D1917*INDEX(Mix_Eff,MATCH($C1917,Mix_Code,0),1),""))</f>
        <v/>
      </c>
      <c r="G1917" s="67" t="str">
        <f aca="false">IF(OR($C1917="",$D1917=""),"",IFERROR($D1917*INDEX(Mix_Eff,MATCH($C1917,Mix_Code,0),2),""))</f>
        <v/>
      </c>
      <c r="H1917" s="67" t="str">
        <f aca="false">IF(OR($C1917="",$D1917=""),"",IFERROR($D1917*INDEX(Mix_Eff,MATCH($C1917,Mix_Code,0),3),""))</f>
        <v/>
      </c>
      <c r="I1917" s="67" t="str">
        <f aca="false">IF(OR($C1917="",$D1917=""),"",IFERROR($D1917*INDEX(Mix_Eff,MATCH($C1917,Mix_Code,0),4),""))</f>
        <v/>
      </c>
      <c r="J1917" s="67" t="str">
        <f aca="false">IF(OR($C1917="",$D1917=""),"",IFERROR($D1917*INDEX(Mix_Eff,MATCH($C1917,Mix_Code,0),5),""))</f>
        <v/>
      </c>
      <c r="K1917" s="63"/>
      <c r="L1917" s="16" t="str">
        <f aca="false">IF(AND($A1917="",$B1917="",$C1917="",$D1917=""),"",IF($A1917="","⚠ Date missing",IF($B1917="","⚠ Site missing",IF(ISNA(MATCH($C1917,Mix_Code,0)),"⚠ Unknown mix code",IF($D1917="","⚠ Enter m3 produced",IF(COUNTIF(CI_Site,$B1917)=0,"⚠ Site not set up in Current Inventory",IF($A1917&gt;AsOfDate,"Future date – not yet deducted","OK")))))))</f>
        <v/>
      </c>
    </row>
    <row r="1918" customFormat="false" ht="15" hidden="false" customHeight="false" outlineLevel="0" collapsed="false">
      <c r="A1918" s="65"/>
      <c r="B1918" s="63"/>
      <c r="C1918" s="70"/>
      <c r="D1918" s="66"/>
      <c r="E1918" s="16" t="str">
        <f aca="false">IF($C1918="","",IFERROR(INDEX(Mix_Desc,MATCH($C1918,Mix_Code,0)),"⚠ Unknown mix code"))</f>
        <v/>
      </c>
      <c r="F1918" s="67" t="str">
        <f aca="false">IF(OR($C1918="",$D1918=""),"",IFERROR($D1918*INDEX(Mix_Eff,MATCH($C1918,Mix_Code,0),1),""))</f>
        <v/>
      </c>
      <c r="G1918" s="67" t="str">
        <f aca="false">IF(OR($C1918="",$D1918=""),"",IFERROR($D1918*INDEX(Mix_Eff,MATCH($C1918,Mix_Code,0),2),""))</f>
        <v/>
      </c>
      <c r="H1918" s="67" t="str">
        <f aca="false">IF(OR($C1918="",$D1918=""),"",IFERROR($D1918*INDEX(Mix_Eff,MATCH($C1918,Mix_Code,0),3),""))</f>
        <v/>
      </c>
      <c r="I1918" s="67" t="str">
        <f aca="false">IF(OR($C1918="",$D1918=""),"",IFERROR($D1918*INDEX(Mix_Eff,MATCH($C1918,Mix_Code,0),4),""))</f>
        <v/>
      </c>
      <c r="J1918" s="67" t="str">
        <f aca="false">IF(OR($C1918="",$D1918=""),"",IFERROR($D1918*INDEX(Mix_Eff,MATCH($C1918,Mix_Code,0),5),""))</f>
        <v/>
      </c>
      <c r="K1918" s="63"/>
      <c r="L1918" s="16" t="str">
        <f aca="false">IF(AND($A1918="",$B1918="",$C1918="",$D1918=""),"",IF($A1918="","⚠ Date missing",IF($B1918="","⚠ Site missing",IF(ISNA(MATCH($C1918,Mix_Code,0)),"⚠ Unknown mix code",IF($D1918="","⚠ Enter m3 produced",IF(COUNTIF(CI_Site,$B1918)=0,"⚠ Site not set up in Current Inventory",IF($A1918&gt;AsOfDate,"Future date – not yet deducted","OK")))))))</f>
        <v/>
      </c>
    </row>
    <row r="1919" customFormat="false" ht="15" hidden="false" customHeight="false" outlineLevel="0" collapsed="false">
      <c r="A1919" s="65"/>
      <c r="B1919" s="63"/>
      <c r="C1919" s="70"/>
      <c r="D1919" s="66"/>
      <c r="E1919" s="16" t="str">
        <f aca="false">IF($C1919="","",IFERROR(INDEX(Mix_Desc,MATCH($C1919,Mix_Code,0)),"⚠ Unknown mix code"))</f>
        <v/>
      </c>
      <c r="F1919" s="67" t="str">
        <f aca="false">IF(OR($C1919="",$D1919=""),"",IFERROR($D1919*INDEX(Mix_Eff,MATCH($C1919,Mix_Code,0),1),""))</f>
        <v/>
      </c>
      <c r="G1919" s="67" t="str">
        <f aca="false">IF(OR($C1919="",$D1919=""),"",IFERROR($D1919*INDEX(Mix_Eff,MATCH($C1919,Mix_Code,0),2),""))</f>
        <v/>
      </c>
      <c r="H1919" s="67" t="str">
        <f aca="false">IF(OR($C1919="",$D1919=""),"",IFERROR($D1919*INDEX(Mix_Eff,MATCH($C1919,Mix_Code,0),3),""))</f>
        <v/>
      </c>
      <c r="I1919" s="67" t="str">
        <f aca="false">IF(OR($C1919="",$D1919=""),"",IFERROR($D1919*INDEX(Mix_Eff,MATCH($C1919,Mix_Code,0),4),""))</f>
        <v/>
      </c>
      <c r="J1919" s="67" t="str">
        <f aca="false">IF(OR($C1919="",$D1919=""),"",IFERROR($D1919*INDEX(Mix_Eff,MATCH($C1919,Mix_Code,0),5),""))</f>
        <v/>
      </c>
      <c r="K1919" s="63"/>
      <c r="L1919" s="16" t="str">
        <f aca="false">IF(AND($A1919="",$B1919="",$C1919="",$D1919=""),"",IF($A1919="","⚠ Date missing",IF($B1919="","⚠ Site missing",IF(ISNA(MATCH($C1919,Mix_Code,0)),"⚠ Unknown mix code",IF($D1919="","⚠ Enter m3 produced",IF(COUNTIF(CI_Site,$B1919)=0,"⚠ Site not set up in Current Inventory",IF($A1919&gt;AsOfDate,"Future date – not yet deducted","OK")))))))</f>
        <v/>
      </c>
    </row>
    <row r="1920" customFormat="false" ht="15" hidden="false" customHeight="false" outlineLevel="0" collapsed="false">
      <c r="A1920" s="65"/>
      <c r="B1920" s="63"/>
      <c r="C1920" s="70"/>
      <c r="D1920" s="66"/>
      <c r="E1920" s="16" t="str">
        <f aca="false">IF($C1920="","",IFERROR(INDEX(Mix_Desc,MATCH($C1920,Mix_Code,0)),"⚠ Unknown mix code"))</f>
        <v/>
      </c>
      <c r="F1920" s="67" t="str">
        <f aca="false">IF(OR($C1920="",$D1920=""),"",IFERROR($D1920*INDEX(Mix_Eff,MATCH($C1920,Mix_Code,0),1),""))</f>
        <v/>
      </c>
      <c r="G1920" s="67" t="str">
        <f aca="false">IF(OR($C1920="",$D1920=""),"",IFERROR($D1920*INDEX(Mix_Eff,MATCH($C1920,Mix_Code,0),2),""))</f>
        <v/>
      </c>
      <c r="H1920" s="67" t="str">
        <f aca="false">IF(OR($C1920="",$D1920=""),"",IFERROR($D1920*INDEX(Mix_Eff,MATCH($C1920,Mix_Code,0),3),""))</f>
        <v/>
      </c>
      <c r="I1920" s="67" t="str">
        <f aca="false">IF(OR($C1920="",$D1920=""),"",IFERROR($D1920*INDEX(Mix_Eff,MATCH($C1920,Mix_Code,0),4),""))</f>
        <v/>
      </c>
      <c r="J1920" s="67" t="str">
        <f aca="false">IF(OR($C1920="",$D1920=""),"",IFERROR($D1920*INDEX(Mix_Eff,MATCH($C1920,Mix_Code,0),5),""))</f>
        <v/>
      </c>
      <c r="K1920" s="63"/>
      <c r="L1920" s="16" t="str">
        <f aca="false">IF(AND($A1920="",$B1920="",$C1920="",$D1920=""),"",IF($A1920="","⚠ Date missing",IF($B1920="","⚠ Site missing",IF(ISNA(MATCH($C1920,Mix_Code,0)),"⚠ Unknown mix code",IF($D1920="","⚠ Enter m3 produced",IF(COUNTIF(CI_Site,$B1920)=0,"⚠ Site not set up in Current Inventory",IF($A1920&gt;AsOfDate,"Future date – not yet deducted","OK")))))))</f>
        <v/>
      </c>
    </row>
    <row r="1921" customFormat="false" ht="15" hidden="false" customHeight="false" outlineLevel="0" collapsed="false">
      <c r="A1921" s="65"/>
      <c r="B1921" s="63"/>
      <c r="C1921" s="70"/>
      <c r="D1921" s="66"/>
      <c r="E1921" s="16" t="str">
        <f aca="false">IF($C1921="","",IFERROR(INDEX(Mix_Desc,MATCH($C1921,Mix_Code,0)),"⚠ Unknown mix code"))</f>
        <v/>
      </c>
      <c r="F1921" s="67" t="str">
        <f aca="false">IF(OR($C1921="",$D1921=""),"",IFERROR($D1921*INDEX(Mix_Eff,MATCH($C1921,Mix_Code,0),1),""))</f>
        <v/>
      </c>
      <c r="G1921" s="67" t="str">
        <f aca="false">IF(OR($C1921="",$D1921=""),"",IFERROR($D1921*INDEX(Mix_Eff,MATCH($C1921,Mix_Code,0),2),""))</f>
        <v/>
      </c>
      <c r="H1921" s="67" t="str">
        <f aca="false">IF(OR($C1921="",$D1921=""),"",IFERROR($D1921*INDEX(Mix_Eff,MATCH($C1921,Mix_Code,0),3),""))</f>
        <v/>
      </c>
      <c r="I1921" s="67" t="str">
        <f aca="false">IF(OR($C1921="",$D1921=""),"",IFERROR($D1921*INDEX(Mix_Eff,MATCH($C1921,Mix_Code,0),4),""))</f>
        <v/>
      </c>
      <c r="J1921" s="67" t="str">
        <f aca="false">IF(OR($C1921="",$D1921=""),"",IFERROR($D1921*INDEX(Mix_Eff,MATCH($C1921,Mix_Code,0),5),""))</f>
        <v/>
      </c>
      <c r="K1921" s="63"/>
      <c r="L1921" s="16" t="str">
        <f aca="false">IF(AND($A1921="",$B1921="",$C1921="",$D1921=""),"",IF($A1921="","⚠ Date missing",IF($B1921="","⚠ Site missing",IF(ISNA(MATCH($C1921,Mix_Code,0)),"⚠ Unknown mix code",IF($D1921="","⚠ Enter m3 produced",IF(COUNTIF(CI_Site,$B1921)=0,"⚠ Site not set up in Current Inventory",IF($A1921&gt;AsOfDate,"Future date – not yet deducted","OK")))))))</f>
        <v/>
      </c>
    </row>
    <row r="1922" customFormat="false" ht="15" hidden="false" customHeight="false" outlineLevel="0" collapsed="false">
      <c r="A1922" s="65"/>
      <c r="B1922" s="63"/>
      <c r="C1922" s="70"/>
      <c r="D1922" s="66"/>
      <c r="E1922" s="16" t="str">
        <f aca="false">IF($C1922="","",IFERROR(INDEX(Mix_Desc,MATCH($C1922,Mix_Code,0)),"⚠ Unknown mix code"))</f>
        <v/>
      </c>
      <c r="F1922" s="67" t="str">
        <f aca="false">IF(OR($C1922="",$D1922=""),"",IFERROR($D1922*INDEX(Mix_Eff,MATCH($C1922,Mix_Code,0),1),""))</f>
        <v/>
      </c>
      <c r="G1922" s="67" t="str">
        <f aca="false">IF(OR($C1922="",$D1922=""),"",IFERROR($D1922*INDEX(Mix_Eff,MATCH($C1922,Mix_Code,0),2),""))</f>
        <v/>
      </c>
      <c r="H1922" s="67" t="str">
        <f aca="false">IF(OR($C1922="",$D1922=""),"",IFERROR($D1922*INDEX(Mix_Eff,MATCH($C1922,Mix_Code,0),3),""))</f>
        <v/>
      </c>
      <c r="I1922" s="67" t="str">
        <f aca="false">IF(OR($C1922="",$D1922=""),"",IFERROR($D1922*INDEX(Mix_Eff,MATCH($C1922,Mix_Code,0),4),""))</f>
        <v/>
      </c>
      <c r="J1922" s="67" t="str">
        <f aca="false">IF(OR($C1922="",$D1922=""),"",IFERROR($D1922*INDEX(Mix_Eff,MATCH($C1922,Mix_Code,0),5),""))</f>
        <v/>
      </c>
      <c r="K1922" s="63"/>
      <c r="L1922" s="16" t="str">
        <f aca="false">IF(AND($A1922="",$B1922="",$C1922="",$D1922=""),"",IF($A1922="","⚠ Date missing",IF($B1922="","⚠ Site missing",IF(ISNA(MATCH($C1922,Mix_Code,0)),"⚠ Unknown mix code",IF($D1922="","⚠ Enter m3 produced",IF(COUNTIF(CI_Site,$B1922)=0,"⚠ Site not set up in Current Inventory",IF($A1922&gt;AsOfDate,"Future date – not yet deducted","OK")))))))</f>
        <v/>
      </c>
    </row>
    <row r="1923" customFormat="false" ht="15" hidden="false" customHeight="false" outlineLevel="0" collapsed="false">
      <c r="A1923" s="65"/>
      <c r="B1923" s="63"/>
      <c r="C1923" s="70"/>
      <c r="D1923" s="66"/>
      <c r="E1923" s="16" t="str">
        <f aca="false">IF($C1923="","",IFERROR(INDEX(Mix_Desc,MATCH($C1923,Mix_Code,0)),"⚠ Unknown mix code"))</f>
        <v/>
      </c>
      <c r="F1923" s="67" t="str">
        <f aca="false">IF(OR($C1923="",$D1923=""),"",IFERROR($D1923*INDEX(Mix_Eff,MATCH($C1923,Mix_Code,0),1),""))</f>
        <v/>
      </c>
      <c r="G1923" s="67" t="str">
        <f aca="false">IF(OR($C1923="",$D1923=""),"",IFERROR($D1923*INDEX(Mix_Eff,MATCH($C1923,Mix_Code,0),2),""))</f>
        <v/>
      </c>
      <c r="H1923" s="67" t="str">
        <f aca="false">IF(OR($C1923="",$D1923=""),"",IFERROR($D1923*INDEX(Mix_Eff,MATCH($C1923,Mix_Code,0),3),""))</f>
        <v/>
      </c>
      <c r="I1923" s="67" t="str">
        <f aca="false">IF(OR($C1923="",$D1923=""),"",IFERROR($D1923*INDEX(Mix_Eff,MATCH($C1923,Mix_Code,0),4),""))</f>
        <v/>
      </c>
      <c r="J1923" s="67" t="str">
        <f aca="false">IF(OR($C1923="",$D1923=""),"",IFERROR($D1923*INDEX(Mix_Eff,MATCH($C1923,Mix_Code,0),5),""))</f>
        <v/>
      </c>
      <c r="K1923" s="63"/>
      <c r="L1923" s="16" t="str">
        <f aca="false">IF(AND($A1923="",$B1923="",$C1923="",$D1923=""),"",IF($A1923="","⚠ Date missing",IF($B1923="","⚠ Site missing",IF(ISNA(MATCH($C1923,Mix_Code,0)),"⚠ Unknown mix code",IF($D1923="","⚠ Enter m3 produced",IF(COUNTIF(CI_Site,$B1923)=0,"⚠ Site not set up in Current Inventory",IF($A1923&gt;AsOfDate,"Future date – not yet deducted","OK")))))))</f>
        <v/>
      </c>
    </row>
    <row r="1924" customFormat="false" ht="15" hidden="false" customHeight="false" outlineLevel="0" collapsed="false">
      <c r="A1924" s="65"/>
      <c r="B1924" s="63"/>
      <c r="C1924" s="70"/>
      <c r="D1924" s="66"/>
      <c r="E1924" s="16" t="str">
        <f aca="false">IF($C1924="","",IFERROR(INDEX(Mix_Desc,MATCH($C1924,Mix_Code,0)),"⚠ Unknown mix code"))</f>
        <v/>
      </c>
      <c r="F1924" s="67" t="str">
        <f aca="false">IF(OR($C1924="",$D1924=""),"",IFERROR($D1924*INDEX(Mix_Eff,MATCH($C1924,Mix_Code,0),1),""))</f>
        <v/>
      </c>
      <c r="G1924" s="67" t="str">
        <f aca="false">IF(OR($C1924="",$D1924=""),"",IFERROR($D1924*INDEX(Mix_Eff,MATCH($C1924,Mix_Code,0),2),""))</f>
        <v/>
      </c>
      <c r="H1924" s="67" t="str">
        <f aca="false">IF(OR($C1924="",$D1924=""),"",IFERROR($D1924*INDEX(Mix_Eff,MATCH($C1924,Mix_Code,0),3),""))</f>
        <v/>
      </c>
      <c r="I1924" s="67" t="str">
        <f aca="false">IF(OR($C1924="",$D1924=""),"",IFERROR($D1924*INDEX(Mix_Eff,MATCH($C1924,Mix_Code,0),4),""))</f>
        <v/>
      </c>
      <c r="J1924" s="67" t="str">
        <f aca="false">IF(OR($C1924="",$D1924=""),"",IFERROR($D1924*INDEX(Mix_Eff,MATCH($C1924,Mix_Code,0),5),""))</f>
        <v/>
      </c>
      <c r="K1924" s="63"/>
      <c r="L1924" s="16" t="str">
        <f aca="false">IF(AND($A1924="",$B1924="",$C1924="",$D1924=""),"",IF($A1924="","⚠ Date missing",IF($B1924="","⚠ Site missing",IF(ISNA(MATCH($C1924,Mix_Code,0)),"⚠ Unknown mix code",IF($D1924="","⚠ Enter m3 produced",IF(COUNTIF(CI_Site,$B1924)=0,"⚠ Site not set up in Current Inventory",IF($A1924&gt;AsOfDate,"Future date – not yet deducted","OK")))))))</f>
        <v/>
      </c>
    </row>
    <row r="1925" customFormat="false" ht="15" hidden="false" customHeight="false" outlineLevel="0" collapsed="false">
      <c r="A1925" s="65"/>
      <c r="B1925" s="63"/>
      <c r="C1925" s="70"/>
      <c r="D1925" s="66"/>
      <c r="E1925" s="16" t="str">
        <f aca="false">IF($C1925="","",IFERROR(INDEX(Mix_Desc,MATCH($C1925,Mix_Code,0)),"⚠ Unknown mix code"))</f>
        <v/>
      </c>
      <c r="F1925" s="67" t="str">
        <f aca="false">IF(OR($C1925="",$D1925=""),"",IFERROR($D1925*INDEX(Mix_Eff,MATCH($C1925,Mix_Code,0),1),""))</f>
        <v/>
      </c>
      <c r="G1925" s="67" t="str">
        <f aca="false">IF(OR($C1925="",$D1925=""),"",IFERROR($D1925*INDEX(Mix_Eff,MATCH($C1925,Mix_Code,0),2),""))</f>
        <v/>
      </c>
      <c r="H1925" s="67" t="str">
        <f aca="false">IF(OR($C1925="",$D1925=""),"",IFERROR($D1925*INDEX(Mix_Eff,MATCH($C1925,Mix_Code,0),3),""))</f>
        <v/>
      </c>
      <c r="I1925" s="67" t="str">
        <f aca="false">IF(OR($C1925="",$D1925=""),"",IFERROR($D1925*INDEX(Mix_Eff,MATCH($C1925,Mix_Code,0),4),""))</f>
        <v/>
      </c>
      <c r="J1925" s="67" t="str">
        <f aca="false">IF(OR($C1925="",$D1925=""),"",IFERROR($D1925*INDEX(Mix_Eff,MATCH($C1925,Mix_Code,0),5),""))</f>
        <v/>
      </c>
      <c r="K1925" s="63"/>
      <c r="L1925" s="16" t="str">
        <f aca="false">IF(AND($A1925="",$B1925="",$C1925="",$D1925=""),"",IF($A1925="","⚠ Date missing",IF($B1925="","⚠ Site missing",IF(ISNA(MATCH($C1925,Mix_Code,0)),"⚠ Unknown mix code",IF($D1925="","⚠ Enter m3 produced",IF(COUNTIF(CI_Site,$B1925)=0,"⚠ Site not set up in Current Inventory",IF($A1925&gt;AsOfDate,"Future date – not yet deducted","OK")))))))</f>
        <v/>
      </c>
    </row>
    <row r="1926" customFormat="false" ht="15" hidden="false" customHeight="false" outlineLevel="0" collapsed="false">
      <c r="A1926" s="65"/>
      <c r="B1926" s="63"/>
      <c r="C1926" s="70"/>
      <c r="D1926" s="66"/>
      <c r="E1926" s="16" t="str">
        <f aca="false">IF($C1926="","",IFERROR(INDEX(Mix_Desc,MATCH($C1926,Mix_Code,0)),"⚠ Unknown mix code"))</f>
        <v/>
      </c>
      <c r="F1926" s="67" t="str">
        <f aca="false">IF(OR($C1926="",$D1926=""),"",IFERROR($D1926*INDEX(Mix_Eff,MATCH($C1926,Mix_Code,0),1),""))</f>
        <v/>
      </c>
      <c r="G1926" s="67" t="str">
        <f aca="false">IF(OR($C1926="",$D1926=""),"",IFERROR($D1926*INDEX(Mix_Eff,MATCH($C1926,Mix_Code,0),2),""))</f>
        <v/>
      </c>
      <c r="H1926" s="67" t="str">
        <f aca="false">IF(OR($C1926="",$D1926=""),"",IFERROR($D1926*INDEX(Mix_Eff,MATCH($C1926,Mix_Code,0),3),""))</f>
        <v/>
      </c>
      <c r="I1926" s="67" t="str">
        <f aca="false">IF(OR($C1926="",$D1926=""),"",IFERROR($D1926*INDEX(Mix_Eff,MATCH($C1926,Mix_Code,0),4),""))</f>
        <v/>
      </c>
      <c r="J1926" s="67" t="str">
        <f aca="false">IF(OR($C1926="",$D1926=""),"",IFERROR($D1926*INDEX(Mix_Eff,MATCH($C1926,Mix_Code,0),5),""))</f>
        <v/>
      </c>
      <c r="K1926" s="63"/>
      <c r="L1926" s="16" t="str">
        <f aca="false">IF(AND($A1926="",$B1926="",$C1926="",$D1926=""),"",IF($A1926="","⚠ Date missing",IF($B1926="","⚠ Site missing",IF(ISNA(MATCH($C1926,Mix_Code,0)),"⚠ Unknown mix code",IF($D1926="","⚠ Enter m3 produced",IF(COUNTIF(CI_Site,$B1926)=0,"⚠ Site not set up in Current Inventory",IF($A1926&gt;AsOfDate,"Future date – not yet deducted","OK")))))))</f>
        <v/>
      </c>
    </row>
    <row r="1927" customFormat="false" ht="15" hidden="false" customHeight="false" outlineLevel="0" collapsed="false">
      <c r="A1927" s="65"/>
      <c r="B1927" s="63"/>
      <c r="C1927" s="70"/>
      <c r="D1927" s="66"/>
      <c r="E1927" s="16" t="str">
        <f aca="false">IF($C1927="","",IFERROR(INDEX(Mix_Desc,MATCH($C1927,Mix_Code,0)),"⚠ Unknown mix code"))</f>
        <v/>
      </c>
      <c r="F1927" s="67" t="str">
        <f aca="false">IF(OR($C1927="",$D1927=""),"",IFERROR($D1927*INDEX(Mix_Eff,MATCH($C1927,Mix_Code,0),1),""))</f>
        <v/>
      </c>
      <c r="G1927" s="67" t="str">
        <f aca="false">IF(OR($C1927="",$D1927=""),"",IFERROR($D1927*INDEX(Mix_Eff,MATCH($C1927,Mix_Code,0),2),""))</f>
        <v/>
      </c>
      <c r="H1927" s="67" t="str">
        <f aca="false">IF(OR($C1927="",$D1927=""),"",IFERROR($D1927*INDEX(Mix_Eff,MATCH($C1927,Mix_Code,0),3),""))</f>
        <v/>
      </c>
      <c r="I1927" s="67" t="str">
        <f aca="false">IF(OR($C1927="",$D1927=""),"",IFERROR($D1927*INDEX(Mix_Eff,MATCH($C1927,Mix_Code,0),4),""))</f>
        <v/>
      </c>
      <c r="J1927" s="67" t="str">
        <f aca="false">IF(OR($C1927="",$D1927=""),"",IFERROR($D1927*INDEX(Mix_Eff,MATCH($C1927,Mix_Code,0),5),""))</f>
        <v/>
      </c>
      <c r="K1927" s="63"/>
      <c r="L1927" s="16" t="str">
        <f aca="false">IF(AND($A1927="",$B1927="",$C1927="",$D1927=""),"",IF($A1927="","⚠ Date missing",IF($B1927="","⚠ Site missing",IF(ISNA(MATCH($C1927,Mix_Code,0)),"⚠ Unknown mix code",IF($D1927="","⚠ Enter m3 produced",IF(COUNTIF(CI_Site,$B1927)=0,"⚠ Site not set up in Current Inventory",IF($A1927&gt;AsOfDate,"Future date – not yet deducted","OK")))))))</f>
        <v/>
      </c>
    </row>
    <row r="1928" customFormat="false" ht="15" hidden="false" customHeight="false" outlineLevel="0" collapsed="false">
      <c r="A1928" s="65"/>
      <c r="B1928" s="63"/>
      <c r="C1928" s="70"/>
      <c r="D1928" s="66"/>
      <c r="E1928" s="16" t="str">
        <f aca="false">IF($C1928="","",IFERROR(INDEX(Mix_Desc,MATCH($C1928,Mix_Code,0)),"⚠ Unknown mix code"))</f>
        <v/>
      </c>
      <c r="F1928" s="67" t="str">
        <f aca="false">IF(OR($C1928="",$D1928=""),"",IFERROR($D1928*INDEX(Mix_Eff,MATCH($C1928,Mix_Code,0),1),""))</f>
        <v/>
      </c>
      <c r="G1928" s="67" t="str">
        <f aca="false">IF(OR($C1928="",$D1928=""),"",IFERROR($D1928*INDEX(Mix_Eff,MATCH($C1928,Mix_Code,0),2),""))</f>
        <v/>
      </c>
      <c r="H1928" s="67" t="str">
        <f aca="false">IF(OR($C1928="",$D1928=""),"",IFERROR($D1928*INDEX(Mix_Eff,MATCH($C1928,Mix_Code,0),3),""))</f>
        <v/>
      </c>
      <c r="I1928" s="67" t="str">
        <f aca="false">IF(OR($C1928="",$D1928=""),"",IFERROR($D1928*INDEX(Mix_Eff,MATCH($C1928,Mix_Code,0),4),""))</f>
        <v/>
      </c>
      <c r="J1928" s="67" t="str">
        <f aca="false">IF(OR($C1928="",$D1928=""),"",IFERROR($D1928*INDEX(Mix_Eff,MATCH($C1928,Mix_Code,0),5),""))</f>
        <v/>
      </c>
      <c r="K1928" s="63"/>
      <c r="L1928" s="16" t="str">
        <f aca="false">IF(AND($A1928="",$B1928="",$C1928="",$D1928=""),"",IF($A1928="","⚠ Date missing",IF($B1928="","⚠ Site missing",IF(ISNA(MATCH($C1928,Mix_Code,0)),"⚠ Unknown mix code",IF($D1928="","⚠ Enter m3 produced",IF(COUNTIF(CI_Site,$B1928)=0,"⚠ Site not set up in Current Inventory",IF($A1928&gt;AsOfDate,"Future date – not yet deducted","OK")))))))</f>
        <v/>
      </c>
    </row>
    <row r="1929" customFormat="false" ht="15" hidden="false" customHeight="false" outlineLevel="0" collapsed="false">
      <c r="A1929" s="65"/>
      <c r="B1929" s="63"/>
      <c r="C1929" s="70"/>
      <c r="D1929" s="66"/>
      <c r="E1929" s="16" t="str">
        <f aca="false">IF($C1929="","",IFERROR(INDEX(Mix_Desc,MATCH($C1929,Mix_Code,0)),"⚠ Unknown mix code"))</f>
        <v/>
      </c>
      <c r="F1929" s="67" t="str">
        <f aca="false">IF(OR($C1929="",$D1929=""),"",IFERROR($D1929*INDEX(Mix_Eff,MATCH($C1929,Mix_Code,0),1),""))</f>
        <v/>
      </c>
      <c r="G1929" s="67" t="str">
        <f aca="false">IF(OR($C1929="",$D1929=""),"",IFERROR($D1929*INDEX(Mix_Eff,MATCH($C1929,Mix_Code,0),2),""))</f>
        <v/>
      </c>
      <c r="H1929" s="67" t="str">
        <f aca="false">IF(OR($C1929="",$D1929=""),"",IFERROR($D1929*INDEX(Mix_Eff,MATCH($C1929,Mix_Code,0),3),""))</f>
        <v/>
      </c>
      <c r="I1929" s="67" t="str">
        <f aca="false">IF(OR($C1929="",$D1929=""),"",IFERROR($D1929*INDEX(Mix_Eff,MATCH($C1929,Mix_Code,0),4),""))</f>
        <v/>
      </c>
      <c r="J1929" s="67" t="str">
        <f aca="false">IF(OR($C1929="",$D1929=""),"",IFERROR($D1929*INDEX(Mix_Eff,MATCH($C1929,Mix_Code,0),5),""))</f>
        <v/>
      </c>
      <c r="K1929" s="63"/>
      <c r="L1929" s="16" t="str">
        <f aca="false">IF(AND($A1929="",$B1929="",$C1929="",$D1929=""),"",IF($A1929="","⚠ Date missing",IF($B1929="","⚠ Site missing",IF(ISNA(MATCH($C1929,Mix_Code,0)),"⚠ Unknown mix code",IF($D1929="","⚠ Enter m3 produced",IF(COUNTIF(CI_Site,$B1929)=0,"⚠ Site not set up in Current Inventory",IF($A1929&gt;AsOfDate,"Future date – not yet deducted","OK")))))))</f>
        <v/>
      </c>
    </row>
    <row r="1930" customFormat="false" ht="15" hidden="false" customHeight="false" outlineLevel="0" collapsed="false">
      <c r="A1930" s="65"/>
      <c r="B1930" s="63"/>
      <c r="C1930" s="70"/>
      <c r="D1930" s="66"/>
      <c r="E1930" s="16" t="str">
        <f aca="false">IF($C1930="","",IFERROR(INDEX(Mix_Desc,MATCH($C1930,Mix_Code,0)),"⚠ Unknown mix code"))</f>
        <v/>
      </c>
      <c r="F1930" s="67" t="str">
        <f aca="false">IF(OR($C1930="",$D1930=""),"",IFERROR($D1930*INDEX(Mix_Eff,MATCH($C1930,Mix_Code,0),1),""))</f>
        <v/>
      </c>
      <c r="G1930" s="67" t="str">
        <f aca="false">IF(OR($C1930="",$D1930=""),"",IFERROR($D1930*INDEX(Mix_Eff,MATCH($C1930,Mix_Code,0),2),""))</f>
        <v/>
      </c>
      <c r="H1930" s="67" t="str">
        <f aca="false">IF(OR($C1930="",$D1930=""),"",IFERROR($D1930*INDEX(Mix_Eff,MATCH($C1930,Mix_Code,0),3),""))</f>
        <v/>
      </c>
      <c r="I1930" s="67" t="str">
        <f aca="false">IF(OR($C1930="",$D1930=""),"",IFERROR($D1930*INDEX(Mix_Eff,MATCH($C1930,Mix_Code,0),4),""))</f>
        <v/>
      </c>
      <c r="J1930" s="67" t="str">
        <f aca="false">IF(OR($C1930="",$D1930=""),"",IFERROR($D1930*INDEX(Mix_Eff,MATCH($C1930,Mix_Code,0),5),""))</f>
        <v/>
      </c>
      <c r="K1930" s="63"/>
      <c r="L1930" s="16" t="str">
        <f aca="false">IF(AND($A1930="",$B1930="",$C1930="",$D1930=""),"",IF($A1930="","⚠ Date missing",IF($B1930="","⚠ Site missing",IF(ISNA(MATCH($C1930,Mix_Code,0)),"⚠ Unknown mix code",IF($D1930="","⚠ Enter m3 produced",IF(COUNTIF(CI_Site,$B1930)=0,"⚠ Site not set up in Current Inventory",IF($A1930&gt;AsOfDate,"Future date – not yet deducted","OK")))))))</f>
        <v/>
      </c>
    </row>
    <row r="1931" customFormat="false" ht="15" hidden="false" customHeight="false" outlineLevel="0" collapsed="false">
      <c r="A1931" s="65"/>
      <c r="B1931" s="63"/>
      <c r="C1931" s="70"/>
      <c r="D1931" s="66"/>
      <c r="E1931" s="16" t="str">
        <f aca="false">IF($C1931="","",IFERROR(INDEX(Mix_Desc,MATCH($C1931,Mix_Code,0)),"⚠ Unknown mix code"))</f>
        <v/>
      </c>
      <c r="F1931" s="67" t="str">
        <f aca="false">IF(OR($C1931="",$D1931=""),"",IFERROR($D1931*INDEX(Mix_Eff,MATCH($C1931,Mix_Code,0),1),""))</f>
        <v/>
      </c>
      <c r="G1931" s="67" t="str">
        <f aca="false">IF(OR($C1931="",$D1931=""),"",IFERROR($D1931*INDEX(Mix_Eff,MATCH($C1931,Mix_Code,0),2),""))</f>
        <v/>
      </c>
      <c r="H1931" s="67" t="str">
        <f aca="false">IF(OR($C1931="",$D1931=""),"",IFERROR($D1931*INDEX(Mix_Eff,MATCH($C1931,Mix_Code,0),3),""))</f>
        <v/>
      </c>
      <c r="I1931" s="67" t="str">
        <f aca="false">IF(OR($C1931="",$D1931=""),"",IFERROR($D1931*INDEX(Mix_Eff,MATCH($C1931,Mix_Code,0),4),""))</f>
        <v/>
      </c>
      <c r="J1931" s="67" t="str">
        <f aca="false">IF(OR($C1931="",$D1931=""),"",IFERROR($D1931*INDEX(Mix_Eff,MATCH($C1931,Mix_Code,0),5),""))</f>
        <v/>
      </c>
      <c r="K1931" s="63"/>
      <c r="L1931" s="16" t="str">
        <f aca="false">IF(AND($A1931="",$B1931="",$C1931="",$D1931=""),"",IF($A1931="","⚠ Date missing",IF($B1931="","⚠ Site missing",IF(ISNA(MATCH($C1931,Mix_Code,0)),"⚠ Unknown mix code",IF($D1931="","⚠ Enter m3 produced",IF(COUNTIF(CI_Site,$B1931)=0,"⚠ Site not set up in Current Inventory",IF($A1931&gt;AsOfDate,"Future date – not yet deducted","OK")))))))</f>
        <v/>
      </c>
    </row>
    <row r="1932" customFormat="false" ht="15" hidden="false" customHeight="false" outlineLevel="0" collapsed="false">
      <c r="A1932" s="65"/>
      <c r="B1932" s="63"/>
      <c r="C1932" s="70"/>
      <c r="D1932" s="66"/>
      <c r="E1932" s="16" t="str">
        <f aca="false">IF($C1932="","",IFERROR(INDEX(Mix_Desc,MATCH($C1932,Mix_Code,0)),"⚠ Unknown mix code"))</f>
        <v/>
      </c>
      <c r="F1932" s="67" t="str">
        <f aca="false">IF(OR($C1932="",$D1932=""),"",IFERROR($D1932*INDEX(Mix_Eff,MATCH($C1932,Mix_Code,0),1),""))</f>
        <v/>
      </c>
      <c r="G1932" s="67" t="str">
        <f aca="false">IF(OR($C1932="",$D1932=""),"",IFERROR($D1932*INDEX(Mix_Eff,MATCH($C1932,Mix_Code,0),2),""))</f>
        <v/>
      </c>
      <c r="H1932" s="67" t="str">
        <f aca="false">IF(OR($C1932="",$D1932=""),"",IFERROR($D1932*INDEX(Mix_Eff,MATCH($C1932,Mix_Code,0),3),""))</f>
        <v/>
      </c>
      <c r="I1932" s="67" t="str">
        <f aca="false">IF(OR($C1932="",$D1932=""),"",IFERROR($D1932*INDEX(Mix_Eff,MATCH($C1932,Mix_Code,0),4),""))</f>
        <v/>
      </c>
      <c r="J1932" s="67" t="str">
        <f aca="false">IF(OR($C1932="",$D1932=""),"",IFERROR($D1932*INDEX(Mix_Eff,MATCH($C1932,Mix_Code,0),5),""))</f>
        <v/>
      </c>
      <c r="K1932" s="63"/>
      <c r="L1932" s="16" t="str">
        <f aca="false">IF(AND($A1932="",$B1932="",$C1932="",$D1932=""),"",IF($A1932="","⚠ Date missing",IF($B1932="","⚠ Site missing",IF(ISNA(MATCH($C1932,Mix_Code,0)),"⚠ Unknown mix code",IF($D1932="","⚠ Enter m3 produced",IF(COUNTIF(CI_Site,$B1932)=0,"⚠ Site not set up in Current Inventory",IF($A1932&gt;AsOfDate,"Future date – not yet deducted","OK")))))))</f>
        <v/>
      </c>
    </row>
    <row r="1933" customFormat="false" ht="15" hidden="false" customHeight="false" outlineLevel="0" collapsed="false">
      <c r="A1933" s="65"/>
      <c r="B1933" s="63"/>
      <c r="C1933" s="70"/>
      <c r="D1933" s="66"/>
      <c r="E1933" s="16" t="str">
        <f aca="false">IF($C1933="","",IFERROR(INDEX(Mix_Desc,MATCH($C1933,Mix_Code,0)),"⚠ Unknown mix code"))</f>
        <v/>
      </c>
      <c r="F1933" s="67" t="str">
        <f aca="false">IF(OR($C1933="",$D1933=""),"",IFERROR($D1933*INDEX(Mix_Eff,MATCH($C1933,Mix_Code,0),1),""))</f>
        <v/>
      </c>
      <c r="G1933" s="67" t="str">
        <f aca="false">IF(OR($C1933="",$D1933=""),"",IFERROR($D1933*INDEX(Mix_Eff,MATCH($C1933,Mix_Code,0),2),""))</f>
        <v/>
      </c>
      <c r="H1933" s="67" t="str">
        <f aca="false">IF(OR($C1933="",$D1933=""),"",IFERROR($D1933*INDEX(Mix_Eff,MATCH($C1933,Mix_Code,0),3),""))</f>
        <v/>
      </c>
      <c r="I1933" s="67" t="str">
        <f aca="false">IF(OR($C1933="",$D1933=""),"",IFERROR($D1933*INDEX(Mix_Eff,MATCH($C1933,Mix_Code,0),4),""))</f>
        <v/>
      </c>
      <c r="J1933" s="67" t="str">
        <f aca="false">IF(OR($C1933="",$D1933=""),"",IFERROR($D1933*INDEX(Mix_Eff,MATCH($C1933,Mix_Code,0),5),""))</f>
        <v/>
      </c>
      <c r="K1933" s="63"/>
      <c r="L1933" s="16" t="str">
        <f aca="false">IF(AND($A1933="",$B1933="",$C1933="",$D1933=""),"",IF($A1933="","⚠ Date missing",IF($B1933="","⚠ Site missing",IF(ISNA(MATCH($C1933,Mix_Code,0)),"⚠ Unknown mix code",IF($D1933="","⚠ Enter m3 produced",IF(COUNTIF(CI_Site,$B1933)=0,"⚠ Site not set up in Current Inventory",IF($A1933&gt;AsOfDate,"Future date – not yet deducted","OK")))))))</f>
        <v/>
      </c>
    </row>
    <row r="1934" customFormat="false" ht="15" hidden="false" customHeight="false" outlineLevel="0" collapsed="false">
      <c r="A1934" s="65"/>
      <c r="B1934" s="63"/>
      <c r="C1934" s="70"/>
      <c r="D1934" s="66"/>
      <c r="E1934" s="16" t="str">
        <f aca="false">IF($C1934="","",IFERROR(INDEX(Mix_Desc,MATCH($C1934,Mix_Code,0)),"⚠ Unknown mix code"))</f>
        <v/>
      </c>
      <c r="F1934" s="67" t="str">
        <f aca="false">IF(OR($C1934="",$D1934=""),"",IFERROR($D1934*INDEX(Mix_Eff,MATCH($C1934,Mix_Code,0),1),""))</f>
        <v/>
      </c>
      <c r="G1934" s="67" t="str">
        <f aca="false">IF(OR($C1934="",$D1934=""),"",IFERROR($D1934*INDEX(Mix_Eff,MATCH($C1934,Mix_Code,0),2),""))</f>
        <v/>
      </c>
      <c r="H1934" s="67" t="str">
        <f aca="false">IF(OR($C1934="",$D1934=""),"",IFERROR($D1934*INDEX(Mix_Eff,MATCH($C1934,Mix_Code,0),3),""))</f>
        <v/>
      </c>
      <c r="I1934" s="67" t="str">
        <f aca="false">IF(OR($C1934="",$D1934=""),"",IFERROR($D1934*INDEX(Mix_Eff,MATCH($C1934,Mix_Code,0),4),""))</f>
        <v/>
      </c>
      <c r="J1934" s="67" t="str">
        <f aca="false">IF(OR($C1934="",$D1934=""),"",IFERROR($D1934*INDEX(Mix_Eff,MATCH($C1934,Mix_Code,0),5),""))</f>
        <v/>
      </c>
      <c r="K1934" s="63"/>
      <c r="L1934" s="16" t="str">
        <f aca="false">IF(AND($A1934="",$B1934="",$C1934="",$D1934=""),"",IF($A1934="","⚠ Date missing",IF($B1934="","⚠ Site missing",IF(ISNA(MATCH($C1934,Mix_Code,0)),"⚠ Unknown mix code",IF($D1934="","⚠ Enter m3 produced",IF(COUNTIF(CI_Site,$B1934)=0,"⚠ Site not set up in Current Inventory",IF($A1934&gt;AsOfDate,"Future date – not yet deducted","OK")))))))</f>
        <v/>
      </c>
    </row>
    <row r="1935" customFormat="false" ht="15" hidden="false" customHeight="false" outlineLevel="0" collapsed="false">
      <c r="A1935" s="65"/>
      <c r="B1935" s="63"/>
      <c r="C1935" s="70"/>
      <c r="D1935" s="66"/>
      <c r="E1935" s="16" t="str">
        <f aca="false">IF($C1935="","",IFERROR(INDEX(Mix_Desc,MATCH($C1935,Mix_Code,0)),"⚠ Unknown mix code"))</f>
        <v/>
      </c>
      <c r="F1935" s="67" t="str">
        <f aca="false">IF(OR($C1935="",$D1935=""),"",IFERROR($D1935*INDEX(Mix_Eff,MATCH($C1935,Mix_Code,0),1),""))</f>
        <v/>
      </c>
      <c r="G1935" s="67" t="str">
        <f aca="false">IF(OR($C1935="",$D1935=""),"",IFERROR($D1935*INDEX(Mix_Eff,MATCH($C1935,Mix_Code,0),2),""))</f>
        <v/>
      </c>
      <c r="H1935" s="67" t="str">
        <f aca="false">IF(OR($C1935="",$D1935=""),"",IFERROR($D1935*INDEX(Mix_Eff,MATCH($C1935,Mix_Code,0),3),""))</f>
        <v/>
      </c>
      <c r="I1935" s="67" t="str">
        <f aca="false">IF(OR($C1935="",$D1935=""),"",IFERROR($D1935*INDEX(Mix_Eff,MATCH($C1935,Mix_Code,0),4),""))</f>
        <v/>
      </c>
      <c r="J1935" s="67" t="str">
        <f aca="false">IF(OR($C1935="",$D1935=""),"",IFERROR($D1935*INDEX(Mix_Eff,MATCH($C1935,Mix_Code,0),5),""))</f>
        <v/>
      </c>
      <c r="K1935" s="63"/>
      <c r="L1935" s="16" t="str">
        <f aca="false">IF(AND($A1935="",$B1935="",$C1935="",$D1935=""),"",IF($A1935="","⚠ Date missing",IF($B1935="","⚠ Site missing",IF(ISNA(MATCH($C1935,Mix_Code,0)),"⚠ Unknown mix code",IF($D1935="","⚠ Enter m3 produced",IF(COUNTIF(CI_Site,$B1935)=0,"⚠ Site not set up in Current Inventory",IF($A1935&gt;AsOfDate,"Future date – not yet deducted","OK")))))))</f>
        <v/>
      </c>
    </row>
    <row r="1936" customFormat="false" ht="15" hidden="false" customHeight="false" outlineLevel="0" collapsed="false">
      <c r="A1936" s="65"/>
      <c r="B1936" s="63"/>
      <c r="C1936" s="70"/>
      <c r="D1936" s="66"/>
      <c r="E1936" s="16" t="str">
        <f aca="false">IF($C1936="","",IFERROR(INDEX(Mix_Desc,MATCH($C1936,Mix_Code,0)),"⚠ Unknown mix code"))</f>
        <v/>
      </c>
      <c r="F1936" s="67" t="str">
        <f aca="false">IF(OR($C1936="",$D1936=""),"",IFERROR($D1936*INDEX(Mix_Eff,MATCH($C1936,Mix_Code,0),1),""))</f>
        <v/>
      </c>
      <c r="G1936" s="67" t="str">
        <f aca="false">IF(OR($C1936="",$D1936=""),"",IFERROR($D1936*INDEX(Mix_Eff,MATCH($C1936,Mix_Code,0),2),""))</f>
        <v/>
      </c>
      <c r="H1936" s="67" t="str">
        <f aca="false">IF(OR($C1936="",$D1936=""),"",IFERROR($D1936*INDEX(Mix_Eff,MATCH($C1936,Mix_Code,0),3),""))</f>
        <v/>
      </c>
      <c r="I1936" s="67" t="str">
        <f aca="false">IF(OR($C1936="",$D1936=""),"",IFERROR($D1936*INDEX(Mix_Eff,MATCH($C1936,Mix_Code,0),4),""))</f>
        <v/>
      </c>
      <c r="J1936" s="67" t="str">
        <f aca="false">IF(OR($C1936="",$D1936=""),"",IFERROR($D1936*INDEX(Mix_Eff,MATCH($C1936,Mix_Code,0),5),""))</f>
        <v/>
      </c>
      <c r="K1936" s="63"/>
      <c r="L1936" s="16" t="str">
        <f aca="false">IF(AND($A1936="",$B1936="",$C1936="",$D1936=""),"",IF($A1936="","⚠ Date missing",IF($B1936="","⚠ Site missing",IF(ISNA(MATCH($C1936,Mix_Code,0)),"⚠ Unknown mix code",IF($D1936="","⚠ Enter m3 produced",IF(COUNTIF(CI_Site,$B1936)=0,"⚠ Site not set up in Current Inventory",IF($A1936&gt;AsOfDate,"Future date – not yet deducted","OK")))))))</f>
        <v/>
      </c>
    </row>
    <row r="1937" customFormat="false" ht="15" hidden="false" customHeight="false" outlineLevel="0" collapsed="false">
      <c r="A1937" s="65"/>
      <c r="B1937" s="63"/>
      <c r="C1937" s="70"/>
      <c r="D1937" s="66"/>
      <c r="E1937" s="16" t="str">
        <f aca="false">IF($C1937="","",IFERROR(INDEX(Mix_Desc,MATCH($C1937,Mix_Code,0)),"⚠ Unknown mix code"))</f>
        <v/>
      </c>
      <c r="F1937" s="67" t="str">
        <f aca="false">IF(OR($C1937="",$D1937=""),"",IFERROR($D1937*INDEX(Mix_Eff,MATCH($C1937,Mix_Code,0),1),""))</f>
        <v/>
      </c>
      <c r="G1937" s="67" t="str">
        <f aca="false">IF(OR($C1937="",$D1937=""),"",IFERROR($D1937*INDEX(Mix_Eff,MATCH($C1937,Mix_Code,0),2),""))</f>
        <v/>
      </c>
      <c r="H1937" s="67" t="str">
        <f aca="false">IF(OR($C1937="",$D1937=""),"",IFERROR($D1937*INDEX(Mix_Eff,MATCH($C1937,Mix_Code,0),3),""))</f>
        <v/>
      </c>
      <c r="I1937" s="67" t="str">
        <f aca="false">IF(OR($C1937="",$D1937=""),"",IFERROR($D1937*INDEX(Mix_Eff,MATCH($C1937,Mix_Code,0),4),""))</f>
        <v/>
      </c>
      <c r="J1937" s="67" t="str">
        <f aca="false">IF(OR($C1937="",$D1937=""),"",IFERROR($D1937*INDEX(Mix_Eff,MATCH($C1937,Mix_Code,0),5),""))</f>
        <v/>
      </c>
      <c r="K1937" s="63"/>
      <c r="L1937" s="16" t="str">
        <f aca="false">IF(AND($A1937="",$B1937="",$C1937="",$D1937=""),"",IF($A1937="","⚠ Date missing",IF($B1937="","⚠ Site missing",IF(ISNA(MATCH($C1937,Mix_Code,0)),"⚠ Unknown mix code",IF($D1937="","⚠ Enter m3 produced",IF(COUNTIF(CI_Site,$B1937)=0,"⚠ Site not set up in Current Inventory",IF($A1937&gt;AsOfDate,"Future date – not yet deducted","OK")))))))</f>
        <v/>
      </c>
    </row>
    <row r="1938" customFormat="false" ht="15" hidden="false" customHeight="false" outlineLevel="0" collapsed="false">
      <c r="A1938" s="65"/>
      <c r="B1938" s="63"/>
      <c r="C1938" s="70"/>
      <c r="D1938" s="66"/>
      <c r="E1938" s="16" t="str">
        <f aca="false">IF($C1938="","",IFERROR(INDEX(Mix_Desc,MATCH($C1938,Mix_Code,0)),"⚠ Unknown mix code"))</f>
        <v/>
      </c>
      <c r="F1938" s="67" t="str">
        <f aca="false">IF(OR($C1938="",$D1938=""),"",IFERROR($D1938*INDEX(Mix_Eff,MATCH($C1938,Mix_Code,0),1),""))</f>
        <v/>
      </c>
      <c r="G1938" s="67" t="str">
        <f aca="false">IF(OR($C1938="",$D1938=""),"",IFERROR($D1938*INDEX(Mix_Eff,MATCH($C1938,Mix_Code,0),2),""))</f>
        <v/>
      </c>
      <c r="H1938" s="67" t="str">
        <f aca="false">IF(OR($C1938="",$D1938=""),"",IFERROR($D1938*INDEX(Mix_Eff,MATCH($C1938,Mix_Code,0),3),""))</f>
        <v/>
      </c>
      <c r="I1938" s="67" t="str">
        <f aca="false">IF(OR($C1938="",$D1938=""),"",IFERROR($D1938*INDEX(Mix_Eff,MATCH($C1938,Mix_Code,0),4),""))</f>
        <v/>
      </c>
      <c r="J1938" s="67" t="str">
        <f aca="false">IF(OR($C1938="",$D1938=""),"",IFERROR($D1938*INDEX(Mix_Eff,MATCH($C1938,Mix_Code,0),5),""))</f>
        <v/>
      </c>
      <c r="K1938" s="63"/>
      <c r="L1938" s="16" t="str">
        <f aca="false">IF(AND($A1938="",$B1938="",$C1938="",$D1938=""),"",IF($A1938="","⚠ Date missing",IF($B1938="","⚠ Site missing",IF(ISNA(MATCH($C1938,Mix_Code,0)),"⚠ Unknown mix code",IF($D1938="","⚠ Enter m3 produced",IF(COUNTIF(CI_Site,$B1938)=0,"⚠ Site not set up in Current Inventory",IF($A1938&gt;AsOfDate,"Future date – not yet deducted","OK")))))))</f>
        <v/>
      </c>
    </row>
    <row r="1939" customFormat="false" ht="15" hidden="false" customHeight="false" outlineLevel="0" collapsed="false">
      <c r="A1939" s="65"/>
      <c r="B1939" s="63"/>
      <c r="C1939" s="70"/>
      <c r="D1939" s="66"/>
      <c r="E1939" s="16" t="str">
        <f aca="false">IF($C1939="","",IFERROR(INDEX(Mix_Desc,MATCH($C1939,Mix_Code,0)),"⚠ Unknown mix code"))</f>
        <v/>
      </c>
      <c r="F1939" s="67" t="str">
        <f aca="false">IF(OR($C1939="",$D1939=""),"",IFERROR($D1939*INDEX(Mix_Eff,MATCH($C1939,Mix_Code,0),1),""))</f>
        <v/>
      </c>
      <c r="G1939" s="67" t="str">
        <f aca="false">IF(OR($C1939="",$D1939=""),"",IFERROR($D1939*INDEX(Mix_Eff,MATCH($C1939,Mix_Code,0),2),""))</f>
        <v/>
      </c>
      <c r="H1939" s="67" t="str">
        <f aca="false">IF(OR($C1939="",$D1939=""),"",IFERROR($D1939*INDEX(Mix_Eff,MATCH($C1939,Mix_Code,0),3),""))</f>
        <v/>
      </c>
      <c r="I1939" s="67" t="str">
        <f aca="false">IF(OR($C1939="",$D1939=""),"",IFERROR($D1939*INDEX(Mix_Eff,MATCH($C1939,Mix_Code,0),4),""))</f>
        <v/>
      </c>
      <c r="J1939" s="67" t="str">
        <f aca="false">IF(OR($C1939="",$D1939=""),"",IFERROR($D1939*INDEX(Mix_Eff,MATCH($C1939,Mix_Code,0),5),""))</f>
        <v/>
      </c>
      <c r="K1939" s="63"/>
      <c r="L1939" s="16" t="str">
        <f aca="false">IF(AND($A1939="",$B1939="",$C1939="",$D1939=""),"",IF($A1939="","⚠ Date missing",IF($B1939="","⚠ Site missing",IF(ISNA(MATCH($C1939,Mix_Code,0)),"⚠ Unknown mix code",IF($D1939="","⚠ Enter m3 produced",IF(COUNTIF(CI_Site,$B1939)=0,"⚠ Site not set up in Current Inventory",IF($A1939&gt;AsOfDate,"Future date – not yet deducted","OK")))))))</f>
        <v/>
      </c>
    </row>
    <row r="1940" customFormat="false" ht="15" hidden="false" customHeight="false" outlineLevel="0" collapsed="false">
      <c r="A1940" s="65"/>
      <c r="B1940" s="63"/>
      <c r="C1940" s="70"/>
      <c r="D1940" s="66"/>
      <c r="E1940" s="16" t="str">
        <f aca="false">IF($C1940="","",IFERROR(INDEX(Mix_Desc,MATCH($C1940,Mix_Code,0)),"⚠ Unknown mix code"))</f>
        <v/>
      </c>
      <c r="F1940" s="67" t="str">
        <f aca="false">IF(OR($C1940="",$D1940=""),"",IFERROR($D1940*INDEX(Mix_Eff,MATCH($C1940,Mix_Code,0),1),""))</f>
        <v/>
      </c>
      <c r="G1940" s="67" t="str">
        <f aca="false">IF(OR($C1940="",$D1940=""),"",IFERROR($D1940*INDEX(Mix_Eff,MATCH($C1940,Mix_Code,0),2),""))</f>
        <v/>
      </c>
      <c r="H1940" s="67" t="str">
        <f aca="false">IF(OR($C1940="",$D1940=""),"",IFERROR($D1940*INDEX(Mix_Eff,MATCH($C1940,Mix_Code,0),3),""))</f>
        <v/>
      </c>
      <c r="I1940" s="67" t="str">
        <f aca="false">IF(OR($C1940="",$D1940=""),"",IFERROR($D1940*INDEX(Mix_Eff,MATCH($C1940,Mix_Code,0),4),""))</f>
        <v/>
      </c>
      <c r="J1940" s="67" t="str">
        <f aca="false">IF(OR($C1940="",$D1940=""),"",IFERROR($D1940*INDEX(Mix_Eff,MATCH($C1940,Mix_Code,0),5),""))</f>
        <v/>
      </c>
      <c r="K1940" s="63"/>
      <c r="L1940" s="16" t="str">
        <f aca="false">IF(AND($A1940="",$B1940="",$C1940="",$D1940=""),"",IF($A1940="","⚠ Date missing",IF($B1940="","⚠ Site missing",IF(ISNA(MATCH($C1940,Mix_Code,0)),"⚠ Unknown mix code",IF($D1940="","⚠ Enter m3 produced",IF(COUNTIF(CI_Site,$B1940)=0,"⚠ Site not set up in Current Inventory",IF($A1940&gt;AsOfDate,"Future date – not yet deducted","OK")))))))</f>
        <v/>
      </c>
    </row>
    <row r="1941" customFormat="false" ht="15" hidden="false" customHeight="false" outlineLevel="0" collapsed="false">
      <c r="A1941" s="65"/>
      <c r="B1941" s="63"/>
      <c r="C1941" s="70"/>
      <c r="D1941" s="66"/>
      <c r="E1941" s="16" t="str">
        <f aca="false">IF($C1941="","",IFERROR(INDEX(Mix_Desc,MATCH($C1941,Mix_Code,0)),"⚠ Unknown mix code"))</f>
        <v/>
      </c>
      <c r="F1941" s="67" t="str">
        <f aca="false">IF(OR($C1941="",$D1941=""),"",IFERROR($D1941*INDEX(Mix_Eff,MATCH($C1941,Mix_Code,0),1),""))</f>
        <v/>
      </c>
      <c r="G1941" s="67" t="str">
        <f aca="false">IF(OR($C1941="",$D1941=""),"",IFERROR($D1941*INDEX(Mix_Eff,MATCH($C1941,Mix_Code,0),2),""))</f>
        <v/>
      </c>
      <c r="H1941" s="67" t="str">
        <f aca="false">IF(OR($C1941="",$D1941=""),"",IFERROR($D1941*INDEX(Mix_Eff,MATCH($C1941,Mix_Code,0),3),""))</f>
        <v/>
      </c>
      <c r="I1941" s="67" t="str">
        <f aca="false">IF(OR($C1941="",$D1941=""),"",IFERROR($D1941*INDEX(Mix_Eff,MATCH($C1941,Mix_Code,0),4),""))</f>
        <v/>
      </c>
      <c r="J1941" s="67" t="str">
        <f aca="false">IF(OR($C1941="",$D1941=""),"",IFERROR($D1941*INDEX(Mix_Eff,MATCH($C1941,Mix_Code,0),5),""))</f>
        <v/>
      </c>
      <c r="K1941" s="63"/>
      <c r="L1941" s="16" t="str">
        <f aca="false">IF(AND($A1941="",$B1941="",$C1941="",$D1941=""),"",IF($A1941="","⚠ Date missing",IF($B1941="","⚠ Site missing",IF(ISNA(MATCH($C1941,Mix_Code,0)),"⚠ Unknown mix code",IF($D1941="","⚠ Enter m3 produced",IF(COUNTIF(CI_Site,$B1941)=0,"⚠ Site not set up in Current Inventory",IF($A1941&gt;AsOfDate,"Future date – not yet deducted","OK")))))))</f>
        <v/>
      </c>
    </row>
    <row r="1942" customFormat="false" ht="15" hidden="false" customHeight="false" outlineLevel="0" collapsed="false">
      <c r="A1942" s="65"/>
      <c r="B1942" s="63"/>
      <c r="C1942" s="70"/>
      <c r="D1942" s="66"/>
      <c r="E1942" s="16" t="str">
        <f aca="false">IF($C1942="","",IFERROR(INDEX(Mix_Desc,MATCH($C1942,Mix_Code,0)),"⚠ Unknown mix code"))</f>
        <v/>
      </c>
      <c r="F1942" s="67" t="str">
        <f aca="false">IF(OR($C1942="",$D1942=""),"",IFERROR($D1942*INDEX(Mix_Eff,MATCH($C1942,Mix_Code,0),1),""))</f>
        <v/>
      </c>
      <c r="G1942" s="67" t="str">
        <f aca="false">IF(OR($C1942="",$D1942=""),"",IFERROR($D1942*INDEX(Mix_Eff,MATCH($C1942,Mix_Code,0),2),""))</f>
        <v/>
      </c>
      <c r="H1942" s="67" t="str">
        <f aca="false">IF(OR($C1942="",$D1942=""),"",IFERROR($D1942*INDEX(Mix_Eff,MATCH($C1942,Mix_Code,0),3),""))</f>
        <v/>
      </c>
      <c r="I1942" s="67" t="str">
        <f aca="false">IF(OR($C1942="",$D1942=""),"",IFERROR($D1942*INDEX(Mix_Eff,MATCH($C1942,Mix_Code,0),4),""))</f>
        <v/>
      </c>
      <c r="J1942" s="67" t="str">
        <f aca="false">IF(OR($C1942="",$D1942=""),"",IFERROR($D1942*INDEX(Mix_Eff,MATCH($C1942,Mix_Code,0),5),""))</f>
        <v/>
      </c>
      <c r="K1942" s="63"/>
      <c r="L1942" s="16" t="str">
        <f aca="false">IF(AND($A1942="",$B1942="",$C1942="",$D1942=""),"",IF($A1942="","⚠ Date missing",IF($B1942="","⚠ Site missing",IF(ISNA(MATCH($C1942,Mix_Code,0)),"⚠ Unknown mix code",IF($D1942="","⚠ Enter m3 produced",IF(COUNTIF(CI_Site,$B1942)=0,"⚠ Site not set up in Current Inventory",IF($A1942&gt;AsOfDate,"Future date – not yet deducted","OK")))))))</f>
        <v/>
      </c>
    </row>
    <row r="1943" customFormat="false" ht="15" hidden="false" customHeight="false" outlineLevel="0" collapsed="false">
      <c r="A1943" s="65"/>
      <c r="B1943" s="63"/>
      <c r="C1943" s="70"/>
      <c r="D1943" s="66"/>
      <c r="E1943" s="16" t="str">
        <f aca="false">IF($C1943="","",IFERROR(INDEX(Mix_Desc,MATCH($C1943,Mix_Code,0)),"⚠ Unknown mix code"))</f>
        <v/>
      </c>
      <c r="F1943" s="67" t="str">
        <f aca="false">IF(OR($C1943="",$D1943=""),"",IFERROR($D1943*INDEX(Mix_Eff,MATCH($C1943,Mix_Code,0),1),""))</f>
        <v/>
      </c>
      <c r="G1943" s="67" t="str">
        <f aca="false">IF(OR($C1943="",$D1943=""),"",IFERROR($D1943*INDEX(Mix_Eff,MATCH($C1943,Mix_Code,0),2),""))</f>
        <v/>
      </c>
      <c r="H1943" s="67" t="str">
        <f aca="false">IF(OR($C1943="",$D1943=""),"",IFERROR($D1943*INDEX(Mix_Eff,MATCH($C1943,Mix_Code,0),3),""))</f>
        <v/>
      </c>
      <c r="I1943" s="67" t="str">
        <f aca="false">IF(OR($C1943="",$D1943=""),"",IFERROR($D1943*INDEX(Mix_Eff,MATCH($C1943,Mix_Code,0),4),""))</f>
        <v/>
      </c>
      <c r="J1943" s="67" t="str">
        <f aca="false">IF(OR($C1943="",$D1943=""),"",IFERROR($D1943*INDEX(Mix_Eff,MATCH($C1943,Mix_Code,0),5),""))</f>
        <v/>
      </c>
      <c r="K1943" s="63"/>
      <c r="L1943" s="16" t="str">
        <f aca="false">IF(AND($A1943="",$B1943="",$C1943="",$D1943=""),"",IF($A1943="","⚠ Date missing",IF($B1943="","⚠ Site missing",IF(ISNA(MATCH($C1943,Mix_Code,0)),"⚠ Unknown mix code",IF($D1943="","⚠ Enter m3 produced",IF(COUNTIF(CI_Site,$B1943)=0,"⚠ Site not set up in Current Inventory",IF($A1943&gt;AsOfDate,"Future date – not yet deducted","OK")))))))</f>
        <v/>
      </c>
    </row>
    <row r="1944" customFormat="false" ht="15" hidden="false" customHeight="false" outlineLevel="0" collapsed="false">
      <c r="A1944" s="65"/>
      <c r="B1944" s="63"/>
      <c r="C1944" s="70"/>
      <c r="D1944" s="66"/>
      <c r="E1944" s="16" t="str">
        <f aca="false">IF($C1944="","",IFERROR(INDEX(Mix_Desc,MATCH($C1944,Mix_Code,0)),"⚠ Unknown mix code"))</f>
        <v/>
      </c>
      <c r="F1944" s="67" t="str">
        <f aca="false">IF(OR($C1944="",$D1944=""),"",IFERROR($D1944*INDEX(Mix_Eff,MATCH($C1944,Mix_Code,0),1),""))</f>
        <v/>
      </c>
      <c r="G1944" s="67" t="str">
        <f aca="false">IF(OR($C1944="",$D1944=""),"",IFERROR($D1944*INDEX(Mix_Eff,MATCH($C1944,Mix_Code,0),2),""))</f>
        <v/>
      </c>
      <c r="H1944" s="67" t="str">
        <f aca="false">IF(OR($C1944="",$D1944=""),"",IFERROR($D1944*INDEX(Mix_Eff,MATCH($C1944,Mix_Code,0),3),""))</f>
        <v/>
      </c>
      <c r="I1944" s="67" t="str">
        <f aca="false">IF(OR($C1944="",$D1944=""),"",IFERROR($D1944*INDEX(Mix_Eff,MATCH($C1944,Mix_Code,0),4),""))</f>
        <v/>
      </c>
      <c r="J1944" s="67" t="str">
        <f aca="false">IF(OR($C1944="",$D1944=""),"",IFERROR($D1944*INDEX(Mix_Eff,MATCH($C1944,Mix_Code,0),5),""))</f>
        <v/>
      </c>
      <c r="K1944" s="63"/>
      <c r="L1944" s="16" t="str">
        <f aca="false">IF(AND($A1944="",$B1944="",$C1944="",$D1944=""),"",IF($A1944="","⚠ Date missing",IF($B1944="","⚠ Site missing",IF(ISNA(MATCH($C1944,Mix_Code,0)),"⚠ Unknown mix code",IF($D1944="","⚠ Enter m3 produced",IF(COUNTIF(CI_Site,$B1944)=0,"⚠ Site not set up in Current Inventory",IF($A1944&gt;AsOfDate,"Future date – not yet deducted","OK")))))))</f>
        <v/>
      </c>
    </row>
    <row r="1945" customFormat="false" ht="15" hidden="false" customHeight="false" outlineLevel="0" collapsed="false">
      <c r="A1945" s="65"/>
      <c r="B1945" s="63"/>
      <c r="C1945" s="70"/>
      <c r="D1945" s="66"/>
      <c r="E1945" s="16" t="str">
        <f aca="false">IF($C1945="","",IFERROR(INDEX(Mix_Desc,MATCH($C1945,Mix_Code,0)),"⚠ Unknown mix code"))</f>
        <v/>
      </c>
      <c r="F1945" s="67" t="str">
        <f aca="false">IF(OR($C1945="",$D1945=""),"",IFERROR($D1945*INDEX(Mix_Eff,MATCH($C1945,Mix_Code,0),1),""))</f>
        <v/>
      </c>
      <c r="G1945" s="67" t="str">
        <f aca="false">IF(OR($C1945="",$D1945=""),"",IFERROR($D1945*INDEX(Mix_Eff,MATCH($C1945,Mix_Code,0),2),""))</f>
        <v/>
      </c>
      <c r="H1945" s="67" t="str">
        <f aca="false">IF(OR($C1945="",$D1945=""),"",IFERROR($D1945*INDEX(Mix_Eff,MATCH($C1945,Mix_Code,0),3),""))</f>
        <v/>
      </c>
      <c r="I1945" s="67" t="str">
        <f aca="false">IF(OR($C1945="",$D1945=""),"",IFERROR($D1945*INDEX(Mix_Eff,MATCH($C1945,Mix_Code,0),4),""))</f>
        <v/>
      </c>
      <c r="J1945" s="67" t="str">
        <f aca="false">IF(OR($C1945="",$D1945=""),"",IFERROR($D1945*INDEX(Mix_Eff,MATCH($C1945,Mix_Code,0),5),""))</f>
        <v/>
      </c>
      <c r="K1945" s="63"/>
      <c r="L1945" s="16" t="str">
        <f aca="false">IF(AND($A1945="",$B1945="",$C1945="",$D1945=""),"",IF($A1945="","⚠ Date missing",IF($B1945="","⚠ Site missing",IF(ISNA(MATCH($C1945,Mix_Code,0)),"⚠ Unknown mix code",IF($D1945="","⚠ Enter m3 produced",IF(COUNTIF(CI_Site,$B1945)=0,"⚠ Site not set up in Current Inventory",IF($A1945&gt;AsOfDate,"Future date – not yet deducted","OK")))))))</f>
        <v/>
      </c>
    </row>
    <row r="1946" customFormat="false" ht="15" hidden="false" customHeight="false" outlineLevel="0" collapsed="false">
      <c r="A1946" s="65"/>
      <c r="B1946" s="63"/>
      <c r="C1946" s="70"/>
      <c r="D1946" s="66"/>
      <c r="E1946" s="16" t="str">
        <f aca="false">IF($C1946="","",IFERROR(INDEX(Mix_Desc,MATCH($C1946,Mix_Code,0)),"⚠ Unknown mix code"))</f>
        <v/>
      </c>
      <c r="F1946" s="67" t="str">
        <f aca="false">IF(OR($C1946="",$D1946=""),"",IFERROR($D1946*INDEX(Mix_Eff,MATCH($C1946,Mix_Code,0),1),""))</f>
        <v/>
      </c>
      <c r="G1946" s="67" t="str">
        <f aca="false">IF(OR($C1946="",$D1946=""),"",IFERROR($D1946*INDEX(Mix_Eff,MATCH($C1946,Mix_Code,0),2),""))</f>
        <v/>
      </c>
      <c r="H1946" s="67" t="str">
        <f aca="false">IF(OR($C1946="",$D1946=""),"",IFERROR($D1946*INDEX(Mix_Eff,MATCH($C1946,Mix_Code,0),3),""))</f>
        <v/>
      </c>
      <c r="I1946" s="67" t="str">
        <f aca="false">IF(OR($C1946="",$D1946=""),"",IFERROR($D1946*INDEX(Mix_Eff,MATCH($C1946,Mix_Code,0),4),""))</f>
        <v/>
      </c>
      <c r="J1946" s="67" t="str">
        <f aca="false">IF(OR($C1946="",$D1946=""),"",IFERROR($D1946*INDEX(Mix_Eff,MATCH($C1946,Mix_Code,0),5),""))</f>
        <v/>
      </c>
      <c r="K1946" s="63"/>
      <c r="L1946" s="16" t="str">
        <f aca="false">IF(AND($A1946="",$B1946="",$C1946="",$D1946=""),"",IF($A1946="","⚠ Date missing",IF($B1946="","⚠ Site missing",IF(ISNA(MATCH($C1946,Mix_Code,0)),"⚠ Unknown mix code",IF($D1946="","⚠ Enter m3 produced",IF(COUNTIF(CI_Site,$B1946)=0,"⚠ Site not set up in Current Inventory",IF($A1946&gt;AsOfDate,"Future date – not yet deducted","OK")))))))</f>
        <v/>
      </c>
    </row>
    <row r="1947" customFormat="false" ht="15" hidden="false" customHeight="false" outlineLevel="0" collapsed="false">
      <c r="A1947" s="65"/>
      <c r="B1947" s="63"/>
      <c r="C1947" s="70"/>
      <c r="D1947" s="66"/>
      <c r="E1947" s="16" t="str">
        <f aca="false">IF($C1947="","",IFERROR(INDEX(Mix_Desc,MATCH($C1947,Mix_Code,0)),"⚠ Unknown mix code"))</f>
        <v/>
      </c>
      <c r="F1947" s="67" t="str">
        <f aca="false">IF(OR($C1947="",$D1947=""),"",IFERROR($D1947*INDEX(Mix_Eff,MATCH($C1947,Mix_Code,0),1),""))</f>
        <v/>
      </c>
      <c r="G1947" s="67" t="str">
        <f aca="false">IF(OR($C1947="",$D1947=""),"",IFERROR($D1947*INDEX(Mix_Eff,MATCH($C1947,Mix_Code,0),2),""))</f>
        <v/>
      </c>
      <c r="H1947" s="67" t="str">
        <f aca="false">IF(OR($C1947="",$D1947=""),"",IFERROR($D1947*INDEX(Mix_Eff,MATCH($C1947,Mix_Code,0),3),""))</f>
        <v/>
      </c>
      <c r="I1947" s="67" t="str">
        <f aca="false">IF(OR($C1947="",$D1947=""),"",IFERROR($D1947*INDEX(Mix_Eff,MATCH($C1947,Mix_Code,0),4),""))</f>
        <v/>
      </c>
      <c r="J1947" s="67" t="str">
        <f aca="false">IF(OR($C1947="",$D1947=""),"",IFERROR($D1947*INDEX(Mix_Eff,MATCH($C1947,Mix_Code,0),5),""))</f>
        <v/>
      </c>
      <c r="K1947" s="63"/>
      <c r="L1947" s="16" t="str">
        <f aca="false">IF(AND($A1947="",$B1947="",$C1947="",$D1947=""),"",IF($A1947="","⚠ Date missing",IF($B1947="","⚠ Site missing",IF(ISNA(MATCH($C1947,Mix_Code,0)),"⚠ Unknown mix code",IF($D1947="","⚠ Enter m3 produced",IF(COUNTIF(CI_Site,$B1947)=0,"⚠ Site not set up in Current Inventory",IF($A1947&gt;AsOfDate,"Future date – not yet deducted","OK")))))))</f>
        <v/>
      </c>
    </row>
    <row r="1948" customFormat="false" ht="15" hidden="false" customHeight="false" outlineLevel="0" collapsed="false">
      <c r="A1948" s="65"/>
      <c r="B1948" s="63"/>
      <c r="C1948" s="70"/>
      <c r="D1948" s="66"/>
      <c r="E1948" s="16" t="str">
        <f aca="false">IF($C1948="","",IFERROR(INDEX(Mix_Desc,MATCH($C1948,Mix_Code,0)),"⚠ Unknown mix code"))</f>
        <v/>
      </c>
      <c r="F1948" s="67" t="str">
        <f aca="false">IF(OR($C1948="",$D1948=""),"",IFERROR($D1948*INDEX(Mix_Eff,MATCH($C1948,Mix_Code,0),1),""))</f>
        <v/>
      </c>
      <c r="G1948" s="67" t="str">
        <f aca="false">IF(OR($C1948="",$D1948=""),"",IFERROR($D1948*INDEX(Mix_Eff,MATCH($C1948,Mix_Code,0),2),""))</f>
        <v/>
      </c>
      <c r="H1948" s="67" t="str">
        <f aca="false">IF(OR($C1948="",$D1948=""),"",IFERROR($D1948*INDEX(Mix_Eff,MATCH($C1948,Mix_Code,0),3),""))</f>
        <v/>
      </c>
      <c r="I1948" s="67" t="str">
        <f aca="false">IF(OR($C1948="",$D1948=""),"",IFERROR($D1948*INDEX(Mix_Eff,MATCH($C1948,Mix_Code,0),4),""))</f>
        <v/>
      </c>
      <c r="J1948" s="67" t="str">
        <f aca="false">IF(OR($C1948="",$D1948=""),"",IFERROR($D1948*INDEX(Mix_Eff,MATCH($C1948,Mix_Code,0),5),""))</f>
        <v/>
      </c>
      <c r="K1948" s="63"/>
      <c r="L1948" s="16" t="str">
        <f aca="false">IF(AND($A1948="",$B1948="",$C1948="",$D1948=""),"",IF($A1948="","⚠ Date missing",IF($B1948="","⚠ Site missing",IF(ISNA(MATCH($C1948,Mix_Code,0)),"⚠ Unknown mix code",IF($D1948="","⚠ Enter m3 produced",IF(COUNTIF(CI_Site,$B1948)=0,"⚠ Site not set up in Current Inventory",IF($A1948&gt;AsOfDate,"Future date – not yet deducted","OK")))))))</f>
        <v/>
      </c>
    </row>
    <row r="1949" customFormat="false" ht="15" hidden="false" customHeight="false" outlineLevel="0" collapsed="false">
      <c r="A1949" s="65"/>
      <c r="B1949" s="63"/>
      <c r="C1949" s="70"/>
      <c r="D1949" s="66"/>
      <c r="E1949" s="16" t="str">
        <f aca="false">IF($C1949="","",IFERROR(INDEX(Mix_Desc,MATCH($C1949,Mix_Code,0)),"⚠ Unknown mix code"))</f>
        <v/>
      </c>
      <c r="F1949" s="67" t="str">
        <f aca="false">IF(OR($C1949="",$D1949=""),"",IFERROR($D1949*INDEX(Mix_Eff,MATCH($C1949,Mix_Code,0),1),""))</f>
        <v/>
      </c>
      <c r="G1949" s="67" t="str">
        <f aca="false">IF(OR($C1949="",$D1949=""),"",IFERROR($D1949*INDEX(Mix_Eff,MATCH($C1949,Mix_Code,0),2),""))</f>
        <v/>
      </c>
      <c r="H1949" s="67" t="str">
        <f aca="false">IF(OR($C1949="",$D1949=""),"",IFERROR($D1949*INDEX(Mix_Eff,MATCH($C1949,Mix_Code,0),3),""))</f>
        <v/>
      </c>
      <c r="I1949" s="67" t="str">
        <f aca="false">IF(OR($C1949="",$D1949=""),"",IFERROR($D1949*INDEX(Mix_Eff,MATCH($C1949,Mix_Code,0),4),""))</f>
        <v/>
      </c>
      <c r="J1949" s="67" t="str">
        <f aca="false">IF(OR($C1949="",$D1949=""),"",IFERROR($D1949*INDEX(Mix_Eff,MATCH($C1949,Mix_Code,0),5),""))</f>
        <v/>
      </c>
      <c r="K1949" s="63"/>
      <c r="L1949" s="16" t="str">
        <f aca="false">IF(AND($A1949="",$B1949="",$C1949="",$D1949=""),"",IF($A1949="","⚠ Date missing",IF($B1949="","⚠ Site missing",IF(ISNA(MATCH($C1949,Mix_Code,0)),"⚠ Unknown mix code",IF($D1949="","⚠ Enter m3 produced",IF(COUNTIF(CI_Site,$B1949)=0,"⚠ Site not set up in Current Inventory",IF($A1949&gt;AsOfDate,"Future date – not yet deducted","OK")))))))</f>
        <v/>
      </c>
    </row>
    <row r="1950" customFormat="false" ht="15" hidden="false" customHeight="false" outlineLevel="0" collapsed="false">
      <c r="A1950" s="65"/>
      <c r="B1950" s="63"/>
      <c r="C1950" s="70"/>
      <c r="D1950" s="66"/>
      <c r="E1950" s="16" t="str">
        <f aca="false">IF($C1950="","",IFERROR(INDEX(Mix_Desc,MATCH($C1950,Mix_Code,0)),"⚠ Unknown mix code"))</f>
        <v/>
      </c>
      <c r="F1950" s="67" t="str">
        <f aca="false">IF(OR($C1950="",$D1950=""),"",IFERROR($D1950*INDEX(Mix_Eff,MATCH($C1950,Mix_Code,0),1),""))</f>
        <v/>
      </c>
      <c r="G1950" s="67" t="str">
        <f aca="false">IF(OR($C1950="",$D1950=""),"",IFERROR($D1950*INDEX(Mix_Eff,MATCH($C1950,Mix_Code,0),2),""))</f>
        <v/>
      </c>
      <c r="H1950" s="67" t="str">
        <f aca="false">IF(OR($C1950="",$D1950=""),"",IFERROR($D1950*INDEX(Mix_Eff,MATCH($C1950,Mix_Code,0),3),""))</f>
        <v/>
      </c>
      <c r="I1950" s="67" t="str">
        <f aca="false">IF(OR($C1950="",$D1950=""),"",IFERROR($D1950*INDEX(Mix_Eff,MATCH($C1950,Mix_Code,0),4),""))</f>
        <v/>
      </c>
      <c r="J1950" s="67" t="str">
        <f aca="false">IF(OR($C1950="",$D1950=""),"",IFERROR($D1950*INDEX(Mix_Eff,MATCH($C1950,Mix_Code,0),5),""))</f>
        <v/>
      </c>
      <c r="K1950" s="63"/>
      <c r="L1950" s="16" t="str">
        <f aca="false">IF(AND($A1950="",$B1950="",$C1950="",$D1950=""),"",IF($A1950="","⚠ Date missing",IF($B1950="","⚠ Site missing",IF(ISNA(MATCH($C1950,Mix_Code,0)),"⚠ Unknown mix code",IF($D1950="","⚠ Enter m3 produced",IF(COUNTIF(CI_Site,$B1950)=0,"⚠ Site not set up in Current Inventory",IF($A1950&gt;AsOfDate,"Future date – not yet deducted","OK")))))))</f>
        <v/>
      </c>
    </row>
    <row r="1951" customFormat="false" ht="15" hidden="false" customHeight="false" outlineLevel="0" collapsed="false">
      <c r="A1951" s="65"/>
      <c r="B1951" s="63"/>
      <c r="C1951" s="70"/>
      <c r="D1951" s="66"/>
      <c r="E1951" s="16" t="str">
        <f aca="false">IF($C1951="","",IFERROR(INDEX(Mix_Desc,MATCH($C1951,Mix_Code,0)),"⚠ Unknown mix code"))</f>
        <v/>
      </c>
      <c r="F1951" s="67" t="str">
        <f aca="false">IF(OR($C1951="",$D1951=""),"",IFERROR($D1951*INDEX(Mix_Eff,MATCH($C1951,Mix_Code,0),1),""))</f>
        <v/>
      </c>
      <c r="G1951" s="67" t="str">
        <f aca="false">IF(OR($C1951="",$D1951=""),"",IFERROR($D1951*INDEX(Mix_Eff,MATCH($C1951,Mix_Code,0),2),""))</f>
        <v/>
      </c>
      <c r="H1951" s="67" t="str">
        <f aca="false">IF(OR($C1951="",$D1951=""),"",IFERROR($D1951*INDEX(Mix_Eff,MATCH($C1951,Mix_Code,0),3),""))</f>
        <v/>
      </c>
      <c r="I1951" s="67" t="str">
        <f aca="false">IF(OR($C1951="",$D1951=""),"",IFERROR($D1951*INDEX(Mix_Eff,MATCH($C1951,Mix_Code,0),4),""))</f>
        <v/>
      </c>
      <c r="J1951" s="67" t="str">
        <f aca="false">IF(OR($C1951="",$D1951=""),"",IFERROR($D1951*INDEX(Mix_Eff,MATCH($C1951,Mix_Code,0),5),""))</f>
        <v/>
      </c>
      <c r="K1951" s="63"/>
      <c r="L1951" s="16" t="str">
        <f aca="false">IF(AND($A1951="",$B1951="",$C1951="",$D1951=""),"",IF($A1951="","⚠ Date missing",IF($B1951="","⚠ Site missing",IF(ISNA(MATCH($C1951,Mix_Code,0)),"⚠ Unknown mix code",IF($D1951="","⚠ Enter m3 produced",IF(COUNTIF(CI_Site,$B1951)=0,"⚠ Site not set up in Current Inventory",IF($A1951&gt;AsOfDate,"Future date – not yet deducted","OK")))))))</f>
        <v/>
      </c>
    </row>
    <row r="1952" customFormat="false" ht="15" hidden="false" customHeight="false" outlineLevel="0" collapsed="false">
      <c r="A1952" s="65"/>
      <c r="B1952" s="63"/>
      <c r="C1952" s="70"/>
      <c r="D1952" s="66"/>
      <c r="E1952" s="16" t="str">
        <f aca="false">IF($C1952="","",IFERROR(INDEX(Mix_Desc,MATCH($C1952,Mix_Code,0)),"⚠ Unknown mix code"))</f>
        <v/>
      </c>
      <c r="F1952" s="67" t="str">
        <f aca="false">IF(OR($C1952="",$D1952=""),"",IFERROR($D1952*INDEX(Mix_Eff,MATCH($C1952,Mix_Code,0),1),""))</f>
        <v/>
      </c>
      <c r="G1952" s="67" t="str">
        <f aca="false">IF(OR($C1952="",$D1952=""),"",IFERROR($D1952*INDEX(Mix_Eff,MATCH($C1952,Mix_Code,0),2),""))</f>
        <v/>
      </c>
      <c r="H1952" s="67" t="str">
        <f aca="false">IF(OR($C1952="",$D1952=""),"",IFERROR($D1952*INDEX(Mix_Eff,MATCH($C1952,Mix_Code,0),3),""))</f>
        <v/>
      </c>
      <c r="I1952" s="67" t="str">
        <f aca="false">IF(OR($C1952="",$D1952=""),"",IFERROR($D1952*INDEX(Mix_Eff,MATCH($C1952,Mix_Code,0),4),""))</f>
        <v/>
      </c>
      <c r="J1952" s="67" t="str">
        <f aca="false">IF(OR($C1952="",$D1952=""),"",IFERROR($D1952*INDEX(Mix_Eff,MATCH($C1952,Mix_Code,0),5),""))</f>
        <v/>
      </c>
      <c r="K1952" s="63"/>
      <c r="L1952" s="16" t="str">
        <f aca="false">IF(AND($A1952="",$B1952="",$C1952="",$D1952=""),"",IF($A1952="","⚠ Date missing",IF($B1952="","⚠ Site missing",IF(ISNA(MATCH($C1952,Mix_Code,0)),"⚠ Unknown mix code",IF($D1952="","⚠ Enter m3 produced",IF(COUNTIF(CI_Site,$B1952)=0,"⚠ Site not set up in Current Inventory",IF($A1952&gt;AsOfDate,"Future date – not yet deducted","OK")))))))</f>
        <v/>
      </c>
    </row>
    <row r="1953" customFormat="false" ht="15" hidden="false" customHeight="false" outlineLevel="0" collapsed="false">
      <c r="A1953" s="65"/>
      <c r="B1953" s="63"/>
      <c r="C1953" s="70"/>
      <c r="D1953" s="66"/>
      <c r="E1953" s="16" t="str">
        <f aca="false">IF($C1953="","",IFERROR(INDEX(Mix_Desc,MATCH($C1953,Mix_Code,0)),"⚠ Unknown mix code"))</f>
        <v/>
      </c>
      <c r="F1953" s="67" t="str">
        <f aca="false">IF(OR($C1953="",$D1953=""),"",IFERROR($D1953*INDEX(Mix_Eff,MATCH($C1953,Mix_Code,0),1),""))</f>
        <v/>
      </c>
      <c r="G1953" s="67" t="str">
        <f aca="false">IF(OR($C1953="",$D1953=""),"",IFERROR($D1953*INDEX(Mix_Eff,MATCH($C1953,Mix_Code,0),2),""))</f>
        <v/>
      </c>
      <c r="H1953" s="67" t="str">
        <f aca="false">IF(OR($C1953="",$D1953=""),"",IFERROR($D1953*INDEX(Mix_Eff,MATCH($C1953,Mix_Code,0),3),""))</f>
        <v/>
      </c>
      <c r="I1953" s="67" t="str">
        <f aca="false">IF(OR($C1953="",$D1953=""),"",IFERROR($D1953*INDEX(Mix_Eff,MATCH($C1953,Mix_Code,0),4),""))</f>
        <v/>
      </c>
      <c r="J1953" s="67" t="str">
        <f aca="false">IF(OR($C1953="",$D1953=""),"",IFERROR($D1953*INDEX(Mix_Eff,MATCH($C1953,Mix_Code,0),5),""))</f>
        <v/>
      </c>
      <c r="K1953" s="63"/>
      <c r="L1953" s="16" t="str">
        <f aca="false">IF(AND($A1953="",$B1953="",$C1953="",$D1953=""),"",IF($A1953="","⚠ Date missing",IF($B1953="","⚠ Site missing",IF(ISNA(MATCH($C1953,Mix_Code,0)),"⚠ Unknown mix code",IF($D1953="","⚠ Enter m3 produced",IF(COUNTIF(CI_Site,$B1953)=0,"⚠ Site not set up in Current Inventory",IF($A1953&gt;AsOfDate,"Future date – not yet deducted","OK")))))))</f>
        <v/>
      </c>
    </row>
    <row r="1954" customFormat="false" ht="15" hidden="false" customHeight="false" outlineLevel="0" collapsed="false">
      <c r="A1954" s="65"/>
      <c r="B1954" s="63"/>
      <c r="C1954" s="70"/>
      <c r="D1954" s="66"/>
      <c r="E1954" s="16" t="str">
        <f aca="false">IF($C1954="","",IFERROR(INDEX(Mix_Desc,MATCH($C1954,Mix_Code,0)),"⚠ Unknown mix code"))</f>
        <v/>
      </c>
      <c r="F1954" s="67" t="str">
        <f aca="false">IF(OR($C1954="",$D1954=""),"",IFERROR($D1954*INDEX(Mix_Eff,MATCH($C1954,Mix_Code,0),1),""))</f>
        <v/>
      </c>
      <c r="G1954" s="67" t="str">
        <f aca="false">IF(OR($C1954="",$D1954=""),"",IFERROR($D1954*INDEX(Mix_Eff,MATCH($C1954,Mix_Code,0),2),""))</f>
        <v/>
      </c>
      <c r="H1954" s="67" t="str">
        <f aca="false">IF(OR($C1954="",$D1954=""),"",IFERROR($D1954*INDEX(Mix_Eff,MATCH($C1954,Mix_Code,0),3),""))</f>
        <v/>
      </c>
      <c r="I1954" s="67" t="str">
        <f aca="false">IF(OR($C1954="",$D1954=""),"",IFERROR($D1954*INDEX(Mix_Eff,MATCH($C1954,Mix_Code,0),4),""))</f>
        <v/>
      </c>
      <c r="J1954" s="67" t="str">
        <f aca="false">IF(OR($C1954="",$D1954=""),"",IFERROR($D1954*INDEX(Mix_Eff,MATCH($C1954,Mix_Code,0),5),""))</f>
        <v/>
      </c>
      <c r="K1954" s="63"/>
      <c r="L1954" s="16" t="str">
        <f aca="false">IF(AND($A1954="",$B1954="",$C1954="",$D1954=""),"",IF($A1954="","⚠ Date missing",IF($B1954="","⚠ Site missing",IF(ISNA(MATCH($C1954,Mix_Code,0)),"⚠ Unknown mix code",IF($D1954="","⚠ Enter m3 produced",IF(COUNTIF(CI_Site,$B1954)=0,"⚠ Site not set up in Current Inventory",IF($A1954&gt;AsOfDate,"Future date – not yet deducted","OK")))))))</f>
        <v/>
      </c>
    </row>
    <row r="1955" customFormat="false" ht="15" hidden="false" customHeight="false" outlineLevel="0" collapsed="false">
      <c r="A1955" s="65"/>
      <c r="B1955" s="63"/>
      <c r="C1955" s="70"/>
      <c r="D1955" s="66"/>
      <c r="E1955" s="16" t="str">
        <f aca="false">IF($C1955="","",IFERROR(INDEX(Mix_Desc,MATCH($C1955,Mix_Code,0)),"⚠ Unknown mix code"))</f>
        <v/>
      </c>
      <c r="F1955" s="67" t="str">
        <f aca="false">IF(OR($C1955="",$D1955=""),"",IFERROR($D1955*INDEX(Mix_Eff,MATCH($C1955,Mix_Code,0),1),""))</f>
        <v/>
      </c>
      <c r="G1955" s="67" t="str">
        <f aca="false">IF(OR($C1955="",$D1955=""),"",IFERROR($D1955*INDEX(Mix_Eff,MATCH($C1955,Mix_Code,0),2),""))</f>
        <v/>
      </c>
      <c r="H1955" s="67" t="str">
        <f aca="false">IF(OR($C1955="",$D1955=""),"",IFERROR($D1955*INDEX(Mix_Eff,MATCH($C1955,Mix_Code,0),3),""))</f>
        <v/>
      </c>
      <c r="I1955" s="67" t="str">
        <f aca="false">IF(OR($C1955="",$D1955=""),"",IFERROR($D1955*INDEX(Mix_Eff,MATCH($C1955,Mix_Code,0),4),""))</f>
        <v/>
      </c>
      <c r="J1955" s="67" t="str">
        <f aca="false">IF(OR($C1955="",$D1955=""),"",IFERROR($D1955*INDEX(Mix_Eff,MATCH($C1955,Mix_Code,0),5),""))</f>
        <v/>
      </c>
      <c r="K1955" s="63"/>
      <c r="L1955" s="16" t="str">
        <f aca="false">IF(AND($A1955="",$B1955="",$C1955="",$D1955=""),"",IF($A1955="","⚠ Date missing",IF($B1955="","⚠ Site missing",IF(ISNA(MATCH($C1955,Mix_Code,0)),"⚠ Unknown mix code",IF($D1955="","⚠ Enter m3 produced",IF(COUNTIF(CI_Site,$B1955)=0,"⚠ Site not set up in Current Inventory",IF($A1955&gt;AsOfDate,"Future date – not yet deducted","OK")))))))</f>
        <v/>
      </c>
    </row>
    <row r="1956" customFormat="false" ht="15" hidden="false" customHeight="false" outlineLevel="0" collapsed="false">
      <c r="A1956" s="65"/>
      <c r="B1956" s="63"/>
      <c r="C1956" s="70"/>
      <c r="D1956" s="66"/>
      <c r="E1956" s="16" t="str">
        <f aca="false">IF($C1956="","",IFERROR(INDEX(Mix_Desc,MATCH($C1956,Mix_Code,0)),"⚠ Unknown mix code"))</f>
        <v/>
      </c>
      <c r="F1956" s="67" t="str">
        <f aca="false">IF(OR($C1956="",$D1956=""),"",IFERROR($D1956*INDEX(Mix_Eff,MATCH($C1956,Mix_Code,0),1),""))</f>
        <v/>
      </c>
      <c r="G1956" s="67" t="str">
        <f aca="false">IF(OR($C1956="",$D1956=""),"",IFERROR($D1956*INDEX(Mix_Eff,MATCH($C1956,Mix_Code,0),2),""))</f>
        <v/>
      </c>
      <c r="H1956" s="67" t="str">
        <f aca="false">IF(OR($C1956="",$D1956=""),"",IFERROR($D1956*INDEX(Mix_Eff,MATCH($C1956,Mix_Code,0),3),""))</f>
        <v/>
      </c>
      <c r="I1956" s="67" t="str">
        <f aca="false">IF(OR($C1956="",$D1956=""),"",IFERROR($D1956*INDEX(Mix_Eff,MATCH($C1956,Mix_Code,0),4),""))</f>
        <v/>
      </c>
      <c r="J1956" s="67" t="str">
        <f aca="false">IF(OR($C1956="",$D1956=""),"",IFERROR($D1956*INDEX(Mix_Eff,MATCH($C1956,Mix_Code,0),5),""))</f>
        <v/>
      </c>
      <c r="K1956" s="63"/>
      <c r="L1956" s="16" t="str">
        <f aca="false">IF(AND($A1956="",$B1956="",$C1956="",$D1956=""),"",IF($A1956="","⚠ Date missing",IF($B1956="","⚠ Site missing",IF(ISNA(MATCH($C1956,Mix_Code,0)),"⚠ Unknown mix code",IF($D1956="","⚠ Enter m3 produced",IF(COUNTIF(CI_Site,$B1956)=0,"⚠ Site not set up in Current Inventory",IF($A1956&gt;AsOfDate,"Future date – not yet deducted","OK")))))))</f>
        <v/>
      </c>
    </row>
    <row r="1957" customFormat="false" ht="15" hidden="false" customHeight="false" outlineLevel="0" collapsed="false">
      <c r="A1957" s="65"/>
      <c r="B1957" s="63"/>
      <c r="C1957" s="70"/>
      <c r="D1957" s="66"/>
      <c r="E1957" s="16" t="str">
        <f aca="false">IF($C1957="","",IFERROR(INDEX(Mix_Desc,MATCH($C1957,Mix_Code,0)),"⚠ Unknown mix code"))</f>
        <v/>
      </c>
      <c r="F1957" s="67" t="str">
        <f aca="false">IF(OR($C1957="",$D1957=""),"",IFERROR($D1957*INDEX(Mix_Eff,MATCH($C1957,Mix_Code,0),1),""))</f>
        <v/>
      </c>
      <c r="G1957" s="67" t="str">
        <f aca="false">IF(OR($C1957="",$D1957=""),"",IFERROR($D1957*INDEX(Mix_Eff,MATCH($C1957,Mix_Code,0),2),""))</f>
        <v/>
      </c>
      <c r="H1957" s="67" t="str">
        <f aca="false">IF(OR($C1957="",$D1957=""),"",IFERROR($D1957*INDEX(Mix_Eff,MATCH($C1957,Mix_Code,0),3),""))</f>
        <v/>
      </c>
      <c r="I1957" s="67" t="str">
        <f aca="false">IF(OR($C1957="",$D1957=""),"",IFERROR($D1957*INDEX(Mix_Eff,MATCH($C1957,Mix_Code,0),4),""))</f>
        <v/>
      </c>
      <c r="J1957" s="67" t="str">
        <f aca="false">IF(OR($C1957="",$D1957=""),"",IFERROR($D1957*INDEX(Mix_Eff,MATCH($C1957,Mix_Code,0),5),""))</f>
        <v/>
      </c>
      <c r="K1957" s="63"/>
      <c r="L1957" s="16" t="str">
        <f aca="false">IF(AND($A1957="",$B1957="",$C1957="",$D1957=""),"",IF($A1957="","⚠ Date missing",IF($B1957="","⚠ Site missing",IF(ISNA(MATCH($C1957,Mix_Code,0)),"⚠ Unknown mix code",IF($D1957="","⚠ Enter m3 produced",IF(COUNTIF(CI_Site,$B1957)=0,"⚠ Site not set up in Current Inventory",IF($A1957&gt;AsOfDate,"Future date – not yet deducted","OK")))))))</f>
        <v/>
      </c>
    </row>
    <row r="1958" customFormat="false" ht="15" hidden="false" customHeight="false" outlineLevel="0" collapsed="false">
      <c r="A1958" s="65"/>
      <c r="B1958" s="63"/>
      <c r="C1958" s="70"/>
      <c r="D1958" s="66"/>
      <c r="E1958" s="16" t="str">
        <f aca="false">IF($C1958="","",IFERROR(INDEX(Mix_Desc,MATCH($C1958,Mix_Code,0)),"⚠ Unknown mix code"))</f>
        <v/>
      </c>
      <c r="F1958" s="67" t="str">
        <f aca="false">IF(OR($C1958="",$D1958=""),"",IFERROR($D1958*INDEX(Mix_Eff,MATCH($C1958,Mix_Code,0),1),""))</f>
        <v/>
      </c>
      <c r="G1958" s="67" t="str">
        <f aca="false">IF(OR($C1958="",$D1958=""),"",IFERROR($D1958*INDEX(Mix_Eff,MATCH($C1958,Mix_Code,0),2),""))</f>
        <v/>
      </c>
      <c r="H1958" s="67" t="str">
        <f aca="false">IF(OR($C1958="",$D1958=""),"",IFERROR($D1958*INDEX(Mix_Eff,MATCH($C1958,Mix_Code,0),3),""))</f>
        <v/>
      </c>
      <c r="I1958" s="67" t="str">
        <f aca="false">IF(OR($C1958="",$D1958=""),"",IFERROR($D1958*INDEX(Mix_Eff,MATCH($C1958,Mix_Code,0),4),""))</f>
        <v/>
      </c>
      <c r="J1958" s="67" t="str">
        <f aca="false">IF(OR($C1958="",$D1958=""),"",IFERROR($D1958*INDEX(Mix_Eff,MATCH($C1958,Mix_Code,0),5),""))</f>
        <v/>
      </c>
      <c r="K1958" s="63"/>
      <c r="L1958" s="16" t="str">
        <f aca="false">IF(AND($A1958="",$B1958="",$C1958="",$D1958=""),"",IF($A1958="","⚠ Date missing",IF($B1958="","⚠ Site missing",IF(ISNA(MATCH($C1958,Mix_Code,0)),"⚠ Unknown mix code",IF($D1958="","⚠ Enter m3 produced",IF(COUNTIF(CI_Site,$B1958)=0,"⚠ Site not set up in Current Inventory",IF($A1958&gt;AsOfDate,"Future date – not yet deducted","OK")))))))</f>
        <v/>
      </c>
    </row>
    <row r="1959" customFormat="false" ht="15" hidden="false" customHeight="false" outlineLevel="0" collapsed="false">
      <c r="A1959" s="65"/>
      <c r="B1959" s="63"/>
      <c r="C1959" s="70"/>
      <c r="D1959" s="66"/>
      <c r="E1959" s="16" t="str">
        <f aca="false">IF($C1959="","",IFERROR(INDEX(Mix_Desc,MATCH($C1959,Mix_Code,0)),"⚠ Unknown mix code"))</f>
        <v/>
      </c>
      <c r="F1959" s="67" t="str">
        <f aca="false">IF(OR($C1959="",$D1959=""),"",IFERROR($D1959*INDEX(Mix_Eff,MATCH($C1959,Mix_Code,0),1),""))</f>
        <v/>
      </c>
      <c r="G1959" s="67" t="str">
        <f aca="false">IF(OR($C1959="",$D1959=""),"",IFERROR($D1959*INDEX(Mix_Eff,MATCH($C1959,Mix_Code,0),2),""))</f>
        <v/>
      </c>
      <c r="H1959" s="67" t="str">
        <f aca="false">IF(OR($C1959="",$D1959=""),"",IFERROR($D1959*INDEX(Mix_Eff,MATCH($C1959,Mix_Code,0),3),""))</f>
        <v/>
      </c>
      <c r="I1959" s="67" t="str">
        <f aca="false">IF(OR($C1959="",$D1959=""),"",IFERROR($D1959*INDEX(Mix_Eff,MATCH($C1959,Mix_Code,0),4),""))</f>
        <v/>
      </c>
      <c r="J1959" s="67" t="str">
        <f aca="false">IF(OR($C1959="",$D1959=""),"",IFERROR($D1959*INDEX(Mix_Eff,MATCH($C1959,Mix_Code,0),5),""))</f>
        <v/>
      </c>
      <c r="K1959" s="63"/>
      <c r="L1959" s="16" t="str">
        <f aca="false">IF(AND($A1959="",$B1959="",$C1959="",$D1959=""),"",IF($A1959="","⚠ Date missing",IF($B1959="","⚠ Site missing",IF(ISNA(MATCH($C1959,Mix_Code,0)),"⚠ Unknown mix code",IF($D1959="","⚠ Enter m3 produced",IF(COUNTIF(CI_Site,$B1959)=0,"⚠ Site not set up in Current Inventory",IF($A1959&gt;AsOfDate,"Future date – not yet deducted","OK")))))))</f>
        <v/>
      </c>
    </row>
    <row r="1960" customFormat="false" ht="15" hidden="false" customHeight="false" outlineLevel="0" collapsed="false">
      <c r="A1960" s="65"/>
      <c r="B1960" s="63"/>
      <c r="C1960" s="70"/>
      <c r="D1960" s="66"/>
      <c r="E1960" s="16" t="str">
        <f aca="false">IF($C1960="","",IFERROR(INDEX(Mix_Desc,MATCH($C1960,Mix_Code,0)),"⚠ Unknown mix code"))</f>
        <v/>
      </c>
      <c r="F1960" s="67" t="str">
        <f aca="false">IF(OR($C1960="",$D1960=""),"",IFERROR($D1960*INDEX(Mix_Eff,MATCH($C1960,Mix_Code,0),1),""))</f>
        <v/>
      </c>
      <c r="G1960" s="67" t="str">
        <f aca="false">IF(OR($C1960="",$D1960=""),"",IFERROR($D1960*INDEX(Mix_Eff,MATCH($C1960,Mix_Code,0),2),""))</f>
        <v/>
      </c>
      <c r="H1960" s="67" t="str">
        <f aca="false">IF(OR($C1960="",$D1960=""),"",IFERROR($D1960*INDEX(Mix_Eff,MATCH($C1960,Mix_Code,0),3),""))</f>
        <v/>
      </c>
      <c r="I1960" s="67" t="str">
        <f aca="false">IF(OR($C1960="",$D1960=""),"",IFERROR($D1960*INDEX(Mix_Eff,MATCH($C1960,Mix_Code,0),4),""))</f>
        <v/>
      </c>
      <c r="J1960" s="67" t="str">
        <f aca="false">IF(OR($C1960="",$D1960=""),"",IFERROR($D1960*INDEX(Mix_Eff,MATCH($C1960,Mix_Code,0),5),""))</f>
        <v/>
      </c>
      <c r="K1960" s="63"/>
      <c r="L1960" s="16" t="str">
        <f aca="false">IF(AND($A1960="",$B1960="",$C1960="",$D1960=""),"",IF($A1960="","⚠ Date missing",IF($B1960="","⚠ Site missing",IF(ISNA(MATCH($C1960,Mix_Code,0)),"⚠ Unknown mix code",IF($D1960="","⚠ Enter m3 produced",IF(COUNTIF(CI_Site,$B1960)=0,"⚠ Site not set up in Current Inventory",IF($A1960&gt;AsOfDate,"Future date – not yet deducted","OK")))))))</f>
        <v/>
      </c>
    </row>
    <row r="1961" customFormat="false" ht="15" hidden="false" customHeight="false" outlineLevel="0" collapsed="false">
      <c r="A1961" s="65"/>
      <c r="B1961" s="63"/>
      <c r="C1961" s="70"/>
      <c r="D1961" s="66"/>
      <c r="E1961" s="16" t="str">
        <f aca="false">IF($C1961="","",IFERROR(INDEX(Mix_Desc,MATCH($C1961,Mix_Code,0)),"⚠ Unknown mix code"))</f>
        <v/>
      </c>
      <c r="F1961" s="67" t="str">
        <f aca="false">IF(OR($C1961="",$D1961=""),"",IFERROR($D1961*INDEX(Mix_Eff,MATCH($C1961,Mix_Code,0),1),""))</f>
        <v/>
      </c>
      <c r="G1961" s="67" t="str">
        <f aca="false">IF(OR($C1961="",$D1961=""),"",IFERROR($D1961*INDEX(Mix_Eff,MATCH($C1961,Mix_Code,0),2),""))</f>
        <v/>
      </c>
      <c r="H1961" s="67" t="str">
        <f aca="false">IF(OR($C1961="",$D1961=""),"",IFERROR($D1961*INDEX(Mix_Eff,MATCH($C1961,Mix_Code,0),3),""))</f>
        <v/>
      </c>
      <c r="I1961" s="67" t="str">
        <f aca="false">IF(OR($C1961="",$D1961=""),"",IFERROR($D1961*INDEX(Mix_Eff,MATCH($C1961,Mix_Code,0),4),""))</f>
        <v/>
      </c>
      <c r="J1961" s="67" t="str">
        <f aca="false">IF(OR($C1961="",$D1961=""),"",IFERROR($D1961*INDEX(Mix_Eff,MATCH($C1961,Mix_Code,0),5),""))</f>
        <v/>
      </c>
      <c r="K1961" s="63"/>
      <c r="L1961" s="16" t="str">
        <f aca="false">IF(AND($A1961="",$B1961="",$C1961="",$D1961=""),"",IF($A1961="","⚠ Date missing",IF($B1961="","⚠ Site missing",IF(ISNA(MATCH($C1961,Mix_Code,0)),"⚠ Unknown mix code",IF($D1961="","⚠ Enter m3 produced",IF(COUNTIF(CI_Site,$B1961)=0,"⚠ Site not set up in Current Inventory",IF($A1961&gt;AsOfDate,"Future date – not yet deducted","OK")))))))</f>
        <v/>
      </c>
    </row>
    <row r="1962" customFormat="false" ht="15" hidden="false" customHeight="false" outlineLevel="0" collapsed="false">
      <c r="A1962" s="65"/>
      <c r="B1962" s="63"/>
      <c r="C1962" s="70"/>
      <c r="D1962" s="66"/>
      <c r="E1962" s="16" t="str">
        <f aca="false">IF($C1962="","",IFERROR(INDEX(Mix_Desc,MATCH($C1962,Mix_Code,0)),"⚠ Unknown mix code"))</f>
        <v/>
      </c>
      <c r="F1962" s="67" t="str">
        <f aca="false">IF(OR($C1962="",$D1962=""),"",IFERROR($D1962*INDEX(Mix_Eff,MATCH($C1962,Mix_Code,0),1),""))</f>
        <v/>
      </c>
      <c r="G1962" s="67" t="str">
        <f aca="false">IF(OR($C1962="",$D1962=""),"",IFERROR($D1962*INDEX(Mix_Eff,MATCH($C1962,Mix_Code,0),2),""))</f>
        <v/>
      </c>
      <c r="H1962" s="67" t="str">
        <f aca="false">IF(OR($C1962="",$D1962=""),"",IFERROR($D1962*INDEX(Mix_Eff,MATCH($C1962,Mix_Code,0),3),""))</f>
        <v/>
      </c>
      <c r="I1962" s="67" t="str">
        <f aca="false">IF(OR($C1962="",$D1962=""),"",IFERROR($D1962*INDEX(Mix_Eff,MATCH($C1962,Mix_Code,0),4),""))</f>
        <v/>
      </c>
      <c r="J1962" s="67" t="str">
        <f aca="false">IF(OR($C1962="",$D1962=""),"",IFERROR($D1962*INDEX(Mix_Eff,MATCH($C1962,Mix_Code,0),5),""))</f>
        <v/>
      </c>
      <c r="K1962" s="63"/>
      <c r="L1962" s="16" t="str">
        <f aca="false">IF(AND($A1962="",$B1962="",$C1962="",$D1962=""),"",IF($A1962="","⚠ Date missing",IF($B1962="","⚠ Site missing",IF(ISNA(MATCH($C1962,Mix_Code,0)),"⚠ Unknown mix code",IF($D1962="","⚠ Enter m3 produced",IF(COUNTIF(CI_Site,$B1962)=0,"⚠ Site not set up in Current Inventory",IF($A1962&gt;AsOfDate,"Future date – not yet deducted","OK")))))))</f>
        <v/>
      </c>
    </row>
    <row r="1963" customFormat="false" ht="15" hidden="false" customHeight="false" outlineLevel="0" collapsed="false">
      <c r="A1963" s="65"/>
      <c r="B1963" s="63"/>
      <c r="C1963" s="70"/>
      <c r="D1963" s="66"/>
      <c r="E1963" s="16" t="str">
        <f aca="false">IF($C1963="","",IFERROR(INDEX(Mix_Desc,MATCH($C1963,Mix_Code,0)),"⚠ Unknown mix code"))</f>
        <v/>
      </c>
      <c r="F1963" s="67" t="str">
        <f aca="false">IF(OR($C1963="",$D1963=""),"",IFERROR($D1963*INDEX(Mix_Eff,MATCH($C1963,Mix_Code,0),1),""))</f>
        <v/>
      </c>
      <c r="G1963" s="67" t="str">
        <f aca="false">IF(OR($C1963="",$D1963=""),"",IFERROR($D1963*INDEX(Mix_Eff,MATCH($C1963,Mix_Code,0),2),""))</f>
        <v/>
      </c>
      <c r="H1963" s="67" t="str">
        <f aca="false">IF(OR($C1963="",$D1963=""),"",IFERROR($D1963*INDEX(Mix_Eff,MATCH($C1963,Mix_Code,0),3),""))</f>
        <v/>
      </c>
      <c r="I1963" s="67" t="str">
        <f aca="false">IF(OR($C1963="",$D1963=""),"",IFERROR($D1963*INDEX(Mix_Eff,MATCH($C1963,Mix_Code,0),4),""))</f>
        <v/>
      </c>
      <c r="J1963" s="67" t="str">
        <f aca="false">IF(OR($C1963="",$D1963=""),"",IFERROR($D1963*INDEX(Mix_Eff,MATCH($C1963,Mix_Code,0),5),""))</f>
        <v/>
      </c>
      <c r="K1963" s="63"/>
      <c r="L1963" s="16" t="str">
        <f aca="false">IF(AND($A1963="",$B1963="",$C1963="",$D1963=""),"",IF($A1963="","⚠ Date missing",IF($B1963="","⚠ Site missing",IF(ISNA(MATCH($C1963,Mix_Code,0)),"⚠ Unknown mix code",IF($D1963="","⚠ Enter m3 produced",IF(COUNTIF(CI_Site,$B1963)=0,"⚠ Site not set up in Current Inventory",IF($A1963&gt;AsOfDate,"Future date – not yet deducted","OK")))))))</f>
        <v/>
      </c>
    </row>
    <row r="1964" customFormat="false" ht="15" hidden="false" customHeight="false" outlineLevel="0" collapsed="false">
      <c r="A1964" s="65"/>
      <c r="B1964" s="63"/>
      <c r="C1964" s="70"/>
      <c r="D1964" s="66"/>
      <c r="E1964" s="16" t="str">
        <f aca="false">IF($C1964="","",IFERROR(INDEX(Mix_Desc,MATCH($C1964,Mix_Code,0)),"⚠ Unknown mix code"))</f>
        <v/>
      </c>
      <c r="F1964" s="67" t="str">
        <f aca="false">IF(OR($C1964="",$D1964=""),"",IFERROR($D1964*INDEX(Mix_Eff,MATCH($C1964,Mix_Code,0),1),""))</f>
        <v/>
      </c>
      <c r="G1964" s="67" t="str">
        <f aca="false">IF(OR($C1964="",$D1964=""),"",IFERROR($D1964*INDEX(Mix_Eff,MATCH($C1964,Mix_Code,0),2),""))</f>
        <v/>
      </c>
      <c r="H1964" s="67" t="str">
        <f aca="false">IF(OR($C1964="",$D1964=""),"",IFERROR($D1964*INDEX(Mix_Eff,MATCH($C1964,Mix_Code,0),3),""))</f>
        <v/>
      </c>
      <c r="I1964" s="67" t="str">
        <f aca="false">IF(OR($C1964="",$D1964=""),"",IFERROR($D1964*INDEX(Mix_Eff,MATCH($C1964,Mix_Code,0),4),""))</f>
        <v/>
      </c>
      <c r="J1964" s="67" t="str">
        <f aca="false">IF(OR($C1964="",$D1964=""),"",IFERROR($D1964*INDEX(Mix_Eff,MATCH($C1964,Mix_Code,0),5),""))</f>
        <v/>
      </c>
      <c r="K1964" s="63"/>
      <c r="L1964" s="16" t="str">
        <f aca="false">IF(AND($A1964="",$B1964="",$C1964="",$D1964=""),"",IF($A1964="","⚠ Date missing",IF($B1964="","⚠ Site missing",IF(ISNA(MATCH($C1964,Mix_Code,0)),"⚠ Unknown mix code",IF($D1964="","⚠ Enter m3 produced",IF(COUNTIF(CI_Site,$B1964)=0,"⚠ Site not set up in Current Inventory",IF($A1964&gt;AsOfDate,"Future date – not yet deducted","OK")))))))</f>
        <v/>
      </c>
    </row>
    <row r="1965" customFormat="false" ht="15" hidden="false" customHeight="false" outlineLevel="0" collapsed="false">
      <c r="A1965" s="65"/>
      <c r="B1965" s="63"/>
      <c r="C1965" s="70"/>
      <c r="D1965" s="66"/>
      <c r="E1965" s="16" t="str">
        <f aca="false">IF($C1965="","",IFERROR(INDEX(Mix_Desc,MATCH($C1965,Mix_Code,0)),"⚠ Unknown mix code"))</f>
        <v/>
      </c>
      <c r="F1965" s="67" t="str">
        <f aca="false">IF(OR($C1965="",$D1965=""),"",IFERROR($D1965*INDEX(Mix_Eff,MATCH($C1965,Mix_Code,0),1),""))</f>
        <v/>
      </c>
      <c r="G1965" s="67" t="str">
        <f aca="false">IF(OR($C1965="",$D1965=""),"",IFERROR($D1965*INDEX(Mix_Eff,MATCH($C1965,Mix_Code,0),2),""))</f>
        <v/>
      </c>
      <c r="H1965" s="67" t="str">
        <f aca="false">IF(OR($C1965="",$D1965=""),"",IFERROR($D1965*INDEX(Mix_Eff,MATCH($C1965,Mix_Code,0),3),""))</f>
        <v/>
      </c>
      <c r="I1965" s="67" t="str">
        <f aca="false">IF(OR($C1965="",$D1965=""),"",IFERROR($D1965*INDEX(Mix_Eff,MATCH($C1965,Mix_Code,0),4),""))</f>
        <v/>
      </c>
      <c r="J1965" s="67" t="str">
        <f aca="false">IF(OR($C1965="",$D1965=""),"",IFERROR($D1965*INDEX(Mix_Eff,MATCH($C1965,Mix_Code,0),5),""))</f>
        <v/>
      </c>
      <c r="K1965" s="63"/>
      <c r="L1965" s="16" t="str">
        <f aca="false">IF(AND($A1965="",$B1965="",$C1965="",$D1965=""),"",IF($A1965="","⚠ Date missing",IF($B1965="","⚠ Site missing",IF(ISNA(MATCH($C1965,Mix_Code,0)),"⚠ Unknown mix code",IF($D1965="","⚠ Enter m3 produced",IF(COUNTIF(CI_Site,$B1965)=0,"⚠ Site not set up in Current Inventory",IF($A1965&gt;AsOfDate,"Future date – not yet deducted","OK")))))))</f>
        <v/>
      </c>
    </row>
    <row r="1966" customFormat="false" ht="15" hidden="false" customHeight="false" outlineLevel="0" collapsed="false">
      <c r="A1966" s="65"/>
      <c r="B1966" s="63"/>
      <c r="C1966" s="70"/>
      <c r="D1966" s="66"/>
      <c r="E1966" s="16" t="str">
        <f aca="false">IF($C1966="","",IFERROR(INDEX(Mix_Desc,MATCH($C1966,Mix_Code,0)),"⚠ Unknown mix code"))</f>
        <v/>
      </c>
      <c r="F1966" s="67" t="str">
        <f aca="false">IF(OR($C1966="",$D1966=""),"",IFERROR($D1966*INDEX(Mix_Eff,MATCH($C1966,Mix_Code,0),1),""))</f>
        <v/>
      </c>
      <c r="G1966" s="67" t="str">
        <f aca="false">IF(OR($C1966="",$D1966=""),"",IFERROR($D1966*INDEX(Mix_Eff,MATCH($C1966,Mix_Code,0),2),""))</f>
        <v/>
      </c>
      <c r="H1966" s="67" t="str">
        <f aca="false">IF(OR($C1966="",$D1966=""),"",IFERROR($D1966*INDEX(Mix_Eff,MATCH($C1966,Mix_Code,0),3),""))</f>
        <v/>
      </c>
      <c r="I1966" s="67" t="str">
        <f aca="false">IF(OR($C1966="",$D1966=""),"",IFERROR($D1966*INDEX(Mix_Eff,MATCH($C1966,Mix_Code,0),4),""))</f>
        <v/>
      </c>
      <c r="J1966" s="67" t="str">
        <f aca="false">IF(OR($C1966="",$D1966=""),"",IFERROR($D1966*INDEX(Mix_Eff,MATCH($C1966,Mix_Code,0),5),""))</f>
        <v/>
      </c>
      <c r="K1966" s="63"/>
      <c r="L1966" s="16" t="str">
        <f aca="false">IF(AND($A1966="",$B1966="",$C1966="",$D1966=""),"",IF($A1966="","⚠ Date missing",IF($B1966="","⚠ Site missing",IF(ISNA(MATCH($C1966,Mix_Code,0)),"⚠ Unknown mix code",IF($D1966="","⚠ Enter m3 produced",IF(COUNTIF(CI_Site,$B1966)=0,"⚠ Site not set up in Current Inventory",IF($A1966&gt;AsOfDate,"Future date – not yet deducted","OK")))))))</f>
        <v/>
      </c>
    </row>
    <row r="1967" customFormat="false" ht="15" hidden="false" customHeight="false" outlineLevel="0" collapsed="false">
      <c r="A1967" s="65"/>
      <c r="B1967" s="63"/>
      <c r="C1967" s="70"/>
      <c r="D1967" s="66"/>
      <c r="E1967" s="16" t="str">
        <f aca="false">IF($C1967="","",IFERROR(INDEX(Mix_Desc,MATCH($C1967,Mix_Code,0)),"⚠ Unknown mix code"))</f>
        <v/>
      </c>
      <c r="F1967" s="67" t="str">
        <f aca="false">IF(OR($C1967="",$D1967=""),"",IFERROR($D1967*INDEX(Mix_Eff,MATCH($C1967,Mix_Code,0),1),""))</f>
        <v/>
      </c>
      <c r="G1967" s="67" t="str">
        <f aca="false">IF(OR($C1967="",$D1967=""),"",IFERROR($D1967*INDEX(Mix_Eff,MATCH($C1967,Mix_Code,0),2),""))</f>
        <v/>
      </c>
      <c r="H1967" s="67" t="str">
        <f aca="false">IF(OR($C1967="",$D1967=""),"",IFERROR($D1967*INDEX(Mix_Eff,MATCH($C1967,Mix_Code,0),3),""))</f>
        <v/>
      </c>
      <c r="I1967" s="67" t="str">
        <f aca="false">IF(OR($C1967="",$D1967=""),"",IFERROR($D1967*INDEX(Mix_Eff,MATCH($C1967,Mix_Code,0),4),""))</f>
        <v/>
      </c>
      <c r="J1967" s="67" t="str">
        <f aca="false">IF(OR($C1967="",$D1967=""),"",IFERROR($D1967*INDEX(Mix_Eff,MATCH($C1967,Mix_Code,0),5),""))</f>
        <v/>
      </c>
      <c r="K1967" s="63"/>
      <c r="L1967" s="16" t="str">
        <f aca="false">IF(AND($A1967="",$B1967="",$C1967="",$D1967=""),"",IF($A1967="","⚠ Date missing",IF($B1967="","⚠ Site missing",IF(ISNA(MATCH($C1967,Mix_Code,0)),"⚠ Unknown mix code",IF($D1967="","⚠ Enter m3 produced",IF(COUNTIF(CI_Site,$B1967)=0,"⚠ Site not set up in Current Inventory",IF($A1967&gt;AsOfDate,"Future date – not yet deducted","OK")))))))</f>
        <v/>
      </c>
    </row>
    <row r="1968" customFormat="false" ht="15" hidden="false" customHeight="false" outlineLevel="0" collapsed="false">
      <c r="A1968" s="65"/>
      <c r="B1968" s="63"/>
      <c r="C1968" s="70"/>
      <c r="D1968" s="66"/>
      <c r="E1968" s="16" t="str">
        <f aca="false">IF($C1968="","",IFERROR(INDEX(Mix_Desc,MATCH($C1968,Mix_Code,0)),"⚠ Unknown mix code"))</f>
        <v/>
      </c>
      <c r="F1968" s="67" t="str">
        <f aca="false">IF(OR($C1968="",$D1968=""),"",IFERROR($D1968*INDEX(Mix_Eff,MATCH($C1968,Mix_Code,0),1),""))</f>
        <v/>
      </c>
      <c r="G1968" s="67" t="str">
        <f aca="false">IF(OR($C1968="",$D1968=""),"",IFERROR($D1968*INDEX(Mix_Eff,MATCH($C1968,Mix_Code,0),2),""))</f>
        <v/>
      </c>
      <c r="H1968" s="67" t="str">
        <f aca="false">IF(OR($C1968="",$D1968=""),"",IFERROR($D1968*INDEX(Mix_Eff,MATCH($C1968,Mix_Code,0),3),""))</f>
        <v/>
      </c>
      <c r="I1968" s="67" t="str">
        <f aca="false">IF(OR($C1968="",$D1968=""),"",IFERROR($D1968*INDEX(Mix_Eff,MATCH($C1968,Mix_Code,0),4),""))</f>
        <v/>
      </c>
      <c r="J1968" s="67" t="str">
        <f aca="false">IF(OR($C1968="",$D1968=""),"",IFERROR($D1968*INDEX(Mix_Eff,MATCH($C1968,Mix_Code,0),5),""))</f>
        <v/>
      </c>
      <c r="K1968" s="63"/>
      <c r="L1968" s="16" t="str">
        <f aca="false">IF(AND($A1968="",$B1968="",$C1968="",$D1968=""),"",IF($A1968="","⚠ Date missing",IF($B1968="","⚠ Site missing",IF(ISNA(MATCH($C1968,Mix_Code,0)),"⚠ Unknown mix code",IF($D1968="","⚠ Enter m3 produced",IF(COUNTIF(CI_Site,$B1968)=0,"⚠ Site not set up in Current Inventory",IF($A1968&gt;AsOfDate,"Future date – not yet deducted","OK")))))))</f>
        <v/>
      </c>
    </row>
    <row r="1969" customFormat="false" ht="15" hidden="false" customHeight="false" outlineLevel="0" collapsed="false">
      <c r="A1969" s="65"/>
      <c r="B1969" s="63"/>
      <c r="C1969" s="70"/>
      <c r="D1969" s="66"/>
      <c r="E1969" s="16" t="str">
        <f aca="false">IF($C1969="","",IFERROR(INDEX(Mix_Desc,MATCH($C1969,Mix_Code,0)),"⚠ Unknown mix code"))</f>
        <v/>
      </c>
      <c r="F1969" s="67" t="str">
        <f aca="false">IF(OR($C1969="",$D1969=""),"",IFERROR($D1969*INDEX(Mix_Eff,MATCH($C1969,Mix_Code,0),1),""))</f>
        <v/>
      </c>
      <c r="G1969" s="67" t="str">
        <f aca="false">IF(OR($C1969="",$D1969=""),"",IFERROR($D1969*INDEX(Mix_Eff,MATCH($C1969,Mix_Code,0),2),""))</f>
        <v/>
      </c>
      <c r="H1969" s="67" t="str">
        <f aca="false">IF(OR($C1969="",$D1969=""),"",IFERROR($D1969*INDEX(Mix_Eff,MATCH($C1969,Mix_Code,0),3),""))</f>
        <v/>
      </c>
      <c r="I1969" s="67" t="str">
        <f aca="false">IF(OR($C1969="",$D1969=""),"",IFERROR($D1969*INDEX(Mix_Eff,MATCH($C1969,Mix_Code,0),4),""))</f>
        <v/>
      </c>
      <c r="J1969" s="67" t="str">
        <f aca="false">IF(OR($C1969="",$D1969=""),"",IFERROR($D1969*INDEX(Mix_Eff,MATCH($C1969,Mix_Code,0),5),""))</f>
        <v/>
      </c>
      <c r="K1969" s="63"/>
      <c r="L1969" s="16" t="str">
        <f aca="false">IF(AND($A1969="",$B1969="",$C1969="",$D1969=""),"",IF($A1969="","⚠ Date missing",IF($B1969="","⚠ Site missing",IF(ISNA(MATCH($C1969,Mix_Code,0)),"⚠ Unknown mix code",IF($D1969="","⚠ Enter m3 produced",IF(COUNTIF(CI_Site,$B1969)=0,"⚠ Site not set up in Current Inventory",IF($A1969&gt;AsOfDate,"Future date – not yet deducted","OK")))))))</f>
        <v/>
      </c>
    </row>
    <row r="1970" customFormat="false" ht="15" hidden="false" customHeight="false" outlineLevel="0" collapsed="false">
      <c r="A1970" s="65"/>
      <c r="B1970" s="63"/>
      <c r="C1970" s="70"/>
      <c r="D1970" s="66"/>
      <c r="E1970" s="16" t="str">
        <f aca="false">IF($C1970="","",IFERROR(INDEX(Mix_Desc,MATCH($C1970,Mix_Code,0)),"⚠ Unknown mix code"))</f>
        <v/>
      </c>
      <c r="F1970" s="67" t="str">
        <f aca="false">IF(OR($C1970="",$D1970=""),"",IFERROR($D1970*INDEX(Mix_Eff,MATCH($C1970,Mix_Code,0),1),""))</f>
        <v/>
      </c>
      <c r="G1970" s="67" t="str">
        <f aca="false">IF(OR($C1970="",$D1970=""),"",IFERROR($D1970*INDEX(Mix_Eff,MATCH($C1970,Mix_Code,0),2),""))</f>
        <v/>
      </c>
      <c r="H1970" s="67" t="str">
        <f aca="false">IF(OR($C1970="",$D1970=""),"",IFERROR($D1970*INDEX(Mix_Eff,MATCH($C1970,Mix_Code,0),3),""))</f>
        <v/>
      </c>
      <c r="I1970" s="67" t="str">
        <f aca="false">IF(OR($C1970="",$D1970=""),"",IFERROR($D1970*INDEX(Mix_Eff,MATCH($C1970,Mix_Code,0),4),""))</f>
        <v/>
      </c>
      <c r="J1970" s="67" t="str">
        <f aca="false">IF(OR($C1970="",$D1970=""),"",IFERROR($D1970*INDEX(Mix_Eff,MATCH($C1970,Mix_Code,0),5),""))</f>
        <v/>
      </c>
      <c r="K1970" s="63"/>
      <c r="L1970" s="16" t="str">
        <f aca="false">IF(AND($A1970="",$B1970="",$C1970="",$D1970=""),"",IF($A1970="","⚠ Date missing",IF($B1970="","⚠ Site missing",IF(ISNA(MATCH($C1970,Mix_Code,0)),"⚠ Unknown mix code",IF($D1970="","⚠ Enter m3 produced",IF(COUNTIF(CI_Site,$B1970)=0,"⚠ Site not set up in Current Inventory",IF($A1970&gt;AsOfDate,"Future date – not yet deducted","OK")))))))</f>
        <v/>
      </c>
    </row>
    <row r="1971" customFormat="false" ht="15" hidden="false" customHeight="false" outlineLevel="0" collapsed="false">
      <c r="A1971" s="65"/>
      <c r="B1971" s="63"/>
      <c r="C1971" s="70"/>
      <c r="D1971" s="66"/>
      <c r="E1971" s="16" t="str">
        <f aca="false">IF($C1971="","",IFERROR(INDEX(Mix_Desc,MATCH($C1971,Mix_Code,0)),"⚠ Unknown mix code"))</f>
        <v/>
      </c>
      <c r="F1971" s="67" t="str">
        <f aca="false">IF(OR($C1971="",$D1971=""),"",IFERROR($D1971*INDEX(Mix_Eff,MATCH($C1971,Mix_Code,0),1),""))</f>
        <v/>
      </c>
      <c r="G1971" s="67" t="str">
        <f aca="false">IF(OR($C1971="",$D1971=""),"",IFERROR($D1971*INDEX(Mix_Eff,MATCH($C1971,Mix_Code,0),2),""))</f>
        <v/>
      </c>
      <c r="H1971" s="67" t="str">
        <f aca="false">IF(OR($C1971="",$D1971=""),"",IFERROR($D1971*INDEX(Mix_Eff,MATCH($C1971,Mix_Code,0),3),""))</f>
        <v/>
      </c>
      <c r="I1971" s="67" t="str">
        <f aca="false">IF(OR($C1971="",$D1971=""),"",IFERROR($D1971*INDEX(Mix_Eff,MATCH($C1971,Mix_Code,0),4),""))</f>
        <v/>
      </c>
      <c r="J1971" s="67" t="str">
        <f aca="false">IF(OR($C1971="",$D1971=""),"",IFERROR($D1971*INDEX(Mix_Eff,MATCH($C1971,Mix_Code,0),5),""))</f>
        <v/>
      </c>
      <c r="K1971" s="63"/>
      <c r="L1971" s="16" t="str">
        <f aca="false">IF(AND($A1971="",$B1971="",$C1971="",$D1971=""),"",IF($A1971="","⚠ Date missing",IF($B1971="","⚠ Site missing",IF(ISNA(MATCH($C1971,Mix_Code,0)),"⚠ Unknown mix code",IF($D1971="","⚠ Enter m3 produced",IF(COUNTIF(CI_Site,$B1971)=0,"⚠ Site not set up in Current Inventory",IF($A1971&gt;AsOfDate,"Future date – not yet deducted","OK")))))))</f>
        <v/>
      </c>
    </row>
    <row r="1972" customFormat="false" ht="15" hidden="false" customHeight="false" outlineLevel="0" collapsed="false">
      <c r="A1972" s="65"/>
      <c r="B1972" s="63"/>
      <c r="C1972" s="70"/>
      <c r="D1972" s="66"/>
      <c r="E1972" s="16" t="str">
        <f aca="false">IF($C1972="","",IFERROR(INDEX(Mix_Desc,MATCH($C1972,Mix_Code,0)),"⚠ Unknown mix code"))</f>
        <v/>
      </c>
      <c r="F1972" s="67" t="str">
        <f aca="false">IF(OR($C1972="",$D1972=""),"",IFERROR($D1972*INDEX(Mix_Eff,MATCH($C1972,Mix_Code,0),1),""))</f>
        <v/>
      </c>
      <c r="G1972" s="67" t="str">
        <f aca="false">IF(OR($C1972="",$D1972=""),"",IFERROR($D1972*INDEX(Mix_Eff,MATCH($C1972,Mix_Code,0),2),""))</f>
        <v/>
      </c>
      <c r="H1972" s="67" t="str">
        <f aca="false">IF(OR($C1972="",$D1972=""),"",IFERROR($D1972*INDEX(Mix_Eff,MATCH($C1972,Mix_Code,0),3),""))</f>
        <v/>
      </c>
      <c r="I1972" s="67" t="str">
        <f aca="false">IF(OR($C1972="",$D1972=""),"",IFERROR($D1972*INDEX(Mix_Eff,MATCH($C1972,Mix_Code,0),4),""))</f>
        <v/>
      </c>
      <c r="J1972" s="67" t="str">
        <f aca="false">IF(OR($C1972="",$D1972=""),"",IFERROR($D1972*INDEX(Mix_Eff,MATCH($C1972,Mix_Code,0),5),""))</f>
        <v/>
      </c>
      <c r="K1972" s="63"/>
      <c r="L1972" s="16" t="str">
        <f aca="false">IF(AND($A1972="",$B1972="",$C1972="",$D1972=""),"",IF($A1972="","⚠ Date missing",IF($B1972="","⚠ Site missing",IF(ISNA(MATCH($C1972,Mix_Code,0)),"⚠ Unknown mix code",IF($D1972="","⚠ Enter m3 produced",IF(COUNTIF(CI_Site,$B1972)=0,"⚠ Site not set up in Current Inventory",IF($A1972&gt;AsOfDate,"Future date – not yet deducted","OK")))))))</f>
        <v/>
      </c>
    </row>
    <row r="1973" customFormat="false" ht="15" hidden="false" customHeight="false" outlineLevel="0" collapsed="false">
      <c r="A1973" s="65"/>
      <c r="B1973" s="63"/>
      <c r="C1973" s="70"/>
      <c r="D1973" s="66"/>
      <c r="E1973" s="16" t="str">
        <f aca="false">IF($C1973="","",IFERROR(INDEX(Mix_Desc,MATCH($C1973,Mix_Code,0)),"⚠ Unknown mix code"))</f>
        <v/>
      </c>
      <c r="F1973" s="67" t="str">
        <f aca="false">IF(OR($C1973="",$D1973=""),"",IFERROR($D1973*INDEX(Mix_Eff,MATCH($C1973,Mix_Code,0),1),""))</f>
        <v/>
      </c>
      <c r="G1973" s="67" t="str">
        <f aca="false">IF(OR($C1973="",$D1973=""),"",IFERROR($D1973*INDEX(Mix_Eff,MATCH($C1973,Mix_Code,0),2),""))</f>
        <v/>
      </c>
      <c r="H1973" s="67" t="str">
        <f aca="false">IF(OR($C1973="",$D1973=""),"",IFERROR($D1973*INDEX(Mix_Eff,MATCH($C1973,Mix_Code,0),3),""))</f>
        <v/>
      </c>
      <c r="I1973" s="67" t="str">
        <f aca="false">IF(OR($C1973="",$D1973=""),"",IFERROR($D1973*INDEX(Mix_Eff,MATCH($C1973,Mix_Code,0),4),""))</f>
        <v/>
      </c>
      <c r="J1973" s="67" t="str">
        <f aca="false">IF(OR($C1973="",$D1973=""),"",IFERROR($D1973*INDEX(Mix_Eff,MATCH($C1973,Mix_Code,0),5),""))</f>
        <v/>
      </c>
      <c r="K1973" s="63"/>
      <c r="L1973" s="16" t="str">
        <f aca="false">IF(AND($A1973="",$B1973="",$C1973="",$D1973=""),"",IF($A1973="","⚠ Date missing",IF($B1973="","⚠ Site missing",IF(ISNA(MATCH($C1973,Mix_Code,0)),"⚠ Unknown mix code",IF($D1973="","⚠ Enter m3 produced",IF(COUNTIF(CI_Site,$B1973)=0,"⚠ Site not set up in Current Inventory",IF($A1973&gt;AsOfDate,"Future date – not yet deducted","OK")))))))</f>
        <v/>
      </c>
    </row>
    <row r="1974" customFormat="false" ht="15" hidden="false" customHeight="false" outlineLevel="0" collapsed="false">
      <c r="A1974" s="65"/>
      <c r="B1974" s="63"/>
      <c r="C1974" s="70"/>
      <c r="D1974" s="66"/>
      <c r="E1974" s="16" t="str">
        <f aca="false">IF($C1974="","",IFERROR(INDEX(Mix_Desc,MATCH($C1974,Mix_Code,0)),"⚠ Unknown mix code"))</f>
        <v/>
      </c>
      <c r="F1974" s="67" t="str">
        <f aca="false">IF(OR($C1974="",$D1974=""),"",IFERROR($D1974*INDEX(Mix_Eff,MATCH($C1974,Mix_Code,0),1),""))</f>
        <v/>
      </c>
      <c r="G1974" s="67" t="str">
        <f aca="false">IF(OR($C1974="",$D1974=""),"",IFERROR($D1974*INDEX(Mix_Eff,MATCH($C1974,Mix_Code,0),2),""))</f>
        <v/>
      </c>
      <c r="H1974" s="67" t="str">
        <f aca="false">IF(OR($C1974="",$D1974=""),"",IFERROR($D1974*INDEX(Mix_Eff,MATCH($C1974,Mix_Code,0),3),""))</f>
        <v/>
      </c>
      <c r="I1974" s="67" t="str">
        <f aca="false">IF(OR($C1974="",$D1974=""),"",IFERROR($D1974*INDEX(Mix_Eff,MATCH($C1974,Mix_Code,0),4),""))</f>
        <v/>
      </c>
      <c r="J1974" s="67" t="str">
        <f aca="false">IF(OR($C1974="",$D1974=""),"",IFERROR($D1974*INDEX(Mix_Eff,MATCH($C1974,Mix_Code,0),5),""))</f>
        <v/>
      </c>
      <c r="K1974" s="63"/>
      <c r="L1974" s="16" t="str">
        <f aca="false">IF(AND($A1974="",$B1974="",$C1974="",$D1974=""),"",IF($A1974="","⚠ Date missing",IF($B1974="","⚠ Site missing",IF(ISNA(MATCH($C1974,Mix_Code,0)),"⚠ Unknown mix code",IF($D1974="","⚠ Enter m3 produced",IF(COUNTIF(CI_Site,$B1974)=0,"⚠ Site not set up in Current Inventory",IF($A1974&gt;AsOfDate,"Future date – not yet deducted","OK")))))))</f>
        <v/>
      </c>
    </row>
    <row r="1975" customFormat="false" ht="15" hidden="false" customHeight="false" outlineLevel="0" collapsed="false">
      <c r="A1975" s="65"/>
      <c r="B1975" s="63"/>
      <c r="C1975" s="70"/>
      <c r="D1975" s="66"/>
      <c r="E1975" s="16" t="str">
        <f aca="false">IF($C1975="","",IFERROR(INDEX(Mix_Desc,MATCH($C1975,Mix_Code,0)),"⚠ Unknown mix code"))</f>
        <v/>
      </c>
      <c r="F1975" s="67" t="str">
        <f aca="false">IF(OR($C1975="",$D1975=""),"",IFERROR($D1975*INDEX(Mix_Eff,MATCH($C1975,Mix_Code,0),1),""))</f>
        <v/>
      </c>
      <c r="G1975" s="67" t="str">
        <f aca="false">IF(OR($C1975="",$D1975=""),"",IFERROR($D1975*INDEX(Mix_Eff,MATCH($C1975,Mix_Code,0),2),""))</f>
        <v/>
      </c>
      <c r="H1975" s="67" t="str">
        <f aca="false">IF(OR($C1975="",$D1975=""),"",IFERROR($D1975*INDEX(Mix_Eff,MATCH($C1975,Mix_Code,0),3),""))</f>
        <v/>
      </c>
      <c r="I1975" s="67" t="str">
        <f aca="false">IF(OR($C1975="",$D1975=""),"",IFERROR($D1975*INDEX(Mix_Eff,MATCH($C1975,Mix_Code,0),4),""))</f>
        <v/>
      </c>
      <c r="J1975" s="67" t="str">
        <f aca="false">IF(OR($C1975="",$D1975=""),"",IFERROR($D1975*INDEX(Mix_Eff,MATCH($C1975,Mix_Code,0),5),""))</f>
        <v/>
      </c>
      <c r="K1975" s="63"/>
      <c r="L1975" s="16" t="str">
        <f aca="false">IF(AND($A1975="",$B1975="",$C1975="",$D1975=""),"",IF($A1975="","⚠ Date missing",IF($B1975="","⚠ Site missing",IF(ISNA(MATCH($C1975,Mix_Code,0)),"⚠ Unknown mix code",IF($D1975="","⚠ Enter m3 produced",IF(COUNTIF(CI_Site,$B1975)=0,"⚠ Site not set up in Current Inventory",IF($A1975&gt;AsOfDate,"Future date – not yet deducted","OK")))))))</f>
        <v/>
      </c>
    </row>
    <row r="1976" customFormat="false" ht="15" hidden="false" customHeight="false" outlineLevel="0" collapsed="false">
      <c r="A1976" s="65"/>
      <c r="B1976" s="63"/>
      <c r="C1976" s="70"/>
      <c r="D1976" s="66"/>
      <c r="E1976" s="16" t="str">
        <f aca="false">IF($C1976="","",IFERROR(INDEX(Mix_Desc,MATCH($C1976,Mix_Code,0)),"⚠ Unknown mix code"))</f>
        <v/>
      </c>
      <c r="F1976" s="67" t="str">
        <f aca="false">IF(OR($C1976="",$D1976=""),"",IFERROR($D1976*INDEX(Mix_Eff,MATCH($C1976,Mix_Code,0),1),""))</f>
        <v/>
      </c>
      <c r="G1976" s="67" t="str">
        <f aca="false">IF(OR($C1976="",$D1976=""),"",IFERROR($D1976*INDEX(Mix_Eff,MATCH($C1976,Mix_Code,0),2),""))</f>
        <v/>
      </c>
      <c r="H1976" s="67" t="str">
        <f aca="false">IF(OR($C1976="",$D1976=""),"",IFERROR($D1976*INDEX(Mix_Eff,MATCH($C1976,Mix_Code,0),3),""))</f>
        <v/>
      </c>
      <c r="I1976" s="67" t="str">
        <f aca="false">IF(OR($C1976="",$D1976=""),"",IFERROR($D1976*INDEX(Mix_Eff,MATCH($C1976,Mix_Code,0),4),""))</f>
        <v/>
      </c>
      <c r="J1976" s="67" t="str">
        <f aca="false">IF(OR($C1976="",$D1976=""),"",IFERROR($D1976*INDEX(Mix_Eff,MATCH($C1976,Mix_Code,0),5),""))</f>
        <v/>
      </c>
      <c r="K1976" s="63"/>
      <c r="L1976" s="16" t="str">
        <f aca="false">IF(AND($A1976="",$B1976="",$C1976="",$D1976=""),"",IF($A1976="","⚠ Date missing",IF($B1976="","⚠ Site missing",IF(ISNA(MATCH($C1976,Mix_Code,0)),"⚠ Unknown mix code",IF($D1976="","⚠ Enter m3 produced",IF(COUNTIF(CI_Site,$B1976)=0,"⚠ Site not set up in Current Inventory",IF($A1976&gt;AsOfDate,"Future date – not yet deducted","OK")))))))</f>
        <v/>
      </c>
    </row>
    <row r="1977" customFormat="false" ht="15" hidden="false" customHeight="false" outlineLevel="0" collapsed="false">
      <c r="A1977" s="65"/>
      <c r="B1977" s="63"/>
      <c r="C1977" s="70"/>
      <c r="D1977" s="66"/>
      <c r="E1977" s="16" t="str">
        <f aca="false">IF($C1977="","",IFERROR(INDEX(Mix_Desc,MATCH($C1977,Mix_Code,0)),"⚠ Unknown mix code"))</f>
        <v/>
      </c>
      <c r="F1977" s="67" t="str">
        <f aca="false">IF(OR($C1977="",$D1977=""),"",IFERROR($D1977*INDEX(Mix_Eff,MATCH($C1977,Mix_Code,0),1),""))</f>
        <v/>
      </c>
      <c r="G1977" s="67" t="str">
        <f aca="false">IF(OR($C1977="",$D1977=""),"",IFERROR($D1977*INDEX(Mix_Eff,MATCH($C1977,Mix_Code,0),2),""))</f>
        <v/>
      </c>
      <c r="H1977" s="67" t="str">
        <f aca="false">IF(OR($C1977="",$D1977=""),"",IFERROR($D1977*INDEX(Mix_Eff,MATCH($C1977,Mix_Code,0),3),""))</f>
        <v/>
      </c>
      <c r="I1977" s="67" t="str">
        <f aca="false">IF(OR($C1977="",$D1977=""),"",IFERROR($D1977*INDEX(Mix_Eff,MATCH($C1977,Mix_Code,0),4),""))</f>
        <v/>
      </c>
      <c r="J1977" s="67" t="str">
        <f aca="false">IF(OR($C1977="",$D1977=""),"",IFERROR($D1977*INDEX(Mix_Eff,MATCH($C1977,Mix_Code,0),5),""))</f>
        <v/>
      </c>
      <c r="K1977" s="63"/>
      <c r="L1977" s="16" t="str">
        <f aca="false">IF(AND($A1977="",$B1977="",$C1977="",$D1977=""),"",IF($A1977="","⚠ Date missing",IF($B1977="","⚠ Site missing",IF(ISNA(MATCH($C1977,Mix_Code,0)),"⚠ Unknown mix code",IF($D1977="","⚠ Enter m3 produced",IF(COUNTIF(CI_Site,$B1977)=0,"⚠ Site not set up in Current Inventory",IF($A1977&gt;AsOfDate,"Future date – not yet deducted","OK")))))))</f>
        <v/>
      </c>
    </row>
    <row r="1978" customFormat="false" ht="15" hidden="false" customHeight="false" outlineLevel="0" collapsed="false">
      <c r="A1978" s="65"/>
      <c r="B1978" s="63"/>
      <c r="C1978" s="70"/>
      <c r="D1978" s="66"/>
      <c r="E1978" s="16" t="str">
        <f aca="false">IF($C1978="","",IFERROR(INDEX(Mix_Desc,MATCH($C1978,Mix_Code,0)),"⚠ Unknown mix code"))</f>
        <v/>
      </c>
      <c r="F1978" s="67" t="str">
        <f aca="false">IF(OR($C1978="",$D1978=""),"",IFERROR($D1978*INDEX(Mix_Eff,MATCH($C1978,Mix_Code,0),1),""))</f>
        <v/>
      </c>
      <c r="G1978" s="67" t="str">
        <f aca="false">IF(OR($C1978="",$D1978=""),"",IFERROR($D1978*INDEX(Mix_Eff,MATCH($C1978,Mix_Code,0),2),""))</f>
        <v/>
      </c>
      <c r="H1978" s="67" t="str">
        <f aca="false">IF(OR($C1978="",$D1978=""),"",IFERROR($D1978*INDEX(Mix_Eff,MATCH($C1978,Mix_Code,0),3),""))</f>
        <v/>
      </c>
      <c r="I1978" s="67" t="str">
        <f aca="false">IF(OR($C1978="",$D1978=""),"",IFERROR($D1978*INDEX(Mix_Eff,MATCH($C1978,Mix_Code,0),4),""))</f>
        <v/>
      </c>
      <c r="J1978" s="67" t="str">
        <f aca="false">IF(OR($C1978="",$D1978=""),"",IFERROR($D1978*INDEX(Mix_Eff,MATCH($C1978,Mix_Code,0),5),""))</f>
        <v/>
      </c>
      <c r="K1978" s="63"/>
      <c r="L1978" s="16" t="str">
        <f aca="false">IF(AND($A1978="",$B1978="",$C1978="",$D1978=""),"",IF($A1978="","⚠ Date missing",IF($B1978="","⚠ Site missing",IF(ISNA(MATCH($C1978,Mix_Code,0)),"⚠ Unknown mix code",IF($D1978="","⚠ Enter m3 produced",IF(COUNTIF(CI_Site,$B1978)=0,"⚠ Site not set up in Current Inventory",IF($A1978&gt;AsOfDate,"Future date – not yet deducted","OK")))))))</f>
        <v/>
      </c>
    </row>
    <row r="1979" customFormat="false" ht="15" hidden="false" customHeight="false" outlineLevel="0" collapsed="false">
      <c r="A1979" s="65"/>
      <c r="B1979" s="63"/>
      <c r="C1979" s="70"/>
      <c r="D1979" s="66"/>
      <c r="E1979" s="16" t="str">
        <f aca="false">IF($C1979="","",IFERROR(INDEX(Mix_Desc,MATCH($C1979,Mix_Code,0)),"⚠ Unknown mix code"))</f>
        <v/>
      </c>
      <c r="F1979" s="67" t="str">
        <f aca="false">IF(OR($C1979="",$D1979=""),"",IFERROR($D1979*INDEX(Mix_Eff,MATCH($C1979,Mix_Code,0),1),""))</f>
        <v/>
      </c>
      <c r="G1979" s="67" t="str">
        <f aca="false">IF(OR($C1979="",$D1979=""),"",IFERROR($D1979*INDEX(Mix_Eff,MATCH($C1979,Mix_Code,0),2),""))</f>
        <v/>
      </c>
      <c r="H1979" s="67" t="str">
        <f aca="false">IF(OR($C1979="",$D1979=""),"",IFERROR($D1979*INDEX(Mix_Eff,MATCH($C1979,Mix_Code,0),3),""))</f>
        <v/>
      </c>
      <c r="I1979" s="67" t="str">
        <f aca="false">IF(OR($C1979="",$D1979=""),"",IFERROR($D1979*INDEX(Mix_Eff,MATCH($C1979,Mix_Code,0),4),""))</f>
        <v/>
      </c>
      <c r="J1979" s="67" t="str">
        <f aca="false">IF(OR($C1979="",$D1979=""),"",IFERROR($D1979*INDEX(Mix_Eff,MATCH($C1979,Mix_Code,0),5),""))</f>
        <v/>
      </c>
      <c r="K1979" s="63"/>
      <c r="L1979" s="16" t="str">
        <f aca="false">IF(AND($A1979="",$B1979="",$C1979="",$D1979=""),"",IF($A1979="","⚠ Date missing",IF($B1979="","⚠ Site missing",IF(ISNA(MATCH($C1979,Mix_Code,0)),"⚠ Unknown mix code",IF($D1979="","⚠ Enter m3 produced",IF(COUNTIF(CI_Site,$B1979)=0,"⚠ Site not set up in Current Inventory",IF($A1979&gt;AsOfDate,"Future date – not yet deducted","OK")))))))</f>
        <v/>
      </c>
    </row>
    <row r="1980" customFormat="false" ht="15" hidden="false" customHeight="false" outlineLevel="0" collapsed="false">
      <c r="A1980" s="65"/>
      <c r="B1980" s="63"/>
      <c r="C1980" s="70"/>
      <c r="D1980" s="66"/>
      <c r="E1980" s="16" t="str">
        <f aca="false">IF($C1980="","",IFERROR(INDEX(Mix_Desc,MATCH($C1980,Mix_Code,0)),"⚠ Unknown mix code"))</f>
        <v/>
      </c>
      <c r="F1980" s="67" t="str">
        <f aca="false">IF(OR($C1980="",$D1980=""),"",IFERROR($D1980*INDEX(Mix_Eff,MATCH($C1980,Mix_Code,0),1),""))</f>
        <v/>
      </c>
      <c r="G1980" s="67" t="str">
        <f aca="false">IF(OR($C1980="",$D1980=""),"",IFERROR($D1980*INDEX(Mix_Eff,MATCH($C1980,Mix_Code,0),2),""))</f>
        <v/>
      </c>
      <c r="H1980" s="67" t="str">
        <f aca="false">IF(OR($C1980="",$D1980=""),"",IFERROR($D1980*INDEX(Mix_Eff,MATCH($C1980,Mix_Code,0),3),""))</f>
        <v/>
      </c>
      <c r="I1980" s="67" t="str">
        <f aca="false">IF(OR($C1980="",$D1980=""),"",IFERROR($D1980*INDEX(Mix_Eff,MATCH($C1980,Mix_Code,0),4),""))</f>
        <v/>
      </c>
      <c r="J1980" s="67" t="str">
        <f aca="false">IF(OR($C1980="",$D1980=""),"",IFERROR($D1980*INDEX(Mix_Eff,MATCH($C1980,Mix_Code,0),5),""))</f>
        <v/>
      </c>
      <c r="K1980" s="63"/>
      <c r="L1980" s="16" t="str">
        <f aca="false">IF(AND($A1980="",$B1980="",$C1980="",$D1980=""),"",IF($A1980="","⚠ Date missing",IF($B1980="","⚠ Site missing",IF(ISNA(MATCH($C1980,Mix_Code,0)),"⚠ Unknown mix code",IF($D1980="","⚠ Enter m3 produced",IF(COUNTIF(CI_Site,$B1980)=0,"⚠ Site not set up in Current Inventory",IF($A1980&gt;AsOfDate,"Future date – not yet deducted","OK")))))))</f>
        <v/>
      </c>
    </row>
    <row r="1981" customFormat="false" ht="15" hidden="false" customHeight="false" outlineLevel="0" collapsed="false">
      <c r="A1981" s="65"/>
      <c r="B1981" s="63"/>
      <c r="C1981" s="70"/>
      <c r="D1981" s="66"/>
      <c r="E1981" s="16" t="str">
        <f aca="false">IF($C1981="","",IFERROR(INDEX(Mix_Desc,MATCH($C1981,Mix_Code,0)),"⚠ Unknown mix code"))</f>
        <v/>
      </c>
      <c r="F1981" s="67" t="str">
        <f aca="false">IF(OR($C1981="",$D1981=""),"",IFERROR($D1981*INDEX(Mix_Eff,MATCH($C1981,Mix_Code,0),1),""))</f>
        <v/>
      </c>
      <c r="G1981" s="67" t="str">
        <f aca="false">IF(OR($C1981="",$D1981=""),"",IFERROR($D1981*INDEX(Mix_Eff,MATCH($C1981,Mix_Code,0),2),""))</f>
        <v/>
      </c>
      <c r="H1981" s="67" t="str">
        <f aca="false">IF(OR($C1981="",$D1981=""),"",IFERROR($D1981*INDEX(Mix_Eff,MATCH($C1981,Mix_Code,0),3),""))</f>
        <v/>
      </c>
      <c r="I1981" s="67" t="str">
        <f aca="false">IF(OR($C1981="",$D1981=""),"",IFERROR($D1981*INDEX(Mix_Eff,MATCH($C1981,Mix_Code,0),4),""))</f>
        <v/>
      </c>
      <c r="J1981" s="67" t="str">
        <f aca="false">IF(OR($C1981="",$D1981=""),"",IFERROR($D1981*INDEX(Mix_Eff,MATCH($C1981,Mix_Code,0),5),""))</f>
        <v/>
      </c>
      <c r="K1981" s="63"/>
      <c r="L1981" s="16" t="str">
        <f aca="false">IF(AND($A1981="",$B1981="",$C1981="",$D1981=""),"",IF($A1981="","⚠ Date missing",IF($B1981="","⚠ Site missing",IF(ISNA(MATCH($C1981,Mix_Code,0)),"⚠ Unknown mix code",IF($D1981="","⚠ Enter m3 produced",IF(COUNTIF(CI_Site,$B1981)=0,"⚠ Site not set up in Current Inventory",IF($A1981&gt;AsOfDate,"Future date – not yet deducted","OK")))))))</f>
        <v/>
      </c>
    </row>
    <row r="1982" customFormat="false" ht="15" hidden="false" customHeight="false" outlineLevel="0" collapsed="false">
      <c r="A1982" s="65"/>
      <c r="B1982" s="63"/>
      <c r="C1982" s="70"/>
      <c r="D1982" s="66"/>
      <c r="E1982" s="16" t="str">
        <f aca="false">IF($C1982="","",IFERROR(INDEX(Mix_Desc,MATCH($C1982,Mix_Code,0)),"⚠ Unknown mix code"))</f>
        <v/>
      </c>
      <c r="F1982" s="67" t="str">
        <f aca="false">IF(OR($C1982="",$D1982=""),"",IFERROR($D1982*INDEX(Mix_Eff,MATCH($C1982,Mix_Code,0),1),""))</f>
        <v/>
      </c>
      <c r="G1982" s="67" t="str">
        <f aca="false">IF(OR($C1982="",$D1982=""),"",IFERROR($D1982*INDEX(Mix_Eff,MATCH($C1982,Mix_Code,0),2),""))</f>
        <v/>
      </c>
      <c r="H1982" s="67" t="str">
        <f aca="false">IF(OR($C1982="",$D1982=""),"",IFERROR($D1982*INDEX(Mix_Eff,MATCH($C1982,Mix_Code,0),3),""))</f>
        <v/>
      </c>
      <c r="I1982" s="67" t="str">
        <f aca="false">IF(OR($C1982="",$D1982=""),"",IFERROR($D1982*INDEX(Mix_Eff,MATCH($C1982,Mix_Code,0),4),""))</f>
        <v/>
      </c>
      <c r="J1982" s="67" t="str">
        <f aca="false">IF(OR($C1982="",$D1982=""),"",IFERROR($D1982*INDEX(Mix_Eff,MATCH($C1982,Mix_Code,0),5),""))</f>
        <v/>
      </c>
      <c r="K1982" s="63"/>
      <c r="L1982" s="16" t="str">
        <f aca="false">IF(AND($A1982="",$B1982="",$C1982="",$D1982=""),"",IF($A1982="","⚠ Date missing",IF($B1982="","⚠ Site missing",IF(ISNA(MATCH($C1982,Mix_Code,0)),"⚠ Unknown mix code",IF($D1982="","⚠ Enter m3 produced",IF(COUNTIF(CI_Site,$B1982)=0,"⚠ Site not set up in Current Inventory",IF($A1982&gt;AsOfDate,"Future date – not yet deducted","OK")))))))</f>
        <v/>
      </c>
    </row>
    <row r="1983" customFormat="false" ht="15" hidden="false" customHeight="false" outlineLevel="0" collapsed="false">
      <c r="A1983" s="65"/>
      <c r="B1983" s="63"/>
      <c r="C1983" s="70"/>
      <c r="D1983" s="66"/>
      <c r="E1983" s="16" t="str">
        <f aca="false">IF($C1983="","",IFERROR(INDEX(Mix_Desc,MATCH($C1983,Mix_Code,0)),"⚠ Unknown mix code"))</f>
        <v/>
      </c>
      <c r="F1983" s="67" t="str">
        <f aca="false">IF(OR($C1983="",$D1983=""),"",IFERROR($D1983*INDEX(Mix_Eff,MATCH($C1983,Mix_Code,0),1),""))</f>
        <v/>
      </c>
      <c r="G1983" s="67" t="str">
        <f aca="false">IF(OR($C1983="",$D1983=""),"",IFERROR($D1983*INDEX(Mix_Eff,MATCH($C1983,Mix_Code,0),2),""))</f>
        <v/>
      </c>
      <c r="H1983" s="67" t="str">
        <f aca="false">IF(OR($C1983="",$D1983=""),"",IFERROR($D1983*INDEX(Mix_Eff,MATCH($C1983,Mix_Code,0),3),""))</f>
        <v/>
      </c>
      <c r="I1983" s="67" t="str">
        <f aca="false">IF(OR($C1983="",$D1983=""),"",IFERROR($D1983*INDEX(Mix_Eff,MATCH($C1983,Mix_Code,0),4),""))</f>
        <v/>
      </c>
      <c r="J1983" s="67" t="str">
        <f aca="false">IF(OR($C1983="",$D1983=""),"",IFERROR($D1983*INDEX(Mix_Eff,MATCH($C1983,Mix_Code,0),5),""))</f>
        <v/>
      </c>
      <c r="K1983" s="63"/>
      <c r="L1983" s="16" t="str">
        <f aca="false">IF(AND($A1983="",$B1983="",$C1983="",$D1983=""),"",IF($A1983="","⚠ Date missing",IF($B1983="","⚠ Site missing",IF(ISNA(MATCH($C1983,Mix_Code,0)),"⚠ Unknown mix code",IF($D1983="","⚠ Enter m3 produced",IF(COUNTIF(CI_Site,$B1983)=0,"⚠ Site not set up in Current Inventory",IF($A1983&gt;AsOfDate,"Future date – not yet deducted","OK")))))))</f>
        <v/>
      </c>
    </row>
    <row r="1984" customFormat="false" ht="15" hidden="false" customHeight="false" outlineLevel="0" collapsed="false">
      <c r="A1984" s="65"/>
      <c r="B1984" s="63"/>
      <c r="C1984" s="70"/>
      <c r="D1984" s="66"/>
      <c r="E1984" s="16" t="str">
        <f aca="false">IF($C1984="","",IFERROR(INDEX(Mix_Desc,MATCH($C1984,Mix_Code,0)),"⚠ Unknown mix code"))</f>
        <v/>
      </c>
      <c r="F1984" s="67" t="str">
        <f aca="false">IF(OR($C1984="",$D1984=""),"",IFERROR($D1984*INDEX(Mix_Eff,MATCH($C1984,Mix_Code,0),1),""))</f>
        <v/>
      </c>
      <c r="G1984" s="67" t="str">
        <f aca="false">IF(OR($C1984="",$D1984=""),"",IFERROR($D1984*INDEX(Mix_Eff,MATCH($C1984,Mix_Code,0),2),""))</f>
        <v/>
      </c>
      <c r="H1984" s="67" t="str">
        <f aca="false">IF(OR($C1984="",$D1984=""),"",IFERROR($D1984*INDEX(Mix_Eff,MATCH($C1984,Mix_Code,0),3),""))</f>
        <v/>
      </c>
      <c r="I1984" s="67" t="str">
        <f aca="false">IF(OR($C1984="",$D1984=""),"",IFERROR($D1984*INDEX(Mix_Eff,MATCH($C1984,Mix_Code,0),4),""))</f>
        <v/>
      </c>
      <c r="J1984" s="67" t="str">
        <f aca="false">IF(OR($C1984="",$D1984=""),"",IFERROR($D1984*INDEX(Mix_Eff,MATCH($C1984,Mix_Code,0),5),""))</f>
        <v/>
      </c>
      <c r="K1984" s="63"/>
      <c r="L1984" s="16" t="str">
        <f aca="false">IF(AND($A1984="",$B1984="",$C1984="",$D1984=""),"",IF($A1984="","⚠ Date missing",IF($B1984="","⚠ Site missing",IF(ISNA(MATCH($C1984,Mix_Code,0)),"⚠ Unknown mix code",IF($D1984="","⚠ Enter m3 produced",IF(COUNTIF(CI_Site,$B1984)=0,"⚠ Site not set up in Current Inventory",IF($A1984&gt;AsOfDate,"Future date – not yet deducted","OK")))))))</f>
        <v/>
      </c>
    </row>
    <row r="1985" customFormat="false" ht="15" hidden="false" customHeight="false" outlineLevel="0" collapsed="false">
      <c r="A1985" s="65"/>
      <c r="B1985" s="63"/>
      <c r="C1985" s="70"/>
      <c r="D1985" s="66"/>
      <c r="E1985" s="16" t="str">
        <f aca="false">IF($C1985="","",IFERROR(INDEX(Mix_Desc,MATCH($C1985,Mix_Code,0)),"⚠ Unknown mix code"))</f>
        <v/>
      </c>
      <c r="F1985" s="67" t="str">
        <f aca="false">IF(OR($C1985="",$D1985=""),"",IFERROR($D1985*INDEX(Mix_Eff,MATCH($C1985,Mix_Code,0),1),""))</f>
        <v/>
      </c>
      <c r="G1985" s="67" t="str">
        <f aca="false">IF(OR($C1985="",$D1985=""),"",IFERROR($D1985*INDEX(Mix_Eff,MATCH($C1985,Mix_Code,0),2),""))</f>
        <v/>
      </c>
      <c r="H1985" s="67" t="str">
        <f aca="false">IF(OR($C1985="",$D1985=""),"",IFERROR($D1985*INDEX(Mix_Eff,MATCH($C1985,Mix_Code,0),3),""))</f>
        <v/>
      </c>
      <c r="I1985" s="67" t="str">
        <f aca="false">IF(OR($C1985="",$D1985=""),"",IFERROR($D1985*INDEX(Mix_Eff,MATCH($C1985,Mix_Code,0),4),""))</f>
        <v/>
      </c>
      <c r="J1985" s="67" t="str">
        <f aca="false">IF(OR($C1985="",$D1985=""),"",IFERROR($D1985*INDEX(Mix_Eff,MATCH($C1985,Mix_Code,0),5),""))</f>
        <v/>
      </c>
      <c r="K1985" s="63"/>
      <c r="L1985" s="16" t="str">
        <f aca="false">IF(AND($A1985="",$B1985="",$C1985="",$D1985=""),"",IF($A1985="","⚠ Date missing",IF($B1985="","⚠ Site missing",IF(ISNA(MATCH($C1985,Mix_Code,0)),"⚠ Unknown mix code",IF($D1985="","⚠ Enter m3 produced",IF(COUNTIF(CI_Site,$B1985)=0,"⚠ Site not set up in Current Inventory",IF($A1985&gt;AsOfDate,"Future date – not yet deducted","OK")))))))</f>
        <v/>
      </c>
    </row>
    <row r="1986" customFormat="false" ht="15" hidden="false" customHeight="false" outlineLevel="0" collapsed="false">
      <c r="A1986" s="65"/>
      <c r="B1986" s="63"/>
      <c r="C1986" s="70"/>
      <c r="D1986" s="66"/>
      <c r="E1986" s="16" t="str">
        <f aca="false">IF($C1986="","",IFERROR(INDEX(Mix_Desc,MATCH($C1986,Mix_Code,0)),"⚠ Unknown mix code"))</f>
        <v/>
      </c>
      <c r="F1986" s="67" t="str">
        <f aca="false">IF(OR($C1986="",$D1986=""),"",IFERROR($D1986*INDEX(Mix_Eff,MATCH($C1986,Mix_Code,0),1),""))</f>
        <v/>
      </c>
      <c r="G1986" s="67" t="str">
        <f aca="false">IF(OR($C1986="",$D1986=""),"",IFERROR($D1986*INDEX(Mix_Eff,MATCH($C1986,Mix_Code,0),2),""))</f>
        <v/>
      </c>
      <c r="H1986" s="67" t="str">
        <f aca="false">IF(OR($C1986="",$D1986=""),"",IFERROR($D1986*INDEX(Mix_Eff,MATCH($C1986,Mix_Code,0),3),""))</f>
        <v/>
      </c>
      <c r="I1986" s="67" t="str">
        <f aca="false">IF(OR($C1986="",$D1986=""),"",IFERROR($D1986*INDEX(Mix_Eff,MATCH($C1986,Mix_Code,0),4),""))</f>
        <v/>
      </c>
      <c r="J1986" s="67" t="str">
        <f aca="false">IF(OR($C1986="",$D1986=""),"",IFERROR($D1986*INDEX(Mix_Eff,MATCH($C1986,Mix_Code,0),5),""))</f>
        <v/>
      </c>
      <c r="K1986" s="63"/>
      <c r="L1986" s="16" t="str">
        <f aca="false">IF(AND($A1986="",$B1986="",$C1986="",$D1986=""),"",IF($A1986="","⚠ Date missing",IF($B1986="","⚠ Site missing",IF(ISNA(MATCH($C1986,Mix_Code,0)),"⚠ Unknown mix code",IF($D1986="","⚠ Enter m3 produced",IF(COUNTIF(CI_Site,$B1986)=0,"⚠ Site not set up in Current Inventory",IF($A1986&gt;AsOfDate,"Future date – not yet deducted","OK")))))))</f>
        <v/>
      </c>
    </row>
    <row r="1987" customFormat="false" ht="15" hidden="false" customHeight="false" outlineLevel="0" collapsed="false">
      <c r="A1987" s="65"/>
      <c r="B1987" s="63"/>
      <c r="C1987" s="70"/>
      <c r="D1987" s="66"/>
      <c r="E1987" s="16" t="str">
        <f aca="false">IF($C1987="","",IFERROR(INDEX(Mix_Desc,MATCH($C1987,Mix_Code,0)),"⚠ Unknown mix code"))</f>
        <v/>
      </c>
      <c r="F1987" s="67" t="str">
        <f aca="false">IF(OR($C1987="",$D1987=""),"",IFERROR($D1987*INDEX(Mix_Eff,MATCH($C1987,Mix_Code,0),1),""))</f>
        <v/>
      </c>
      <c r="G1987" s="67" t="str">
        <f aca="false">IF(OR($C1987="",$D1987=""),"",IFERROR($D1987*INDEX(Mix_Eff,MATCH($C1987,Mix_Code,0),2),""))</f>
        <v/>
      </c>
      <c r="H1987" s="67" t="str">
        <f aca="false">IF(OR($C1987="",$D1987=""),"",IFERROR($D1987*INDEX(Mix_Eff,MATCH($C1987,Mix_Code,0),3),""))</f>
        <v/>
      </c>
      <c r="I1987" s="67" t="str">
        <f aca="false">IF(OR($C1987="",$D1987=""),"",IFERROR($D1987*INDEX(Mix_Eff,MATCH($C1987,Mix_Code,0),4),""))</f>
        <v/>
      </c>
      <c r="J1987" s="67" t="str">
        <f aca="false">IF(OR($C1987="",$D1987=""),"",IFERROR($D1987*INDEX(Mix_Eff,MATCH($C1987,Mix_Code,0),5),""))</f>
        <v/>
      </c>
      <c r="K1987" s="63"/>
      <c r="L1987" s="16" t="str">
        <f aca="false">IF(AND($A1987="",$B1987="",$C1987="",$D1987=""),"",IF($A1987="","⚠ Date missing",IF($B1987="","⚠ Site missing",IF(ISNA(MATCH($C1987,Mix_Code,0)),"⚠ Unknown mix code",IF($D1987="","⚠ Enter m3 produced",IF(COUNTIF(CI_Site,$B1987)=0,"⚠ Site not set up in Current Inventory",IF($A1987&gt;AsOfDate,"Future date – not yet deducted","OK")))))))</f>
        <v/>
      </c>
    </row>
    <row r="1988" customFormat="false" ht="15" hidden="false" customHeight="false" outlineLevel="0" collapsed="false">
      <c r="A1988" s="65"/>
      <c r="B1988" s="63"/>
      <c r="C1988" s="70"/>
      <c r="D1988" s="66"/>
      <c r="E1988" s="16" t="str">
        <f aca="false">IF($C1988="","",IFERROR(INDEX(Mix_Desc,MATCH($C1988,Mix_Code,0)),"⚠ Unknown mix code"))</f>
        <v/>
      </c>
      <c r="F1988" s="67" t="str">
        <f aca="false">IF(OR($C1988="",$D1988=""),"",IFERROR($D1988*INDEX(Mix_Eff,MATCH($C1988,Mix_Code,0),1),""))</f>
        <v/>
      </c>
      <c r="G1988" s="67" t="str">
        <f aca="false">IF(OR($C1988="",$D1988=""),"",IFERROR($D1988*INDEX(Mix_Eff,MATCH($C1988,Mix_Code,0),2),""))</f>
        <v/>
      </c>
      <c r="H1988" s="67" t="str">
        <f aca="false">IF(OR($C1988="",$D1988=""),"",IFERROR($D1988*INDEX(Mix_Eff,MATCH($C1988,Mix_Code,0),3),""))</f>
        <v/>
      </c>
      <c r="I1988" s="67" t="str">
        <f aca="false">IF(OR($C1988="",$D1988=""),"",IFERROR($D1988*INDEX(Mix_Eff,MATCH($C1988,Mix_Code,0),4),""))</f>
        <v/>
      </c>
      <c r="J1988" s="67" t="str">
        <f aca="false">IF(OR($C1988="",$D1988=""),"",IFERROR($D1988*INDEX(Mix_Eff,MATCH($C1988,Mix_Code,0),5),""))</f>
        <v/>
      </c>
      <c r="K1988" s="63"/>
      <c r="L1988" s="16" t="str">
        <f aca="false">IF(AND($A1988="",$B1988="",$C1988="",$D1988=""),"",IF($A1988="","⚠ Date missing",IF($B1988="","⚠ Site missing",IF(ISNA(MATCH($C1988,Mix_Code,0)),"⚠ Unknown mix code",IF($D1988="","⚠ Enter m3 produced",IF(COUNTIF(CI_Site,$B1988)=0,"⚠ Site not set up in Current Inventory",IF($A1988&gt;AsOfDate,"Future date – not yet deducted","OK")))))))</f>
        <v/>
      </c>
    </row>
    <row r="1989" customFormat="false" ht="15" hidden="false" customHeight="false" outlineLevel="0" collapsed="false">
      <c r="A1989" s="65"/>
      <c r="B1989" s="63"/>
      <c r="C1989" s="70"/>
      <c r="D1989" s="66"/>
      <c r="E1989" s="16" t="str">
        <f aca="false">IF($C1989="","",IFERROR(INDEX(Mix_Desc,MATCH($C1989,Mix_Code,0)),"⚠ Unknown mix code"))</f>
        <v/>
      </c>
      <c r="F1989" s="67" t="str">
        <f aca="false">IF(OR($C1989="",$D1989=""),"",IFERROR($D1989*INDEX(Mix_Eff,MATCH($C1989,Mix_Code,0),1),""))</f>
        <v/>
      </c>
      <c r="G1989" s="67" t="str">
        <f aca="false">IF(OR($C1989="",$D1989=""),"",IFERROR($D1989*INDEX(Mix_Eff,MATCH($C1989,Mix_Code,0),2),""))</f>
        <v/>
      </c>
      <c r="H1989" s="67" t="str">
        <f aca="false">IF(OR($C1989="",$D1989=""),"",IFERROR($D1989*INDEX(Mix_Eff,MATCH($C1989,Mix_Code,0),3),""))</f>
        <v/>
      </c>
      <c r="I1989" s="67" t="str">
        <f aca="false">IF(OR($C1989="",$D1989=""),"",IFERROR($D1989*INDEX(Mix_Eff,MATCH($C1989,Mix_Code,0),4),""))</f>
        <v/>
      </c>
      <c r="J1989" s="67" t="str">
        <f aca="false">IF(OR($C1989="",$D1989=""),"",IFERROR($D1989*INDEX(Mix_Eff,MATCH($C1989,Mix_Code,0),5),""))</f>
        <v/>
      </c>
      <c r="K1989" s="63"/>
      <c r="L1989" s="16" t="str">
        <f aca="false">IF(AND($A1989="",$B1989="",$C1989="",$D1989=""),"",IF($A1989="","⚠ Date missing",IF($B1989="","⚠ Site missing",IF(ISNA(MATCH($C1989,Mix_Code,0)),"⚠ Unknown mix code",IF($D1989="","⚠ Enter m3 produced",IF(COUNTIF(CI_Site,$B1989)=0,"⚠ Site not set up in Current Inventory",IF($A1989&gt;AsOfDate,"Future date – not yet deducted","OK")))))))</f>
        <v/>
      </c>
    </row>
    <row r="1990" customFormat="false" ht="15" hidden="false" customHeight="false" outlineLevel="0" collapsed="false">
      <c r="A1990" s="65"/>
      <c r="B1990" s="63"/>
      <c r="C1990" s="70"/>
      <c r="D1990" s="66"/>
      <c r="E1990" s="16" t="str">
        <f aca="false">IF($C1990="","",IFERROR(INDEX(Mix_Desc,MATCH($C1990,Mix_Code,0)),"⚠ Unknown mix code"))</f>
        <v/>
      </c>
      <c r="F1990" s="67" t="str">
        <f aca="false">IF(OR($C1990="",$D1990=""),"",IFERROR($D1990*INDEX(Mix_Eff,MATCH($C1990,Mix_Code,0),1),""))</f>
        <v/>
      </c>
      <c r="G1990" s="67" t="str">
        <f aca="false">IF(OR($C1990="",$D1990=""),"",IFERROR($D1990*INDEX(Mix_Eff,MATCH($C1990,Mix_Code,0),2),""))</f>
        <v/>
      </c>
      <c r="H1990" s="67" t="str">
        <f aca="false">IF(OR($C1990="",$D1990=""),"",IFERROR($D1990*INDEX(Mix_Eff,MATCH($C1990,Mix_Code,0),3),""))</f>
        <v/>
      </c>
      <c r="I1990" s="67" t="str">
        <f aca="false">IF(OR($C1990="",$D1990=""),"",IFERROR($D1990*INDEX(Mix_Eff,MATCH($C1990,Mix_Code,0),4),""))</f>
        <v/>
      </c>
      <c r="J1990" s="67" t="str">
        <f aca="false">IF(OR($C1990="",$D1990=""),"",IFERROR($D1990*INDEX(Mix_Eff,MATCH($C1990,Mix_Code,0),5),""))</f>
        <v/>
      </c>
      <c r="K1990" s="63"/>
      <c r="L1990" s="16" t="str">
        <f aca="false">IF(AND($A1990="",$B1990="",$C1990="",$D1990=""),"",IF($A1990="","⚠ Date missing",IF($B1990="","⚠ Site missing",IF(ISNA(MATCH($C1990,Mix_Code,0)),"⚠ Unknown mix code",IF($D1990="","⚠ Enter m3 produced",IF(COUNTIF(CI_Site,$B1990)=0,"⚠ Site not set up in Current Inventory",IF($A1990&gt;AsOfDate,"Future date – not yet deducted","OK")))))))</f>
        <v/>
      </c>
    </row>
    <row r="1991" customFormat="false" ht="15" hidden="false" customHeight="false" outlineLevel="0" collapsed="false">
      <c r="A1991" s="65"/>
      <c r="B1991" s="63"/>
      <c r="C1991" s="70"/>
      <c r="D1991" s="66"/>
      <c r="E1991" s="16" t="str">
        <f aca="false">IF($C1991="","",IFERROR(INDEX(Mix_Desc,MATCH($C1991,Mix_Code,0)),"⚠ Unknown mix code"))</f>
        <v/>
      </c>
      <c r="F1991" s="67" t="str">
        <f aca="false">IF(OR($C1991="",$D1991=""),"",IFERROR($D1991*INDEX(Mix_Eff,MATCH($C1991,Mix_Code,0),1),""))</f>
        <v/>
      </c>
      <c r="G1991" s="67" t="str">
        <f aca="false">IF(OR($C1991="",$D1991=""),"",IFERROR($D1991*INDEX(Mix_Eff,MATCH($C1991,Mix_Code,0),2),""))</f>
        <v/>
      </c>
      <c r="H1991" s="67" t="str">
        <f aca="false">IF(OR($C1991="",$D1991=""),"",IFERROR($D1991*INDEX(Mix_Eff,MATCH($C1991,Mix_Code,0),3),""))</f>
        <v/>
      </c>
      <c r="I1991" s="67" t="str">
        <f aca="false">IF(OR($C1991="",$D1991=""),"",IFERROR($D1991*INDEX(Mix_Eff,MATCH($C1991,Mix_Code,0),4),""))</f>
        <v/>
      </c>
      <c r="J1991" s="67" t="str">
        <f aca="false">IF(OR($C1991="",$D1991=""),"",IFERROR($D1991*INDEX(Mix_Eff,MATCH($C1991,Mix_Code,0),5),""))</f>
        <v/>
      </c>
      <c r="K1991" s="63"/>
      <c r="L1991" s="16" t="str">
        <f aca="false">IF(AND($A1991="",$B1991="",$C1991="",$D1991=""),"",IF($A1991="","⚠ Date missing",IF($B1991="","⚠ Site missing",IF(ISNA(MATCH($C1991,Mix_Code,0)),"⚠ Unknown mix code",IF($D1991="","⚠ Enter m3 produced",IF(COUNTIF(CI_Site,$B1991)=0,"⚠ Site not set up in Current Inventory",IF($A1991&gt;AsOfDate,"Future date – not yet deducted","OK")))))))</f>
        <v/>
      </c>
    </row>
    <row r="1992" customFormat="false" ht="15" hidden="false" customHeight="false" outlineLevel="0" collapsed="false">
      <c r="A1992" s="65"/>
      <c r="B1992" s="63"/>
      <c r="C1992" s="70"/>
      <c r="D1992" s="66"/>
      <c r="E1992" s="16" t="str">
        <f aca="false">IF($C1992="","",IFERROR(INDEX(Mix_Desc,MATCH($C1992,Mix_Code,0)),"⚠ Unknown mix code"))</f>
        <v/>
      </c>
      <c r="F1992" s="67" t="str">
        <f aca="false">IF(OR($C1992="",$D1992=""),"",IFERROR($D1992*INDEX(Mix_Eff,MATCH($C1992,Mix_Code,0),1),""))</f>
        <v/>
      </c>
      <c r="G1992" s="67" t="str">
        <f aca="false">IF(OR($C1992="",$D1992=""),"",IFERROR($D1992*INDEX(Mix_Eff,MATCH($C1992,Mix_Code,0),2),""))</f>
        <v/>
      </c>
      <c r="H1992" s="67" t="str">
        <f aca="false">IF(OR($C1992="",$D1992=""),"",IFERROR($D1992*INDEX(Mix_Eff,MATCH($C1992,Mix_Code,0),3),""))</f>
        <v/>
      </c>
      <c r="I1992" s="67" t="str">
        <f aca="false">IF(OR($C1992="",$D1992=""),"",IFERROR($D1992*INDEX(Mix_Eff,MATCH($C1992,Mix_Code,0),4),""))</f>
        <v/>
      </c>
      <c r="J1992" s="67" t="str">
        <f aca="false">IF(OR($C1992="",$D1992=""),"",IFERROR($D1992*INDEX(Mix_Eff,MATCH($C1992,Mix_Code,0),5),""))</f>
        <v/>
      </c>
      <c r="K1992" s="63"/>
      <c r="L1992" s="16" t="str">
        <f aca="false">IF(AND($A1992="",$B1992="",$C1992="",$D1992=""),"",IF($A1992="","⚠ Date missing",IF($B1992="","⚠ Site missing",IF(ISNA(MATCH($C1992,Mix_Code,0)),"⚠ Unknown mix code",IF($D1992="","⚠ Enter m3 produced",IF(COUNTIF(CI_Site,$B1992)=0,"⚠ Site not set up in Current Inventory",IF($A1992&gt;AsOfDate,"Future date – not yet deducted","OK")))))))</f>
        <v/>
      </c>
    </row>
    <row r="1993" customFormat="false" ht="15" hidden="false" customHeight="false" outlineLevel="0" collapsed="false">
      <c r="A1993" s="65"/>
      <c r="B1993" s="63"/>
      <c r="C1993" s="70"/>
      <c r="D1993" s="66"/>
      <c r="E1993" s="16" t="str">
        <f aca="false">IF($C1993="","",IFERROR(INDEX(Mix_Desc,MATCH($C1993,Mix_Code,0)),"⚠ Unknown mix code"))</f>
        <v/>
      </c>
      <c r="F1993" s="67" t="str">
        <f aca="false">IF(OR($C1993="",$D1993=""),"",IFERROR($D1993*INDEX(Mix_Eff,MATCH($C1993,Mix_Code,0),1),""))</f>
        <v/>
      </c>
      <c r="G1993" s="67" t="str">
        <f aca="false">IF(OR($C1993="",$D1993=""),"",IFERROR($D1993*INDEX(Mix_Eff,MATCH($C1993,Mix_Code,0),2),""))</f>
        <v/>
      </c>
      <c r="H1993" s="67" t="str">
        <f aca="false">IF(OR($C1993="",$D1993=""),"",IFERROR($D1993*INDEX(Mix_Eff,MATCH($C1993,Mix_Code,0),3),""))</f>
        <v/>
      </c>
      <c r="I1993" s="67" t="str">
        <f aca="false">IF(OR($C1993="",$D1993=""),"",IFERROR($D1993*INDEX(Mix_Eff,MATCH($C1993,Mix_Code,0),4),""))</f>
        <v/>
      </c>
      <c r="J1993" s="67" t="str">
        <f aca="false">IF(OR($C1993="",$D1993=""),"",IFERROR($D1993*INDEX(Mix_Eff,MATCH($C1993,Mix_Code,0),5),""))</f>
        <v/>
      </c>
      <c r="K1993" s="63"/>
      <c r="L1993" s="16" t="str">
        <f aca="false">IF(AND($A1993="",$B1993="",$C1993="",$D1993=""),"",IF($A1993="","⚠ Date missing",IF($B1993="","⚠ Site missing",IF(ISNA(MATCH($C1993,Mix_Code,0)),"⚠ Unknown mix code",IF($D1993="","⚠ Enter m3 produced",IF(COUNTIF(CI_Site,$B1993)=0,"⚠ Site not set up in Current Inventory",IF($A1993&gt;AsOfDate,"Future date – not yet deducted","OK")))))))</f>
        <v/>
      </c>
    </row>
    <row r="1994" customFormat="false" ht="15" hidden="false" customHeight="false" outlineLevel="0" collapsed="false">
      <c r="A1994" s="65"/>
      <c r="B1994" s="63"/>
      <c r="C1994" s="70"/>
      <c r="D1994" s="66"/>
      <c r="E1994" s="16" t="str">
        <f aca="false">IF($C1994="","",IFERROR(INDEX(Mix_Desc,MATCH($C1994,Mix_Code,0)),"⚠ Unknown mix code"))</f>
        <v/>
      </c>
      <c r="F1994" s="67" t="str">
        <f aca="false">IF(OR($C1994="",$D1994=""),"",IFERROR($D1994*INDEX(Mix_Eff,MATCH($C1994,Mix_Code,0),1),""))</f>
        <v/>
      </c>
      <c r="G1994" s="67" t="str">
        <f aca="false">IF(OR($C1994="",$D1994=""),"",IFERROR($D1994*INDEX(Mix_Eff,MATCH($C1994,Mix_Code,0),2),""))</f>
        <v/>
      </c>
      <c r="H1994" s="67" t="str">
        <f aca="false">IF(OR($C1994="",$D1994=""),"",IFERROR($D1994*INDEX(Mix_Eff,MATCH($C1994,Mix_Code,0),3),""))</f>
        <v/>
      </c>
      <c r="I1994" s="67" t="str">
        <f aca="false">IF(OR($C1994="",$D1994=""),"",IFERROR($D1994*INDEX(Mix_Eff,MATCH($C1994,Mix_Code,0),4),""))</f>
        <v/>
      </c>
      <c r="J1994" s="67" t="str">
        <f aca="false">IF(OR($C1994="",$D1994=""),"",IFERROR($D1994*INDEX(Mix_Eff,MATCH($C1994,Mix_Code,0),5),""))</f>
        <v/>
      </c>
      <c r="K1994" s="63"/>
      <c r="L1994" s="16" t="str">
        <f aca="false">IF(AND($A1994="",$B1994="",$C1994="",$D1994=""),"",IF($A1994="","⚠ Date missing",IF($B1994="","⚠ Site missing",IF(ISNA(MATCH($C1994,Mix_Code,0)),"⚠ Unknown mix code",IF($D1994="","⚠ Enter m3 produced",IF(COUNTIF(CI_Site,$B1994)=0,"⚠ Site not set up in Current Inventory",IF($A1994&gt;AsOfDate,"Future date – not yet deducted","OK")))))))</f>
        <v/>
      </c>
    </row>
    <row r="1995" customFormat="false" ht="15" hidden="false" customHeight="false" outlineLevel="0" collapsed="false">
      <c r="A1995" s="65"/>
      <c r="B1995" s="63"/>
      <c r="C1995" s="70"/>
      <c r="D1995" s="66"/>
      <c r="E1995" s="16" t="str">
        <f aca="false">IF($C1995="","",IFERROR(INDEX(Mix_Desc,MATCH($C1995,Mix_Code,0)),"⚠ Unknown mix code"))</f>
        <v/>
      </c>
      <c r="F1995" s="67" t="str">
        <f aca="false">IF(OR($C1995="",$D1995=""),"",IFERROR($D1995*INDEX(Mix_Eff,MATCH($C1995,Mix_Code,0),1),""))</f>
        <v/>
      </c>
      <c r="G1995" s="67" t="str">
        <f aca="false">IF(OR($C1995="",$D1995=""),"",IFERROR($D1995*INDEX(Mix_Eff,MATCH($C1995,Mix_Code,0),2),""))</f>
        <v/>
      </c>
      <c r="H1995" s="67" t="str">
        <f aca="false">IF(OR($C1995="",$D1995=""),"",IFERROR($D1995*INDEX(Mix_Eff,MATCH($C1995,Mix_Code,0),3),""))</f>
        <v/>
      </c>
      <c r="I1995" s="67" t="str">
        <f aca="false">IF(OR($C1995="",$D1995=""),"",IFERROR($D1995*INDEX(Mix_Eff,MATCH($C1995,Mix_Code,0),4),""))</f>
        <v/>
      </c>
      <c r="J1995" s="67" t="str">
        <f aca="false">IF(OR($C1995="",$D1995=""),"",IFERROR($D1995*INDEX(Mix_Eff,MATCH($C1995,Mix_Code,0),5),""))</f>
        <v/>
      </c>
      <c r="K1995" s="63"/>
      <c r="L1995" s="16" t="str">
        <f aca="false">IF(AND($A1995="",$B1995="",$C1995="",$D1995=""),"",IF($A1995="","⚠ Date missing",IF($B1995="","⚠ Site missing",IF(ISNA(MATCH($C1995,Mix_Code,0)),"⚠ Unknown mix code",IF($D1995="","⚠ Enter m3 produced",IF(COUNTIF(CI_Site,$B1995)=0,"⚠ Site not set up in Current Inventory",IF($A1995&gt;AsOfDate,"Future date – not yet deducted","OK")))))))</f>
        <v/>
      </c>
    </row>
    <row r="1996" customFormat="false" ht="15" hidden="false" customHeight="false" outlineLevel="0" collapsed="false">
      <c r="A1996" s="65"/>
      <c r="B1996" s="63"/>
      <c r="C1996" s="70"/>
      <c r="D1996" s="66"/>
      <c r="E1996" s="16" t="str">
        <f aca="false">IF($C1996="","",IFERROR(INDEX(Mix_Desc,MATCH($C1996,Mix_Code,0)),"⚠ Unknown mix code"))</f>
        <v/>
      </c>
      <c r="F1996" s="67" t="str">
        <f aca="false">IF(OR($C1996="",$D1996=""),"",IFERROR($D1996*INDEX(Mix_Eff,MATCH($C1996,Mix_Code,0),1),""))</f>
        <v/>
      </c>
      <c r="G1996" s="67" t="str">
        <f aca="false">IF(OR($C1996="",$D1996=""),"",IFERROR($D1996*INDEX(Mix_Eff,MATCH($C1996,Mix_Code,0),2),""))</f>
        <v/>
      </c>
      <c r="H1996" s="67" t="str">
        <f aca="false">IF(OR($C1996="",$D1996=""),"",IFERROR($D1996*INDEX(Mix_Eff,MATCH($C1996,Mix_Code,0),3),""))</f>
        <v/>
      </c>
      <c r="I1996" s="67" t="str">
        <f aca="false">IF(OR($C1996="",$D1996=""),"",IFERROR($D1996*INDEX(Mix_Eff,MATCH($C1996,Mix_Code,0),4),""))</f>
        <v/>
      </c>
      <c r="J1996" s="67" t="str">
        <f aca="false">IF(OR($C1996="",$D1996=""),"",IFERROR($D1996*INDEX(Mix_Eff,MATCH($C1996,Mix_Code,0),5),""))</f>
        <v/>
      </c>
      <c r="K1996" s="63"/>
      <c r="L1996" s="16" t="str">
        <f aca="false">IF(AND($A1996="",$B1996="",$C1996="",$D1996=""),"",IF($A1996="","⚠ Date missing",IF($B1996="","⚠ Site missing",IF(ISNA(MATCH($C1996,Mix_Code,0)),"⚠ Unknown mix code",IF($D1996="","⚠ Enter m3 produced",IF(COUNTIF(CI_Site,$B1996)=0,"⚠ Site not set up in Current Inventory",IF($A1996&gt;AsOfDate,"Future date – not yet deducted","OK")))))))</f>
        <v/>
      </c>
    </row>
    <row r="1997" customFormat="false" ht="15" hidden="false" customHeight="false" outlineLevel="0" collapsed="false">
      <c r="A1997" s="65"/>
      <c r="B1997" s="63"/>
      <c r="C1997" s="70"/>
      <c r="D1997" s="66"/>
      <c r="E1997" s="16" t="str">
        <f aca="false">IF($C1997="","",IFERROR(INDEX(Mix_Desc,MATCH($C1997,Mix_Code,0)),"⚠ Unknown mix code"))</f>
        <v/>
      </c>
      <c r="F1997" s="67" t="str">
        <f aca="false">IF(OR($C1997="",$D1997=""),"",IFERROR($D1997*INDEX(Mix_Eff,MATCH($C1997,Mix_Code,0),1),""))</f>
        <v/>
      </c>
      <c r="G1997" s="67" t="str">
        <f aca="false">IF(OR($C1997="",$D1997=""),"",IFERROR($D1997*INDEX(Mix_Eff,MATCH($C1997,Mix_Code,0),2),""))</f>
        <v/>
      </c>
      <c r="H1997" s="67" t="str">
        <f aca="false">IF(OR($C1997="",$D1997=""),"",IFERROR($D1997*INDEX(Mix_Eff,MATCH($C1997,Mix_Code,0),3),""))</f>
        <v/>
      </c>
      <c r="I1997" s="67" t="str">
        <f aca="false">IF(OR($C1997="",$D1997=""),"",IFERROR($D1997*INDEX(Mix_Eff,MATCH($C1997,Mix_Code,0),4),""))</f>
        <v/>
      </c>
      <c r="J1997" s="67" t="str">
        <f aca="false">IF(OR($C1997="",$D1997=""),"",IFERROR($D1997*INDEX(Mix_Eff,MATCH($C1997,Mix_Code,0),5),""))</f>
        <v/>
      </c>
      <c r="K1997" s="63"/>
      <c r="L1997" s="16" t="str">
        <f aca="false">IF(AND($A1997="",$B1997="",$C1997="",$D1997=""),"",IF($A1997="","⚠ Date missing",IF($B1997="","⚠ Site missing",IF(ISNA(MATCH($C1997,Mix_Code,0)),"⚠ Unknown mix code",IF($D1997="","⚠ Enter m3 produced",IF(COUNTIF(CI_Site,$B1997)=0,"⚠ Site not set up in Current Inventory",IF($A1997&gt;AsOfDate,"Future date – not yet deducted","OK")))))))</f>
        <v/>
      </c>
    </row>
    <row r="1998" customFormat="false" ht="15" hidden="false" customHeight="false" outlineLevel="0" collapsed="false">
      <c r="A1998" s="65"/>
      <c r="B1998" s="63"/>
      <c r="C1998" s="70"/>
      <c r="D1998" s="66"/>
      <c r="E1998" s="16" t="str">
        <f aca="false">IF($C1998="","",IFERROR(INDEX(Mix_Desc,MATCH($C1998,Mix_Code,0)),"⚠ Unknown mix code"))</f>
        <v/>
      </c>
      <c r="F1998" s="67" t="str">
        <f aca="false">IF(OR($C1998="",$D1998=""),"",IFERROR($D1998*INDEX(Mix_Eff,MATCH($C1998,Mix_Code,0),1),""))</f>
        <v/>
      </c>
      <c r="G1998" s="67" t="str">
        <f aca="false">IF(OR($C1998="",$D1998=""),"",IFERROR($D1998*INDEX(Mix_Eff,MATCH($C1998,Mix_Code,0),2),""))</f>
        <v/>
      </c>
      <c r="H1998" s="67" t="str">
        <f aca="false">IF(OR($C1998="",$D1998=""),"",IFERROR($D1998*INDEX(Mix_Eff,MATCH($C1998,Mix_Code,0),3),""))</f>
        <v/>
      </c>
      <c r="I1998" s="67" t="str">
        <f aca="false">IF(OR($C1998="",$D1998=""),"",IFERROR($D1998*INDEX(Mix_Eff,MATCH($C1998,Mix_Code,0),4),""))</f>
        <v/>
      </c>
      <c r="J1998" s="67" t="str">
        <f aca="false">IF(OR($C1998="",$D1998=""),"",IFERROR($D1998*INDEX(Mix_Eff,MATCH($C1998,Mix_Code,0),5),""))</f>
        <v/>
      </c>
      <c r="K1998" s="63"/>
      <c r="L1998" s="16" t="str">
        <f aca="false">IF(AND($A1998="",$B1998="",$C1998="",$D1998=""),"",IF($A1998="","⚠ Date missing",IF($B1998="","⚠ Site missing",IF(ISNA(MATCH($C1998,Mix_Code,0)),"⚠ Unknown mix code",IF($D1998="","⚠ Enter m3 produced",IF(COUNTIF(CI_Site,$B1998)=0,"⚠ Site not set up in Current Inventory",IF($A1998&gt;AsOfDate,"Future date – not yet deducted","OK")))))))</f>
        <v/>
      </c>
    </row>
    <row r="1999" customFormat="false" ht="15" hidden="false" customHeight="false" outlineLevel="0" collapsed="false">
      <c r="A1999" s="65"/>
      <c r="B1999" s="63"/>
      <c r="C1999" s="70"/>
      <c r="D1999" s="66"/>
      <c r="E1999" s="16" t="str">
        <f aca="false">IF($C1999="","",IFERROR(INDEX(Mix_Desc,MATCH($C1999,Mix_Code,0)),"⚠ Unknown mix code"))</f>
        <v/>
      </c>
      <c r="F1999" s="67" t="str">
        <f aca="false">IF(OR($C1999="",$D1999=""),"",IFERROR($D1999*INDEX(Mix_Eff,MATCH($C1999,Mix_Code,0),1),""))</f>
        <v/>
      </c>
      <c r="G1999" s="67" t="str">
        <f aca="false">IF(OR($C1999="",$D1999=""),"",IFERROR($D1999*INDEX(Mix_Eff,MATCH($C1999,Mix_Code,0),2),""))</f>
        <v/>
      </c>
      <c r="H1999" s="67" t="str">
        <f aca="false">IF(OR($C1999="",$D1999=""),"",IFERROR($D1999*INDEX(Mix_Eff,MATCH($C1999,Mix_Code,0),3),""))</f>
        <v/>
      </c>
      <c r="I1999" s="67" t="str">
        <f aca="false">IF(OR($C1999="",$D1999=""),"",IFERROR($D1999*INDEX(Mix_Eff,MATCH($C1999,Mix_Code,0),4),""))</f>
        <v/>
      </c>
      <c r="J1999" s="67" t="str">
        <f aca="false">IF(OR($C1999="",$D1999=""),"",IFERROR($D1999*INDEX(Mix_Eff,MATCH($C1999,Mix_Code,0),5),""))</f>
        <v/>
      </c>
      <c r="K1999" s="63"/>
      <c r="L1999" s="16" t="str">
        <f aca="false">IF(AND($A1999="",$B1999="",$C1999="",$D1999=""),"",IF($A1999="","⚠ Date missing",IF($B1999="","⚠ Site missing",IF(ISNA(MATCH($C1999,Mix_Code,0)),"⚠ Unknown mix code",IF($D1999="","⚠ Enter m3 produced",IF(COUNTIF(CI_Site,$B1999)=0,"⚠ Site not set up in Current Inventory",IF($A1999&gt;AsOfDate,"Future date – not yet deducted","OK")))))))</f>
        <v/>
      </c>
    </row>
    <row r="2000" customFormat="false" ht="15" hidden="false" customHeight="false" outlineLevel="0" collapsed="false">
      <c r="A2000" s="65"/>
      <c r="B2000" s="63"/>
      <c r="C2000" s="70"/>
      <c r="D2000" s="66"/>
      <c r="E2000" s="16" t="str">
        <f aca="false">IF($C2000="","",IFERROR(INDEX(Mix_Desc,MATCH($C2000,Mix_Code,0)),"⚠ Unknown mix code"))</f>
        <v/>
      </c>
      <c r="F2000" s="67" t="str">
        <f aca="false">IF(OR($C2000="",$D2000=""),"",IFERROR($D2000*INDEX(Mix_Eff,MATCH($C2000,Mix_Code,0),1),""))</f>
        <v/>
      </c>
      <c r="G2000" s="67" t="str">
        <f aca="false">IF(OR($C2000="",$D2000=""),"",IFERROR($D2000*INDEX(Mix_Eff,MATCH($C2000,Mix_Code,0),2),""))</f>
        <v/>
      </c>
      <c r="H2000" s="67" t="str">
        <f aca="false">IF(OR($C2000="",$D2000=""),"",IFERROR($D2000*INDEX(Mix_Eff,MATCH($C2000,Mix_Code,0),3),""))</f>
        <v/>
      </c>
      <c r="I2000" s="67" t="str">
        <f aca="false">IF(OR($C2000="",$D2000=""),"",IFERROR($D2000*INDEX(Mix_Eff,MATCH($C2000,Mix_Code,0),4),""))</f>
        <v/>
      </c>
      <c r="J2000" s="67" t="str">
        <f aca="false">IF(OR($C2000="",$D2000=""),"",IFERROR($D2000*INDEX(Mix_Eff,MATCH($C2000,Mix_Code,0),5),""))</f>
        <v/>
      </c>
      <c r="K2000" s="63"/>
      <c r="L2000" s="16" t="str">
        <f aca="false">IF(AND($A2000="",$B2000="",$C2000="",$D2000=""),"",IF($A2000="","⚠ Date missing",IF($B2000="","⚠ Site missing",IF(ISNA(MATCH($C2000,Mix_Code,0)),"⚠ Unknown mix code",IF($D2000="","⚠ Enter m3 produced",IF(COUNTIF(CI_Site,$B2000)=0,"⚠ Site not set up in Current Inventory",IF($A2000&gt;AsOfDate,"Future date – not yet deducted","OK")))))))</f>
        <v/>
      </c>
    </row>
    <row r="2001" customFormat="false" ht="15" hidden="false" customHeight="false" outlineLevel="0" collapsed="false">
      <c r="A2001" s="65"/>
      <c r="B2001" s="63"/>
      <c r="C2001" s="70"/>
      <c r="D2001" s="66"/>
      <c r="E2001" s="16" t="str">
        <f aca="false">IF($C2001="","",IFERROR(INDEX(Mix_Desc,MATCH($C2001,Mix_Code,0)),"⚠ Unknown mix code"))</f>
        <v/>
      </c>
      <c r="F2001" s="67" t="str">
        <f aca="false">IF(OR($C2001="",$D2001=""),"",IFERROR($D2001*INDEX(Mix_Eff,MATCH($C2001,Mix_Code,0),1),""))</f>
        <v/>
      </c>
      <c r="G2001" s="67" t="str">
        <f aca="false">IF(OR($C2001="",$D2001=""),"",IFERROR($D2001*INDEX(Mix_Eff,MATCH($C2001,Mix_Code,0),2),""))</f>
        <v/>
      </c>
      <c r="H2001" s="67" t="str">
        <f aca="false">IF(OR($C2001="",$D2001=""),"",IFERROR($D2001*INDEX(Mix_Eff,MATCH($C2001,Mix_Code,0),3),""))</f>
        <v/>
      </c>
      <c r="I2001" s="67" t="str">
        <f aca="false">IF(OR($C2001="",$D2001=""),"",IFERROR($D2001*INDEX(Mix_Eff,MATCH($C2001,Mix_Code,0),4),""))</f>
        <v/>
      </c>
      <c r="J2001" s="67" t="str">
        <f aca="false">IF(OR($C2001="",$D2001=""),"",IFERROR($D2001*INDEX(Mix_Eff,MATCH($C2001,Mix_Code,0),5),""))</f>
        <v/>
      </c>
      <c r="K2001" s="63"/>
      <c r="L2001" s="16" t="str">
        <f aca="false">IF(AND($A2001="",$B2001="",$C2001="",$D2001=""),"",IF($A2001="","⚠ Date missing",IF($B2001="","⚠ Site missing",IF(ISNA(MATCH($C2001,Mix_Code,0)),"⚠ Unknown mix code",IF($D2001="","⚠ Enter m3 produced",IF(COUNTIF(CI_Site,$B2001)=0,"⚠ Site not set up in Current Inventory",IF($A2001&gt;AsOfDate,"Future date – not yet deducted","OK")))))))</f>
        <v/>
      </c>
    </row>
    <row r="2002" customFormat="false" ht="15" hidden="false" customHeight="false" outlineLevel="0" collapsed="false">
      <c r="A2002" s="65"/>
      <c r="B2002" s="63"/>
      <c r="C2002" s="70"/>
      <c r="D2002" s="66"/>
      <c r="E2002" s="16" t="str">
        <f aca="false">IF($C2002="","",IFERROR(INDEX(Mix_Desc,MATCH($C2002,Mix_Code,0)),"⚠ Unknown mix code"))</f>
        <v/>
      </c>
      <c r="F2002" s="67" t="str">
        <f aca="false">IF(OR($C2002="",$D2002=""),"",IFERROR($D2002*INDEX(Mix_Eff,MATCH($C2002,Mix_Code,0),1),""))</f>
        <v/>
      </c>
      <c r="G2002" s="67" t="str">
        <f aca="false">IF(OR($C2002="",$D2002=""),"",IFERROR($D2002*INDEX(Mix_Eff,MATCH($C2002,Mix_Code,0),2),""))</f>
        <v/>
      </c>
      <c r="H2002" s="67" t="str">
        <f aca="false">IF(OR($C2002="",$D2002=""),"",IFERROR($D2002*INDEX(Mix_Eff,MATCH($C2002,Mix_Code,0),3),""))</f>
        <v/>
      </c>
      <c r="I2002" s="67" t="str">
        <f aca="false">IF(OR($C2002="",$D2002=""),"",IFERROR($D2002*INDEX(Mix_Eff,MATCH($C2002,Mix_Code,0),4),""))</f>
        <v/>
      </c>
      <c r="J2002" s="67" t="str">
        <f aca="false">IF(OR($C2002="",$D2002=""),"",IFERROR($D2002*INDEX(Mix_Eff,MATCH($C2002,Mix_Code,0),5),""))</f>
        <v/>
      </c>
      <c r="K2002" s="63"/>
      <c r="L2002" s="16" t="str">
        <f aca="false">IF(AND($A2002="",$B2002="",$C2002="",$D2002=""),"",IF($A2002="","⚠ Date missing",IF($B2002="","⚠ Site missing",IF(ISNA(MATCH($C2002,Mix_Code,0)),"⚠ Unknown mix code",IF($D2002="","⚠ Enter m3 produced",IF(COUNTIF(CI_Site,$B2002)=0,"⚠ Site not set up in Current Inventory",IF($A2002&gt;AsOfDate,"Future date – not yet deducted","OK")))))))</f>
        <v/>
      </c>
    </row>
    <row r="2003" customFormat="false" ht="15" hidden="false" customHeight="false" outlineLevel="0" collapsed="false">
      <c r="A2003" s="65"/>
      <c r="B2003" s="63"/>
      <c r="C2003" s="70"/>
      <c r="D2003" s="66"/>
      <c r="E2003" s="16" t="str">
        <f aca="false">IF($C2003="","",IFERROR(INDEX(Mix_Desc,MATCH($C2003,Mix_Code,0)),"⚠ Unknown mix code"))</f>
        <v/>
      </c>
      <c r="F2003" s="67" t="str">
        <f aca="false">IF(OR($C2003="",$D2003=""),"",IFERROR($D2003*INDEX(Mix_Eff,MATCH($C2003,Mix_Code,0),1),""))</f>
        <v/>
      </c>
      <c r="G2003" s="67" t="str">
        <f aca="false">IF(OR($C2003="",$D2003=""),"",IFERROR($D2003*INDEX(Mix_Eff,MATCH($C2003,Mix_Code,0),2),""))</f>
        <v/>
      </c>
      <c r="H2003" s="67" t="str">
        <f aca="false">IF(OR($C2003="",$D2003=""),"",IFERROR($D2003*INDEX(Mix_Eff,MATCH($C2003,Mix_Code,0),3),""))</f>
        <v/>
      </c>
      <c r="I2003" s="67" t="str">
        <f aca="false">IF(OR($C2003="",$D2003=""),"",IFERROR($D2003*INDEX(Mix_Eff,MATCH($C2003,Mix_Code,0),4),""))</f>
        <v/>
      </c>
      <c r="J2003" s="67" t="str">
        <f aca="false">IF(OR($C2003="",$D2003=""),"",IFERROR($D2003*INDEX(Mix_Eff,MATCH($C2003,Mix_Code,0),5),""))</f>
        <v/>
      </c>
      <c r="K2003" s="63"/>
      <c r="L2003" s="16" t="str">
        <f aca="false">IF(AND($A2003="",$B2003="",$C2003="",$D2003=""),"",IF($A2003="","⚠ Date missing",IF($B2003="","⚠ Site missing",IF(ISNA(MATCH($C2003,Mix_Code,0)),"⚠ Unknown mix code",IF($D2003="","⚠ Enter m3 produced",IF(COUNTIF(CI_Site,$B2003)=0,"⚠ Site not set up in Current Inventory",IF($A2003&gt;AsOfDate,"Future date – not yet deducted","OK")))))))</f>
        <v/>
      </c>
    </row>
    <row r="2004" customFormat="false" ht="15" hidden="false" customHeight="false" outlineLevel="0" collapsed="false">
      <c r="A2004" s="65"/>
      <c r="B2004" s="63"/>
      <c r="C2004" s="70"/>
      <c r="D2004" s="66"/>
      <c r="E2004" s="16" t="str">
        <f aca="false">IF($C2004="","",IFERROR(INDEX(Mix_Desc,MATCH($C2004,Mix_Code,0)),"⚠ Unknown mix code"))</f>
        <v/>
      </c>
      <c r="F2004" s="67" t="str">
        <f aca="false">IF(OR($C2004="",$D2004=""),"",IFERROR($D2004*INDEX(Mix_Eff,MATCH($C2004,Mix_Code,0),1),""))</f>
        <v/>
      </c>
      <c r="G2004" s="67" t="str">
        <f aca="false">IF(OR($C2004="",$D2004=""),"",IFERROR($D2004*INDEX(Mix_Eff,MATCH($C2004,Mix_Code,0),2),""))</f>
        <v/>
      </c>
      <c r="H2004" s="67" t="str">
        <f aca="false">IF(OR($C2004="",$D2004=""),"",IFERROR($D2004*INDEX(Mix_Eff,MATCH($C2004,Mix_Code,0),3),""))</f>
        <v/>
      </c>
      <c r="I2004" s="67" t="str">
        <f aca="false">IF(OR($C2004="",$D2004=""),"",IFERROR($D2004*INDEX(Mix_Eff,MATCH($C2004,Mix_Code,0),4),""))</f>
        <v/>
      </c>
      <c r="J2004" s="67" t="str">
        <f aca="false">IF(OR($C2004="",$D2004=""),"",IFERROR($D2004*INDEX(Mix_Eff,MATCH($C2004,Mix_Code,0),5),""))</f>
        <v/>
      </c>
      <c r="K2004" s="63"/>
      <c r="L2004" s="16" t="str">
        <f aca="false">IF(AND($A2004="",$B2004="",$C2004="",$D2004=""),"",IF($A2004="","⚠ Date missing",IF($B2004="","⚠ Site missing",IF(ISNA(MATCH($C2004,Mix_Code,0)),"⚠ Unknown mix code",IF($D2004="","⚠ Enter m3 produced",IF(COUNTIF(CI_Site,$B2004)=0,"⚠ Site not set up in Current Inventory",IF($A2004&gt;AsOfDate,"Future date – not yet deducted","OK")))))))</f>
        <v/>
      </c>
    </row>
    <row r="2005" customFormat="false" ht="15" hidden="false" customHeight="false" outlineLevel="0" collapsed="false">
      <c r="A2005" s="65"/>
      <c r="B2005" s="63"/>
      <c r="C2005" s="70"/>
      <c r="D2005" s="66"/>
      <c r="E2005" s="16" t="str">
        <f aca="false">IF($C2005="","",IFERROR(INDEX(Mix_Desc,MATCH($C2005,Mix_Code,0)),"⚠ Unknown mix code"))</f>
        <v/>
      </c>
      <c r="F2005" s="67" t="str">
        <f aca="false">IF(OR($C2005="",$D2005=""),"",IFERROR($D2005*INDEX(Mix_Eff,MATCH($C2005,Mix_Code,0),1),""))</f>
        <v/>
      </c>
      <c r="G2005" s="67" t="str">
        <f aca="false">IF(OR($C2005="",$D2005=""),"",IFERROR($D2005*INDEX(Mix_Eff,MATCH($C2005,Mix_Code,0),2),""))</f>
        <v/>
      </c>
      <c r="H2005" s="67" t="str">
        <f aca="false">IF(OR($C2005="",$D2005=""),"",IFERROR($D2005*INDEX(Mix_Eff,MATCH($C2005,Mix_Code,0),3),""))</f>
        <v/>
      </c>
      <c r="I2005" s="67" t="str">
        <f aca="false">IF(OR($C2005="",$D2005=""),"",IFERROR($D2005*INDEX(Mix_Eff,MATCH($C2005,Mix_Code,0),4),""))</f>
        <v/>
      </c>
      <c r="J2005" s="67" t="str">
        <f aca="false">IF(OR($C2005="",$D2005=""),"",IFERROR($D2005*INDEX(Mix_Eff,MATCH($C2005,Mix_Code,0),5),""))</f>
        <v/>
      </c>
      <c r="K2005" s="63"/>
      <c r="L2005" s="16" t="str">
        <f aca="false">IF(AND($A2005="",$B2005="",$C2005="",$D2005=""),"",IF($A2005="","⚠ Date missing",IF($B2005="","⚠ Site missing",IF(ISNA(MATCH($C2005,Mix_Code,0)),"⚠ Unknown mix code",IF($D2005="","⚠ Enter m3 produced",IF(COUNTIF(CI_Site,$B2005)=0,"⚠ Site not set up in Current Inventory",IF($A2005&gt;AsOfDate,"Future date – not yet deducted","OK")))))))</f>
        <v/>
      </c>
    </row>
  </sheetData>
  <conditionalFormatting sqref="L6:L2005">
    <cfRule type="expression" priority="2" aboveAverage="0" equalAverage="0" bottom="0" percent="0" rank="0" text="" dxfId="2">
      <formula>LEFT($L6,1)="⚠"</formula>
    </cfRule>
  </conditionalFormatting>
  <dataValidations count="4">
    <dataValidation allowBlank="true" error="Enter a number &gt;= 0." errorStyle="stop" errorTitle="Number" operator="greaterThanOrEqual" showDropDown="false" showErrorMessage="true" showInputMessage="false" sqref="D6:D2005" type="decimal">
      <formula1>0</formula1>
      <formula2>0</formula2>
    </dataValidation>
    <dataValidation allowBlank="true" error="Enter a valid date, e.g. 15-Oct-2026." errorStyle="stop" errorTitle="Date" operator="greaterThan" showDropDown="false" showErrorMessage="true" showInputMessage="false" sqref="A6:A2005" type="date">
      <formula1>DATE(2020,1,1)</formula1>
      <formula2>0</formula2>
    </dataValidation>
    <dataValidation allowBlank="true" error="Pick a site from the list (the list is kept in Settings)." errorStyle="stop" errorTitle="Not in list" operator="between" showDropDown="false" showErrorMessage="true" showInputMessage="false" sqref="B6:B2005" type="list">
      <formula1>SiteList</formula1>
      <formula2>0</formula2>
    </dataValidation>
    <dataValidation allowBlank="true" error="Pick a mix code from the Mix Design sheet." errorStyle="stop" errorTitle="Not in list" operator="between" showDropDown="false" showErrorMessage="true" showInputMessage="false" sqref="C6:C2005" type="list">
      <formula1>Mix_Code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K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28"/>
    <col collapsed="false" customWidth="true" hidden="false" outlineLevel="0" max="11" min="11" style="0" width="44"/>
  </cols>
  <sheetData>
    <row r="1" customFormat="false" ht="21.75" hidden="false" customHeight="true" outlineLevel="0" collapsed="false">
      <c r="A1" s="59" t="s">
        <v>144</v>
      </c>
    </row>
    <row r="2" customFormat="false" ht="15" hidden="false" customHeight="false" outlineLevel="0" collapsed="false">
      <c r="A2" s="8" t="s">
        <v>145</v>
      </c>
    </row>
    <row r="4" customFormat="false" ht="39.75" hidden="false" customHeight="true" outlineLevel="0" collapsed="false">
      <c r="A4" s="22" t="s">
        <v>93</v>
      </c>
      <c r="B4" s="22" t="s">
        <v>88</v>
      </c>
      <c r="C4" s="22" t="s">
        <v>108</v>
      </c>
      <c r="D4" s="22" t="s">
        <v>52</v>
      </c>
      <c r="E4" s="22" t="s">
        <v>146</v>
      </c>
      <c r="F4" s="22" t="s">
        <v>53</v>
      </c>
      <c r="G4" s="22" t="s">
        <v>63</v>
      </c>
      <c r="H4" s="22" t="s">
        <v>147</v>
      </c>
      <c r="I4" s="22" t="s">
        <v>148</v>
      </c>
      <c r="J4" s="22" t="s">
        <v>116</v>
      </c>
      <c r="K4" s="22" t="s">
        <v>115</v>
      </c>
    </row>
    <row r="5" customFormat="false" ht="15" hidden="false" customHeight="false" outlineLevel="0" collapsed="false">
      <c r="A5" s="62" t="n">
        <v>46300</v>
      </c>
      <c r="B5" s="61" t="s">
        <v>117</v>
      </c>
      <c r="C5" s="61" t="s">
        <v>118</v>
      </c>
      <c r="D5" s="61" t="s">
        <v>119</v>
      </c>
      <c r="E5" s="61" t="n">
        <v>500</v>
      </c>
      <c r="F5" s="61" t="s">
        <v>120</v>
      </c>
      <c r="G5" s="61" t="s">
        <v>149</v>
      </c>
      <c r="H5" s="61" t="s">
        <v>150</v>
      </c>
      <c r="I5" s="61" t="s">
        <v>151</v>
      </c>
      <c r="J5" s="61" t="s">
        <v>152</v>
      </c>
      <c r="K5" s="61"/>
    </row>
    <row r="6" customFormat="false" ht="15" hidden="false" customHeight="false" outlineLevel="0" collapsed="false">
      <c r="A6" s="65"/>
      <c r="B6" s="63"/>
      <c r="C6" s="70"/>
      <c r="D6" s="16" t="str">
        <f aca="false">IF($C6="","",IFERROR(INDEX(Mat_Short,MATCH($C6,Mat_Code,0)),"⚠ Unknown code"))</f>
        <v/>
      </c>
      <c r="E6" s="66"/>
      <c r="F6" s="64" t="str">
        <f aca="false">IF($C6="","",IFERROR(INDEX(Mat_Unit,MATCH($C6,Mat_Code,0)),""))</f>
        <v/>
      </c>
      <c r="G6" s="70"/>
      <c r="H6" s="63"/>
      <c r="I6" s="63"/>
      <c r="J6" s="63"/>
      <c r="K6" s="16" t="str">
        <f aca="false">IF(AND($A6="",$B6="",$C6="",$E6=""),"",IF($A6="","⚠ Date missing",IF(OR($B6="",$C6=""),"⚠ Site / material missing",IF(COUNTIFS(CI_Site,$B6,CI_Mat,$C6)=0,"⚠ No Current Inventory row for this site + material",IF($G6="","⚠ Status missing",IF(AND($G6="Scheduled",$A6&lt;=AsOfDate),"⚠ Scheduled date reached – mark Received or re-date",IF(AND($G6="Received",$A6&gt;AsOfDate),"Future-dated – added on its date",IF(AND($G6="Received",$A6&lt;SUMIFS(CI_Count,CI_Site,$B6,CI_Mat,$C6)),"Before count date – already in the count","OK"))))))))</f>
        <v/>
      </c>
    </row>
    <row r="7" customFormat="false" ht="15" hidden="false" customHeight="false" outlineLevel="0" collapsed="false">
      <c r="A7" s="65"/>
      <c r="B7" s="63"/>
      <c r="C7" s="70"/>
      <c r="D7" s="16" t="str">
        <f aca="false">IF($C7="","",IFERROR(INDEX(Mat_Short,MATCH($C7,Mat_Code,0)),"⚠ Unknown code"))</f>
        <v/>
      </c>
      <c r="E7" s="66"/>
      <c r="F7" s="64" t="str">
        <f aca="false">IF($C7="","",IFERROR(INDEX(Mat_Unit,MATCH($C7,Mat_Code,0)),""))</f>
        <v/>
      </c>
      <c r="G7" s="70"/>
      <c r="H7" s="63"/>
      <c r="I7" s="63"/>
      <c r="J7" s="63"/>
      <c r="K7" s="16" t="str">
        <f aca="false">IF(AND($A7="",$B7="",$C7="",$E7=""),"",IF($A7="","⚠ Date missing",IF(OR($B7="",$C7=""),"⚠ Site / material missing",IF(COUNTIFS(CI_Site,$B7,CI_Mat,$C7)=0,"⚠ No Current Inventory row for this site + material",IF($G7="","⚠ Status missing",IF(AND($G7="Scheduled",$A7&lt;=AsOfDate),"⚠ Scheduled date reached – mark Received or re-date",IF(AND($G7="Received",$A7&gt;AsOfDate),"Future-dated – added on its date",IF(AND($G7="Received",$A7&lt;SUMIFS(CI_Count,CI_Site,$B7,CI_Mat,$C7)),"Before count date – already in the count","OK"))))))))</f>
        <v/>
      </c>
    </row>
    <row r="8" customFormat="false" ht="15" hidden="false" customHeight="false" outlineLevel="0" collapsed="false">
      <c r="A8" s="65"/>
      <c r="B8" s="63"/>
      <c r="C8" s="70"/>
      <c r="D8" s="16" t="str">
        <f aca="false">IF($C8="","",IFERROR(INDEX(Mat_Short,MATCH($C8,Mat_Code,0)),"⚠ Unknown code"))</f>
        <v/>
      </c>
      <c r="E8" s="66"/>
      <c r="F8" s="64" t="str">
        <f aca="false">IF($C8="","",IFERROR(INDEX(Mat_Unit,MATCH($C8,Mat_Code,0)),""))</f>
        <v/>
      </c>
      <c r="G8" s="70"/>
      <c r="H8" s="63"/>
      <c r="I8" s="63"/>
      <c r="J8" s="63"/>
      <c r="K8" s="16" t="str">
        <f aca="false">IF(AND($A8="",$B8="",$C8="",$E8=""),"",IF($A8="","⚠ Date missing",IF(OR($B8="",$C8=""),"⚠ Site / material missing",IF(COUNTIFS(CI_Site,$B8,CI_Mat,$C8)=0,"⚠ No Current Inventory row for this site + material",IF($G8="","⚠ Status missing",IF(AND($G8="Scheduled",$A8&lt;=AsOfDate),"⚠ Scheduled date reached – mark Received or re-date",IF(AND($G8="Received",$A8&gt;AsOfDate),"Future-dated – added on its date",IF(AND($G8="Received",$A8&lt;SUMIFS(CI_Count,CI_Site,$B8,CI_Mat,$C8)),"Before count date – already in the count","OK"))))))))</f>
        <v/>
      </c>
    </row>
    <row r="9" customFormat="false" ht="15" hidden="false" customHeight="false" outlineLevel="0" collapsed="false">
      <c r="A9" s="65"/>
      <c r="B9" s="63"/>
      <c r="C9" s="70"/>
      <c r="D9" s="16" t="str">
        <f aca="false">IF($C9="","",IFERROR(INDEX(Mat_Short,MATCH($C9,Mat_Code,0)),"⚠ Unknown code"))</f>
        <v/>
      </c>
      <c r="E9" s="66"/>
      <c r="F9" s="64" t="str">
        <f aca="false">IF($C9="","",IFERROR(INDEX(Mat_Unit,MATCH($C9,Mat_Code,0)),""))</f>
        <v/>
      </c>
      <c r="G9" s="70"/>
      <c r="H9" s="63"/>
      <c r="I9" s="63"/>
      <c r="J9" s="63"/>
      <c r="K9" s="16" t="str">
        <f aca="false">IF(AND($A9="",$B9="",$C9="",$E9=""),"",IF($A9="","⚠ Date missing",IF(OR($B9="",$C9=""),"⚠ Site / material missing",IF(COUNTIFS(CI_Site,$B9,CI_Mat,$C9)=0,"⚠ No Current Inventory row for this site + material",IF($G9="","⚠ Status missing",IF(AND($G9="Scheduled",$A9&lt;=AsOfDate),"⚠ Scheduled date reached – mark Received or re-date",IF(AND($G9="Received",$A9&gt;AsOfDate),"Future-dated – added on its date",IF(AND($G9="Received",$A9&lt;SUMIFS(CI_Count,CI_Site,$B9,CI_Mat,$C9)),"Before count date – already in the count","OK"))))))))</f>
        <v/>
      </c>
    </row>
    <row r="10" customFormat="false" ht="15" hidden="false" customHeight="false" outlineLevel="0" collapsed="false">
      <c r="A10" s="65"/>
      <c r="B10" s="63"/>
      <c r="C10" s="70"/>
      <c r="D10" s="16" t="str">
        <f aca="false">IF($C10="","",IFERROR(INDEX(Mat_Short,MATCH($C10,Mat_Code,0)),"⚠ Unknown code"))</f>
        <v/>
      </c>
      <c r="E10" s="66"/>
      <c r="F10" s="64" t="str">
        <f aca="false">IF($C10="","",IFERROR(INDEX(Mat_Unit,MATCH($C10,Mat_Code,0)),""))</f>
        <v/>
      </c>
      <c r="G10" s="70"/>
      <c r="H10" s="63"/>
      <c r="I10" s="63"/>
      <c r="J10" s="63"/>
      <c r="K10" s="16" t="str">
        <f aca="false">IF(AND($A10="",$B10="",$C10="",$E10=""),"",IF($A10="","⚠ Date missing",IF(OR($B10="",$C10=""),"⚠ Site / material missing",IF(COUNTIFS(CI_Site,$B10,CI_Mat,$C10)=0,"⚠ No Current Inventory row for this site + material",IF($G10="","⚠ Status missing",IF(AND($G10="Scheduled",$A10&lt;=AsOfDate),"⚠ Scheduled date reached – mark Received or re-date",IF(AND($G10="Received",$A10&gt;AsOfDate),"Future-dated – added on its date",IF(AND($G10="Received",$A10&lt;SUMIFS(CI_Count,CI_Site,$B10,CI_Mat,$C10)),"Before count date – already in the count","OK"))))))))</f>
        <v/>
      </c>
    </row>
    <row r="11" customFormat="false" ht="15" hidden="false" customHeight="false" outlineLevel="0" collapsed="false">
      <c r="A11" s="65"/>
      <c r="B11" s="63"/>
      <c r="C11" s="70"/>
      <c r="D11" s="16" t="str">
        <f aca="false">IF($C11="","",IFERROR(INDEX(Mat_Short,MATCH($C11,Mat_Code,0)),"⚠ Unknown code"))</f>
        <v/>
      </c>
      <c r="E11" s="66"/>
      <c r="F11" s="64" t="str">
        <f aca="false">IF($C11="","",IFERROR(INDEX(Mat_Unit,MATCH($C11,Mat_Code,0)),""))</f>
        <v/>
      </c>
      <c r="G11" s="70"/>
      <c r="H11" s="63"/>
      <c r="I11" s="63"/>
      <c r="J11" s="63"/>
      <c r="K11" s="16" t="str">
        <f aca="false">IF(AND($A11="",$B11="",$C11="",$E11=""),"",IF($A11="","⚠ Date missing",IF(OR($B11="",$C11=""),"⚠ Site / material missing",IF(COUNTIFS(CI_Site,$B11,CI_Mat,$C11)=0,"⚠ No Current Inventory row for this site + material",IF($G11="","⚠ Status missing",IF(AND($G11="Scheduled",$A11&lt;=AsOfDate),"⚠ Scheduled date reached – mark Received or re-date",IF(AND($G11="Received",$A11&gt;AsOfDate),"Future-dated – added on its date",IF(AND($G11="Received",$A11&lt;SUMIFS(CI_Count,CI_Site,$B11,CI_Mat,$C11)),"Before count date – already in the count","OK"))))))))</f>
        <v/>
      </c>
    </row>
    <row r="12" customFormat="false" ht="15" hidden="false" customHeight="false" outlineLevel="0" collapsed="false">
      <c r="A12" s="65"/>
      <c r="B12" s="63"/>
      <c r="C12" s="70"/>
      <c r="D12" s="16" t="str">
        <f aca="false">IF($C12="","",IFERROR(INDEX(Mat_Short,MATCH($C12,Mat_Code,0)),"⚠ Unknown code"))</f>
        <v/>
      </c>
      <c r="E12" s="66"/>
      <c r="F12" s="64" t="str">
        <f aca="false">IF($C12="","",IFERROR(INDEX(Mat_Unit,MATCH($C12,Mat_Code,0)),""))</f>
        <v/>
      </c>
      <c r="G12" s="70"/>
      <c r="H12" s="63"/>
      <c r="I12" s="63"/>
      <c r="J12" s="63"/>
      <c r="K12" s="16" t="str">
        <f aca="false">IF(AND($A12="",$B12="",$C12="",$E12=""),"",IF($A12="","⚠ Date missing",IF(OR($B12="",$C12=""),"⚠ Site / material missing",IF(COUNTIFS(CI_Site,$B12,CI_Mat,$C12)=0,"⚠ No Current Inventory row for this site + material",IF($G12="","⚠ Status missing",IF(AND($G12="Scheduled",$A12&lt;=AsOfDate),"⚠ Scheduled date reached – mark Received or re-date",IF(AND($G12="Received",$A12&gt;AsOfDate),"Future-dated – added on its date",IF(AND($G12="Received",$A12&lt;SUMIFS(CI_Count,CI_Site,$B12,CI_Mat,$C12)),"Before count date – already in the count","OK"))))))))</f>
        <v/>
      </c>
    </row>
    <row r="13" customFormat="false" ht="15" hidden="false" customHeight="false" outlineLevel="0" collapsed="false">
      <c r="A13" s="65"/>
      <c r="B13" s="63"/>
      <c r="C13" s="70"/>
      <c r="D13" s="16" t="str">
        <f aca="false">IF($C13="","",IFERROR(INDEX(Mat_Short,MATCH($C13,Mat_Code,0)),"⚠ Unknown code"))</f>
        <v/>
      </c>
      <c r="E13" s="66"/>
      <c r="F13" s="64" t="str">
        <f aca="false">IF($C13="","",IFERROR(INDEX(Mat_Unit,MATCH($C13,Mat_Code,0)),""))</f>
        <v/>
      </c>
      <c r="G13" s="70"/>
      <c r="H13" s="63"/>
      <c r="I13" s="63"/>
      <c r="J13" s="63"/>
      <c r="K13" s="16" t="str">
        <f aca="false">IF(AND($A13="",$B13="",$C13="",$E13=""),"",IF($A13="","⚠ Date missing",IF(OR($B13="",$C13=""),"⚠ Site / material missing",IF(COUNTIFS(CI_Site,$B13,CI_Mat,$C13)=0,"⚠ No Current Inventory row for this site + material",IF($G13="","⚠ Status missing",IF(AND($G13="Scheduled",$A13&lt;=AsOfDate),"⚠ Scheduled date reached – mark Received or re-date",IF(AND($G13="Received",$A13&gt;AsOfDate),"Future-dated – added on its date",IF(AND($G13="Received",$A13&lt;SUMIFS(CI_Count,CI_Site,$B13,CI_Mat,$C13)),"Before count date – already in the count","OK"))))))))</f>
        <v/>
      </c>
    </row>
    <row r="14" customFormat="false" ht="15" hidden="false" customHeight="false" outlineLevel="0" collapsed="false">
      <c r="A14" s="65"/>
      <c r="B14" s="63"/>
      <c r="C14" s="70"/>
      <c r="D14" s="16" t="str">
        <f aca="false">IF($C14="","",IFERROR(INDEX(Mat_Short,MATCH($C14,Mat_Code,0)),"⚠ Unknown code"))</f>
        <v/>
      </c>
      <c r="E14" s="66"/>
      <c r="F14" s="64" t="str">
        <f aca="false">IF($C14="","",IFERROR(INDEX(Mat_Unit,MATCH($C14,Mat_Code,0)),""))</f>
        <v/>
      </c>
      <c r="G14" s="70"/>
      <c r="H14" s="63"/>
      <c r="I14" s="63"/>
      <c r="J14" s="63"/>
      <c r="K14" s="16" t="str">
        <f aca="false">IF(AND($A14="",$B14="",$C14="",$E14=""),"",IF($A14="","⚠ Date missing",IF(OR($B14="",$C14=""),"⚠ Site / material missing",IF(COUNTIFS(CI_Site,$B14,CI_Mat,$C14)=0,"⚠ No Current Inventory row for this site + material",IF($G14="","⚠ Status missing",IF(AND($G14="Scheduled",$A14&lt;=AsOfDate),"⚠ Scheduled date reached – mark Received or re-date",IF(AND($G14="Received",$A14&gt;AsOfDate),"Future-dated – added on its date",IF(AND($G14="Received",$A14&lt;SUMIFS(CI_Count,CI_Site,$B14,CI_Mat,$C14)),"Before count date – already in the count","OK"))))))))</f>
        <v/>
      </c>
    </row>
    <row r="15" customFormat="false" ht="15" hidden="false" customHeight="false" outlineLevel="0" collapsed="false">
      <c r="A15" s="65"/>
      <c r="B15" s="63"/>
      <c r="C15" s="70"/>
      <c r="D15" s="16" t="str">
        <f aca="false">IF($C15="","",IFERROR(INDEX(Mat_Short,MATCH($C15,Mat_Code,0)),"⚠ Unknown code"))</f>
        <v/>
      </c>
      <c r="E15" s="66"/>
      <c r="F15" s="64" t="str">
        <f aca="false">IF($C15="","",IFERROR(INDEX(Mat_Unit,MATCH($C15,Mat_Code,0)),""))</f>
        <v/>
      </c>
      <c r="G15" s="70"/>
      <c r="H15" s="63"/>
      <c r="I15" s="63"/>
      <c r="J15" s="63"/>
      <c r="K15" s="16" t="str">
        <f aca="false">IF(AND($A15="",$B15="",$C15="",$E15=""),"",IF($A15="","⚠ Date missing",IF(OR($B15="",$C15=""),"⚠ Site / material missing",IF(COUNTIFS(CI_Site,$B15,CI_Mat,$C15)=0,"⚠ No Current Inventory row for this site + material",IF($G15="","⚠ Status missing",IF(AND($G15="Scheduled",$A15&lt;=AsOfDate),"⚠ Scheduled date reached – mark Received or re-date",IF(AND($G15="Received",$A15&gt;AsOfDate),"Future-dated – added on its date",IF(AND($G15="Received",$A15&lt;SUMIFS(CI_Count,CI_Site,$B15,CI_Mat,$C15)),"Before count date – already in the count","OK"))))))))</f>
        <v/>
      </c>
    </row>
    <row r="16" customFormat="false" ht="15" hidden="false" customHeight="false" outlineLevel="0" collapsed="false">
      <c r="A16" s="65"/>
      <c r="B16" s="63"/>
      <c r="C16" s="70"/>
      <c r="D16" s="16" t="str">
        <f aca="false">IF($C16="","",IFERROR(INDEX(Mat_Short,MATCH($C16,Mat_Code,0)),"⚠ Unknown code"))</f>
        <v/>
      </c>
      <c r="E16" s="66"/>
      <c r="F16" s="64" t="str">
        <f aca="false">IF($C16="","",IFERROR(INDEX(Mat_Unit,MATCH($C16,Mat_Code,0)),""))</f>
        <v/>
      </c>
      <c r="G16" s="70"/>
      <c r="H16" s="63"/>
      <c r="I16" s="63"/>
      <c r="J16" s="63"/>
      <c r="K16" s="16" t="str">
        <f aca="false">IF(AND($A16="",$B16="",$C16="",$E16=""),"",IF($A16="","⚠ Date missing",IF(OR($B16="",$C16=""),"⚠ Site / material missing",IF(COUNTIFS(CI_Site,$B16,CI_Mat,$C16)=0,"⚠ No Current Inventory row for this site + material",IF($G16="","⚠ Status missing",IF(AND($G16="Scheduled",$A16&lt;=AsOfDate),"⚠ Scheduled date reached – mark Received or re-date",IF(AND($G16="Received",$A16&gt;AsOfDate),"Future-dated – added on its date",IF(AND($G16="Received",$A16&lt;SUMIFS(CI_Count,CI_Site,$B16,CI_Mat,$C16)),"Before count date – already in the count","OK"))))))))</f>
        <v/>
      </c>
    </row>
    <row r="17" customFormat="false" ht="15" hidden="false" customHeight="false" outlineLevel="0" collapsed="false">
      <c r="A17" s="65"/>
      <c r="B17" s="63"/>
      <c r="C17" s="70"/>
      <c r="D17" s="16" t="str">
        <f aca="false">IF($C17="","",IFERROR(INDEX(Mat_Short,MATCH($C17,Mat_Code,0)),"⚠ Unknown code"))</f>
        <v/>
      </c>
      <c r="E17" s="66"/>
      <c r="F17" s="64" t="str">
        <f aca="false">IF($C17="","",IFERROR(INDEX(Mat_Unit,MATCH($C17,Mat_Code,0)),""))</f>
        <v/>
      </c>
      <c r="G17" s="70"/>
      <c r="H17" s="63"/>
      <c r="I17" s="63"/>
      <c r="J17" s="63"/>
      <c r="K17" s="16" t="str">
        <f aca="false">IF(AND($A17="",$B17="",$C17="",$E17=""),"",IF($A17="","⚠ Date missing",IF(OR($B17="",$C17=""),"⚠ Site / material missing",IF(COUNTIFS(CI_Site,$B17,CI_Mat,$C17)=0,"⚠ No Current Inventory row for this site + material",IF($G17="","⚠ Status missing",IF(AND($G17="Scheduled",$A17&lt;=AsOfDate),"⚠ Scheduled date reached – mark Received or re-date",IF(AND($G17="Received",$A17&gt;AsOfDate),"Future-dated – added on its date",IF(AND($G17="Received",$A17&lt;SUMIFS(CI_Count,CI_Site,$B17,CI_Mat,$C17)),"Before count date – already in the count","OK"))))))))</f>
        <v/>
      </c>
    </row>
    <row r="18" customFormat="false" ht="15" hidden="false" customHeight="false" outlineLevel="0" collapsed="false">
      <c r="A18" s="65"/>
      <c r="B18" s="63"/>
      <c r="C18" s="70"/>
      <c r="D18" s="16" t="str">
        <f aca="false">IF($C18="","",IFERROR(INDEX(Mat_Short,MATCH($C18,Mat_Code,0)),"⚠ Unknown code"))</f>
        <v/>
      </c>
      <c r="E18" s="66"/>
      <c r="F18" s="64" t="str">
        <f aca="false">IF($C18="","",IFERROR(INDEX(Mat_Unit,MATCH($C18,Mat_Code,0)),""))</f>
        <v/>
      </c>
      <c r="G18" s="70"/>
      <c r="H18" s="63"/>
      <c r="I18" s="63"/>
      <c r="J18" s="63"/>
      <c r="K18" s="16" t="str">
        <f aca="false">IF(AND($A18="",$B18="",$C18="",$E18=""),"",IF($A18="","⚠ Date missing",IF(OR($B18="",$C18=""),"⚠ Site / material missing",IF(COUNTIFS(CI_Site,$B18,CI_Mat,$C18)=0,"⚠ No Current Inventory row for this site + material",IF($G18="","⚠ Status missing",IF(AND($G18="Scheduled",$A18&lt;=AsOfDate),"⚠ Scheduled date reached – mark Received or re-date",IF(AND($G18="Received",$A18&gt;AsOfDate),"Future-dated – added on its date",IF(AND($G18="Received",$A18&lt;SUMIFS(CI_Count,CI_Site,$B18,CI_Mat,$C18)),"Before count date – already in the count","OK"))))))))</f>
        <v/>
      </c>
    </row>
    <row r="19" customFormat="false" ht="15" hidden="false" customHeight="false" outlineLevel="0" collapsed="false">
      <c r="A19" s="65"/>
      <c r="B19" s="63"/>
      <c r="C19" s="70"/>
      <c r="D19" s="16" t="str">
        <f aca="false">IF($C19="","",IFERROR(INDEX(Mat_Short,MATCH($C19,Mat_Code,0)),"⚠ Unknown code"))</f>
        <v/>
      </c>
      <c r="E19" s="66"/>
      <c r="F19" s="64" t="str">
        <f aca="false">IF($C19="","",IFERROR(INDEX(Mat_Unit,MATCH($C19,Mat_Code,0)),""))</f>
        <v/>
      </c>
      <c r="G19" s="70"/>
      <c r="H19" s="63"/>
      <c r="I19" s="63"/>
      <c r="J19" s="63"/>
      <c r="K19" s="16" t="str">
        <f aca="false">IF(AND($A19="",$B19="",$C19="",$E19=""),"",IF($A19="","⚠ Date missing",IF(OR($B19="",$C19=""),"⚠ Site / material missing",IF(COUNTIFS(CI_Site,$B19,CI_Mat,$C19)=0,"⚠ No Current Inventory row for this site + material",IF($G19="","⚠ Status missing",IF(AND($G19="Scheduled",$A19&lt;=AsOfDate),"⚠ Scheduled date reached – mark Received or re-date",IF(AND($G19="Received",$A19&gt;AsOfDate),"Future-dated – added on its date",IF(AND($G19="Received",$A19&lt;SUMIFS(CI_Count,CI_Site,$B19,CI_Mat,$C19)),"Before count date – already in the count","OK"))))))))</f>
        <v/>
      </c>
    </row>
    <row r="20" customFormat="false" ht="15" hidden="false" customHeight="false" outlineLevel="0" collapsed="false">
      <c r="A20" s="65"/>
      <c r="B20" s="63"/>
      <c r="C20" s="70"/>
      <c r="D20" s="16" t="str">
        <f aca="false">IF($C20="","",IFERROR(INDEX(Mat_Short,MATCH($C20,Mat_Code,0)),"⚠ Unknown code"))</f>
        <v/>
      </c>
      <c r="E20" s="66"/>
      <c r="F20" s="64" t="str">
        <f aca="false">IF($C20="","",IFERROR(INDEX(Mat_Unit,MATCH($C20,Mat_Code,0)),""))</f>
        <v/>
      </c>
      <c r="G20" s="70"/>
      <c r="H20" s="63"/>
      <c r="I20" s="63"/>
      <c r="J20" s="63"/>
      <c r="K20" s="16" t="str">
        <f aca="false">IF(AND($A20="",$B20="",$C20="",$E20=""),"",IF($A20="","⚠ Date missing",IF(OR($B20="",$C20=""),"⚠ Site / material missing",IF(COUNTIFS(CI_Site,$B20,CI_Mat,$C20)=0,"⚠ No Current Inventory row for this site + material",IF($G20="","⚠ Status missing",IF(AND($G20="Scheduled",$A20&lt;=AsOfDate),"⚠ Scheduled date reached – mark Received or re-date",IF(AND($G20="Received",$A20&gt;AsOfDate),"Future-dated – added on its date",IF(AND($G20="Received",$A20&lt;SUMIFS(CI_Count,CI_Site,$B20,CI_Mat,$C20)),"Before count date – already in the count","OK"))))))))</f>
        <v/>
      </c>
    </row>
    <row r="21" customFormat="false" ht="15" hidden="false" customHeight="false" outlineLevel="0" collapsed="false">
      <c r="A21" s="65"/>
      <c r="B21" s="63"/>
      <c r="C21" s="70"/>
      <c r="D21" s="16" t="str">
        <f aca="false">IF($C21="","",IFERROR(INDEX(Mat_Short,MATCH($C21,Mat_Code,0)),"⚠ Unknown code"))</f>
        <v/>
      </c>
      <c r="E21" s="66"/>
      <c r="F21" s="64" t="str">
        <f aca="false">IF($C21="","",IFERROR(INDEX(Mat_Unit,MATCH($C21,Mat_Code,0)),""))</f>
        <v/>
      </c>
      <c r="G21" s="70"/>
      <c r="H21" s="63"/>
      <c r="I21" s="63"/>
      <c r="J21" s="63"/>
      <c r="K21" s="16" t="str">
        <f aca="false">IF(AND($A21="",$B21="",$C21="",$E21=""),"",IF($A21="","⚠ Date missing",IF(OR($B21="",$C21=""),"⚠ Site / material missing",IF(COUNTIFS(CI_Site,$B21,CI_Mat,$C21)=0,"⚠ No Current Inventory row for this site + material",IF($G21="","⚠ Status missing",IF(AND($G21="Scheduled",$A21&lt;=AsOfDate),"⚠ Scheduled date reached – mark Received or re-date",IF(AND($G21="Received",$A21&gt;AsOfDate),"Future-dated – added on its date",IF(AND($G21="Received",$A21&lt;SUMIFS(CI_Count,CI_Site,$B21,CI_Mat,$C21)),"Before count date – already in the count","OK"))))))))</f>
        <v/>
      </c>
    </row>
    <row r="22" customFormat="false" ht="15" hidden="false" customHeight="false" outlineLevel="0" collapsed="false">
      <c r="A22" s="65"/>
      <c r="B22" s="63"/>
      <c r="C22" s="70"/>
      <c r="D22" s="16" t="str">
        <f aca="false">IF($C22="","",IFERROR(INDEX(Mat_Short,MATCH($C22,Mat_Code,0)),"⚠ Unknown code"))</f>
        <v/>
      </c>
      <c r="E22" s="66"/>
      <c r="F22" s="64" t="str">
        <f aca="false">IF($C22="","",IFERROR(INDEX(Mat_Unit,MATCH($C22,Mat_Code,0)),""))</f>
        <v/>
      </c>
      <c r="G22" s="70"/>
      <c r="H22" s="63"/>
      <c r="I22" s="63"/>
      <c r="J22" s="63"/>
      <c r="K22" s="16" t="str">
        <f aca="false">IF(AND($A22="",$B22="",$C22="",$E22=""),"",IF($A22="","⚠ Date missing",IF(OR($B22="",$C22=""),"⚠ Site / material missing",IF(COUNTIFS(CI_Site,$B22,CI_Mat,$C22)=0,"⚠ No Current Inventory row for this site + material",IF($G22="","⚠ Status missing",IF(AND($G22="Scheduled",$A22&lt;=AsOfDate),"⚠ Scheduled date reached – mark Received or re-date",IF(AND($G22="Received",$A22&gt;AsOfDate),"Future-dated – added on its date",IF(AND($G22="Received",$A22&lt;SUMIFS(CI_Count,CI_Site,$B22,CI_Mat,$C22)),"Before count date – already in the count","OK"))))))))</f>
        <v/>
      </c>
    </row>
    <row r="23" customFormat="false" ht="15" hidden="false" customHeight="false" outlineLevel="0" collapsed="false">
      <c r="A23" s="65"/>
      <c r="B23" s="63"/>
      <c r="C23" s="70"/>
      <c r="D23" s="16" t="str">
        <f aca="false">IF($C23="","",IFERROR(INDEX(Mat_Short,MATCH($C23,Mat_Code,0)),"⚠ Unknown code"))</f>
        <v/>
      </c>
      <c r="E23" s="66"/>
      <c r="F23" s="64" t="str">
        <f aca="false">IF($C23="","",IFERROR(INDEX(Mat_Unit,MATCH($C23,Mat_Code,0)),""))</f>
        <v/>
      </c>
      <c r="G23" s="70"/>
      <c r="H23" s="63"/>
      <c r="I23" s="63"/>
      <c r="J23" s="63"/>
      <c r="K23" s="16" t="str">
        <f aca="false">IF(AND($A23="",$B23="",$C23="",$E23=""),"",IF($A23="","⚠ Date missing",IF(OR($B23="",$C23=""),"⚠ Site / material missing",IF(COUNTIFS(CI_Site,$B23,CI_Mat,$C23)=0,"⚠ No Current Inventory row for this site + material",IF($G23="","⚠ Status missing",IF(AND($G23="Scheduled",$A23&lt;=AsOfDate),"⚠ Scheduled date reached – mark Received or re-date",IF(AND($G23="Received",$A23&gt;AsOfDate),"Future-dated – added on its date",IF(AND($G23="Received",$A23&lt;SUMIFS(CI_Count,CI_Site,$B23,CI_Mat,$C23)),"Before count date – already in the count","OK"))))))))</f>
        <v/>
      </c>
    </row>
    <row r="24" customFormat="false" ht="15" hidden="false" customHeight="false" outlineLevel="0" collapsed="false">
      <c r="A24" s="65"/>
      <c r="B24" s="63"/>
      <c r="C24" s="70"/>
      <c r="D24" s="16" t="str">
        <f aca="false">IF($C24="","",IFERROR(INDEX(Mat_Short,MATCH($C24,Mat_Code,0)),"⚠ Unknown code"))</f>
        <v/>
      </c>
      <c r="E24" s="66"/>
      <c r="F24" s="64" t="str">
        <f aca="false">IF($C24="","",IFERROR(INDEX(Mat_Unit,MATCH($C24,Mat_Code,0)),""))</f>
        <v/>
      </c>
      <c r="G24" s="70"/>
      <c r="H24" s="63"/>
      <c r="I24" s="63"/>
      <c r="J24" s="63"/>
      <c r="K24" s="16" t="str">
        <f aca="false">IF(AND($A24="",$B24="",$C24="",$E24=""),"",IF($A24="","⚠ Date missing",IF(OR($B24="",$C24=""),"⚠ Site / material missing",IF(COUNTIFS(CI_Site,$B24,CI_Mat,$C24)=0,"⚠ No Current Inventory row for this site + material",IF($G24="","⚠ Status missing",IF(AND($G24="Scheduled",$A24&lt;=AsOfDate),"⚠ Scheduled date reached – mark Received or re-date",IF(AND($G24="Received",$A24&gt;AsOfDate),"Future-dated – added on its date",IF(AND($G24="Received",$A24&lt;SUMIFS(CI_Count,CI_Site,$B24,CI_Mat,$C24)),"Before count date – already in the count","OK"))))))))</f>
        <v/>
      </c>
    </row>
    <row r="25" customFormat="false" ht="15" hidden="false" customHeight="false" outlineLevel="0" collapsed="false">
      <c r="A25" s="65"/>
      <c r="B25" s="63"/>
      <c r="C25" s="70"/>
      <c r="D25" s="16" t="str">
        <f aca="false">IF($C25="","",IFERROR(INDEX(Mat_Short,MATCH($C25,Mat_Code,0)),"⚠ Unknown code"))</f>
        <v/>
      </c>
      <c r="E25" s="66"/>
      <c r="F25" s="64" t="str">
        <f aca="false">IF($C25="","",IFERROR(INDEX(Mat_Unit,MATCH($C25,Mat_Code,0)),""))</f>
        <v/>
      </c>
      <c r="G25" s="70"/>
      <c r="H25" s="63"/>
      <c r="I25" s="63"/>
      <c r="J25" s="63"/>
      <c r="K25" s="16" t="str">
        <f aca="false">IF(AND($A25="",$B25="",$C25="",$E25=""),"",IF($A25="","⚠ Date missing",IF(OR($B25="",$C25=""),"⚠ Site / material missing",IF(COUNTIFS(CI_Site,$B25,CI_Mat,$C25)=0,"⚠ No Current Inventory row for this site + material",IF($G25="","⚠ Status missing",IF(AND($G25="Scheduled",$A25&lt;=AsOfDate),"⚠ Scheduled date reached – mark Received or re-date",IF(AND($G25="Received",$A25&gt;AsOfDate),"Future-dated – added on its date",IF(AND($G25="Received",$A25&lt;SUMIFS(CI_Count,CI_Site,$B25,CI_Mat,$C25)),"Before count date – already in the count","OK"))))))))</f>
        <v/>
      </c>
    </row>
    <row r="26" customFormat="false" ht="15" hidden="false" customHeight="false" outlineLevel="0" collapsed="false">
      <c r="A26" s="65"/>
      <c r="B26" s="63"/>
      <c r="C26" s="70"/>
      <c r="D26" s="16" t="str">
        <f aca="false">IF($C26="","",IFERROR(INDEX(Mat_Short,MATCH($C26,Mat_Code,0)),"⚠ Unknown code"))</f>
        <v/>
      </c>
      <c r="E26" s="66"/>
      <c r="F26" s="64" t="str">
        <f aca="false">IF($C26="","",IFERROR(INDEX(Mat_Unit,MATCH($C26,Mat_Code,0)),""))</f>
        <v/>
      </c>
      <c r="G26" s="70"/>
      <c r="H26" s="63"/>
      <c r="I26" s="63"/>
      <c r="J26" s="63"/>
      <c r="K26" s="16" t="str">
        <f aca="false">IF(AND($A26="",$B26="",$C26="",$E26=""),"",IF($A26="","⚠ Date missing",IF(OR($B26="",$C26=""),"⚠ Site / material missing",IF(COUNTIFS(CI_Site,$B26,CI_Mat,$C26)=0,"⚠ No Current Inventory row for this site + material",IF($G26="","⚠ Status missing",IF(AND($G26="Scheduled",$A26&lt;=AsOfDate),"⚠ Scheduled date reached – mark Received or re-date",IF(AND($G26="Received",$A26&gt;AsOfDate),"Future-dated – added on its date",IF(AND($G26="Received",$A26&lt;SUMIFS(CI_Count,CI_Site,$B26,CI_Mat,$C26)),"Before count date – already in the count","OK"))))))))</f>
        <v/>
      </c>
    </row>
    <row r="27" customFormat="false" ht="15" hidden="false" customHeight="false" outlineLevel="0" collapsed="false">
      <c r="A27" s="65"/>
      <c r="B27" s="63"/>
      <c r="C27" s="70"/>
      <c r="D27" s="16" t="str">
        <f aca="false">IF($C27="","",IFERROR(INDEX(Mat_Short,MATCH($C27,Mat_Code,0)),"⚠ Unknown code"))</f>
        <v/>
      </c>
      <c r="E27" s="66"/>
      <c r="F27" s="64" t="str">
        <f aca="false">IF($C27="","",IFERROR(INDEX(Mat_Unit,MATCH($C27,Mat_Code,0)),""))</f>
        <v/>
      </c>
      <c r="G27" s="70"/>
      <c r="H27" s="63"/>
      <c r="I27" s="63"/>
      <c r="J27" s="63"/>
      <c r="K27" s="16" t="str">
        <f aca="false">IF(AND($A27="",$B27="",$C27="",$E27=""),"",IF($A27="","⚠ Date missing",IF(OR($B27="",$C27=""),"⚠ Site / material missing",IF(COUNTIFS(CI_Site,$B27,CI_Mat,$C27)=0,"⚠ No Current Inventory row for this site + material",IF($G27="","⚠ Status missing",IF(AND($G27="Scheduled",$A27&lt;=AsOfDate),"⚠ Scheduled date reached – mark Received or re-date",IF(AND($G27="Received",$A27&gt;AsOfDate),"Future-dated – added on its date",IF(AND($G27="Received",$A27&lt;SUMIFS(CI_Count,CI_Site,$B27,CI_Mat,$C27)),"Before count date – already in the count","OK"))))))))</f>
        <v/>
      </c>
    </row>
    <row r="28" customFormat="false" ht="15" hidden="false" customHeight="false" outlineLevel="0" collapsed="false">
      <c r="A28" s="65"/>
      <c r="B28" s="63"/>
      <c r="C28" s="70"/>
      <c r="D28" s="16" t="str">
        <f aca="false">IF($C28="","",IFERROR(INDEX(Mat_Short,MATCH($C28,Mat_Code,0)),"⚠ Unknown code"))</f>
        <v/>
      </c>
      <c r="E28" s="66"/>
      <c r="F28" s="64" t="str">
        <f aca="false">IF($C28="","",IFERROR(INDEX(Mat_Unit,MATCH($C28,Mat_Code,0)),""))</f>
        <v/>
      </c>
      <c r="G28" s="70"/>
      <c r="H28" s="63"/>
      <c r="I28" s="63"/>
      <c r="J28" s="63"/>
      <c r="K28" s="16" t="str">
        <f aca="false">IF(AND($A28="",$B28="",$C28="",$E28=""),"",IF($A28="","⚠ Date missing",IF(OR($B28="",$C28=""),"⚠ Site / material missing",IF(COUNTIFS(CI_Site,$B28,CI_Mat,$C28)=0,"⚠ No Current Inventory row for this site + material",IF($G28="","⚠ Status missing",IF(AND($G28="Scheduled",$A28&lt;=AsOfDate),"⚠ Scheduled date reached – mark Received or re-date",IF(AND($G28="Received",$A28&gt;AsOfDate),"Future-dated – added on its date",IF(AND($G28="Received",$A28&lt;SUMIFS(CI_Count,CI_Site,$B28,CI_Mat,$C28)),"Before count date – already in the count","OK"))))))))</f>
        <v/>
      </c>
    </row>
    <row r="29" customFormat="false" ht="15" hidden="false" customHeight="false" outlineLevel="0" collapsed="false">
      <c r="A29" s="65"/>
      <c r="B29" s="63"/>
      <c r="C29" s="70"/>
      <c r="D29" s="16" t="str">
        <f aca="false">IF($C29="","",IFERROR(INDEX(Mat_Short,MATCH($C29,Mat_Code,0)),"⚠ Unknown code"))</f>
        <v/>
      </c>
      <c r="E29" s="66"/>
      <c r="F29" s="64" t="str">
        <f aca="false">IF($C29="","",IFERROR(INDEX(Mat_Unit,MATCH($C29,Mat_Code,0)),""))</f>
        <v/>
      </c>
      <c r="G29" s="70"/>
      <c r="H29" s="63"/>
      <c r="I29" s="63"/>
      <c r="J29" s="63"/>
      <c r="K29" s="16" t="str">
        <f aca="false">IF(AND($A29="",$B29="",$C29="",$E29=""),"",IF($A29="","⚠ Date missing",IF(OR($B29="",$C29=""),"⚠ Site / material missing",IF(COUNTIFS(CI_Site,$B29,CI_Mat,$C29)=0,"⚠ No Current Inventory row for this site + material",IF($G29="","⚠ Status missing",IF(AND($G29="Scheduled",$A29&lt;=AsOfDate),"⚠ Scheduled date reached – mark Received or re-date",IF(AND($G29="Received",$A29&gt;AsOfDate),"Future-dated – added on its date",IF(AND($G29="Received",$A29&lt;SUMIFS(CI_Count,CI_Site,$B29,CI_Mat,$C29)),"Before count date – already in the count","OK"))))))))</f>
        <v/>
      </c>
    </row>
    <row r="30" customFormat="false" ht="15" hidden="false" customHeight="false" outlineLevel="0" collapsed="false">
      <c r="A30" s="65"/>
      <c r="B30" s="63"/>
      <c r="C30" s="70"/>
      <c r="D30" s="16" t="str">
        <f aca="false">IF($C30="","",IFERROR(INDEX(Mat_Short,MATCH($C30,Mat_Code,0)),"⚠ Unknown code"))</f>
        <v/>
      </c>
      <c r="E30" s="66"/>
      <c r="F30" s="64" t="str">
        <f aca="false">IF($C30="","",IFERROR(INDEX(Mat_Unit,MATCH($C30,Mat_Code,0)),""))</f>
        <v/>
      </c>
      <c r="G30" s="70"/>
      <c r="H30" s="63"/>
      <c r="I30" s="63"/>
      <c r="J30" s="63"/>
      <c r="K30" s="16" t="str">
        <f aca="false">IF(AND($A30="",$B30="",$C30="",$E30=""),"",IF($A30="","⚠ Date missing",IF(OR($B30="",$C30=""),"⚠ Site / material missing",IF(COUNTIFS(CI_Site,$B30,CI_Mat,$C30)=0,"⚠ No Current Inventory row for this site + material",IF($G30="","⚠ Status missing",IF(AND($G30="Scheduled",$A30&lt;=AsOfDate),"⚠ Scheduled date reached – mark Received or re-date",IF(AND($G30="Received",$A30&gt;AsOfDate),"Future-dated – added on its date",IF(AND($G30="Received",$A30&lt;SUMIFS(CI_Count,CI_Site,$B30,CI_Mat,$C30)),"Before count date – already in the count","OK"))))))))</f>
        <v/>
      </c>
    </row>
    <row r="31" customFormat="false" ht="15" hidden="false" customHeight="false" outlineLevel="0" collapsed="false">
      <c r="A31" s="65"/>
      <c r="B31" s="63"/>
      <c r="C31" s="70"/>
      <c r="D31" s="16" t="str">
        <f aca="false">IF($C31="","",IFERROR(INDEX(Mat_Short,MATCH($C31,Mat_Code,0)),"⚠ Unknown code"))</f>
        <v/>
      </c>
      <c r="E31" s="66"/>
      <c r="F31" s="64" t="str">
        <f aca="false">IF($C31="","",IFERROR(INDEX(Mat_Unit,MATCH($C31,Mat_Code,0)),""))</f>
        <v/>
      </c>
      <c r="G31" s="70"/>
      <c r="H31" s="63"/>
      <c r="I31" s="63"/>
      <c r="J31" s="63"/>
      <c r="K31" s="16" t="str">
        <f aca="false">IF(AND($A31="",$B31="",$C31="",$E31=""),"",IF($A31="","⚠ Date missing",IF(OR($B31="",$C31=""),"⚠ Site / material missing",IF(COUNTIFS(CI_Site,$B31,CI_Mat,$C31)=0,"⚠ No Current Inventory row for this site + material",IF($G31="","⚠ Status missing",IF(AND($G31="Scheduled",$A31&lt;=AsOfDate),"⚠ Scheduled date reached – mark Received or re-date",IF(AND($G31="Received",$A31&gt;AsOfDate),"Future-dated – added on its date",IF(AND($G31="Received",$A31&lt;SUMIFS(CI_Count,CI_Site,$B31,CI_Mat,$C31)),"Before count date – already in the count","OK"))))))))</f>
        <v/>
      </c>
    </row>
    <row r="32" customFormat="false" ht="15" hidden="false" customHeight="false" outlineLevel="0" collapsed="false">
      <c r="A32" s="65"/>
      <c r="B32" s="63"/>
      <c r="C32" s="70"/>
      <c r="D32" s="16" t="str">
        <f aca="false">IF($C32="","",IFERROR(INDEX(Mat_Short,MATCH($C32,Mat_Code,0)),"⚠ Unknown code"))</f>
        <v/>
      </c>
      <c r="E32" s="66"/>
      <c r="F32" s="64" t="str">
        <f aca="false">IF($C32="","",IFERROR(INDEX(Mat_Unit,MATCH($C32,Mat_Code,0)),""))</f>
        <v/>
      </c>
      <c r="G32" s="70"/>
      <c r="H32" s="63"/>
      <c r="I32" s="63"/>
      <c r="J32" s="63"/>
      <c r="K32" s="16" t="str">
        <f aca="false">IF(AND($A32="",$B32="",$C32="",$E32=""),"",IF($A32="","⚠ Date missing",IF(OR($B32="",$C32=""),"⚠ Site / material missing",IF(COUNTIFS(CI_Site,$B32,CI_Mat,$C32)=0,"⚠ No Current Inventory row for this site + material",IF($G32="","⚠ Status missing",IF(AND($G32="Scheduled",$A32&lt;=AsOfDate),"⚠ Scheduled date reached – mark Received or re-date",IF(AND($G32="Received",$A32&gt;AsOfDate),"Future-dated – added on its date",IF(AND($G32="Received",$A32&lt;SUMIFS(CI_Count,CI_Site,$B32,CI_Mat,$C32)),"Before count date – already in the count","OK"))))))))</f>
        <v/>
      </c>
    </row>
    <row r="33" customFormat="false" ht="15" hidden="false" customHeight="false" outlineLevel="0" collapsed="false">
      <c r="A33" s="65"/>
      <c r="B33" s="63"/>
      <c r="C33" s="70"/>
      <c r="D33" s="16" t="str">
        <f aca="false">IF($C33="","",IFERROR(INDEX(Mat_Short,MATCH($C33,Mat_Code,0)),"⚠ Unknown code"))</f>
        <v/>
      </c>
      <c r="E33" s="66"/>
      <c r="F33" s="64" t="str">
        <f aca="false">IF($C33="","",IFERROR(INDEX(Mat_Unit,MATCH($C33,Mat_Code,0)),""))</f>
        <v/>
      </c>
      <c r="G33" s="70"/>
      <c r="H33" s="63"/>
      <c r="I33" s="63"/>
      <c r="J33" s="63"/>
      <c r="K33" s="16" t="str">
        <f aca="false">IF(AND($A33="",$B33="",$C33="",$E33=""),"",IF($A33="","⚠ Date missing",IF(OR($B33="",$C33=""),"⚠ Site / material missing",IF(COUNTIFS(CI_Site,$B33,CI_Mat,$C33)=0,"⚠ No Current Inventory row for this site + material",IF($G33="","⚠ Status missing",IF(AND($G33="Scheduled",$A33&lt;=AsOfDate),"⚠ Scheduled date reached – mark Received or re-date",IF(AND($G33="Received",$A33&gt;AsOfDate),"Future-dated – added on its date",IF(AND($G33="Received",$A33&lt;SUMIFS(CI_Count,CI_Site,$B33,CI_Mat,$C33)),"Before count date – already in the count","OK"))))))))</f>
        <v/>
      </c>
    </row>
    <row r="34" customFormat="false" ht="15" hidden="false" customHeight="false" outlineLevel="0" collapsed="false">
      <c r="A34" s="65"/>
      <c r="B34" s="63"/>
      <c r="C34" s="70"/>
      <c r="D34" s="16" t="str">
        <f aca="false">IF($C34="","",IFERROR(INDEX(Mat_Short,MATCH($C34,Mat_Code,0)),"⚠ Unknown code"))</f>
        <v/>
      </c>
      <c r="E34" s="66"/>
      <c r="F34" s="64" t="str">
        <f aca="false">IF($C34="","",IFERROR(INDEX(Mat_Unit,MATCH($C34,Mat_Code,0)),""))</f>
        <v/>
      </c>
      <c r="G34" s="70"/>
      <c r="H34" s="63"/>
      <c r="I34" s="63"/>
      <c r="J34" s="63"/>
      <c r="K34" s="16" t="str">
        <f aca="false">IF(AND($A34="",$B34="",$C34="",$E34=""),"",IF($A34="","⚠ Date missing",IF(OR($B34="",$C34=""),"⚠ Site / material missing",IF(COUNTIFS(CI_Site,$B34,CI_Mat,$C34)=0,"⚠ No Current Inventory row for this site + material",IF($G34="","⚠ Status missing",IF(AND($G34="Scheduled",$A34&lt;=AsOfDate),"⚠ Scheduled date reached – mark Received or re-date",IF(AND($G34="Received",$A34&gt;AsOfDate),"Future-dated – added on its date",IF(AND($G34="Received",$A34&lt;SUMIFS(CI_Count,CI_Site,$B34,CI_Mat,$C34)),"Before count date – already in the count","OK"))))))))</f>
        <v/>
      </c>
    </row>
    <row r="35" customFormat="false" ht="15" hidden="false" customHeight="false" outlineLevel="0" collapsed="false">
      <c r="A35" s="65"/>
      <c r="B35" s="63"/>
      <c r="C35" s="70"/>
      <c r="D35" s="16" t="str">
        <f aca="false">IF($C35="","",IFERROR(INDEX(Mat_Short,MATCH($C35,Mat_Code,0)),"⚠ Unknown code"))</f>
        <v/>
      </c>
      <c r="E35" s="66"/>
      <c r="F35" s="64" t="str">
        <f aca="false">IF($C35="","",IFERROR(INDEX(Mat_Unit,MATCH($C35,Mat_Code,0)),""))</f>
        <v/>
      </c>
      <c r="G35" s="70"/>
      <c r="H35" s="63"/>
      <c r="I35" s="63"/>
      <c r="J35" s="63"/>
      <c r="K35" s="16" t="str">
        <f aca="false">IF(AND($A35="",$B35="",$C35="",$E35=""),"",IF($A35="","⚠ Date missing",IF(OR($B35="",$C35=""),"⚠ Site / material missing",IF(COUNTIFS(CI_Site,$B35,CI_Mat,$C35)=0,"⚠ No Current Inventory row for this site + material",IF($G35="","⚠ Status missing",IF(AND($G35="Scheduled",$A35&lt;=AsOfDate),"⚠ Scheduled date reached – mark Received or re-date",IF(AND($G35="Received",$A35&gt;AsOfDate),"Future-dated – added on its date",IF(AND($G35="Received",$A35&lt;SUMIFS(CI_Count,CI_Site,$B35,CI_Mat,$C35)),"Before count date – already in the count","OK"))))))))</f>
        <v/>
      </c>
    </row>
    <row r="36" customFormat="false" ht="15" hidden="false" customHeight="false" outlineLevel="0" collapsed="false">
      <c r="A36" s="65"/>
      <c r="B36" s="63"/>
      <c r="C36" s="70"/>
      <c r="D36" s="16" t="str">
        <f aca="false">IF($C36="","",IFERROR(INDEX(Mat_Short,MATCH($C36,Mat_Code,0)),"⚠ Unknown code"))</f>
        <v/>
      </c>
      <c r="E36" s="66"/>
      <c r="F36" s="64" t="str">
        <f aca="false">IF($C36="","",IFERROR(INDEX(Mat_Unit,MATCH($C36,Mat_Code,0)),""))</f>
        <v/>
      </c>
      <c r="G36" s="70"/>
      <c r="H36" s="63"/>
      <c r="I36" s="63"/>
      <c r="J36" s="63"/>
      <c r="K36" s="16" t="str">
        <f aca="false">IF(AND($A36="",$B36="",$C36="",$E36=""),"",IF($A36="","⚠ Date missing",IF(OR($B36="",$C36=""),"⚠ Site / material missing",IF(COUNTIFS(CI_Site,$B36,CI_Mat,$C36)=0,"⚠ No Current Inventory row for this site + material",IF($G36="","⚠ Status missing",IF(AND($G36="Scheduled",$A36&lt;=AsOfDate),"⚠ Scheduled date reached – mark Received or re-date",IF(AND($G36="Received",$A36&gt;AsOfDate),"Future-dated – added on its date",IF(AND($G36="Received",$A36&lt;SUMIFS(CI_Count,CI_Site,$B36,CI_Mat,$C36)),"Before count date – already in the count","OK"))))))))</f>
        <v/>
      </c>
    </row>
    <row r="37" customFormat="false" ht="15" hidden="false" customHeight="false" outlineLevel="0" collapsed="false">
      <c r="A37" s="65"/>
      <c r="B37" s="63"/>
      <c r="C37" s="70"/>
      <c r="D37" s="16" t="str">
        <f aca="false">IF($C37="","",IFERROR(INDEX(Mat_Short,MATCH($C37,Mat_Code,0)),"⚠ Unknown code"))</f>
        <v/>
      </c>
      <c r="E37" s="66"/>
      <c r="F37" s="64" t="str">
        <f aca="false">IF($C37="","",IFERROR(INDEX(Mat_Unit,MATCH($C37,Mat_Code,0)),""))</f>
        <v/>
      </c>
      <c r="G37" s="70"/>
      <c r="H37" s="63"/>
      <c r="I37" s="63"/>
      <c r="J37" s="63"/>
      <c r="K37" s="16" t="str">
        <f aca="false">IF(AND($A37="",$B37="",$C37="",$E37=""),"",IF($A37="","⚠ Date missing",IF(OR($B37="",$C37=""),"⚠ Site / material missing",IF(COUNTIFS(CI_Site,$B37,CI_Mat,$C37)=0,"⚠ No Current Inventory row for this site + material",IF($G37="","⚠ Status missing",IF(AND($G37="Scheduled",$A37&lt;=AsOfDate),"⚠ Scheduled date reached – mark Received or re-date",IF(AND($G37="Received",$A37&gt;AsOfDate),"Future-dated – added on its date",IF(AND($G37="Received",$A37&lt;SUMIFS(CI_Count,CI_Site,$B37,CI_Mat,$C37)),"Before count date – already in the count","OK"))))))))</f>
        <v/>
      </c>
    </row>
    <row r="38" customFormat="false" ht="15" hidden="false" customHeight="false" outlineLevel="0" collapsed="false">
      <c r="A38" s="65"/>
      <c r="B38" s="63"/>
      <c r="C38" s="70"/>
      <c r="D38" s="16" t="str">
        <f aca="false">IF($C38="","",IFERROR(INDEX(Mat_Short,MATCH($C38,Mat_Code,0)),"⚠ Unknown code"))</f>
        <v/>
      </c>
      <c r="E38" s="66"/>
      <c r="F38" s="64" t="str">
        <f aca="false">IF($C38="","",IFERROR(INDEX(Mat_Unit,MATCH($C38,Mat_Code,0)),""))</f>
        <v/>
      </c>
      <c r="G38" s="70"/>
      <c r="H38" s="63"/>
      <c r="I38" s="63"/>
      <c r="J38" s="63"/>
      <c r="K38" s="16" t="str">
        <f aca="false">IF(AND($A38="",$B38="",$C38="",$E38=""),"",IF($A38="","⚠ Date missing",IF(OR($B38="",$C38=""),"⚠ Site / material missing",IF(COUNTIFS(CI_Site,$B38,CI_Mat,$C38)=0,"⚠ No Current Inventory row for this site + material",IF($G38="","⚠ Status missing",IF(AND($G38="Scheduled",$A38&lt;=AsOfDate),"⚠ Scheduled date reached – mark Received or re-date",IF(AND($G38="Received",$A38&gt;AsOfDate),"Future-dated – added on its date",IF(AND($G38="Received",$A38&lt;SUMIFS(CI_Count,CI_Site,$B38,CI_Mat,$C38)),"Before count date – already in the count","OK"))))))))</f>
        <v/>
      </c>
    </row>
    <row r="39" customFormat="false" ht="15" hidden="false" customHeight="false" outlineLevel="0" collapsed="false">
      <c r="A39" s="65"/>
      <c r="B39" s="63"/>
      <c r="C39" s="70"/>
      <c r="D39" s="16" t="str">
        <f aca="false">IF($C39="","",IFERROR(INDEX(Mat_Short,MATCH($C39,Mat_Code,0)),"⚠ Unknown code"))</f>
        <v/>
      </c>
      <c r="E39" s="66"/>
      <c r="F39" s="64" t="str">
        <f aca="false">IF($C39="","",IFERROR(INDEX(Mat_Unit,MATCH($C39,Mat_Code,0)),""))</f>
        <v/>
      </c>
      <c r="G39" s="70"/>
      <c r="H39" s="63"/>
      <c r="I39" s="63"/>
      <c r="J39" s="63"/>
      <c r="K39" s="16" t="str">
        <f aca="false">IF(AND($A39="",$B39="",$C39="",$E39=""),"",IF($A39="","⚠ Date missing",IF(OR($B39="",$C39=""),"⚠ Site / material missing",IF(COUNTIFS(CI_Site,$B39,CI_Mat,$C39)=0,"⚠ No Current Inventory row for this site + material",IF($G39="","⚠ Status missing",IF(AND($G39="Scheduled",$A39&lt;=AsOfDate),"⚠ Scheduled date reached – mark Received or re-date",IF(AND($G39="Received",$A39&gt;AsOfDate),"Future-dated – added on its date",IF(AND($G39="Received",$A39&lt;SUMIFS(CI_Count,CI_Site,$B39,CI_Mat,$C39)),"Before count date – already in the count","OK"))))))))</f>
        <v/>
      </c>
    </row>
    <row r="40" customFormat="false" ht="15" hidden="false" customHeight="false" outlineLevel="0" collapsed="false">
      <c r="A40" s="65"/>
      <c r="B40" s="63"/>
      <c r="C40" s="70"/>
      <c r="D40" s="16" t="str">
        <f aca="false">IF($C40="","",IFERROR(INDEX(Mat_Short,MATCH($C40,Mat_Code,0)),"⚠ Unknown code"))</f>
        <v/>
      </c>
      <c r="E40" s="66"/>
      <c r="F40" s="64" t="str">
        <f aca="false">IF($C40="","",IFERROR(INDEX(Mat_Unit,MATCH($C40,Mat_Code,0)),""))</f>
        <v/>
      </c>
      <c r="G40" s="70"/>
      <c r="H40" s="63"/>
      <c r="I40" s="63"/>
      <c r="J40" s="63"/>
      <c r="K40" s="16" t="str">
        <f aca="false">IF(AND($A40="",$B40="",$C40="",$E40=""),"",IF($A40="","⚠ Date missing",IF(OR($B40="",$C40=""),"⚠ Site / material missing",IF(COUNTIFS(CI_Site,$B40,CI_Mat,$C40)=0,"⚠ No Current Inventory row for this site + material",IF($G40="","⚠ Status missing",IF(AND($G40="Scheduled",$A40&lt;=AsOfDate),"⚠ Scheduled date reached – mark Received or re-date",IF(AND($G40="Received",$A40&gt;AsOfDate),"Future-dated – added on its date",IF(AND($G40="Received",$A40&lt;SUMIFS(CI_Count,CI_Site,$B40,CI_Mat,$C40)),"Before count date – already in the count","OK"))))))))</f>
        <v/>
      </c>
    </row>
    <row r="41" customFormat="false" ht="15" hidden="false" customHeight="false" outlineLevel="0" collapsed="false">
      <c r="A41" s="65"/>
      <c r="B41" s="63"/>
      <c r="C41" s="70"/>
      <c r="D41" s="16" t="str">
        <f aca="false">IF($C41="","",IFERROR(INDEX(Mat_Short,MATCH($C41,Mat_Code,0)),"⚠ Unknown code"))</f>
        <v/>
      </c>
      <c r="E41" s="66"/>
      <c r="F41" s="64" t="str">
        <f aca="false">IF($C41="","",IFERROR(INDEX(Mat_Unit,MATCH($C41,Mat_Code,0)),""))</f>
        <v/>
      </c>
      <c r="G41" s="70"/>
      <c r="H41" s="63"/>
      <c r="I41" s="63"/>
      <c r="J41" s="63"/>
      <c r="K41" s="16" t="str">
        <f aca="false">IF(AND($A41="",$B41="",$C41="",$E41=""),"",IF($A41="","⚠ Date missing",IF(OR($B41="",$C41=""),"⚠ Site / material missing",IF(COUNTIFS(CI_Site,$B41,CI_Mat,$C41)=0,"⚠ No Current Inventory row for this site + material",IF($G41="","⚠ Status missing",IF(AND($G41="Scheduled",$A41&lt;=AsOfDate),"⚠ Scheduled date reached – mark Received or re-date",IF(AND($G41="Received",$A41&gt;AsOfDate),"Future-dated – added on its date",IF(AND($G41="Received",$A41&lt;SUMIFS(CI_Count,CI_Site,$B41,CI_Mat,$C41)),"Before count date – already in the count","OK"))))))))</f>
        <v/>
      </c>
    </row>
    <row r="42" customFormat="false" ht="15" hidden="false" customHeight="false" outlineLevel="0" collapsed="false">
      <c r="A42" s="65"/>
      <c r="B42" s="63"/>
      <c r="C42" s="70"/>
      <c r="D42" s="16" t="str">
        <f aca="false">IF($C42="","",IFERROR(INDEX(Mat_Short,MATCH($C42,Mat_Code,0)),"⚠ Unknown code"))</f>
        <v/>
      </c>
      <c r="E42" s="66"/>
      <c r="F42" s="64" t="str">
        <f aca="false">IF($C42="","",IFERROR(INDEX(Mat_Unit,MATCH($C42,Mat_Code,0)),""))</f>
        <v/>
      </c>
      <c r="G42" s="70"/>
      <c r="H42" s="63"/>
      <c r="I42" s="63"/>
      <c r="J42" s="63"/>
      <c r="K42" s="16" t="str">
        <f aca="false">IF(AND($A42="",$B42="",$C42="",$E42=""),"",IF($A42="","⚠ Date missing",IF(OR($B42="",$C42=""),"⚠ Site / material missing",IF(COUNTIFS(CI_Site,$B42,CI_Mat,$C42)=0,"⚠ No Current Inventory row for this site + material",IF($G42="","⚠ Status missing",IF(AND($G42="Scheduled",$A42&lt;=AsOfDate),"⚠ Scheduled date reached – mark Received or re-date",IF(AND($G42="Received",$A42&gt;AsOfDate),"Future-dated – added on its date",IF(AND($G42="Received",$A42&lt;SUMIFS(CI_Count,CI_Site,$B42,CI_Mat,$C42)),"Before count date – already in the count","OK"))))))))</f>
        <v/>
      </c>
    </row>
    <row r="43" customFormat="false" ht="15" hidden="false" customHeight="false" outlineLevel="0" collapsed="false">
      <c r="A43" s="65"/>
      <c r="B43" s="63"/>
      <c r="C43" s="70"/>
      <c r="D43" s="16" t="str">
        <f aca="false">IF($C43="","",IFERROR(INDEX(Mat_Short,MATCH($C43,Mat_Code,0)),"⚠ Unknown code"))</f>
        <v/>
      </c>
      <c r="E43" s="66"/>
      <c r="F43" s="64" t="str">
        <f aca="false">IF($C43="","",IFERROR(INDEX(Mat_Unit,MATCH($C43,Mat_Code,0)),""))</f>
        <v/>
      </c>
      <c r="G43" s="70"/>
      <c r="H43" s="63"/>
      <c r="I43" s="63"/>
      <c r="J43" s="63"/>
      <c r="K43" s="16" t="str">
        <f aca="false">IF(AND($A43="",$B43="",$C43="",$E43=""),"",IF($A43="","⚠ Date missing",IF(OR($B43="",$C43=""),"⚠ Site / material missing",IF(COUNTIFS(CI_Site,$B43,CI_Mat,$C43)=0,"⚠ No Current Inventory row for this site + material",IF($G43="","⚠ Status missing",IF(AND($G43="Scheduled",$A43&lt;=AsOfDate),"⚠ Scheduled date reached – mark Received or re-date",IF(AND($G43="Received",$A43&gt;AsOfDate),"Future-dated – added on its date",IF(AND($G43="Received",$A43&lt;SUMIFS(CI_Count,CI_Site,$B43,CI_Mat,$C43)),"Before count date – already in the count","OK"))))))))</f>
        <v/>
      </c>
    </row>
    <row r="44" customFormat="false" ht="15" hidden="false" customHeight="false" outlineLevel="0" collapsed="false">
      <c r="A44" s="65"/>
      <c r="B44" s="63"/>
      <c r="C44" s="70"/>
      <c r="D44" s="16" t="str">
        <f aca="false">IF($C44="","",IFERROR(INDEX(Mat_Short,MATCH($C44,Mat_Code,0)),"⚠ Unknown code"))</f>
        <v/>
      </c>
      <c r="E44" s="66"/>
      <c r="F44" s="64" t="str">
        <f aca="false">IF($C44="","",IFERROR(INDEX(Mat_Unit,MATCH($C44,Mat_Code,0)),""))</f>
        <v/>
      </c>
      <c r="G44" s="70"/>
      <c r="H44" s="63"/>
      <c r="I44" s="63"/>
      <c r="J44" s="63"/>
      <c r="K44" s="16" t="str">
        <f aca="false">IF(AND($A44="",$B44="",$C44="",$E44=""),"",IF($A44="","⚠ Date missing",IF(OR($B44="",$C44=""),"⚠ Site / material missing",IF(COUNTIFS(CI_Site,$B44,CI_Mat,$C44)=0,"⚠ No Current Inventory row for this site + material",IF($G44="","⚠ Status missing",IF(AND($G44="Scheduled",$A44&lt;=AsOfDate),"⚠ Scheduled date reached – mark Received or re-date",IF(AND($G44="Received",$A44&gt;AsOfDate),"Future-dated – added on its date",IF(AND($G44="Received",$A44&lt;SUMIFS(CI_Count,CI_Site,$B44,CI_Mat,$C44)),"Before count date – already in the count","OK"))))))))</f>
        <v/>
      </c>
    </row>
    <row r="45" customFormat="false" ht="15" hidden="false" customHeight="false" outlineLevel="0" collapsed="false">
      <c r="A45" s="65"/>
      <c r="B45" s="63"/>
      <c r="C45" s="70"/>
      <c r="D45" s="16" t="str">
        <f aca="false">IF($C45="","",IFERROR(INDEX(Mat_Short,MATCH($C45,Mat_Code,0)),"⚠ Unknown code"))</f>
        <v/>
      </c>
      <c r="E45" s="66"/>
      <c r="F45" s="64" t="str">
        <f aca="false">IF($C45="","",IFERROR(INDEX(Mat_Unit,MATCH($C45,Mat_Code,0)),""))</f>
        <v/>
      </c>
      <c r="G45" s="70"/>
      <c r="H45" s="63"/>
      <c r="I45" s="63"/>
      <c r="J45" s="63"/>
      <c r="K45" s="16" t="str">
        <f aca="false">IF(AND($A45="",$B45="",$C45="",$E45=""),"",IF($A45="","⚠ Date missing",IF(OR($B45="",$C45=""),"⚠ Site / material missing",IF(COUNTIFS(CI_Site,$B45,CI_Mat,$C45)=0,"⚠ No Current Inventory row for this site + material",IF($G45="","⚠ Status missing",IF(AND($G45="Scheduled",$A45&lt;=AsOfDate),"⚠ Scheduled date reached – mark Received or re-date",IF(AND($G45="Received",$A45&gt;AsOfDate),"Future-dated – added on its date",IF(AND($G45="Received",$A45&lt;SUMIFS(CI_Count,CI_Site,$B45,CI_Mat,$C45)),"Before count date – already in the count","OK"))))))))</f>
        <v/>
      </c>
    </row>
    <row r="46" customFormat="false" ht="15" hidden="false" customHeight="false" outlineLevel="0" collapsed="false">
      <c r="A46" s="65"/>
      <c r="B46" s="63"/>
      <c r="C46" s="70"/>
      <c r="D46" s="16" t="str">
        <f aca="false">IF($C46="","",IFERROR(INDEX(Mat_Short,MATCH($C46,Mat_Code,0)),"⚠ Unknown code"))</f>
        <v/>
      </c>
      <c r="E46" s="66"/>
      <c r="F46" s="64" t="str">
        <f aca="false">IF($C46="","",IFERROR(INDEX(Mat_Unit,MATCH($C46,Mat_Code,0)),""))</f>
        <v/>
      </c>
      <c r="G46" s="70"/>
      <c r="H46" s="63"/>
      <c r="I46" s="63"/>
      <c r="J46" s="63"/>
      <c r="K46" s="16" t="str">
        <f aca="false">IF(AND($A46="",$B46="",$C46="",$E46=""),"",IF($A46="","⚠ Date missing",IF(OR($B46="",$C46=""),"⚠ Site / material missing",IF(COUNTIFS(CI_Site,$B46,CI_Mat,$C46)=0,"⚠ No Current Inventory row for this site + material",IF($G46="","⚠ Status missing",IF(AND($G46="Scheduled",$A46&lt;=AsOfDate),"⚠ Scheduled date reached – mark Received or re-date",IF(AND($G46="Received",$A46&gt;AsOfDate),"Future-dated – added on its date",IF(AND($G46="Received",$A46&lt;SUMIFS(CI_Count,CI_Site,$B46,CI_Mat,$C46)),"Before count date – already in the count","OK"))))))))</f>
        <v/>
      </c>
    </row>
    <row r="47" customFormat="false" ht="15" hidden="false" customHeight="false" outlineLevel="0" collapsed="false">
      <c r="A47" s="65"/>
      <c r="B47" s="63"/>
      <c r="C47" s="70"/>
      <c r="D47" s="16" t="str">
        <f aca="false">IF($C47="","",IFERROR(INDEX(Mat_Short,MATCH($C47,Mat_Code,0)),"⚠ Unknown code"))</f>
        <v/>
      </c>
      <c r="E47" s="66"/>
      <c r="F47" s="64" t="str">
        <f aca="false">IF($C47="","",IFERROR(INDEX(Mat_Unit,MATCH($C47,Mat_Code,0)),""))</f>
        <v/>
      </c>
      <c r="G47" s="70"/>
      <c r="H47" s="63"/>
      <c r="I47" s="63"/>
      <c r="J47" s="63"/>
      <c r="K47" s="16" t="str">
        <f aca="false">IF(AND($A47="",$B47="",$C47="",$E47=""),"",IF($A47="","⚠ Date missing",IF(OR($B47="",$C47=""),"⚠ Site / material missing",IF(COUNTIFS(CI_Site,$B47,CI_Mat,$C47)=0,"⚠ No Current Inventory row for this site + material",IF($G47="","⚠ Status missing",IF(AND($G47="Scheduled",$A47&lt;=AsOfDate),"⚠ Scheduled date reached – mark Received or re-date",IF(AND($G47="Received",$A47&gt;AsOfDate),"Future-dated – added on its date",IF(AND($G47="Received",$A47&lt;SUMIFS(CI_Count,CI_Site,$B47,CI_Mat,$C47)),"Before count date – already in the count","OK"))))))))</f>
        <v/>
      </c>
    </row>
    <row r="48" customFormat="false" ht="15" hidden="false" customHeight="false" outlineLevel="0" collapsed="false">
      <c r="A48" s="65"/>
      <c r="B48" s="63"/>
      <c r="C48" s="70"/>
      <c r="D48" s="16" t="str">
        <f aca="false">IF($C48="","",IFERROR(INDEX(Mat_Short,MATCH($C48,Mat_Code,0)),"⚠ Unknown code"))</f>
        <v/>
      </c>
      <c r="E48" s="66"/>
      <c r="F48" s="64" t="str">
        <f aca="false">IF($C48="","",IFERROR(INDEX(Mat_Unit,MATCH($C48,Mat_Code,0)),""))</f>
        <v/>
      </c>
      <c r="G48" s="70"/>
      <c r="H48" s="63"/>
      <c r="I48" s="63"/>
      <c r="J48" s="63"/>
      <c r="K48" s="16" t="str">
        <f aca="false">IF(AND($A48="",$B48="",$C48="",$E48=""),"",IF($A48="","⚠ Date missing",IF(OR($B48="",$C48=""),"⚠ Site / material missing",IF(COUNTIFS(CI_Site,$B48,CI_Mat,$C48)=0,"⚠ No Current Inventory row for this site + material",IF($G48="","⚠ Status missing",IF(AND($G48="Scheduled",$A48&lt;=AsOfDate),"⚠ Scheduled date reached – mark Received or re-date",IF(AND($G48="Received",$A48&gt;AsOfDate),"Future-dated – added on its date",IF(AND($G48="Received",$A48&lt;SUMIFS(CI_Count,CI_Site,$B48,CI_Mat,$C48)),"Before count date – already in the count","OK"))))))))</f>
        <v/>
      </c>
    </row>
    <row r="49" customFormat="false" ht="15" hidden="false" customHeight="false" outlineLevel="0" collapsed="false">
      <c r="A49" s="65"/>
      <c r="B49" s="63"/>
      <c r="C49" s="70"/>
      <c r="D49" s="16" t="str">
        <f aca="false">IF($C49="","",IFERROR(INDEX(Mat_Short,MATCH($C49,Mat_Code,0)),"⚠ Unknown code"))</f>
        <v/>
      </c>
      <c r="E49" s="66"/>
      <c r="F49" s="64" t="str">
        <f aca="false">IF($C49="","",IFERROR(INDEX(Mat_Unit,MATCH($C49,Mat_Code,0)),""))</f>
        <v/>
      </c>
      <c r="G49" s="70"/>
      <c r="H49" s="63"/>
      <c r="I49" s="63"/>
      <c r="J49" s="63"/>
      <c r="K49" s="16" t="str">
        <f aca="false">IF(AND($A49="",$B49="",$C49="",$E49=""),"",IF($A49="","⚠ Date missing",IF(OR($B49="",$C49=""),"⚠ Site / material missing",IF(COUNTIFS(CI_Site,$B49,CI_Mat,$C49)=0,"⚠ No Current Inventory row for this site + material",IF($G49="","⚠ Status missing",IF(AND($G49="Scheduled",$A49&lt;=AsOfDate),"⚠ Scheduled date reached – mark Received or re-date",IF(AND($G49="Received",$A49&gt;AsOfDate),"Future-dated – added on its date",IF(AND($G49="Received",$A49&lt;SUMIFS(CI_Count,CI_Site,$B49,CI_Mat,$C49)),"Before count date – already in the count","OK"))))))))</f>
        <v/>
      </c>
    </row>
    <row r="50" customFormat="false" ht="15" hidden="false" customHeight="false" outlineLevel="0" collapsed="false">
      <c r="A50" s="65"/>
      <c r="B50" s="63"/>
      <c r="C50" s="70"/>
      <c r="D50" s="16" t="str">
        <f aca="false">IF($C50="","",IFERROR(INDEX(Mat_Short,MATCH($C50,Mat_Code,0)),"⚠ Unknown code"))</f>
        <v/>
      </c>
      <c r="E50" s="66"/>
      <c r="F50" s="64" t="str">
        <f aca="false">IF($C50="","",IFERROR(INDEX(Mat_Unit,MATCH($C50,Mat_Code,0)),""))</f>
        <v/>
      </c>
      <c r="G50" s="70"/>
      <c r="H50" s="63"/>
      <c r="I50" s="63"/>
      <c r="J50" s="63"/>
      <c r="K50" s="16" t="str">
        <f aca="false">IF(AND($A50="",$B50="",$C50="",$E50=""),"",IF($A50="","⚠ Date missing",IF(OR($B50="",$C50=""),"⚠ Site / material missing",IF(COUNTIFS(CI_Site,$B50,CI_Mat,$C50)=0,"⚠ No Current Inventory row for this site + material",IF($G50="","⚠ Status missing",IF(AND($G50="Scheduled",$A50&lt;=AsOfDate),"⚠ Scheduled date reached – mark Received or re-date",IF(AND($G50="Received",$A50&gt;AsOfDate),"Future-dated – added on its date",IF(AND($G50="Received",$A50&lt;SUMIFS(CI_Count,CI_Site,$B50,CI_Mat,$C50)),"Before count date – already in the count","OK"))))))))</f>
        <v/>
      </c>
    </row>
    <row r="51" customFormat="false" ht="15" hidden="false" customHeight="false" outlineLevel="0" collapsed="false">
      <c r="A51" s="65"/>
      <c r="B51" s="63"/>
      <c r="C51" s="70"/>
      <c r="D51" s="16" t="str">
        <f aca="false">IF($C51="","",IFERROR(INDEX(Mat_Short,MATCH($C51,Mat_Code,0)),"⚠ Unknown code"))</f>
        <v/>
      </c>
      <c r="E51" s="66"/>
      <c r="F51" s="64" t="str">
        <f aca="false">IF($C51="","",IFERROR(INDEX(Mat_Unit,MATCH($C51,Mat_Code,0)),""))</f>
        <v/>
      </c>
      <c r="G51" s="70"/>
      <c r="H51" s="63"/>
      <c r="I51" s="63"/>
      <c r="J51" s="63"/>
      <c r="K51" s="16" t="str">
        <f aca="false">IF(AND($A51="",$B51="",$C51="",$E51=""),"",IF($A51="","⚠ Date missing",IF(OR($B51="",$C51=""),"⚠ Site / material missing",IF(COUNTIFS(CI_Site,$B51,CI_Mat,$C51)=0,"⚠ No Current Inventory row for this site + material",IF($G51="","⚠ Status missing",IF(AND($G51="Scheduled",$A51&lt;=AsOfDate),"⚠ Scheduled date reached – mark Received or re-date",IF(AND($G51="Received",$A51&gt;AsOfDate),"Future-dated – added on its date",IF(AND($G51="Received",$A51&lt;SUMIFS(CI_Count,CI_Site,$B51,CI_Mat,$C51)),"Before count date – already in the count","OK"))))))))</f>
        <v/>
      </c>
    </row>
    <row r="52" customFormat="false" ht="15" hidden="false" customHeight="false" outlineLevel="0" collapsed="false">
      <c r="A52" s="65"/>
      <c r="B52" s="63"/>
      <c r="C52" s="70"/>
      <c r="D52" s="16" t="str">
        <f aca="false">IF($C52="","",IFERROR(INDEX(Mat_Short,MATCH($C52,Mat_Code,0)),"⚠ Unknown code"))</f>
        <v/>
      </c>
      <c r="E52" s="66"/>
      <c r="F52" s="64" t="str">
        <f aca="false">IF($C52="","",IFERROR(INDEX(Mat_Unit,MATCH($C52,Mat_Code,0)),""))</f>
        <v/>
      </c>
      <c r="G52" s="70"/>
      <c r="H52" s="63"/>
      <c r="I52" s="63"/>
      <c r="J52" s="63"/>
      <c r="K52" s="16" t="str">
        <f aca="false">IF(AND($A52="",$B52="",$C52="",$E52=""),"",IF($A52="","⚠ Date missing",IF(OR($B52="",$C52=""),"⚠ Site / material missing",IF(COUNTIFS(CI_Site,$B52,CI_Mat,$C52)=0,"⚠ No Current Inventory row for this site + material",IF($G52="","⚠ Status missing",IF(AND($G52="Scheduled",$A52&lt;=AsOfDate),"⚠ Scheduled date reached – mark Received or re-date",IF(AND($G52="Received",$A52&gt;AsOfDate),"Future-dated – added on its date",IF(AND($G52="Received",$A52&lt;SUMIFS(CI_Count,CI_Site,$B52,CI_Mat,$C52)),"Before count date – already in the count","OK"))))))))</f>
        <v/>
      </c>
    </row>
    <row r="53" customFormat="false" ht="15" hidden="false" customHeight="false" outlineLevel="0" collapsed="false">
      <c r="A53" s="65"/>
      <c r="B53" s="63"/>
      <c r="C53" s="70"/>
      <c r="D53" s="16" t="str">
        <f aca="false">IF($C53="","",IFERROR(INDEX(Mat_Short,MATCH($C53,Mat_Code,0)),"⚠ Unknown code"))</f>
        <v/>
      </c>
      <c r="E53" s="66"/>
      <c r="F53" s="64" t="str">
        <f aca="false">IF($C53="","",IFERROR(INDEX(Mat_Unit,MATCH($C53,Mat_Code,0)),""))</f>
        <v/>
      </c>
      <c r="G53" s="70"/>
      <c r="H53" s="63"/>
      <c r="I53" s="63"/>
      <c r="J53" s="63"/>
      <c r="K53" s="16" t="str">
        <f aca="false">IF(AND($A53="",$B53="",$C53="",$E53=""),"",IF($A53="","⚠ Date missing",IF(OR($B53="",$C53=""),"⚠ Site / material missing",IF(COUNTIFS(CI_Site,$B53,CI_Mat,$C53)=0,"⚠ No Current Inventory row for this site + material",IF($G53="","⚠ Status missing",IF(AND($G53="Scheduled",$A53&lt;=AsOfDate),"⚠ Scheduled date reached – mark Received or re-date",IF(AND($G53="Received",$A53&gt;AsOfDate),"Future-dated – added on its date",IF(AND($G53="Received",$A53&lt;SUMIFS(CI_Count,CI_Site,$B53,CI_Mat,$C53)),"Before count date – already in the count","OK"))))))))</f>
        <v/>
      </c>
    </row>
    <row r="54" customFormat="false" ht="15" hidden="false" customHeight="false" outlineLevel="0" collapsed="false">
      <c r="A54" s="65"/>
      <c r="B54" s="63"/>
      <c r="C54" s="70"/>
      <c r="D54" s="16" t="str">
        <f aca="false">IF($C54="","",IFERROR(INDEX(Mat_Short,MATCH($C54,Mat_Code,0)),"⚠ Unknown code"))</f>
        <v/>
      </c>
      <c r="E54" s="66"/>
      <c r="F54" s="64" t="str">
        <f aca="false">IF($C54="","",IFERROR(INDEX(Mat_Unit,MATCH($C54,Mat_Code,0)),""))</f>
        <v/>
      </c>
      <c r="G54" s="70"/>
      <c r="H54" s="63"/>
      <c r="I54" s="63"/>
      <c r="J54" s="63"/>
      <c r="K54" s="16" t="str">
        <f aca="false">IF(AND($A54="",$B54="",$C54="",$E54=""),"",IF($A54="","⚠ Date missing",IF(OR($B54="",$C54=""),"⚠ Site / material missing",IF(COUNTIFS(CI_Site,$B54,CI_Mat,$C54)=0,"⚠ No Current Inventory row for this site + material",IF($G54="","⚠ Status missing",IF(AND($G54="Scheduled",$A54&lt;=AsOfDate),"⚠ Scheduled date reached – mark Received or re-date",IF(AND($G54="Received",$A54&gt;AsOfDate),"Future-dated – added on its date",IF(AND($G54="Received",$A54&lt;SUMIFS(CI_Count,CI_Site,$B54,CI_Mat,$C54)),"Before count date – already in the count","OK"))))))))</f>
        <v/>
      </c>
    </row>
    <row r="55" customFormat="false" ht="15" hidden="false" customHeight="false" outlineLevel="0" collapsed="false">
      <c r="A55" s="65"/>
      <c r="B55" s="63"/>
      <c r="C55" s="70"/>
      <c r="D55" s="16" t="str">
        <f aca="false">IF($C55="","",IFERROR(INDEX(Mat_Short,MATCH($C55,Mat_Code,0)),"⚠ Unknown code"))</f>
        <v/>
      </c>
      <c r="E55" s="66"/>
      <c r="F55" s="64" t="str">
        <f aca="false">IF($C55="","",IFERROR(INDEX(Mat_Unit,MATCH($C55,Mat_Code,0)),""))</f>
        <v/>
      </c>
      <c r="G55" s="70"/>
      <c r="H55" s="63"/>
      <c r="I55" s="63"/>
      <c r="J55" s="63"/>
      <c r="K55" s="16" t="str">
        <f aca="false">IF(AND($A55="",$B55="",$C55="",$E55=""),"",IF($A55="","⚠ Date missing",IF(OR($B55="",$C55=""),"⚠ Site / material missing",IF(COUNTIFS(CI_Site,$B55,CI_Mat,$C55)=0,"⚠ No Current Inventory row for this site + material",IF($G55="","⚠ Status missing",IF(AND($G55="Scheduled",$A55&lt;=AsOfDate),"⚠ Scheduled date reached – mark Received or re-date",IF(AND($G55="Received",$A55&gt;AsOfDate),"Future-dated – added on its date",IF(AND($G55="Received",$A55&lt;SUMIFS(CI_Count,CI_Site,$B55,CI_Mat,$C55)),"Before count date – already in the count","OK"))))))))</f>
        <v/>
      </c>
    </row>
    <row r="56" customFormat="false" ht="15" hidden="false" customHeight="false" outlineLevel="0" collapsed="false">
      <c r="A56" s="65"/>
      <c r="B56" s="63"/>
      <c r="C56" s="70"/>
      <c r="D56" s="16" t="str">
        <f aca="false">IF($C56="","",IFERROR(INDEX(Mat_Short,MATCH($C56,Mat_Code,0)),"⚠ Unknown code"))</f>
        <v/>
      </c>
      <c r="E56" s="66"/>
      <c r="F56" s="64" t="str">
        <f aca="false">IF($C56="","",IFERROR(INDEX(Mat_Unit,MATCH($C56,Mat_Code,0)),""))</f>
        <v/>
      </c>
      <c r="G56" s="70"/>
      <c r="H56" s="63"/>
      <c r="I56" s="63"/>
      <c r="J56" s="63"/>
      <c r="K56" s="16" t="str">
        <f aca="false">IF(AND($A56="",$B56="",$C56="",$E56=""),"",IF($A56="","⚠ Date missing",IF(OR($B56="",$C56=""),"⚠ Site / material missing",IF(COUNTIFS(CI_Site,$B56,CI_Mat,$C56)=0,"⚠ No Current Inventory row for this site + material",IF($G56="","⚠ Status missing",IF(AND($G56="Scheduled",$A56&lt;=AsOfDate),"⚠ Scheduled date reached – mark Received or re-date",IF(AND($G56="Received",$A56&gt;AsOfDate),"Future-dated – added on its date",IF(AND($G56="Received",$A56&lt;SUMIFS(CI_Count,CI_Site,$B56,CI_Mat,$C56)),"Before count date – already in the count","OK"))))))))</f>
        <v/>
      </c>
    </row>
    <row r="57" customFormat="false" ht="15" hidden="false" customHeight="false" outlineLevel="0" collapsed="false">
      <c r="A57" s="65"/>
      <c r="B57" s="63"/>
      <c r="C57" s="70"/>
      <c r="D57" s="16" t="str">
        <f aca="false">IF($C57="","",IFERROR(INDEX(Mat_Short,MATCH($C57,Mat_Code,0)),"⚠ Unknown code"))</f>
        <v/>
      </c>
      <c r="E57" s="66"/>
      <c r="F57" s="64" t="str">
        <f aca="false">IF($C57="","",IFERROR(INDEX(Mat_Unit,MATCH($C57,Mat_Code,0)),""))</f>
        <v/>
      </c>
      <c r="G57" s="70"/>
      <c r="H57" s="63"/>
      <c r="I57" s="63"/>
      <c r="J57" s="63"/>
      <c r="K57" s="16" t="str">
        <f aca="false">IF(AND($A57="",$B57="",$C57="",$E57=""),"",IF($A57="","⚠ Date missing",IF(OR($B57="",$C57=""),"⚠ Site / material missing",IF(COUNTIFS(CI_Site,$B57,CI_Mat,$C57)=0,"⚠ No Current Inventory row for this site + material",IF($G57="","⚠ Status missing",IF(AND($G57="Scheduled",$A57&lt;=AsOfDate),"⚠ Scheduled date reached – mark Received or re-date",IF(AND($G57="Received",$A57&gt;AsOfDate),"Future-dated – added on its date",IF(AND($G57="Received",$A57&lt;SUMIFS(CI_Count,CI_Site,$B57,CI_Mat,$C57)),"Before count date – already in the count","OK"))))))))</f>
        <v/>
      </c>
    </row>
    <row r="58" customFormat="false" ht="15" hidden="false" customHeight="false" outlineLevel="0" collapsed="false">
      <c r="A58" s="65"/>
      <c r="B58" s="63"/>
      <c r="C58" s="70"/>
      <c r="D58" s="16" t="str">
        <f aca="false">IF($C58="","",IFERROR(INDEX(Mat_Short,MATCH($C58,Mat_Code,0)),"⚠ Unknown code"))</f>
        <v/>
      </c>
      <c r="E58" s="66"/>
      <c r="F58" s="64" t="str">
        <f aca="false">IF($C58="","",IFERROR(INDEX(Mat_Unit,MATCH($C58,Mat_Code,0)),""))</f>
        <v/>
      </c>
      <c r="G58" s="70"/>
      <c r="H58" s="63"/>
      <c r="I58" s="63"/>
      <c r="J58" s="63"/>
      <c r="K58" s="16" t="str">
        <f aca="false">IF(AND($A58="",$B58="",$C58="",$E58=""),"",IF($A58="","⚠ Date missing",IF(OR($B58="",$C58=""),"⚠ Site / material missing",IF(COUNTIFS(CI_Site,$B58,CI_Mat,$C58)=0,"⚠ No Current Inventory row for this site + material",IF($G58="","⚠ Status missing",IF(AND($G58="Scheduled",$A58&lt;=AsOfDate),"⚠ Scheduled date reached – mark Received or re-date",IF(AND($G58="Received",$A58&gt;AsOfDate),"Future-dated – added on its date",IF(AND($G58="Received",$A58&lt;SUMIFS(CI_Count,CI_Site,$B58,CI_Mat,$C58)),"Before count date – already in the count","OK"))))))))</f>
        <v/>
      </c>
    </row>
    <row r="59" customFormat="false" ht="15" hidden="false" customHeight="false" outlineLevel="0" collapsed="false">
      <c r="A59" s="65"/>
      <c r="B59" s="63"/>
      <c r="C59" s="70"/>
      <c r="D59" s="16" t="str">
        <f aca="false">IF($C59="","",IFERROR(INDEX(Mat_Short,MATCH($C59,Mat_Code,0)),"⚠ Unknown code"))</f>
        <v/>
      </c>
      <c r="E59" s="66"/>
      <c r="F59" s="64" t="str">
        <f aca="false">IF($C59="","",IFERROR(INDEX(Mat_Unit,MATCH($C59,Mat_Code,0)),""))</f>
        <v/>
      </c>
      <c r="G59" s="70"/>
      <c r="H59" s="63"/>
      <c r="I59" s="63"/>
      <c r="J59" s="63"/>
      <c r="K59" s="16" t="str">
        <f aca="false">IF(AND($A59="",$B59="",$C59="",$E59=""),"",IF($A59="","⚠ Date missing",IF(OR($B59="",$C59=""),"⚠ Site / material missing",IF(COUNTIFS(CI_Site,$B59,CI_Mat,$C59)=0,"⚠ No Current Inventory row for this site + material",IF($G59="","⚠ Status missing",IF(AND($G59="Scheduled",$A59&lt;=AsOfDate),"⚠ Scheduled date reached – mark Received or re-date",IF(AND($G59="Received",$A59&gt;AsOfDate),"Future-dated – added on its date",IF(AND($G59="Received",$A59&lt;SUMIFS(CI_Count,CI_Site,$B59,CI_Mat,$C59)),"Before count date – already in the count","OK"))))))))</f>
        <v/>
      </c>
    </row>
    <row r="60" customFormat="false" ht="15" hidden="false" customHeight="false" outlineLevel="0" collapsed="false">
      <c r="A60" s="65"/>
      <c r="B60" s="63"/>
      <c r="C60" s="70"/>
      <c r="D60" s="16" t="str">
        <f aca="false">IF($C60="","",IFERROR(INDEX(Mat_Short,MATCH($C60,Mat_Code,0)),"⚠ Unknown code"))</f>
        <v/>
      </c>
      <c r="E60" s="66"/>
      <c r="F60" s="64" t="str">
        <f aca="false">IF($C60="","",IFERROR(INDEX(Mat_Unit,MATCH($C60,Mat_Code,0)),""))</f>
        <v/>
      </c>
      <c r="G60" s="70"/>
      <c r="H60" s="63"/>
      <c r="I60" s="63"/>
      <c r="J60" s="63"/>
      <c r="K60" s="16" t="str">
        <f aca="false">IF(AND($A60="",$B60="",$C60="",$E60=""),"",IF($A60="","⚠ Date missing",IF(OR($B60="",$C60=""),"⚠ Site / material missing",IF(COUNTIFS(CI_Site,$B60,CI_Mat,$C60)=0,"⚠ No Current Inventory row for this site + material",IF($G60="","⚠ Status missing",IF(AND($G60="Scheduled",$A60&lt;=AsOfDate),"⚠ Scheduled date reached – mark Received or re-date",IF(AND($G60="Received",$A60&gt;AsOfDate),"Future-dated – added on its date",IF(AND($G60="Received",$A60&lt;SUMIFS(CI_Count,CI_Site,$B60,CI_Mat,$C60)),"Before count date – already in the count","OK"))))))))</f>
        <v/>
      </c>
    </row>
    <row r="61" customFormat="false" ht="15" hidden="false" customHeight="false" outlineLevel="0" collapsed="false">
      <c r="A61" s="65"/>
      <c r="B61" s="63"/>
      <c r="C61" s="70"/>
      <c r="D61" s="16" t="str">
        <f aca="false">IF($C61="","",IFERROR(INDEX(Mat_Short,MATCH($C61,Mat_Code,0)),"⚠ Unknown code"))</f>
        <v/>
      </c>
      <c r="E61" s="66"/>
      <c r="F61" s="64" t="str">
        <f aca="false">IF($C61="","",IFERROR(INDEX(Mat_Unit,MATCH($C61,Mat_Code,0)),""))</f>
        <v/>
      </c>
      <c r="G61" s="70"/>
      <c r="H61" s="63"/>
      <c r="I61" s="63"/>
      <c r="J61" s="63"/>
      <c r="K61" s="16" t="str">
        <f aca="false">IF(AND($A61="",$B61="",$C61="",$E61=""),"",IF($A61="","⚠ Date missing",IF(OR($B61="",$C61=""),"⚠ Site / material missing",IF(COUNTIFS(CI_Site,$B61,CI_Mat,$C61)=0,"⚠ No Current Inventory row for this site + material",IF($G61="","⚠ Status missing",IF(AND($G61="Scheduled",$A61&lt;=AsOfDate),"⚠ Scheduled date reached – mark Received or re-date",IF(AND($G61="Received",$A61&gt;AsOfDate),"Future-dated – added on its date",IF(AND($G61="Received",$A61&lt;SUMIFS(CI_Count,CI_Site,$B61,CI_Mat,$C61)),"Before count date – already in the count","OK"))))))))</f>
        <v/>
      </c>
    </row>
    <row r="62" customFormat="false" ht="15" hidden="false" customHeight="false" outlineLevel="0" collapsed="false">
      <c r="A62" s="65"/>
      <c r="B62" s="63"/>
      <c r="C62" s="70"/>
      <c r="D62" s="16" t="str">
        <f aca="false">IF($C62="","",IFERROR(INDEX(Mat_Short,MATCH($C62,Mat_Code,0)),"⚠ Unknown code"))</f>
        <v/>
      </c>
      <c r="E62" s="66"/>
      <c r="F62" s="64" t="str">
        <f aca="false">IF($C62="","",IFERROR(INDEX(Mat_Unit,MATCH($C62,Mat_Code,0)),""))</f>
        <v/>
      </c>
      <c r="G62" s="70"/>
      <c r="H62" s="63"/>
      <c r="I62" s="63"/>
      <c r="J62" s="63"/>
      <c r="K62" s="16" t="str">
        <f aca="false">IF(AND($A62="",$B62="",$C62="",$E62=""),"",IF($A62="","⚠ Date missing",IF(OR($B62="",$C62=""),"⚠ Site / material missing",IF(COUNTIFS(CI_Site,$B62,CI_Mat,$C62)=0,"⚠ No Current Inventory row for this site + material",IF($G62="","⚠ Status missing",IF(AND($G62="Scheduled",$A62&lt;=AsOfDate),"⚠ Scheduled date reached – mark Received or re-date",IF(AND($G62="Received",$A62&gt;AsOfDate),"Future-dated – added on its date",IF(AND($G62="Received",$A62&lt;SUMIFS(CI_Count,CI_Site,$B62,CI_Mat,$C62)),"Before count date – already in the count","OK"))))))))</f>
        <v/>
      </c>
    </row>
    <row r="63" customFormat="false" ht="15" hidden="false" customHeight="false" outlineLevel="0" collapsed="false">
      <c r="A63" s="65"/>
      <c r="B63" s="63"/>
      <c r="C63" s="70"/>
      <c r="D63" s="16" t="str">
        <f aca="false">IF($C63="","",IFERROR(INDEX(Mat_Short,MATCH($C63,Mat_Code,0)),"⚠ Unknown code"))</f>
        <v/>
      </c>
      <c r="E63" s="66"/>
      <c r="F63" s="64" t="str">
        <f aca="false">IF($C63="","",IFERROR(INDEX(Mat_Unit,MATCH($C63,Mat_Code,0)),""))</f>
        <v/>
      </c>
      <c r="G63" s="70"/>
      <c r="H63" s="63"/>
      <c r="I63" s="63"/>
      <c r="J63" s="63"/>
      <c r="K63" s="16" t="str">
        <f aca="false">IF(AND($A63="",$B63="",$C63="",$E63=""),"",IF($A63="","⚠ Date missing",IF(OR($B63="",$C63=""),"⚠ Site / material missing",IF(COUNTIFS(CI_Site,$B63,CI_Mat,$C63)=0,"⚠ No Current Inventory row for this site + material",IF($G63="","⚠ Status missing",IF(AND($G63="Scheduled",$A63&lt;=AsOfDate),"⚠ Scheduled date reached – mark Received or re-date",IF(AND($G63="Received",$A63&gt;AsOfDate),"Future-dated – added on its date",IF(AND($G63="Received",$A63&lt;SUMIFS(CI_Count,CI_Site,$B63,CI_Mat,$C63)),"Before count date – already in the count","OK"))))))))</f>
        <v/>
      </c>
    </row>
    <row r="64" customFormat="false" ht="15" hidden="false" customHeight="false" outlineLevel="0" collapsed="false">
      <c r="A64" s="65"/>
      <c r="B64" s="63"/>
      <c r="C64" s="70"/>
      <c r="D64" s="16" t="str">
        <f aca="false">IF($C64="","",IFERROR(INDEX(Mat_Short,MATCH($C64,Mat_Code,0)),"⚠ Unknown code"))</f>
        <v/>
      </c>
      <c r="E64" s="66"/>
      <c r="F64" s="64" t="str">
        <f aca="false">IF($C64="","",IFERROR(INDEX(Mat_Unit,MATCH($C64,Mat_Code,0)),""))</f>
        <v/>
      </c>
      <c r="G64" s="70"/>
      <c r="H64" s="63"/>
      <c r="I64" s="63"/>
      <c r="J64" s="63"/>
      <c r="K64" s="16" t="str">
        <f aca="false">IF(AND($A64="",$B64="",$C64="",$E64=""),"",IF($A64="","⚠ Date missing",IF(OR($B64="",$C64=""),"⚠ Site / material missing",IF(COUNTIFS(CI_Site,$B64,CI_Mat,$C64)=0,"⚠ No Current Inventory row for this site + material",IF($G64="","⚠ Status missing",IF(AND($G64="Scheduled",$A64&lt;=AsOfDate),"⚠ Scheduled date reached – mark Received or re-date",IF(AND($G64="Received",$A64&gt;AsOfDate),"Future-dated – added on its date",IF(AND($G64="Received",$A64&lt;SUMIFS(CI_Count,CI_Site,$B64,CI_Mat,$C64)),"Before count date – already in the count","OK"))))))))</f>
        <v/>
      </c>
    </row>
    <row r="65" customFormat="false" ht="15" hidden="false" customHeight="false" outlineLevel="0" collapsed="false">
      <c r="A65" s="65"/>
      <c r="B65" s="63"/>
      <c r="C65" s="70"/>
      <c r="D65" s="16" t="str">
        <f aca="false">IF($C65="","",IFERROR(INDEX(Mat_Short,MATCH($C65,Mat_Code,0)),"⚠ Unknown code"))</f>
        <v/>
      </c>
      <c r="E65" s="66"/>
      <c r="F65" s="64" t="str">
        <f aca="false">IF($C65="","",IFERROR(INDEX(Mat_Unit,MATCH($C65,Mat_Code,0)),""))</f>
        <v/>
      </c>
      <c r="G65" s="70"/>
      <c r="H65" s="63"/>
      <c r="I65" s="63"/>
      <c r="J65" s="63"/>
      <c r="K65" s="16" t="str">
        <f aca="false">IF(AND($A65="",$B65="",$C65="",$E65=""),"",IF($A65="","⚠ Date missing",IF(OR($B65="",$C65=""),"⚠ Site / material missing",IF(COUNTIFS(CI_Site,$B65,CI_Mat,$C65)=0,"⚠ No Current Inventory row for this site + material",IF($G65="","⚠ Status missing",IF(AND($G65="Scheduled",$A65&lt;=AsOfDate),"⚠ Scheduled date reached – mark Received or re-date",IF(AND($G65="Received",$A65&gt;AsOfDate),"Future-dated – added on its date",IF(AND($G65="Received",$A65&lt;SUMIFS(CI_Count,CI_Site,$B65,CI_Mat,$C65)),"Before count date – already in the count","OK"))))))))</f>
        <v/>
      </c>
    </row>
    <row r="66" customFormat="false" ht="15" hidden="false" customHeight="false" outlineLevel="0" collapsed="false">
      <c r="A66" s="65"/>
      <c r="B66" s="63"/>
      <c r="C66" s="70"/>
      <c r="D66" s="16" t="str">
        <f aca="false">IF($C66="","",IFERROR(INDEX(Mat_Short,MATCH($C66,Mat_Code,0)),"⚠ Unknown code"))</f>
        <v/>
      </c>
      <c r="E66" s="66"/>
      <c r="F66" s="64" t="str">
        <f aca="false">IF($C66="","",IFERROR(INDEX(Mat_Unit,MATCH($C66,Mat_Code,0)),""))</f>
        <v/>
      </c>
      <c r="G66" s="70"/>
      <c r="H66" s="63"/>
      <c r="I66" s="63"/>
      <c r="J66" s="63"/>
      <c r="K66" s="16" t="str">
        <f aca="false">IF(AND($A66="",$B66="",$C66="",$E66=""),"",IF($A66="","⚠ Date missing",IF(OR($B66="",$C66=""),"⚠ Site / material missing",IF(COUNTIFS(CI_Site,$B66,CI_Mat,$C66)=0,"⚠ No Current Inventory row for this site + material",IF($G66="","⚠ Status missing",IF(AND($G66="Scheduled",$A66&lt;=AsOfDate),"⚠ Scheduled date reached – mark Received or re-date",IF(AND($G66="Received",$A66&gt;AsOfDate),"Future-dated – added on its date",IF(AND($G66="Received",$A66&lt;SUMIFS(CI_Count,CI_Site,$B66,CI_Mat,$C66)),"Before count date – already in the count","OK"))))))))</f>
        <v/>
      </c>
    </row>
    <row r="67" customFormat="false" ht="15" hidden="false" customHeight="false" outlineLevel="0" collapsed="false">
      <c r="A67" s="65"/>
      <c r="B67" s="63"/>
      <c r="C67" s="70"/>
      <c r="D67" s="16" t="str">
        <f aca="false">IF($C67="","",IFERROR(INDEX(Mat_Short,MATCH($C67,Mat_Code,0)),"⚠ Unknown code"))</f>
        <v/>
      </c>
      <c r="E67" s="66"/>
      <c r="F67" s="64" t="str">
        <f aca="false">IF($C67="","",IFERROR(INDEX(Mat_Unit,MATCH($C67,Mat_Code,0)),""))</f>
        <v/>
      </c>
      <c r="G67" s="70"/>
      <c r="H67" s="63"/>
      <c r="I67" s="63"/>
      <c r="J67" s="63"/>
      <c r="K67" s="16" t="str">
        <f aca="false">IF(AND($A67="",$B67="",$C67="",$E67=""),"",IF($A67="","⚠ Date missing",IF(OR($B67="",$C67=""),"⚠ Site / material missing",IF(COUNTIFS(CI_Site,$B67,CI_Mat,$C67)=0,"⚠ No Current Inventory row for this site + material",IF($G67="","⚠ Status missing",IF(AND($G67="Scheduled",$A67&lt;=AsOfDate),"⚠ Scheduled date reached – mark Received or re-date",IF(AND($G67="Received",$A67&gt;AsOfDate),"Future-dated – added on its date",IF(AND($G67="Received",$A67&lt;SUMIFS(CI_Count,CI_Site,$B67,CI_Mat,$C67)),"Before count date – already in the count","OK"))))))))</f>
        <v/>
      </c>
    </row>
    <row r="68" customFormat="false" ht="15" hidden="false" customHeight="false" outlineLevel="0" collapsed="false">
      <c r="A68" s="65"/>
      <c r="B68" s="63"/>
      <c r="C68" s="70"/>
      <c r="D68" s="16" t="str">
        <f aca="false">IF($C68="","",IFERROR(INDEX(Mat_Short,MATCH($C68,Mat_Code,0)),"⚠ Unknown code"))</f>
        <v/>
      </c>
      <c r="E68" s="66"/>
      <c r="F68" s="64" t="str">
        <f aca="false">IF($C68="","",IFERROR(INDEX(Mat_Unit,MATCH($C68,Mat_Code,0)),""))</f>
        <v/>
      </c>
      <c r="G68" s="70"/>
      <c r="H68" s="63"/>
      <c r="I68" s="63"/>
      <c r="J68" s="63"/>
      <c r="K68" s="16" t="str">
        <f aca="false">IF(AND($A68="",$B68="",$C68="",$E68=""),"",IF($A68="","⚠ Date missing",IF(OR($B68="",$C68=""),"⚠ Site / material missing",IF(COUNTIFS(CI_Site,$B68,CI_Mat,$C68)=0,"⚠ No Current Inventory row for this site + material",IF($G68="","⚠ Status missing",IF(AND($G68="Scheduled",$A68&lt;=AsOfDate),"⚠ Scheduled date reached – mark Received or re-date",IF(AND($G68="Received",$A68&gt;AsOfDate),"Future-dated – added on its date",IF(AND($G68="Received",$A68&lt;SUMIFS(CI_Count,CI_Site,$B68,CI_Mat,$C68)),"Before count date – already in the count","OK"))))))))</f>
        <v/>
      </c>
    </row>
    <row r="69" customFormat="false" ht="15" hidden="false" customHeight="false" outlineLevel="0" collapsed="false">
      <c r="A69" s="65"/>
      <c r="B69" s="63"/>
      <c r="C69" s="70"/>
      <c r="D69" s="16" t="str">
        <f aca="false">IF($C69="","",IFERROR(INDEX(Mat_Short,MATCH($C69,Mat_Code,0)),"⚠ Unknown code"))</f>
        <v/>
      </c>
      <c r="E69" s="66"/>
      <c r="F69" s="64" t="str">
        <f aca="false">IF($C69="","",IFERROR(INDEX(Mat_Unit,MATCH($C69,Mat_Code,0)),""))</f>
        <v/>
      </c>
      <c r="G69" s="70"/>
      <c r="H69" s="63"/>
      <c r="I69" s="63"/>
      <c r="J69" s="63"/>
      <c r="K69" s="16" t="str">
        <f aca="false">IF(AND($A69="",$B69="",$C69="",$E69=""),"",IF($A69="","⚠ Date missing",IF(OR($B69="",$C69=""),"⚠ Site / material missing",IF(COUNTIFS(CI_Site,$B69,CI_Mat,$C69)=0,"⚠ No Current Inventory row for this site + material",IF($G69="","⚠ Status missing",IF(AND($G69="Scheduled",$A69&lt;=AsOfDate),"⚠ Scheduled date reached – mark Received or re-date",IF(AND($G69="Received",$A69&gt;AsOfDate),"Future-dated – added on its date",IF(AND($G69="Received",$A69&lt;SUMIFS(CI_Count,CI_Site,$B69,CI_Mat,$C69)),"Before count date – already in the count","OK"))))))))</f>
        <v/>
      </c>
    </row>
    <row r="70" customFormat="false" ht="15" hidden="false" customHeight="false" outlineLevel="0" collapsed="false">
      <c r="A70" s="65"/>
      <c r="B70" s="63"/>
      <c r="C70" s="70"/>
      <c r="D70" s="16" t="str">
        <f aca="false">IF($C70="","",IFERROR(INDEX(Mat_Short,MATCH($C70,Mat_Code,0)),"⚠ Unknown code"))</f>
        <v/>
      </c>
      <c r="E70" s="66"/>
      <c r="F70" s="64" t="str">
        <f aca="false">IF($C70="","",IFERROR(INDEX(Mat_Unit,MATCH($C70,Mat_Code,0)),""))</f>
        <v/>
      </c>
      <c r="G70" s="70"/>
      <c r="H70" s="63"/>
      <c r="I70" s="63"/>
      <c r="J70" s="63"/>
      <c r="K70" s="16" t="str">
        <f aca="false">IF(AND($A70="",$B70="",$C70="",$E70=""),"",IF($A70="","⚠ Date missing",IF(OR($B70="",$C70=""),"⚠ Site / material missing",IF(COUNTIFS(CI_Site,$B70,CI_Mat,$C70)=0,"⚠ No Current Inventory row for this site + material",IF($G70="","⚠ Status missing",IF(AND($G70="Scheduled",$A70&lt;=AsOfDate),"⚠ Scheduled date reached – mark Received or re-date",IF(AND($G70="Received",$A70&gt;AsOfDate),"Future-dated – added on its date",IF(AND($G70="Received",$A70&lt;SUMIFS(CI_Count,CI_Site,$B70,CI_Mat,$C70)),"Before count date – already in the count","OK"))))))))</f>
        <v/>
      </c>
    </row>
    <row r="71" customFormat="false" ht="15" hidden="false" customHeight="false" outlineLevel="0" collapsed="false">
      <c r="A71" s="65"/>
      <c r="B71" s="63"/>
      <c r="C71" s="70"/>
      <c r="D71" s="16" t="str">
        <f aca="false">IF($C71="","",IFERROR(INDEX(Mat_Short,MATCH($C71,Mat_Code,0)),"⚠ Unknown code"))</f>
        <v/>
      </c>
      <c r="E71" s="66"/>
      <c r="F71" s="64" t="str">
        <f aca="false">IF($C71="","",IFERROR(INDEX(Mat_Unit,MATCH($C71,Mat_Code,0)),""))</f>
        <v/>
      </c>
      <c r="G71" s="70"/>
      <c r="H71" s="63"/>
      <c r="I71" s="63"/>
      <c r="J71" s="63"/>
      <c r="K71" s="16" t="str">
        <f aca="false">IF(AND($A71="",$B71="",$C71="",$E71=""),"",IF($A71="","⚠ Date missing",IF(OR($B71="",$C71=""),"⚠ Site / material missing",IF(COUNTIFS(CI_Site,$B71,CI_Mat,$C71)=0,"⚠ No Current Inventory row for this site + material",IF($G71="","⚠ Status missing",IF(AND($G71="Scheduled",$A71&lt;=AsOfDate),"⚠ Scheduled date reached – mark Received or re-date",IF(AND($G71="Received",$A71&gt;AsOfDate),"Future-dated – added on its date",IF(AND($G71="Received",$A71&lt;SUMIFS(CI_Count,CI_Site,$B71,CI_Mat,$C71)),"Before count date – already in the count","OK"))))))))</f>
        <v/>
      </c>
    </row>
    <row r="72" customFormat="false" ht="15" hidden="false" customHeight="false" outlineLevel="0" collapsed="false">
      <c r="A72" s="65"/>
      <c r="B72" s="63"/>
      <c r="C72" s="70"/>
      <c r="D72" s="16" t="str">
        <f aca="false">IF($C72="","",IFERROR(INDEX(Mat_Short,MATCH($C72,Mat_Code,0)),"⚠ Unknown code"))</f>
        <v/>
      </c>
      <c r="E72" s="66"/>
      <c r="F72" s="64" t="str">
        <f aca="false">IF($C72="","",IFERROR(INDEX(Mat_Unit,MATCH($C72,Mat_Code,0)),""))</f>
        <v/>
      </c>
      <c r="G72" s="70"/>
      <c r="H72" s="63"/>
      <c r="I72" s="63"/>
      <c r="J72" s="63"/>
      <c r="K72" s="16" t="str">
        <f aca="false">IF(AND($A72="",$B72="",$C72="",$E72=""),"",IF($A72="","⚠ Date missing",IF(OR($B72="",$C72=""),"⚠ Site / material missing",IF(COUNTIFS(CI_Site,$B72,CI_Mat,$C72)=0,"⚠ No Current Inventory row for this site + material",IF($G72="","⚠ Status missing",IF(AND($G72="Scheduled",$A72&lt;=AsOfDate),"⚠ Scheduled date reached – mark Received or re-date",IF(AND($G72="Received",$A72&gt;AsOfDate),"Future-dated – added on its date",IF(AND($G72="Received",$A72&lt;SUMIFS(CI_Count,CI_Site,$B72,CI_Mat,$C72)),"Before count date – already in the count","OK"))))))))</f>
        <v/>
      </c>
    </row>
    <row r="73" customFormat="false" ht="15" hidden="false" customHeight="false" outlineLevel="0" collapsed="false">
      <c r="A73" s="65"/>
      <c r="B73" s="63"/>
      <c r="C73" s="70"/>
      <c r="D73" s="16" t="str">
        <f aca="false">IF($C73="","",IFERROR(INDEX(Mat_Short,MATCH($C73,Mat_Code,0)),"⚠ Unknown code"))</f>
        <v/>
      </c>
      <c r="E73" s="66"/>
      <c r="F73" s="64" t="str">
        <f aca="false">IF($C73="","",IFERROR(INDEX(Mat_Unit,MATCH($C73,Mat_Code,0)),""))</f>
        <v/>
      </c>
      <c r="G73" s="70"/>
      <c r="H73" s="63"/>
      <c r="I73" s="63"/>
      <c r="J73" s="63"/>
      <c r="K73" s="16" t="str">
        <f aca="false">IF(AND($A73="",$B73="",$C73="",$E73=""),"",IF($A73="","⚠ Date missing",IF(OR($B73="",$C73=""),"⚠ Site / material missing",IF(COUNTIFS(CI_Site,$B73,CI_Mat,$C73)=0,"⚠ No Current Inventory row for this site + material",IF($G73="","⚠ Status missing",IF(AND($G73="Scheduled",$A73&lt;=AsOfDate),"⚠ Scheduled date reached – mark Received or re-date",IF(AND($G73="Received",$A73&gt;AsOfDate),"Future-dated – added on its date",IF(AND($G73="Received",$A73&lt;SUMIFS(CI_Count,CI_Site,$B73,CI_Mat,$C73)),"Before count date – already in the count","OK"))))))))</f>
        <v/>
      </c>
    </row>
    <row r="74" customFormat="false" ht="15" hidden="false" customHeight="false" outlineLevel="0" collapsed="false">
      <c r="A74" s="65"/>
      <c r="B74" s="63"/>
      <c r="C74" s="70"/>
      <c r="D74" s="16" t="str">
        <f aca="false">IF($C74="","",IFERROR(INDEX(Mat_Short,MATCH($C74,Mat_Code,0)),"⚠ Unknown code"))</f>
        <v/>
      </c>
      <c r="E74" s="66"/>
      <c r="F74" s="64" t="str">
        <f aca="false">IF($C74="","",IFERROR(INDEX(Mat_Unit,MATCH($C74,Mat_Code,0)),""))</f>
        <v/>
      </c>
      <c r="G74" s="70"/>
      <c r="H74" s="63"/>
      <c r="I74" s="63"/>
      <c r="J74" s="63"/>
      <c r="K74" s="16" t="str">
        <f aca="false">IF(AND($A74="",$B74="",$C74="",$E74=""),"",IF($A74="","⚠ Date missing",IF(OR($B74="",$C74=""),"⚠ Site / material missing",IF(COUNTIFS(CI_Site,$B74,CI_Mat,$C74)=0,"⚠ No Current Inventory row for this site + material",IF($G74="","⚠ Status missing",IF(AND($G74="Scheduled",$A74&lt;=AsOfDate),"⚠ Scheduled date reached – mark Received or re-date",IF(AND($G74="Received",$A74&gt;AsOfDate),"Future-dated – added on its date",IF(AND($G74="Received",$A74&lt;SUMIFS(CI_Count,CI_Site,$B74,CI_Mat,$C74)),"Before count date – already in the count","OK"))))))))</f>
        <v/>
      </c>
    </row>
    <row r="75" customFormat="false" ht="15" hidden="false" customHeight="false" outlineLevel="0" collapsed="false">
      <c r="A75" s="65"/>
      <c r="B75" s="63"/>
      <c r="C75" s="70"/>
      <c r="D75" s="16" t="str">
        <f aca="false">IF($C75="","",IFERROR(INDEX(Mat_Short,MATCH($C75,Mat_Code,0)),"⚠ Unknown code"))</f>
        <v/>
      </c>
      <c r="E75" s="66"/>
      <c r="F75" s="64" t="str">
        <f aca="false">IF($C75="","",IFERROR(INDEX(Mat_Unit,MATCH($C75,Mat_Code,0)),""))</f>
        <v/>
      </c>
      <c r="G75" s="70"/>
      <c r="H75" s="63"/>
      <c r="I75" s="63"/>
      <c r="J75" s="63"/>
      <c r="K75" s="16" t="str">
        <f aca="false">IF(AND($A75="",$B75="",$C75="",$E75=""),"",IF($A75="","⚠ Date missing",IF(OR($B75="",$C75=""),"⚠ Site / material missing",IF(COUNTIFS(CI_Site,$B75,CI_Mat,$C75)=0,"⚠ No Current Inventory row for this site + material",IF($G75="","⚠ Status missing",IF(AND($G75="Scheduled",$A75&lt;=AsOfDate),"⚠ Scheduled date reached – mark Received or re-date",IF(AND($G75="Received",$A75&gt;AsOfDate),"Future-dated – added on its date",IF(AND($G75="Received",$A75&lt;SUMIFS(CI_Count,CI_Site,$B75,CI_Mat,$C75)),"Before count date – already in the count","OK"))))))))</f>
        <v/>
      </c>
    </row>
    <row r="76" customFormat="false" ht="15" hidden="false" customHeight="false" outlineLevel="0" collapsed="false">
      <c r="A76" s="65"/>
      <c r="B76" s="63"/>
      <c r="C76" s="70"/>
      <c r="D76" s="16" t="str">
        <f aca="false">IF($C76="","",IFERROR(INDEX(Mat_Short,MATCH($C76,Mat_Code,0)),"⚠ Unknown code"))</f>
        <v/>
      </c>
      <c r="E76" s="66"/>
      <c r="F76" s="64" t="str">
        <f aca="false">IF($C76="","",IFERROR(INDEX(Mat_Unit,MATCH($C76,Mat_Code,0)),""))</f>
        <v/>
      </c>
      <c r="G76" s="70"/>
      <c r="H76" s="63"/>
      <c r="I76" s="63"/>
      <c r="J76" s="63"/>
      <c r="K76" s="16" t="str">
        <f aca="false">IF(AND($A76="",$B76="",$C76="",$E76=""),"",IF($A76="","⚠ Date missing",IF(OR($B76="",$C76=""),"⚠ Site / material missing",IF(COUNTIFS(CI_Site,$B76,CI_Mat,$C76)=0,"⚠ No Current Inventory row for this site + material",IF($G76="","⚠ Status missing",IF(AND($G76="Scheduled",$A76&lt;=AsOfDate),"⚠ Scheduled date reached – mark Received or re-date",IF(AND($G76="Received",$A76&gt;AsOfDate),"Future-dated – added on its date",IF(AND($G76="Received",$A76&lt;SUMIFS(CI_Count,CI_Site,$B76,CI_Mat,$C76)),"Before count date – already in the count","OK"))))))))</f>
        <v/>
      </c>
    </row>
    <row r="77" customFormat="false" ht="15" hidden="false" customHeight="false" outlineLevel="0" collapsed="false">
      <c r="A77" s="65"/>
      <c r="B77" s="63"/>
      <c r="C77" s="70"/>
      <c r="D77" s="16" t="str">
        <f aca="false">IF($C77="","",IFERROR(INDEX(Mat_Short,MATCH($C77,Mat_Code,0)),"⚠ Unknown code"))</f>
        <v/>
      </c>
      <c r="E77" s="66"/>
      <c r="F77" s="64" t="str">
        <f aca="false">IF($C77="","",IFERROR(INDEX(Mat_Unit,MATCH($C77,Mat_Code,0)),""))</f>
        <v/>
      </c>
      <c r="G77" s="70"/>
      <c r="H77" s="63"/>
      <c r="I77" s="63"/>
      <c r="J77" s="63"/>
      <c r="K77" s="16" t="str">
        <f aca="false">IF(AND($A77="",$B77="",$C77="",$E77=""),"",IF($A77="","⚠ Date missing",IF(OR($B77="",$C77=""),"⚠ Site / material missing",IF(COUNTIFS(CI_Site,$B77,CI_Mat,$C77)=0,"⚠ No Current Inventory row for this site + material",IF($G77="","⚠ Status missing",IF(AND($G77="Scheduled",$A77&lt;=AsOfDate),"⚠ Scheduled date reached – mark Received or re-date",IF(AND($G77="Received",$A77&gt;AsOfDate),"Future-dated – added on its date",IF(AND($G77="Received",$A77&lt;SUMIFS(CI_Count,CI_Site,$B77,CI_Mat,$C77)),"Before count date – already in the count","OK"))))))))</f>
        <v/>
      </c>
    </row>
    <row r="78" customFormat="false" ht="15" hidden="false" customHeight="false" outlineLevel="0" collapsed="false">
      <c r="A78" s="65"/>
      <c r="B78" s="63"/>
      <c r="C78" s="70"/>
      <c r="D78" s="16" t="str">
        <f aca="false">IF($C78="","",IFERROR(INDEX(Mat_Short,MATCH($C78,Mat_Code,0)),"⚠ Unknown code"))</f>
        <v/>
      </c>
      <c r="E78" s="66"/>
      <c r="F78" s="64" t="str">
        <f aca="false">IF($C78="","",IFERROR(INDEX(Mat_Unit,MATCH($C78,Mat_Code,0)),""))</f>
        <v/>
      </c>
      <c r="G78" s="70"/>
      <c r="H78" s="63"/>
      <c r="I78" s="63"/>
      <c r="J78" s="63"/>
      <c r="K78" s="16" t="str">
        <f aca="false">IF(AND($A78="",$B78="",$C78="",$E78=""),"",IF($A78="","⚠ Date missing",IF(OR($B78="",$C78=""),"⚠ Site / material missing",IF(COUNTIFS(CI_Site,$B78,CI_Mat,$C78)=0,"⚠ No Current Inventory row for this site + material",IF($G78="","⚠ Status missing",IF(AND($G78="Scheduled",$A78&lt;=AsOfDate),"⚠ Scheduled date reached – mark Received or re-date",IF(AND($G78="Received",$A78&gt;AsOfDate),"Future-dated – added on its date",IF(AND($G78="Received",$A78&lt;SUMIFS(CI_Count,CI_Site,$B78,CI_Mat,$C78)),"Before count date – already in the count","OK"))))))))</f>
        <v/>
      </c>
    </row>
    <row r="79" customFormat="false" ht="15" hidden="false" customHeight="false" outlineLevel="0" collapsed="false">
      <c r="A79" s="65"/>
      <c r="B79" s="63"/>
      <c r="C79" s="70"/>
      <c r="D79" s="16" t="str">
        <f aca="false">IF($C79="","",IFERROR(INDEX(Mat_Short,MATCH($C79,Mat_Code,0)),"⚠ Unknown code"))</f>
        <v/>
      </c>
      <c r="E79" s="66"/>
      <c r="F79" s="64" t="str">
        <f aca="false">IF($C79="","",IFERROR(INDEX(Mat_Unit,MATCH($C79,Mat_Code,0)),""))</f>
        <v/>
      </c>
      <c r="G79" s="70"/>
      <c r="H79" s="63"/>
      <c r="I79" s="63"/>
      <c r="J79" s="63"/>
      <c r="K79" s="16" t="str">
        <f aca="false">IF(AND($A79="",$B79="",$C79="",$E79=""),"",IF($A79="","⚠ Date missing",IF(OR($B79="",$C79=""),"⚠ Site / material missing",IF(COUNTIFS(CI_Site,$B79,CI_Mat,$C79)=0,"⚠ No Current Inventory row for this site + material",IF($G79="","⚠ Status missing",IF(AND($G79="Scheduled",$A79&lt;=AsOfDate),"⚠ Scheduled date reached – mark Received or re-date",IF(AND($G79="Received",$A79&gt;AsOfDate),"Future-dated – added on its date",IF(AND($G79="Received",$A79&lt;SUMIFS(CI_Count,CI_Site,$B79,CI_Mat,$C79)),"Before count date – already in the count","OK"))))))))</f>
        <v/>
      </c>
    </row>
    <row r="80" customFormat="false" ht="15" hidden="false" customHeight="false" outlineLevel="0" collapsed="false">
      <c r="A80" s="65"/>
      <c r="B80" s="63"/>
      <c r="C80" s="70"/>
      <c r="D80" s="16" t="str">
        <f aca="false">IF($C80="","",IFERROR(INDEX(Mat_Short,MATCH($C80,Mat_Code,0)),"⚠ Unknown code"))</f>
        <v/>
      </c>
      <c r="E80" s="66"/>
      <c r="F80" s="64" t="str">
        <f aca="false">IF($C80="","",IFERROR(INDEX(Mat_Unit,MATCH($C80,Mat_Code,0)),""))</f>
        <v/>
      </c>
      <c r="G80" s="70"/>
      <c r="H80" s="63"/>
      <c r="I80" s="63"/>
      <c r="J80" s="63"/>
      <c r="K80" s="16" t="str">
        <f aca="false">IF(AND($A80="",$B80="",$C80="",$E80=""),"",IF($A80="","⚠ Date missing",IF(OR($B80="",$C80=""),"⚠ Site / material missing",IF(COUNTIFS(CI_Site,$B80,CI_Mat,$C80)=0,"⚠ No Current Inventory row for this site + material",IF($G80="","⚠ Status missing",IF(AND($G80="Scheduled",$A80&lt;=AsOfDate),"⚠ Scheduled date reached – mark Received or re-date",IF(AND($G80="Received",$A80&gt;AsOfDate),"Future-dated – added on its date",IF(AND($G80="Received",$A80&lt;SUMIFS(CI_Count,CI_Site,$B80,CI_Mat,$C80)),"Before count date – already in the count","OK"))))))))</f>
        <v/>
      </c>
    </row>
    <row r="81" customFormat="false" ht="15" hidden="false" customHeight="false" outlineLevel="0" collapsed="false">
      <c r="A81" s="65"/>
      <c r="B81" s="63"/>
      <c r="C81" s="70"/>
      <c r="D81" s="16" t="str">
        <f aca="false">IF($C81="","",IFERROR(INDEX(Mat_Short,MATCH($C81,Mat_Code,0)),"⚠ Unknown code"))</f>
        <v/>
      </c>
      <c r="E81" s="66"/>
      <c r="F81" s="64" t="str">
        <f aca="false">IF($C81="","",IFERROR(INDEX(Mat_Unit,MATCH($C81,Mat_Code,0)),""))</f>
        <v/>
      </c>
      <c r="G81" s="70"/>
      <c r="H81" s="63"/>
      <c r="I81" s="63"/>
      <c r="J81" s="63"/>
      <c r="K81" s="16" t="str">
        <f aca="false">IF(AND($A81="",$B81="",$C81="",$E81=""),"",IF($A81="","⚠ Date missing",IF(OR($B81="",$C81=""),"⚠ Site / material missing",IF(COUNTIFS(CI_Site,$B81,CI_Mat,$C81)=0,"⚠ No Current Inventory row for this site + material",IF($G81="","⚠ Status missing",IF(AND($G81="Scheduled",$A81&lt;=AsOfDate),"⚠ Scheduled date reached – mark Received or re-date",IF(AND($G81="Received",$A81&gt;AsOfDate),"Future-dated – added on its date",IF(AND($G81="Received",$A81&lt;SUMIFS(CI_Count,CI_Site,$B81,CI_Mat,$C81)),"Before count date – already in the count","OK"))))))))</f>
        <v/>
      </c>
    </row>
    <row r="82" customFormat="false" ht="15" hidden="false" customHeight="false" outlineLevel="0" collapsed="false">
      <c r="A82" s="65"/>
      <c r="B82" s="63"/>
      <c r="C82" s="70"/>
      <c r="D82" s="16" t="str">
        <f aca="false">IF($C82="","",IFERROR(INDEX(Mat_Short,MATCH($C82,Mat_Code,0)),"⚠ Unknown code"))</f>
        <v/>
      </c>
      <c r="E82" s="66"/>
      <c r="F82" s="64" t="str">
        <f aca="false">IF($C82="","",IFERROR(INDEX(Mat_Unit,MATCH($C82,Mat_Code,0)),""))</f>
        <v/>
      </c>
      <c r="G82" s="70"/>
      <c r="H82" s="63"/>
      <c r="I82" s="63"/>
      <c r="J82" s="63"/>
      <c r="K82" s="16" t="str">
        <f aca="false">IF(AND($A82="",$B82="",$C82="",$E82=""),"",IF($A82="","⚠ Date missing",IF(OR($B82="",$C82=""),"⚠ Site / material missing",IF(COUNTIFS(CI_Site,$B82,CI_Mat,$C82)=0,"⚠ No Current Inventory row for this site + material",IF($G82="","⚠ Status missing",IF(AND($G82="Scheduled",$A82&lt;=AsOfDate),"⚠ Scheduled date reached – mark Received or re-date",IF(AND($G82="Received",$A82&gt;AsOfDate),"Future-dated – added on its date",IF(AND($G82="Received",$A82&lt;SUMIFS(CI_Count,CI_Site,$B82,CI_Mat,$C82)),"Before count date – already in the count","OK"))))))))</f>
        <v/>
      </c>
    </row>
    <row r="83" customFormat="false" ht="15" hidden="false" customHeight="false" outlineLevel="0" collapsed="false">
      <c r="A83" s="65"/>
      <c r="B83" s="63"/>
      <c r="C83" s="70"/>
      <c r="D83" s="16" t="str">
        <f aca="false">IF($C83="","",IFERROR(INDEX(Mat_Short,MATCH($C83,Mat_Code,0)),"⚠ Unknown code"))</f>
        <v/>
      </c>
      <c r="E83" s="66"/>
      <c r="F83" s="64" t="str">
        <f aca="false">IF($C83="","",IFERROR(INDEX(Mat_Unit,MATCH($C83,Mat_Code,0)),""))</f>
        <v/>
      </c>
      <c r="G83" s="70"/>
      <c r="H83" s="63"/>
      <c r="I83" s="63"/>
      <c r="J83" s="63"/>
      <c r="K83" s="16" t="str">
        <f aca="false">IF(AND($A83="",$B83="",$C83="",$E83=""),"",IF($A83="","⚠ Date missing",IF(OR($B83="",$C83=""),"⚠ Site / material missing",IF(COUNTIFS(CI_Site,$B83,CI_Mat,$C83)=0,"⚠ No Current Inventory row for this site + material",IF($G83="","⚠ Status missing",IF(AND($G83="Scheduled",$A83&lt;=AsOfDate),"⚠ Scheduled date reached – mark Received or re-date",IF(AND($G83="Received",$A83&gt;AsOfDate),"Future-dated – added on its date",IF(AND($G83="Received",$A83&lt;SUMIFS(CI_Count,CI_Site,$B83,CI_Mat,$C83)),"Before count date – already in the count","OK"))))))))</f>
        <v/>
      </c>
    </row>
    <row r="84" customFormat="false" ht="15" hidden="false" customHeight="false" outlineLevel="0" collapsed="false">
      <c r="A84" s="65"/>
      <c r="B84" s="63"/>
      <c r="C84" s="70"/>
      <c r="D84" s="16" t="str">
        <f aca="false">IF($C84="","",IFERROR(INDEX(Mat_Short,MATCH($C84,Mat_Code,0)),"⚠ Unknown code"))</f>
        <v/>
      </c>
      <c r="E84" s="66"/>
      <c r="F84" s="64" t="str">
        <f aca="false">IF($C84="","",IFERROR(INDEX(Mat_Unit,MATCH($C84,Mat_Code,0)),""))</f>
        <v/>
      </c>
      <c r="G84" s="70"/>
      <c r="H84" s="63"/>
      <c r="I84" s="63"/>
      <c r="J84" s="63"/>
      <c r="K84" s="16" t="str">
        <f aca="false">IF(AND($A84="",$B84="",$C84="",$E84=""),"",IF($A84="","⚠ Date missing",IF(OR($B84="",$C84=""),"⚠ Site / material missing",IF(COUNTIFS(CI_Site,$B84,CI_Mat,$C84)=0,"⚠ No Current Inventory row for this site + material",IF($G84="","⚠ Status missing",IF(AND($G84="Scheduled",$A84&lt;=AsOfDate),"⚠ Scheduled date reached – mark Received or re-date",IF(AND($G84="Received",$A84&gt;AsOfDate),"Future-dated – added on its date",IF(AND($G84="Received",$A84&lt;SUMIFS(CI_Count,CI_Site,$B84,CI_Mat,$C84)),"Before count date – already in the count","OK"))))))))</f>
        <v/>
      </c>
    </row>
    <row r="85" customFormat="false" ht="15" hidden="false" customHeight="false" outlineLevel="0" collapsed="false">
      <c r="A85" s="65"/>
      <c r="B85" s="63"/>
      <c r="C85" s="70"/>
      <c r="D85" s="16" t="str">
        <f aca="false">IF($C85="","",IFERROR(INDEX(Mat_Short,MATCH($C85,Mat_Code,0)),"⚠ Unknown code"))</f>
        <v/>
      </c>
      <c r="E85" s="66"/>
      <c r="F85" s="64" t="str">
        <f aca="false">IF($C85="","",IFERROR(INDEX(Mat_Unit,MATCH($C85,Mat_Code,0)),""))</f>
        <v/>
      </c>
      <c r="G85" s="70"/>
      <c r="H85" s="63"/>
      <c r="I85" s="63"/>
      <c r="J85" s="63"/>
      <c r="K85" s="16" t="str">
        <f aca="false">IF(AND($A85="",$B85="",$C85="",$E85=""),"",IF($A85="","⚠ Date missing",IF(OR($B85="",$C85=""),"⚠ Site / material missing",IF(COUNTIFS(CI_Site,$B85,CI_Mat,$C85)=0,"⚠ No Current Inventory row for this site + material",IF($G85="","⚠ Status missing",IF(AND($G85="Scheduled",$A85&lt;=AsOfDate),"⚠ Scheduled date reached – mark Received or re-date",IF(AND($G85="Received",$A85&gt;AsOfDate),"Future-dated – added on its date",IF(AND($G85="Received",$A85&lt;SUMIFS(CI_Count,CI_Site,$B85,CI_Mat,$C85)),"Before count date – already in the count","OK"))))))))</f>
        <v/>
      </c>
    </row>
    <row r="86" customFormat="false" ht="15" hidden="false" customHeight="false" outlineLevel="0" collapsed="false">
      <c r="A86" s="65"/>
      <c r="B86" s="63"/>
      <c r="C86" s="70"/>
      <c r="D86" s="16" t="str">
        <f aca="false">IF($C86="","",IFERROR(INDEX(Mat_Short,MATCH($C86,Mat_Code,0)),"⚠ Unknown code"))</f>
        <v/>
      </c>
      <c r="E86" s="66"/>
      <c r="F86" s="64" t="str">
        <f aca="false">IF($C86="","",IFERROR(INDEX(Mat_Unit,MATCH($C86,Mat_Code,0)),""))</f>
        <v/>
      </c>
      <c r="G86" s="70"/>
      <c r="H86" s="63"/>
      <c r="I86" s="63"/>
      <c r="J86" s="63"/>
      <c r="K86" s="16" t="str">
        <f aca="false">IF(AND($A86="",$B86="",$C86="",$E86=""),"",IF($A86="","⚠ Date missing",IF(OR($B86="",$C86=""),"⚠ Site / material missing",IF(COUNTIFS(CI_Site,$B86,CI_Mat,$C86)=0,"⚠ No Current Inventory row for this site + material",IF($G86="","⚠ Status missing",IF(AND($G86="Scheduled",$A86&lt;=AsOfDate),"⚠ Scheduled date reached – mark Received or re-date",IF(AND($G86="Received",$A86&gt;AsOfDate),"Future-dated – added on its date",IF(AND($G86="Received",$A86&lt;SUMIFS(CI_Count,CI_Site,$B86,CI_Mat,$C86)),"Before count date – already in the count","OK"))))))))</f>
        <v/>
      </c>
    </row>
    <row r="87" customFormat="false" ht="15" hidden="false" customHeight="false" outlineLevel="0" collapsed="false">
      <c r="A87" s="65"/>
      <c r="B87" s="63"/>
      <c r="C87" s="70"/>
      <c r="D87" s="16" t="str">
        <f aca="false">IF($C87="","",IFERROR(INDEX(Mat_Short,MATCH($C87,Mat_Code,0)),"⚠ Unknown code"))</f>
        <v/>
      </c>
      <c r="E87" s="66"/>
      <c r="F87" s="64" t="str">
        <f aca="false">IF($C87="","",IFERROR(INDEX(Mat_Unit,MATCH($C87,Mat_Code,0)),""))</f>
        <v/>
      </c>
      <c r="G87" s="70"/>
      <c r="H87" s="63"/>
      <c r="I87" s="63"/>
      <c r="J87" s="63"/>
      <c r="K87" s="16" t="str">
        <f aca="false">IF(AND($A87="",$B87="",$C87="",$E87=""),"",IF($A87="","⚠ Date missing",IF(OR($B87="",$C87=""),"⚠ Site / material missing",IF(COUNTIFS(CI_Site,$B87,CI_Mat,$C87)=0,"⚠ No Current Inventory row for this site + material",IF($G87="","⚠ Status missing",IF(AND($G87="Scheduled",$A87&lt;=AsOfDate),"⚠ Scheduled date reached – mark Received or re-date",IF(AND($G87="Received",$A87&gt;AsOfDate),"Future-dated – added on its date",IF(AND($G87="Received",$A87&lt;SUMIFS(CI_Count,CI_Site,$B87,CI_Mat,$C87)),"Before count date – already in the count","OK"))))))))</f>
        <v/>
      </c>
    </row>
    <row r="88" customFormat="false" ht="15" hidden="false" customHeight="false" outlineLevel="0" collapsed="false">
      <c r="A88" s="65"/>
      <c r="B88" s="63"/>
      <c r="C88" s="70"/>
      <c r="D88" s="16" t="str">
        <f aca="false">IF($C88="","",IFERROR(INDEX(Mat_Short,MATCH($C88,Mat_Code,0)),"⚠ Unknown code"))</f>
        <v/>
      </c>
      <c r="E88" s="66"/>
      <c r="F88" s="64" t="str">
        <f aca="false">IF($C88="","",IFERROR(INDEX(Mat_Unit,MATCH($C88,Mat_Code,0)),""))</f>
        <v/>
      </c>
      <c r="G88" s="70"/>
      <c r="H88" s="63"/>
      <c r="I88" s="63"/>
      <c r="J88" s="63"/>
      <c r="K88" s="16" t="str">
        <f aca="false">IF(AND($A88="",$B88="",$C88="",$E88=""),"",IF($A88="","⚠ Date missing",IF(OR($B88="",$C88=""),"⚠ Site / material missing",IF(COUNTIFS(CI_Site,$B88,CI_Mat,$C88)=0,"⚠ No Current Inventory row for this site + material",IF($G88="","⚠ Status missing",IF(AND($G88="Scheduled",$A88&lt;=AsOfDate),"⚠ Scheduled date reached – mark Received or re-date",IF(AND($G88="Received",$A88&gt;AsOfDate),"Future-dated – added on its date",IF(AND($G88="Received",$A88&lt;SUMIFS(CI_Count,CI_Site,$B88,CI_Mat,$C88)),"Before count date – already in the count","OK"))))))))</f>
        <v/>
      </c>
    </row>
    <row r="89" customFormat="false" ht="15" hidden="false" customHeight="false" outlineLevel="0" collapsed="false">
      <c r="A89" s="65"/>
      <c r="B89" s="63"/>
      <c r="C89" s="70"/>
      <c r="D89" s="16" t="str">
        <f aca="false">IF($C89="","",IFERROR(INDEX(Mat_Short,MATCH($C89,Mat_Code,0)),"⚠ Unknown code"))</f>
        <v/>
      </c>
      <c r="E89" s="66"/>
      <c r="F89" s="64" t="str">
        <f aca="false">IF($C89="","",IFERROR(INDEX(Mat_Unit,MATCH($C89,Mat_Code,0)),""))</f>
        <v/>
      </c>
      <c r="G89" s="70"/>
      <c r="H89" s="63"/>
      <c r="I89" s="63"/>
      <c r="J89" s="63"/>
      <c r="K89" s="16" t="str">
        <f aca="false">IF(AND($A89="",$B89="",$C89="",$E89=""),"",IF($A89="","⚠ Date missing",IF(OR($B89="",$C89=""),"⚠ Site / material missing",IF(COUNTIFS(CI_Site,$B89,CI_Mat,$C89)=0,"⚠ No Current Inventory row for this site + material",IF($G89="","⚠ Status missing",IF(AND($G89="Scheduled",$A89&lt;=AsOfDate),"⚠ Scheduled date reached – mark Received or re-date",IF(AND($G89="Received",$A89&gt;AsOfDate),"Future-dated – added on its date",IF(AND($G89="Received",$A89&lt;SUMIFS(CI_Count,CI_Site,$B89,CI_Mat,$C89)),"Before count date – already in the count","OK"))))))))</f>
        <v/>
      </c>
    </row>
    <row r="90" customFormat="false" ht="15" hidden="false" customHeight="false" outlineLevel="0" collapsed="false">
      <c r="A90" s="65"/>
      <c r="B90" s="63"/>
      <c r="C90" s="70"/>
      <c r="D90" s="16" t="str">
        <f aca="false">IF($C90="","",IFERROR(INDEX(Mat_Short,MATCH($C90,Mat_Code,0)),"⚠ Unknown code"))</f>
        <v/>
      </c>
      <c r="E90" s="66"/>
      <c r="F90" s="64" t="str">
        <f aca="false">IF($C90="","",IFERROR(INDEX(Mat_Unit,MATCH($C90,Mat_Code,0)),""))</f>
        <v/>
      </c>
      <c r="G90" s="70"/>
      <c r="H90" s="63"/>
      <c r="I90" s="63"/>
      <c r="J90" s="63"/>
      <c r="K90" s="16" t="str">
        <f aca="false">IF(AND($A90="",$B90="",$C90="",$E90=""),"",IF($A90="","⚠ Date missing",IF(OR($B90="",$C90=""),"⚠ Site / material missing",IF(COUNTIFS(CI_Site,$B90,CI_Mat,$C90)=0,"⚠ No Current Inventory row for this site + material",IF($G90="","⚠ Status missing",IF(AND($G90="Scheduled",$A90&lt;=AsOfDate),"⚠ Scheduled date reached – mark Received or re-date",IF(AND($G90="Received",$A90&gt;AsOfDate),"Future-dated – added on its date",IF(AND($G90="Received",$A90&lt;SUMIFS(CI_Count,CI_Site,$B90,CI_Mat,$C90)),"Before count date – already in the count","OK"))))))))</f>
        <v/>
      </c>
    </row>
    <row r="91" customFormat="false" ht="15" hidden="false" customHeight="false" outlineLevel="0" collapsed="false">
      <c r="A91" s="65"/>
      <c r="B91" s="63"/>
      <c r="C91" s="70"/>
      <c r="D91" s="16" t="str">
        <f aca="false">IF($C91="","",IFERROR(INDEX(Mat_Short,MATCH($C91,Mat_Code,0)),"⚠ Unknown code"))</f>
        <v/>
      </c>
      <c r="E91" s="66"/>
      <c r="F91" s="64" t="str">
        <f aca="false">IF($C91="","",IFERROR(INDEX(Mat_Unit,MATCH($C91,Mat_Code,0)),""))</f>
        <v/>
      </c>
      <c r="G91" s="70"/>
      <c r="H91" s="63"/>
      <c r="I91" s="63"/>
      <c r="J91" s="63"/>
      <c r="K91" s="16" t="str">
        <f aca="false">IF(AND($A91="",$B91="",$C91="",$E91=""),"",IF($A91="","⚠ Date missing",IF(OR($B91="",$C91=""),"⚠ Site / material missing",IF(COUNTIFS(CI_Site,$B91,CI_Mat,$C91)=0,"⚠ No Current Inventory row for this site + material",IF($G91="","⚠ Status missing",IF(AND($G91="Scheduled",$A91&lt;=AsOfDate),"⚠ Scheduled date reached – mark Received or re-date",IF(AND($G91="Received",$A91&gt;AsOfDate),"Future-dated – added on its date",IF(AND($G91="Received",$A91&lt;SUMIFS(CI_Count,CI_Site,$B91,CI_Mat,$C91)),"Before count date – already in the count","OK"))))))))</f>
        <v/>
      </c>
    </row>
    <row r="92" customFormat="false" ht="15" hidden="false" customHeight="false" outlineLevel="0" collapsed="false">
      <c r="A92" s="65"/>
      <c r="B92" s="63"/>
      <c r="C92" s="70"/>
      <c r="D92" s="16" t="str">
        <f aca="false">IF($C92="","",IFERROR(INDEX(Mat_Short,MATCH($C92,Mat_Code,0)),"⚠ Unknown code"))</f>
        <v/>
      </c>
      <c r="E92" s="66"/>
      <c r="F92" s="64" t="str">
        <f aca="false">IF($C92="","",IFERROR(INDEX(Mat_Unit,MATCH($C92,Mat_Code,0)),""))</f>
        <v/>
      </c>
      <c r="G92" s="70"/>
      <c r="H92" s="63"/>
      <c r="I92" s="63"/>
      <c r="J92" s="63"/>
      <c r="K92" s="16" t="str">
        <f aca="false">IF(AND($A92="",$B92="",$C92="",$E92=""),"",IF($A92="","⚠ Date missing",IF(OR($B92="",$C92=""),"⚠ Site / material missing",IF(COUNTIFS(CI_Site,$B92,CI_Mat,$C92)=0,"⚠ No Current Inventory row for this site + material",IF($G92="","⚠ Status missing",IF(AND($G92="Scheduled",$A92&lt;=AsOfDate),"⚠ Scheduled date reached – mark Received or re-date",IF(AND($G92="Received",$A92&gt;AsOfDate),"Future-dated – added on its date",IF(AND($G92="Received",$A92&lt;SUMIFS(CI_Count,CI_Site,$B92,CI_Mat,$C92)),"Before count date – already in the count","OK"))))))))</f>
        <v/>
      </c>
    </row>
    <row r="93" customFormat="false" ht="15" hidden="false" customHeight="false" outlineLevel="0" collapsed="false">
      <c r="A93" s="65"/>
      <c r="B93" s="63"/>
      <c r="C93" s="70"/>
      <c r="D93" s="16" t="str">
        <f aca="false">IF($C93="","",IFERROR(INDEX(Mat_Short,MATCH($C93,Mat_Code,0)),"⚠ Unknown code"))</f>
        <v/>
      </c>
      <c r="E93" s="66"/>
      <c r="F93" s="64" t="str">
        <f aca="false">IF($C93="","",IFERROR(INDEX(Mat_Unit,MATCH($C93,Mat_Code,0)),""))</f>
        <v/>
      </c>
      <c r="G93" s="70"/>
      <c r="H93" s="63"/>
      <c r="I93" s="63"/>
      <c r="J93" s="63"/>
      <c r="K93" s="16" t="str">
        <f aca="false">IF(AND($A93="",$B93="",$C93="",$E93=""),"",IF($A93="","⚠ Date missing",IF(OR($B93="",$C93=""),"⚠ Site / material missing",IF(COUNTIFS(CI_Site,$B93,CI_Mat,$C93)=0,"⚠ No Current Inventory row for this site + material",IF($G93="","⚠ Status missing",IF(AND($G93="Scheduled",$A93&lt;=AsOfDate),"⚠ Scheduled date reached – mark Received or re-date",IF(AND($G93="Received",$A93&gt;AsOfDate),"Future-dated – added on its date",IF(AND($G93="Received",$A93&lt;SUMIFS(CI_Count,CI_Site,$B93,CI_Mat,$C93)),"Before count date – already in the count","OK"))))))))</f>
        <v/>
      </c>
    </row>
    <row r="94" customFormat="false" ht="15" hidden="false" customHeight="false" outlineLevel="0" collapsed="false">
      <c r="A94" s="65"/>
      <c r="B94" s="63"/>
      <c r="C94" s="70"/>
      <c r="D94" s="16" t="str">
        <f aca="false">IF($C94="","",IFERROR(INDEX(Mat_Short,MATCH($C94,Mat_Code,0)),"⚠ Unknown code"))</f>
        <v/>
      </c>
      <c r="E94" s="66"/>
      <c r="F94" s="64" t="str">
        <f aca="false">IF($C94="","",IFERROR(INDEX(Mat_Unit,MATCH($C94,Mat_Code,0)),""))</f>
        <v/>
      </c>
      <c r="G94" s="70"/>
      <c r="H94" s="63"/>
      <c r="I94" s="63"/>
      <c r="J94" s="63"/>
      <c r="K94" s="16" t="str">
        <f aca="false">IF(AND($A94="",$B94="",$C94="",$E94=""),"",IF($A94="","⚠ Date missing",IF(OR($B94="",$C94=""),"⚠ Site / material missing",IF(COUNTIFS(CI_Site,$B94,CI_Mat,$C94)=0,"⚠ No Current Inventory row for this site + material",IF($G94="","⚠ Status missing",IF(AND($G94="Scheduled",$A94&lt;=AsOfDate),"⚠ Scheduled date reached – mark Received or re-date",IF(AND($G94="Received",$A94&gt;AsOfDate),"Future-dated – added on its date",IF(AND($G94="Received",$A94&lt;SUMIFS(CI_Count,CI_Site,$B94,CI_Mat,$C94)),"Before count date – already in the count","OK"))))))))</f>
        <v/>
      </c>
    </row>
    <row r="95" customFormat="false" ht="15" hidden="false" customHeight="false" outlineLevel="0" collapsed="false">
      <c r="A95" s="65"/>
      <c r="B95" s="63"/>
      <c r="C95" s="70"/>
      <c r="D95" s="16" t="str">
        <f aca="false">IF($C95="","",IFERROR(INDEX(Mat_Short,MATCH($C95,Mat_Code,0)),"⚠ Unknown code"))</f>
        <v/>
      </c>
      <c r="E95" s="66"/>
      <c r="F95" s="64" t="str">
        <f aca="false">IF($C95="","",IFERROR(INDEX(Mat_Unit,MATCH($C95,Mat_Code,0)),""))</f>
        <v/>
      </c>
      <c r="G95" s="70"/>
      <c r="H95" s="63"/>
      <c r="I95" s="63"/>
      <c r="J95" s="63"/>
      <c r="K95" s="16" t="str">
        <f aca="false">IF(AND($A95="",$B95="",$C95="",$E95=""),"",IF($A95="","⚠ Date missing",IF(OR($B95="",$C95=""),"⚠ Site / material missing",IF(COUNTIFS(CI_Site,$B95,CI_Mat,$C95)=0,"⚠ No Current Inventory row for this site + material",IF($G95="","⚠ Status missing",IF(AND($G95="Scheduled",$A95&lt;=AsOfDate),"⚠ Scheduled date reached – mark Received or re-date",IF(AND($G95="Received",$A95&gt;AsOfDate),"Future-dated – added on its date",IF(AND($G95="Received",$A95&lt;SUMIFS(CI_Count,CI_Site,$B95,CI_Mat,$C95)),"Before count date – already in the count","OK"))))))))</f>
        <v/>
      </c>
    </row>
    <row r="96" customFormat="false" ht="15" hidden="false" customHeight="false" outlineLevel="0" collapsed="false">
      <c r="A96" s="65"/>
      <c r="B96" s="63"/>
      <c r="C96" s="70"/>
      <c r="D96" s="16" t="str">
        <f aca="false">IF($C96="","",IFERROR(INDEX(Mat_Short,MATCH($C96,Mat_Code,0)),"⚠ Unknown code"))</f>
        <v/>
      </c>
      <c r="E96" s="66"/>
      <c r="F96" s="64" t="str">
        <f aca="false">IF($C96="","",IFERROR(INDEX(Mat_Unit,MATCH($C96,Mat_Code,0)),""))</f>
        <v/>
      </c>
      <c r="G96" s="70"/>
      <c r="H96" s="63"/>
      <c r="I96" s="63"/>
      <c r="J96" s="63"/>
      <c r="K96" s="16" t="str">
        <f aca="false">IF(AND($A96="",$B96="",$C96="",$E96=""),"",IF($A96="","⚠ Date missing",IF(OR($B96="",$C96=""),"⚠ Site / material missing",IF(COUNTIFS(CI_Site,$B96,CI_Mat,$C96)=0,"⚠ No Current Inventory row for this site + material",IF($G96="","⚠ Status missing",IF(AND($G96="Scheduled",$A96&lt;=AsOfDate),"⚠ Scheduled date reached – mark Received or re-date",IF(AND($G96="Received",$A96&gt;AsOfDate),"Future-dated – added on its date",IF(AND($G96="Received",$A96&lt;SUMIFS(CI_Count,CI_Site,$B96,CI_Mat,$C96)),"Before count date – already in the count","OK"))))))))</f>
        <v/>
      </c>
    </row>
    <row r="97" customFormat="false" ht="15" hidden="false" customHeight="false" outlineLevel="0" collapsed="false">
      <c r="A97" s="65"/>
      <c r="B97" s="63"/>
      <c r="C97" s="70"/>
      <c r="D97" s="16" t="str">
        <f aca="false">IF($C97="","",IFERROR(INDEX(Mat_Short,MATCH($C97,Mat_Code,0)),"⚠ Unknown code"))</f>
        <v/>
      </c>
      <c r="E97" s="66"/>
      <c r="F97" s="64" t="str">
        <f aca="false">IF($C97="","",IFERROR(INDEX(Mat_Unit,MATCH($C97,Mat_Code,0)),""))</f>
        <v/>
      </c>
      <c r="G97" s="70"/>
      <c r="H97" s="63"/>
      <c r="I97" s="63"/>
      <c r="J97" s="63"/>
      <c r="K97" s="16" t="str">
        <f aca="false">IF(AND($A97="",$B97="",$C97="",$E97=""),"",IF($A97="","⚠ Date missing",IF(OR($B97="",$C97=""),"⚠ Site / material missing",IF(COUNTIFS(CI_Site,$B97,CI_Mat,$C97)=0,"⚠ No Current Inventory row for this site + material",IF($G97="","⚠ Status missing",IF(AND($G97="Scheduled",$A97&lt;=AsOfDate),"⚠ Scheduled date reached – mark Received or re-date",IF(AND($G97="Received",$A97&gt;AsOfDate),"Future-dated – added on its date",IF(AND($G97="Received",$A97&lt;SUMIFS(CI_Count,CI_Site,$B97,CI_Mat,$C97)),"Before count date – already in the count","OK"))))))))</f>
        <v/>
      </c>
    </row>
    <row r="98" customFormat="false" ht="15" hidden="false" customHeight="false" outlineLevel="0" collapsed="false">
      <c r="A98" s="65"/>
      <c r="B98" s="63"/>
      <c r="C98" s="70"/>
      <c r="D98" s="16" t="str">
        <f aca="false">IF($C98="","",IFERROR(INDEX(Mat_Short,MATCH($C98,Mat_Code,0)),"⚠ Unknown code"))</f>
        <v/>
      </c>
      <c r="E98" s="66"/>
      <c r="F98" s="64" t="str">
        <f aca="false">IF($C98="","",IFERROR(INDEX(Mat_Unit,MATCH($C98,Mat_Code,0)),""))</f>
        <v/>
      </c>
      <c r="G98" s="70"/>
      <c r="H98" s="63"/>
      <c r="I98" s="63"/>
      <c r="J98" s="63"/>
      <c r="K98" s="16" t="str">
        <f aca="false">IF(AND($A98="",$B98="",$C98="",$E98=""),"",IF($A98="","⚠ Date missing",IF(OR($B98="",$C98=""),"⚠ Site / material missing",IF(COUNTIFS(CI_Site,$B98,CI_Mat,$C98)=0,"⚠ No Current Inventory row for this site + material",IF($G98="","⚠ Status missing",IF(AND($G98="Scheduled",$A98&lt;=AsOfDate),"⚠ Scheduled date reached – mark Received or re-date",IF(AND($G98="Received",$A98&gt;AsOfDate),"Future-dated – added on its date",IF(AND($G98="Received",$A98&lt;SUMIFS(CI_Count,CI_Site,$B98,CI_Mat,$C98)),"Before count date – already in the count","OK"))))))))</f>
        <v/>
      </c>
    </row>
    <row r="99" customFormat="false" ht="15" hidden="false" customHeight="false" outlineLevel="0" collapsed="false">
      <c r="A99" s="65"/>
      <c r="B99" s="63"/>
      <c r="C99" s="70"/>
      <c r="D99" s="16" t="str">
        <f aca="false">IF($C99="","",IFERROR(INDEX(Mat_Short,MATCH($C99,Mat_Code,0)),"⚠ Unknown code"))</f>
        <v/>
      </c>
      <c r="E99" s="66"/>
      <c r="F99" s="64" t="str">
        <f aca="false">IF($C99="","",IFERROR(INDEX(Mat_Unit,MATCH($C99,Mat_Code,0)),""))</f>
        <v/>
      </c>
      <c r="G99" s="70"/>
      <c r="H99" s="63"/>
      <c r="I99" s="63"/>
      <c r="J99" s="63"/>
      <c r="K99" s="16" t="str">
        <f aca="false">IF(AND($A99="",$B99="",$C99="",$E99=""),"",IF($A99="","⚠ Date missing",IF(OR($B99="",$C99=""),"⚠ Site / material missing",IF(COUNTIFS(CI_Site,$B99,CI_Mat,$C99)=0,"⚠ No Current Inventory row for this site + material",IF($G99="","⚠ Status missing",IF(AND($G99="Scheduled",$A99&lt;=AsOfDate),"⚠ Scheduled date reached – mark Received or re-date",IF(AND($G99="Received",$A99&gt;AsOfDate),"Future-dated – added on its date",IF(AND($G99="Received",$A99&lt;SUMIFS(CI_Count,CI_Site,$B99,CI_Mat,$C99)),"Before count date – already in the count","OK"))))))))</f>
        <v/>
      </c>
    </row>
    <row r="100" customFormat="false" ht="15" hidden="false" customHeight="false" outlineLevel="0" collapsed="false">
      <c r="A100" s="65"/>
      <c r="B100" s="63"/>
      <c r="C100" s="70"/>
      <c r="D100" s="16" t="str">
        <f aca="false">IF($C100="","",IFERROR(INDEX(Mat_Short,MATCH($C100,Mat_Code,0)),"⚠ Unknown code"))</f>
        <v/>
      </c>
      <c r="E100" s="66"/>
      <c r="F100" s="64" t="str">
        <f aca="false">IF($C100="","",IFERROR(INDEX(Mat_Unit,MATCH($C100,Mat_Code,0)),""))</f>
        <v/>
      </c>
      <c r="G100" s="70"/>
      <c r="H100" s="63"/>
      <c r="I100" s="63"/>
      <c r="J100" s="63"/>
      <c r="K100" s="16" t="str">
        <f aca="false">IF(AND($A100="",$B100="",$C100="",$E100=""),"",IF($A100="","⚠ Date missing",IF(OR($B100="",$C100=""),"⚠ Site / material missing",IF(COUNTIFS(CI_Site,$B100,CI_Mat,$C100)=0,"⚠ No Current Inventory row for this site + material",IF($G100="","⚠ Status missing",IF(AND($G100="Scheduled",$A100&lt;=AsOfDate),"⚠ Scheduled date reached – mark Received or re-date",IF(AND($G100="Received",$A100&gt;AsOfDate),"Future-dated – added on its date",IF(AND($G100="Received",$A100&lt;SUMIFS(CI_Count,CI_Site,$B100,CI_Mat,$C100)),"Before count date – already in the count","OK"))))))))</f>
        <v/>
      </c>
    </row>
    <row r="101" customFormat="false" ht="15" hidden="false" customHeight="false" outlineLevel="0" collapsed="false">
      <c r="A101" s="65"/>
      <c r="B101" s="63"/>
      <c r="C101" s="70"/>
      <c r="D101" s="16" t="str">
        <f aca="false">IF($C101="","",IFERROR(INDEX(Mat_Short,MATCH($C101,Mat_Code,0)),"⚠ Unknown code"))</f>
        <v/>
      </c>
      <c r="E101" s="66"/>
      <c r="F101" s="64" t="str">
        <f aca="false">IF($C101="","",IFERROR(INDEX(Mat_Unit,MATCH($C101,Mat_Code,0)),""))</f>
        <v/>
      </c>
      <c r="G101" s="70"/>
      <c r="H101" s="63"/>
      <c r="I101" s="63"/>
      <c r="J101" s="63"/>
      <c r="K101" s="16" t="str">
        <f aca="false">IF(AND($A101="",$B101="",$C101="",$E101=""),"",IF($A101="","⚠ Date missing",IF(OR($B101="",$C101=""),"⚠ Site / material missing",IF(COUNTIFS(CI_Site,$B101,CI_Mat,$C101)=0,"⚠ No Current Inventory row for this site + material",IF($G101="","⚠ Status missing",IF(AND($G101="Scheduled",$A101&lt;=AsOfDate),"⚠ Scheduled date reached – mark Received or re-date",IF(AND($G101="Received",$A101&gt;AsOfDate),"Future-dated – added on its date",IF(AND($G101="Received",$A101&lt;SUMIFS(CI_Count,CI_Site,$B101,CI_Mat,$C101)),"Before count date – already in the count","OK"))))))))</f>
        <v/>
      </c>
    </row>
    <row r="102" customFormat="false" ht="15" hidden="false" customHeight="false" outlineLevel="0" collapsed="false">
      <c r="A102" s="65"/>
      <c r="B102" s="63"/>
      <c r="C102" s="70"/>
      <c r="D102" s="16" t="str">
        <f aca="false">IF($C102="","",IFERROR(INDEX(Mat_Short,MATCH($C102,Mat_Code,0)),"⚠ Unknown code"))</f>
        <v/>
      </c>
      <c r="E102" s="66"/>
      <c r="F102" s="64" t="str">
        <f aca="false">IF($C102="","",IFERROR(INDEX(Mat_Unit,MATCH($C102,Mat_Code,0)),""))</f>
        <v/>
      </c>
      <c r="G102" s="70"/>
      <c r="H102" s="63"/>
      <c r="I102" s="63"/>
      <c r="J102" s="63"/>
      <c r="K102" s="16" t="str">
        <f aca="false">IF(AND($A102="",$B102="",$C102="",$E102=""),"",IF($A102="","⚠ Date missing",IF(OR($B102="",$C102=""),"⚠ Site / material missing",IF(COUNTIFS(CI_Site,$B102,CI_Mat,$C102)=0,"⚠ No Current Inventory row for this site + material",IF($G102="","⚠ Status missing",IF(AND($G102="Scheduled",$A102&lt;=AsOfDate),"⚠ Scheduled date reached – mark Received or re-date",IF(AND($G102="Received",$A102&gt;AsOfDate),"Future-dated – added on its date",IF(AND($G102="Received",$A102&lt;SUMIFS(CI_Count,CI_Site,$B102,CI_Mat,$C102)),"Before count date – already in the count","OK"))))))))</f>
        <v/>
      </c>
    </row>
    <row r="103" customFormat="false" ht="15" hidden="false" customHeight="false" outlineLevel="0" collapsed="false">
      <c r="A103" s="65"/>
      <c r="B103" s="63"/>
      <c r="C103" s="70"/>
      <c r="D103" s="16" t="str">
        <f aca="false">IF($C103="","",IFERROR(INDEX(Mat_Short,MATCH($C103,Mat_Code,0)),"⚠ Unknown code"))</f>
        <v/>
      </c>
      <c r="E103" s="66"/>
      <c r="F103" s="64" t="str">
        <f aca="false">IF($C103="","",IFERROR(INDEX(Mat_Unit,MATCH($C103,Mat_Code,0)),""))</f>
        <v/>
      </c>
      <c r="G103" s="70"/>
      <c r="H103" s="63"/>
      <c r="I103" s="63"/>
      <c r="J103" s="63"/>
      <c r="K103" s="16" t="str">
        <f aca="false">IF(AND($A103="",$B103="",$C103="",$E103=""),"",IF($A103="","⚠ Date missing",IF(OR($B103="",$C103=""),"⚠ Site / material missing",IF(COUNTIFS(CI_Site,$B103,CI_Mat,$C103)=0,"⚠ No Current Inventory row for this site + material",IF($G103="","⚠ Status missing",IF(AND($G103="Scheduled",$A103&lt;=AsOfDate),"⚠ Scheduled date reached – mark Received or re-date",IF(AND($G103="Received",$A103&gt;AsOfDate),"Future-dated – added on its date",IF(AND($G103="Received",$A103&lt;SUMIFS(CI_Count,CI_Site,$B103,CI_Mat,$C103)),"Before count date – already in the count","OK"))))))))</f>
        <v/>
      </c>
    </row>
    <row r="104" customFormat="false" ht="15" hidden="false" customHeight="false" outlineLevel="0" collapsed="false">
      <c r="A104" s="65"/>
      <c r="B104" s="63"/>
      <c r="C104" s="70"/>
      <c r="D104" s="16" t="str">
        <f aca="false">IF($C104="","",IFERROR(INDEX(Mat_Short,MATCH($C104,Mat_Code,0)),"⚠ Unknown code"))</f>
        <v/>
      </c>
      <c r="E104" s="66"/>
      <c r="F104" s="64" t="str">
        <f aca="false">IF($C104="","",IFERROR(INDEX(Mat_Unit,MATCH($C104,Mat_Code,0)),""))</f>
        <v/>
      </c>
      <c r="G104" s="70"/>
      <c r="H104" s="63"/>
      <c r="I104" s="63"/>
      <c r="J104" s="63"/>
      <c r="K104" s="16" t="str">
        <f aca="false">IF(AND($A104="",$B104="",$C104="",$E104=""),"",IF($A104="","⚠ Date missing",IF(OR($B104="",$C104=""),"⚠ Site / material missing",IF(COUNTIFS(CI_Site,$B104,CI_Mat,$C104)=0,"⚠ No Current Inventory row for this site + material",IF($G104="","⚠ Status missing",IF(AND($G104="Scheduled",$A104&lt;=AsOfDate),"⚠ Scheduled date reached – mark Received or re-date",IF(AND($G104="Received",$A104&gt;AsOfDate),"Future-dated – added on its date",IF(AND($G104="Received",$A104&lt;SUMIFS(CI_Count,CI_Site,$B104,CI_Mat,$C104)),"Before count date – already in the count","OK"))))))))</f>
        <v/>
      </c>
    </row>
    <row r="105" customFormat="false" ht="15" hidden="false" customHeight="false" outlineLevel="0" collapsed="false">
      <c r="A105" s="65"/>
      <c r="B105" s="63"/>
      <c r="C105" s="70"/>
      <c r="D105" s="16" t="str">
        <f aca="false">IF($C105="","",IFERROR(INDEX(Mat_Short,MATCH($C105,Mat_Code,0)),"⚠ Unknown code"))</f>
        <v/>
      </c>
      <c r="E105" s="66"/>
      <c r="F105" s="64" t="str">
        <f aca="false">IF($C105="","",IFERROR(INDEX(Mat_Unit,MATCH($C105,Mat_Code,0)),""))</f>
        <v/>
      </c>
      <c r="G105" s="70"/>
      <c r="H105" s="63"/>
      <c r="I105" s="63"/>
      <c r="J105" s="63"/>
      <c r="K105" s="16" t="str">
        <f aca="false">IF(AND($A105="",$B105="",$C105="",$E105=""),"",IF($A105="","⚠ Date missing",IF(OR($B105="",$C105=""),"⚠ Site / material missing",IF(COUNTIFS(CI_Site,$B105,CI_Mat,$C105)=0,"⚠ No Current Inventory row for this site + material",IF($G105="","⚠ Status missing",IF(AND($G105="Scheduled",$A105&lt;=AsOfDate),"⚠ Scheduled date reached – mark Received or re-date",IF(AND($G105="Received",$A105&gt;AsOfDate),"Future-dated – added on its date",IF(AND($G105="Received",$A105&lt;SUMIFS(CI_Count,CI_Site,$B105,CI_Mat,$C105)),"Before count date – already in the count","OK"))))))))</f>
        <v/>
      </c>
    </row>
    <row r="106" customFormat="false" ht="15" hidden="false" customHeight="false" outlineLevel="0" collapsed="false">
      <c r="A106" s="65"/>
      <c r="B106" s="63"/>
      <c r="C106" s="70"/>
      <c r="D106" s="16" t="str">
        <f aca="false">IF($C106="","",IFERROR(INDEX(Mat_Short,MATCH($C106,Mat_Code,0)),"⚠ Unknown code"))</f>
        <v/>
      </c>
      <c r="E106" s="66"/>
      <c r="F106" s="64" t="str">
        <f aca="false">IF($C106="","",IFERROR(INDEX(Mat_Unit,MATCH($C106,Mat_Code,0)),""))</f>
        <v/>
      </c>
      <c r="G106" s="70"/>
      <c r="H106" s="63"/>
      <c r="I106" s="63"/>
      <c r="J106" s="63"/>
      <c r="K106" s="16" t="str">
        <f aca="false">IF(AND($A106="",$B106="",$C106="",$E106=""),"",IF($A106="","⚠ Date missing",IF(OR($B106="",$C106=""),"⚠ Site / material missing",IF(COUNTIFS(CI_Site,$B106,CI_Mat,$C106)=0,"⚠ No Current Inventory row for this site + material",IF($G106="","⚠ Status missing",IF(AND($G106="Scheduled",$A106&lt;=AsOfDate),"⚠ Scheduled date reached – mark Received or re-date",IF(AND($G106="Received",$A106&gt;AsOfDate),"Future-dated – added on its date",IF(AND($G106="Received",$A106&lt;SUMIFS(CI_Count,CI_Site,$B106,CI_Mat,$C106)),"Before count date – already in the count","OK"))))))))</f>
        <v/>
      </c>
    </row>
    <row r="107" customFormat="false" ht="15" hidden="false" customHeight="false" outlineLevel="0" collapsed="false">
      <c r="A107" s="65"/>
      <c r="B107" s="63"/>
      <c r="C107" s="70"/>
      <c r="D107" s="16" t="str">
        <f aca="false">IF($C107="","",IFERROR(INDEX(Mat_Short,MATCH($C107,Mat_Code,0)),"⚠ Unknown code"))</f>
        <v/>
      </c>
      <c r="E107" s="66"/>
      <c r="F107" s="64" t="str">
        <f aca="false">IF($C107="","",IFERROR(INDEX(Mat_Unit,MATCH($C107,Mat_Code,0)),""))</f>
        <v/>
      </c>
      <c r="G107" s="70"/>
      <c r="H107" s="63"/>
      <c r="I107" s="63"/>
      <c r="J107" s="63"/>
      <c r="K107" s="16" t="str">
        <f aca="false">IF(AND($A107="",$B107="",$C107="",$E107=""),"",IF($A107="","⚠ Date missing",IF(OR($B107="",$C107=""),"⚠ Site / material missing",IF(COUNTIFS(CI_Site,$B107,CI_Mat,$C107)=0,"⚠ No Current Inventory row for this site + material",IF($G107="","⚠ Status missing",IF(AND($G107="Scheduled",$A107&lt;=AsOfDate),"⚠ Scheduled date reached – mark Received or re-date",IF(AND($G107="Received",$A107&gt;AsOfDate),"Future-dated – added on its date",IF(AND($G107="Received",$A107&lt;SUMIFS(CI_Count,CI_Site,$B107,CI_Mat,$C107)),"Before count date – already in the count","OK"))))))))</f>
        <v/>
      </c>
    </row>
    <row r="108" customFormat="false" ht="15" hidden="false" customHeight="false" outlineLevel="0" collapsed="false">
      <c r="A108" s="65"/>
      <c r="B108" s="63"/>
      <c r="C108" s="70"/>
      <c r="D108" s="16" t="str">
        <f aca="false">IF($C108="","",IFERROR(INDEX(Mat_Short,MATCH($C108,Mat_Code,0)),"⚠ Unknown code"))</f>
        <v/>
      </c>
      <c r="E108" s="66"/>
      <c r="F108" s="64" t="str">
        <f aca="false">IF($C108="","",IFERROR(INDEX(Mat_Unit,MATCH($C108,Mat_Code,0)),""))</f>
        <v/>
      </c>
      <c r="G108" s="70"/>
      <c r="H108" s="63"/>
      <c r="I108" s="63"/>
      <c r="J108" s="63"/>
      <c r="K108" s="16" t="str">
        <f aca="false">IF(AND($A108="",$B108="",$C108="",$E108=""),"",IF($A108="","⚠ Date missing",IF(OR($B108="",$C108=""),"⚠ Site / material missing",IF(COUNTIFS(CI_Site,$B108,CI_Mat,$C108)=0,"⚠ No Current Inventory row for this site + material",IF($G108="","⚠ Status missing",IF(AND($G108="Scheduled",$A108&lt;=AsOfDate),"⚠ Scheduled date reached – mark Received or re-date",IF(AND($G108="Received",$A108&gt;AsOfDate),"Future-dated – added on its date",IF(AND($G108="Received",$A108&lt;SUMIFS(CI_Count,CI_Site,$B108,CI_Mat,$C108)),"Before count date – already in the count","OK"))))))))</f>
        <v/>
      </c>
    </row>
    <row r="109" customFormat="false" ht="15" hidden="false" customHeight="false" outlineLevel="0" collapsed="false">
      <c r="A109" s="65"/>
      <c r="B109" s="63"/>
      <c r="C109" s="70"/>
      <c r="D109" s="16" t="str">
        <f aca="false">IF($C109="","",IFERROR(INDEX(Mat_Short,MATCH($C109,Mat_Code,0)),"⚠ Unknown code"))</f>
        <v/>
      </c>
      <c r="E109" s="66"/>
      <c r="F109" s="64" t="str">
        <f aca="false">IF($C109="","",IFERROR(INDEX(Mat_Unit,MATCH($C109,Mat_Code,0)),""))</f>
        <v/>
      </c>
      <c r="G109" s="70"/>
      <c r="H109" s="63"/>
      <c r="I109" s="63"/>
      <c r="J109" s="63"/>
      <c r="K109" s="16" t="str">
        <f aca="false">IF(AND($A109="",$B109="",$C109="",$E109=""),"",IF($A109="","⚠ Date missing",IF(OR($B109="",$C109=""),"⚠ Site / material missing",IF(COUNTIFS(CI_Site,$B109,CI_Mat,$C109)=0,"⚠ No Current Inventory row for this site + material",IF($G109="","⚠ Status missing",IF(AND($G109="Scheduled",$A109&lt;=AsOfDate),"⚠ Scheduled date reached – mark Received or re-date",IF(AND($G109="Received",$A109&gt;AsOfDate),"Future-dated – added on its date",IF(AND($G109="Received",$A109&lt;SUMIFS(CI_Count,CI_Site,$B109,CI_Mat,$C109)),"Before count date – already in the count","OK"))))))))</f>
        <v/>
      </c>
    </row>
    <row r="110" customFormat="false" ht="15" hidden="false" customHeight="false" outlineLevel="0" collapsed="false">
      <c r="A110" s="65"/>
      <c r="B110" s="63"/>
      <c r="C110" s="70"/>
      <c r="D110" s="16" t="str">
        <f aca="false">IF($C110="","",IFERROR(INDEX(Mat_Short,MATCH($C110,Mat_Code,0)),"⚠ Unknown code"))</f>
        <v/>
      </c>
      <c r="E110" s="66"/>
      <c r="F110" s="64" t="str">
        <f aca="false">IF($C110="","",IFERROR(INDEX(Mat_Unit,MATCH($C110,Mat_Code,0)),""))</f>
        <v/>
      </c>
      <c r="G110" s="70"/>
      <c r="H110" s="63"/>
      <c r="I110" s="63"/>
      <c r="J110" s="63"/>
      <c r="K110" s="16" t="str">
        <f aca="false">IF(AND($A110="",$B110="",$C110="",$E110=""),"",IF($A110="","⚠ Date missing",IF(OR($B110="",$C110=""),"⚠ Site / material missing",IF(COUNTIFS(CI_Site,$B110,CI_Mat,$C110)=0,"⚠ No Current Inventory row for this site + material",IF($G110="","⚠ Status missing",IF(AND($G110="Scheduled",$A110&lt;=AsOfDate),"⚠ Scheduled date reached – mark Received or re-date",IF(AND($G110="Received",$A110&gt;AsOfDate),"Future-dated – added on its date",IF(AND($G110="Received",$A110&lt;SUMIFS(CI_Count,CI_Site,$B110,CI_Mat,$C110)),"Before count date – already in the count","OK"))))))))</f>
        <v/>
      </c>
    </row>
    <row r="111" customFormat="false" ht="15" hidden="false" customHeight="false" outlineLevel="0" collapsed="false">
      <c r="A111" s="65"/>
      <c r="B111" s="63"/>
      <c r="C111" s="70"/>
      <c r="D111" s="16" t="str">
        <f aca="false">IF($C111="","",IFERROR(INDEX(Mat_Short,MATCH($C111,Mat_Code,0)),"⚠ Unknown code"))</f>
        <v/>
      </c>
      <c r="E111" s="66"/>
      <c r="F111" s="64" t="str">
        <f aca="false">IF($C111="","",IFERROR(INDEX(Mat_Unit,MATCH($C111,Mat_Code,0)),""))</f>
        <v/>
      </c>
      <c r="G111" s="70"/>
      <c r="H111" s="63"/>
      <c r="I111" s="63"/>
      <c r="J111" s="63"/>
      <c r="K111" s="16" t="str">
        <f aca="false">IF(AND($A111="",$B111="",$C111="",$E111=""),"",IF($A111="","⚠ Date missing",IF(OR($B111="",$C111=""),"⚠ Site / material missing",IF(COUNTIFS(CI_Site,$B111,CI_Mat,$C111)=0,"⚠ No Current Inventory row for this site + material",IF($G111="","⚠ Status missing",IF(AND($G111="Scheduled",$A111&lt;=AsOfDate),"⚠ Scheduled date reached – mark Received or re-date",IF(AND($G111="Received",$A111&gt;AsOfDate),"Future-dated – added on its date",IF(AND($G111="Received",$A111&lt;SUMIFS(CI_Count,CI_Site,$B111,CI_Mat,$C111)),"Before count date – already in the count","OK"))))))))</f>
        <v/>
      </c>
    </row>
    <row r="112" customFormat="false" ht="15" hidden="false" customHeight="false" outlineLevel="0" collapsed="false">
      <c r="A112" s="65"/>
      <c r="B112" s="63"/>
      <c r="C112" s="70"/>
      <c r="D112" s="16" t="str">
        <f aca="false">IF($C112="","",IFERROR(INDEX(Mat_Short,MATCH($C112,Mat_Code,0)),"⚠ Unknown code"))</f>
        <v/>
      </c>
      <c r="E112" s="66"/>
      <c r="F112" s="64" t="str">
        <f aca="false">IF($C112="","",IFERROR(INDEX(Mat_Unit,MATCH($C112,Mat_Code,0)),""))</f>
        <v/>
      </c>
      <c r="G112" s="70"/>
      <c r="H112" s="63"/>
      <c r="I112" s="63"/>
      <c r="J112" s="63"/>
      <c r="K112" s="16" t="str">
        <f aca="false">IF(AND($A112="",$B112="",$C112="",$E112=""),"",IF($A112="","⚠ Date missing",IF(OR($B112="",$C112=""),"⚠ Site / material missing",IF(COUNTIFS(CI_Site,$B112,CI_Mat,$C112)=0,"⚠ No Current Inventory row for this site + material",IF($G112="","⚠ Status missing",IF(AND($G112="Scheduled",$A112&lt;=AsOfDate),"⚠ Scheduled date reached – mark Received or re-date",IF(AND($G112="Received",$A112&gt;AsOfDate),"Future-dated – added on its date",IF(AND($G112="Received",$A112&lt;SUMIFS(CI_Count,CI_Site,$B112,CI_Mat,$C112)),"Before count date – already in the count","OK"))))))))</f>
        <v/>
      </c>
    </row>
    <row r="113" customFormat="false" ht="15" hidden="false" customHeight="false" outlineLevel="0" collapsed="false">
      <c r="A113" s="65"/>
      <c r="B113" s="63"/>
      <c r="C113" s="70"/>
      <c r="D113" s="16" t="str">
        <f aca="false">IF($C113="","",IFERROR(INDEX(Mat_Short,MATCH($C113,Mat_Code,0)),"⚠ Unknown code"))</f>
        <v/>
      </c>
      <c r="E113" s="66"/>
      <c r="F113" s="64" t="str">
        <f aca="false">IF($C113="","",IFERROR(INDEX(Mat_Unit,MATCH($C113,Mat_Code,0)),""))</f>
        <v/>
      </c>
      <c r="G113" s="70"/>
      <c r="H113" s="63"/>
      <c r="I113" s="63"/>
      <c r="J113" s="63"/>
      <c r="K113" s="16" t="str">
        <f aca="false">IF(AND($A113="",$B113="",$C113="",$E113=""),"",IF($A113="","⚠ Date missing",IF(OR($B113="",$C113=""),"⚠ Site / material missing",IF(COUNTIFS(CI_Site,$B113,CI_Mat,$C113)=0,"⚠ No Current Inventory row for this site + material",IF($G113="","⚠ Status missing",IF(AND($G113="Scheduled",$A113&lt;=AsOfDate),"⚠ Scheduled date reached – mark Received or re-date",IF(AND($G113="Received",$A113&gt;AsOfDate),"Future-dated – added on its date",IF(AND($G113="Received",$A113&lt;SUMIFS(CI_Count,CI_Site,$B113,CI_Mat,$C113)),"Before count date – already in the count","OK"))))))))</f>
        <v/>
      </c>
    </row>
    <row r="114" customFormat="false" ht="15" hidden="false" customHeight="false" outlineLevel="0" collapsed="false">
      <c r="A114" s="65"/>
      <c r="B114" s="63"/>
      <c r="C114" s="70"/>
      <c r="D114" s="16" t="str">
        <f aca="false">IF($C114="","",IFERROR(INDEX(Mat_Short,MATCH($C114,Mat_Code,0)),"⚠ Unknown code"))</f>
        <v/>
      </c>
      <c r="E114" s="66"/>
      <c r="F114" s="64" t="str">
        <f aca="false">IF($C114="","",IFERROR(INDEX(Mat_Unit,MATCH($C114,Mat_Code,0)),""))</f>
        <v/>
      </c>
      <c r="G114" s="70"/>
      <c r="H114" s="63"/>
      <c r="I114" s="63"/>
      <c r="J114" s="63"/>
      <c r="K114" s="16" t="str">
        <f aca="false">IF(AND($A114="",$B114="",$C114="",$E114=""),"",IF($A114="","⚠ Date missing",IF(OR($B114="",$C114=""),"⚠ Site / material missing",IF(COUNTIFS(CI_Site,$B114,CI_Mat,$C114)=0,"⚠ No Current Inventory row for this site + material",IF($G114="","⚠ Status missing",IF(AND($G114="Scheduled",$A114&lt;=AsOfDate),"⚠ Scheduled date reached – mark Received or re-date",IF(AND($G114="Received",$A114&gt;AsOfDate),"Future-dated – added on its date",IF(AND($G114="Received",$A114&lt;SUMIFS(CI_Count,CI_Site,$B114,CI_Mat,$C114)),"Before count date – already in the count","OK"))))))))</f>
        <v/>
      </c>
    </row>
    <row r="115" customFormat="false" ht="15" hidden="false" customHeight="false" outlineLevel="0" collapsed="false">
      <c r="A115" s="65"/>
      <c r="B115" s="63"/>
      <c r="C115" s="70"/>
      <c r="D115" s="16" t="str">
        <f aca="false">IF($C115="","",IFERROR(INDEX(Mat_Short,MATCH($C115,Mat_Code,0)),"⚠ Unknown code"))</f>
        <v/>
      </c>
      <c r="E115" s="66"/>
      <c r="F115" s="64" t="str">
        <f aca="false">IF($C115="","",IFERROR(INDEX(Mat_Unit,MATCH($C115,Mat_Code,0)),""))</f>
        <v/>
      </c>
      <c r="G115" s="70"/>
      <c r="H115" s="63"/>
      <c r="I115" s="63"/>
      <c r="J115" s="63"/>
      <c r="K115" s="16" t="str">
        <f aca="false">IF(AND($A115="",$B115="",$C115="",$E115=""),"",IF($A115="","⚠ Date missing",IF(OR($B115="",$C115=""),"⚠ Site / material missing",IF(COUNTIFS(CI_Site,$B115,CI_Mat,$C115)=0,"⚠ No Current Inventory row for this site + material",IF($G115="","⚠ Status missing",IF(AND($G115="Scheduled",$A115&lt;=AsOfDate),"⚠ Scheduled date reached – mark Received or re-date",IF(AND($G115="Received",$A115&gt;AsOfDate),"Future-dated – added on its date",IF(AND($G115="Received",$A115&lt;SUMIFS(CI_Count,CI_Site,$B115,CI_Mat,$C115)),"Before count date – already in the count","OK"))))))))</f>
        <v/>
      </c>
    </row>
    <row r="116" customFormat="false" ht="15" hidden="false" customHeight="false" outlineLevel="0" collapsed="false">
      <c r="A116" s="65"/>
      <c r="B116" s="63"/>
      <c r="C116" s="70"/>
      <c r="D116" s="16" t="str">
        <f aca="false">IF($C116="","",IFERROR(INDEX(Mat_Short,MATCH($C116,Mat_Code,0)),"⚠ Unknown code"))</f>
        <v/>
      </c>
      <c r="E116" s="66"/>
      <c r="F116" s="64" t="str">
        <f aca="false">IF($C116="","",IFERROR(INDEX(Mat_Unit,MATCH($C116,Mat_Code,0)),""))</f>
        <v/>
      </c>
      <c r="G116" s="70"/>
      <c r="H116" s="63"/>
      <c r="I116" s="63"/>
      <c r="J116" s="63"/>
      <c r="K116" s="16" t="str">
        <f aca="false">IF(AND($A116="",$B116="",$C116="",$E116=""),"",IF($A116="","⚠ Date missing",IF(OR($B116="",$C116=""),"⚠ Site / material missing",IF(COUNTIFS(CI_Site,$B116,CI_Mat,$C116)=0,"⚠ No Current Inventory row for this site + material",IF($G116="","⚠ Status missing",IF(AND($G116="Scheduled",$A116&lt;=AsOfDate),"⚠ Scheduled date reached – mark Received or re-date",IF(AND($G116="Received",$A116&gt;AsOfDate),"Future-dated – added on its date",IF(AND($G116="Received",$A116&lt;SUMIFS(CI_Count,CI_Site,$B116,CI_Mat,$C116)),"Before count date – already in the count","OK"))))))))</f>
        <v/>
      </c>
    </row>
    <row r="117" customFormat="false" ht="15" hidden="false" customHeight="false" outlineLevel="0" collapsed="false">
      <c r="A117" s="65"/>
      <c r="B117" s="63"/>
      <c r="C117" s="70"/>
      <c r="D117" s="16" t="str">
        <f aca="false">IF($C117="","",IFERROR(INDEX(Mat_Short,MATCH($C117,Mat_Code,0)),"⚠ Unknown code"))</f>
        <v/>
      </c>
      <c r="E117" s="66"/>
      <c r="F117" s="64" t="str">
        <f aca="false">IF($C117="","",IFERROR(INDEX(Mat_Unit,MATCH($C117,Mat_Code,0)),""))</f>
        <v/>
      </c>
      <c r="G117" s="70"/>
      <c r="H117" s="63"/>
      <c r="I117" s="63"/>
      <c r="J117" s="63"/>
      <c r="K117" s="16" t="str">
        <f aca="false">IF(AND($A117="",$B117="",$C117="",$E117=""),"",IF($A117="","⚠ Date missing",IF(OR($B117="",$C117=""),"⚠ Site / material missing",IF(COUNTIFS(CI_Site,$B117,CI_Mat,$C117)=0,"⚠ No Current Inventory row for this site + material",IF($G117="","⚠ Status missing",IF(AND($G117="Scheduled",$A117&lt;=AsOfDate),"⚠ Scheduled date reached – mark Received or re-date",IF(AND($G117="Received",$A117&gt;AsOfDate),"Future-dated – added on its date",IF(AND($G117="Received",$A117&lt;SUMIFS(CI_Count,CI_Site,$B117,CI_Mat,$C117)),"Before count date – already in the count","OK"))))))))</f>
        <v/>
      </c>
    </row>
    <row r="118" customFormat="false" ht="15" hidden="false" customHeight="false" outlineLevel="0" collapsed="false">
      <c r="A118" s="65"/>
      <c r="B118" s="63"/>
      <c r="C118" s="70"/>
      <c r="D118" s="16" t="str">
        <f aca="false">IF($C118="","",IFERROR(INDEX(Mat_Short,MATCH($C118,Mat_Code,0)),"⚠ Unknown code"))</f>
        <v/>
      </c>
      <c r="E118" s="66"/>
      <c r="F118" s="64" t="str">
        <f aca="false">IF($C118="","",IFERROR(INDEX(Mat_Unit,MATCH($C118,Mat_Code,0)),""))</f>
        <v/>
      </c>
      <c r="G118" s="70"/>
      <c r="H118" s="63"/>
      <c r="I118" s="63"/>
      <c r="J118" s="63"/>
      <c r="K118" s="16" t="str">
        <f aca="false">IF(AND($A118="",$B118="",$C118="",$E118=""),"",IF($A118="","⚠ Date missing",IF(OR($B118="",$C118=""),"⚠ Site / material missing",IF(COUNTIFS(CI_Site,$B118,CI_Mat,$C118)=0,"⚠ No Current Inventory row for this site + material",IF($G118="","⚠ Status missing",IF(AND($G118="Scheduled",$A118&lt;=AsOfDate),"⚠ Scheduled date reached – mark Received or re-date",IF(AND($G118="Received",$A118&gt;AsOfDate),"Future-dated – added on its date",IF(AND($G118="Received",$A118&lt;SUMIFS(CI_Count,CI_Site,$B118,CI_Mat,$C118)),"Before count date – already in the count","OK"))))))))</f>
        <v/>
      </c>
    </row>
    <row r="119" customFormat="false" ht="15" hidden="false" customHeight="false" outlineLevel="0" collapsed="false">
      <c r="A119" s="65"/>
      <c r="B119" s="63"/>
      <c r="C119" s="70"/>
      <c r="D119" s="16" t="str">
        <f aca="false">IF($C119="","",IFERROR(INDEX(Mat_Short,MATCH($C119,Mat_Code,0)),"⚠ Unknown code"))</f>
        <v/>
      </c>
      <c r="E119" s="66"/>
      <c r="F119" s="64" t="str">
        <f aca="false">IF($C119="","",IFERROR(INDEX(Mat_Unit,MATCH($C119,Mat_Code,0)),""))</f>
        <v/>
      </c>
      <c r="G119" s="70"/>
      <c r="H119" s="63"/>
      <c r="I119" s="63"/>
      <c r="J119" s="63"/>
      <c r="K119" s="16" t="str">
        <f aca="false">IF(AND($A119="",$B119="",$C119="",$E119=""),"",IF($A119="","⚠ Date missing",IF(OR($B119="",$C119=""),"⚠ Site / material missing",IF(COUNTIFS(CI_Site,$B119,CI_Mat,$C119)=0,"⚠ No Current Inventory row for this site + material",IF($G119="","⚠ Status missing",IF(AND($G119="Scheduled",$A119&lt;=AsOfDate),"⚠ Scheduled date reached – mark Received or re-date",IF(AND($G119="Received",$A119&gt;AsOfDate),"Future-dated – added on its date",IF(AND($G119="Received",$A119&lt;SUMIFS(CI_Count,CI_Site,$B119,CI_Mat,$C119)),"Before count date – already in the count","OK"))))))))</f>
        <v/>
      </c>
    </row>
    <row r="120" customFormat="false" ht="15" hidden="false" customHeight="false" outlineLevel="0" collapsed="false">
      <c r="A120" s="65"/>
      <c r="B120" s="63"/>
      <c r="C120" s="70"/>
      <c r="D120" s="16" t="str">
        <f aca="false">IF($C120="","",IFERROR(INDEX(Mat_Short,MATCH($C120,Mat_Code,0)),"⚠ Unknown code"))</f>
        <v/>
      </c>
      <c r="E120" s="66"/>
      <c r="F120" s="64" t="str">
        <f aca="false">IF($C120="","",IFERROR(INDEX(Mat_Unit,MATCH($C120,Mat_Code,0)),""))</f>
        <v/>
      </c>
      <c r="G120" s="70"/>
      <c r="H120" s="63"/>
      <c r="I120" s="63"/>
      <c r="J120" s="63"/>
      <c r="K120" s="16" t="str">
        <f aca="false">IF(AND($A120="",$B120="",$C120="",$E120=""),"",IF($A120="","⚠ Date missing",IF(OR($B120="",$C120=""),"⚠ Site / material missing",IF(COUNTIFS(CI_Site,$B120,CI_Mat,$C120)=0,"⚠ No Current Inventory row for this site + material",IF($G120="","⚠ Status missing",IF(AND($G120="Scheduled",$A120&lt;=AsOfDate),"⚠ Scheduled date reached – mark Received or re-date",IF(AND($G120="Received",$A120&gt;AsOfDate),"Future-dated – added on its date",IF(AND($G120="Received",$A120&lt;SUMIFS(CI_Count,CI_Site,$B120,CI_Mat,$C120)),"Before count date – already in the count","OK"))))))))</f>
        <v/>
      </c>
    </row>
    <row r="121" customFormat="false" ht="15" hidden="false" customHeight="false" outlineLevel="0" collapsed="false">
      <c r="A121" s="65"/>
      <c r="B121" s="63"/>
      <c r="C121" s="70"/>
      <c r="D121" s="16" t="str">
        <f aca="false">IF($C121="","",IFERROR(INDEX(Mat_Short,MATCH($C121,Mat_Code,0)),"⚠ Unknown code"))</f>
        <v/>
      </c>
      <c r="E121" s="66"/>
      <c r="F121" s="64" t="str">
        <f aca="false">IF($C121="","",IFERROR(INDEX(Mat_Unit,MATCH($C121,Mat_Code,0)),""))</f>
        <v/>
      </c>
      <c r="G121" s="70"/>
      <c r="H121" s="63"/>
      <c r="I121" s="63"/>
      <c r="J121" s="63"/>
      <c r="K121" s="16" t="str">
        <f aca="false">IF(AND($A121="",$B121="",$C121="",$E121=""),"",IF($A121="","⚠ Date missing",IF(OR($B121="",$C121=""),"⚠ Site / material missing",IF(COUNTIFS(CI_Site,$B121,CI_Mat,$C121)=0,"⚠ No Current Inventory row for this site + material",IF($G121="","⚠ Status missing",IF(AND($G121="Scheduled",$A121&lt;=AsOfDate),"⚠ Scheduled date reached – mark Received or re-date",IF(AND($G121="Received",$A121&gt;AsOfDate),"Future-dated – added on its date",IF(AND($G121="Received",$A121&lt;SUMIFS(CI_Count,CI_Site,$B121,CI_Mat,$C121)),"Before count date – already in the count","OK"))))))))</f>
        <v/>
      </c>
    </row>
    <row r="122" customFormat="false" ht="15" hidden="false" customHeight="false" outlineLevel="0" collapsed="false">
      <c r="A122" s="65"/>
      <c r="B122" s="63"/>
      <c r="C122" s="70"/>
      <c r="D122" s="16" t="str">
        <f aca="false">IF($C122="","",IFERROR(INDEX(Mat_Short,MATCH($C122,Mat_Code,0)),"⚠ Unknown code"))</f>
        <v/>
      </c>
      <c r="E122" s="66"/>
      <c r="F122" s="64" t="str">
        <f aca="false">IF($C122="","",IFERROR(INDEX(Mat_Unit,MATCH($C122,Mat_Code,0)),""))</f>
        <v/>
      </c>
      <c r="G122" s="70"/>
      <c r="H122" s="63"/>
      <c r="I122" s="63"/>
      <c r="J122" s="63"/>
      <c r="K122" s="16" t="str">
        <f aca="false">IF(AND($A122="",$B122="",$C122="",$E122=""),"",IF($A122="","⚠ Date missing",IF(OR($B122="",$C122=""),"⚠ Site / material missing",IF(COUNTIFS(CI_Site,$B122,CI_Mat,$C122)=0,"⚠ No Current Inventory row for this site + material",IF($G122="","⚠ Status missing",IF(AND($G122="Scheduled",$A122&lt;=AsOfDate),"⚠ Scheduled date reached – mark Received or re-date",IF(AND($G122="Received",$A122&gt;AsOfDate),"Future-dated – added on its date",IF(AND($G122="Received",$A122&lt;SUMIFS(CI_Count,CI_Site,$B122,CI_Mat,$C122)),"Before count date – already in the count","OK"))))))))</f>
        <v/>
      </c>
    </row>
    <row r="123" customFormat="false" ht="15" hidden="false" customHeight="false" outlineLevel="0" collapsed="false">
      <c r="A123" s="65"/>
      <c r="B123" s="63"/>
      <c r="C123" s="70"/>
      <c r="D123" s="16" t="str">
        <f aca="false">IF($C123="","",IFERROR(INDEX(Mat_Short,MATCH($C123,Mat_Code,0)),"⚠ Unknown code"))</f>
        <v/>
      </c>
      <c r="E123" s="66"/>
      <c r="F123" s="64" t="str">
        <f aca="false">IF($C123="","",IFERROR(INDEX(Mat_Unit,MATCH($C123,Mat_Code,0)),""))</f>
        <v/>
      </c>
      <c r="G123" s="70"/>
      <c r="H123" s="63"/>
      <c r="I123" s="63"/>
      <c r="J123" s="63"/>
      <c r="K123" s="16" t="str">
        <f aca="false">IF(AND($A123="",$B123="",$C123="",$E123=""),"",IF($A123="","⚠ Date missing",IF(OR($B123="",$C123=""),"⚠ Site / material missing",IF(COUNTIFS(CI_Site,$B123,CI_Mat,$C123)=0,"⚠ No Current Inventory row for this site + material",IF($G123="","⚠ Status missing",IF(AND($G123="Scheduled",$A123&lt;=AsOfDate),"⚠ Scheduled date reached – mark Received or re-date",IF(AND($G123="Received",$A123&gt;AsOfDate),"Future-dated – added on its date",IF(AND($G123="Received",$A123&lt;SUMIFS(CI_Count,CI_Site,$B123,CI_Mat,$C123)),"Before count date – already in the count","OK"))))))))</f>
        <v/>
      </c>
    </row>
    <row r="124" customFormat="false" ht="15" hidden="false" customHeight="false" outlineLevel="0" collapsed="false">
      <c r="A124" s="65"/>
      <c r="B124" s="63"/>
      <c r="C124" s="70"/>
      <c r="D124" s="16" t="str">
        <f aca="false">IF($C124="","",IFERROR(INDEX(Mat_Short,MATCH($C124,Mat_Code,0)),"⚠ Unknown code"))</f>
        <v/>
      </c>
      <c r="E124" s="66"/>
      <c r="F124" s="64" t="str">
        <f aca="false">IF($C124="","",IFERROR(INDEX(Mat_Unit,MATCH($C124,Mat_Code,0)),""))</f>
        <v/>
      </c>
      <c r="G124" s="70"/>
      <c r="H124" s="63"/>
      <c r="I124" s="63"/>
      <c r="J124" s="63"/>
      <c r="K124" s="16" t="str">
        <f aca="false">IF(AND($A124="",$B124="",$C124="",$E124=""),"",IF($A124="","⚠ Date missing",IF(OR($B124="",$C124=""),"⚠ Site / material missing",IF(COUNTIFS(CI_Site,$B124,CI_Mat,$C124)=0,"⚠ No Current Inventory row for this site + material",IF($G124="","⚠ Status missing",IF(AND($G124="Scheduled",$A124&lt;=AsOfDate),"⚠ Scheduled date reached – mark Received or re-date",IF(AND($G124="Received",$A124&gt;AsOfDate),"Future-dated – added on its date",IF(AND($G124="Received",$A124&lt;SUMIFS(CI_Count,CI_Site,$B124,CI_Mat,$C124)),"Before count date – already in the count","OK"))))))))</f>
        <v/>
      </c>
    </row>
    <row r="125" customFormat="false" ht="15" hidden="false" customHeight="false" outlineLevel="0" collapsed="false">
      <c r="A125" s="65"/>
      <c r="B125" s="63"/>
      <c r="C125" s="70"/>
      <c r="D125" s="16" t="str">
        <f aca="false">IF($C125="","",IFERROR(INDEX(Mat_Short,MATCH($C125,Mat_Code,0)),"⚠ Unknown code"))</f>
        <v/>
      </c>
      <c r="E125" s="66"/>
      <c r="F125" s="64" t="str">
        <f aca="false">IF($C125="","",IFERROR(INDEX(Mat_Unit,MATCH($C125,Mat_Code,0)),""))</f>
        <v/>
      </c>
      <c r="G125" s="70"/>
      <c r="H125" s="63"/>
      <c r="I125" s="63"/>
      <c r="J125" s="63"/>
      <c r="K125" s="16" t="str">
        <f aca="false">IF(AND($A125="",$B125="",$C125="",$E125=""),"",IF($A125="","⚠ Date missing",IF(OR($B125="",$C125=""),"⚠ Site / material missing",IF(COUNTIFS(CI_Site,$B125,CI_Mat,$C125)=0,"⚠ No Current Inventory row for this site + material",IF($G125="","⚠ Status missing",IF(AND($G125="Scheduled",$A125&lt;=AsOfDate),"⚠ Scheduled date reached – mark Received or re-date",IF(AND($G125="Received",$A125&gt;AsOfDate),"Future-dated – added on its date",IF(AND($G125="Received",$A125&lt;SUMIFS(CI_Count,CI_Site,$B125,CI_Mat,$C125)),"Before count date – already in the count","OK"))))))))</f>
        <v/>
      </c>
    </row>
    <row r="126" customFormat="false" ht="15" hidden="false" customHeight="false" outlineLevel="0" collapsed="false">
      <c r="A126" s="65"/>
      <c r="B126" s="63"/>
      <c r="C126" s="70"/>
      <c r="D126" s="16" t="str">
        <f aca="false">IF($C126="","",IFERROR(INDEX(Mat_Short,MATCH($C126,Mat_Code,0)),"⚠ Unknown code"))</f>
        <v/>
      </c>
      <c r="E126" s="66"/>
      <c r="F126" s="64" t="str">
        <f aca="false">IF($C126="","",IFERROR(INDEX(Mat_Unit,MATCH($C126,Mat_Code,0)),""))</f>
        <v/>
      </c>
      <c r="G126" s="70"/>
      <c r="H126" s="63"/>
      <c r="I126" s="63"/>
      <c r="J126" s="63"/>
      <c r="K126" s="16" t="str">
        <f aca="false">IF(AND($A126="",$B126="",$C126="",$E126=""),"",IF($A126="","⚠ Date missing",IF(OR($B126="",$C126=""),"⚠ Site / material missing",IF(COUNTIFS(CI_Site,$B126,CI_Mat,$C126)=0,"⚠ No Current Inventory row for this site + material",IF($G126="","⚠ Status missing",IF(AND($G126="Scheduled",$A126&lt;=AsOfDate),"⚠ Scheduled date reached – mark Received or re-date",IF(AND($G126="Received",$A126&gt;AsOfDate),"Future-dated – added on its date",IF(AND($G126="Received",$A126&lt;SUMIFS(CI_Count,CI_Site,$B126,CI_Mat,$C126)),"Before count date – already in the count","OK"))))))))</f>
        <v/>
      </c>
    </row>
    <row r="127" customFormat="false" ht="15" hidden="false" customHeight="false" outlineLevel="0" collapsed="false">
      <c r="A127" s="65"/>
      <c r="B127" s="63"/>
      <c r="C127" s="70"/>
      <c r="D127" s="16" t="str">
        <f aca="false">IF($C127="","",IFERROR(INDEX(Mat_Short,MATCH($C127,Mat_Code,0)),"⚠ Unknown code"))</f>
        <v/>
      </c>
      <c r="E127" s="66"/>
      <c r="F127" s="64" t="str">
        <f aca="false">IF($C127="","",IFERROR(INDEX(Mat_Unit,MATCH($C127,Mat_Code,0)),""))</f>
        <v/>
      </c>
      <c r="G127" s="70"/>
      <c r="H127" s="63"/>
      <c r="I127" s="63"/>
      <c r="J127" s="63"/>
      <c r="K127" s="16" t="str">
        <f aca="false">IF(AND($A127="",$B127="",$C127="",$E127=""),"",IF($A127="","⚠ Date missing",IF(OR($B127="",$C127=""),"⚠ Site / material missing",IF(COUNTIFS(CI_Site,$B127,CI_Mat,$C127)=0,"⚠ No Current Inventory row for this site + material",IF($G127="","⚠ Status missing",IF(AND($G127="Scheduled",$A127&lt;=AsOfDate),"⚠ Scheduled date reached – mark Received or re-date",IF(AND($G127="Received",$A127&gt;AsOfDate),"Future-dated – added on its date",IF(AND($G127="Received",$A127&lt;SUMIFS(CI_Count,CI_Site,$B127,CI_Mat,$C127)),"Before count date – already in the count","OK"))))))))</f>
        <v/>
      </c>
    </row>
    <row r="128" customFormat="false" ht="15" hidden="false" customHeight="false" outlineLevel="0" collapsed="false">
      <c r="A128" s="65"/>
      <c r="B128" s="63"/>
      <c r="C128" s="70"/>
      <c r="D128" s="16" t="str">
        <f aca="false">IF($C128="","",IFERROR(INDEX(Mat_Short,MATCH($C128,Mat_Code,0)),"⚠ Unknown code"))</f>
        <v/>
      </c>
      <c r="E128" s="66"/>
      <c r="F128" s="64" t="str">
        <f aca="false">IF($C128="","",IFERROR(INDEX(Mat_Unit,MATCH($C128,Mat_Code,0)),""))</f>
        <v/>
      </c>
      <c r="G128" s="70"/>
      <c r="H128" s="63"/>
      <c r="I128" s="63"/>
      <c r="J128" s="63"/>
      <c r="K128" s="16" t="str">
        <f aca="false">IF(AND($A128="",$B128="",$C128="",$E128=""),"",IF($A128="","⚠ Date missing",IF(OR($B128="",$C128=""),"⚠ Site / material missing",IF(COUNTIFS(CI_Site,$B128,CI_Mat,$C128)=0,"⚠ No Current Inventory row for this site + material",IF($G128="","⚠ Status missing",IF(AND($G128="Scheduled",$A128&lt;=AsOfDate),"⚠ Scheduled date reached – mark Received or re-date",IF(AND($G128="Received",$A128&gt;AsOfDate),"Future-dated – added on its date",IF(AND($G128="Received",$A128&lt;SUMIFS(CI_Count,CI_Site,$B128,CI_Mat,$C128)),"Before count date – already in the count","OK"))))))))</f>
        <v/>
      </c>
    </row>
    <row r="129" customFormat="false" ht="15" hidden="false" customHeight="false" outlineLevel="0" collapsed="false">
      <c r="A129" s="65"/>
      <c r="B129" s="63"/>
      <c r="C129" s="70"/>
      <c r="D129" s="16" t="str">
        <f aca="false">IF($C129="","",IFERROR(INDEX(Mat_Short,MATCH($C129,Mat_Code,0)),"⚠ Unknown code"))</f>
        <v/>
      </c>
      <c r="E129" s="66"/>
      <c r="F129" s="64" t="str">
        <f aca="false">IF($C129="","",IFERROR(INDEX(Mat_Unit,MATCH($C129,Mat_Code,0)),""))</f>
        <v/>
      </c>
      <c r="G129" s="70"/>
      <c r="H129" s="63"/>
      <c r="I129" s="63"/>
      <c r="J129" s="63"/>
      <c r="K129" s="16" t="str">
        <f aca="false">IF(AND($A129="",$B129="",$C129="",$E129=""),"",IF($A129="","⚠ Date missing",IF(OR($B129="",$C129=""),"⚠ Site / material missing",IF(COUNTIFS(CI_Site,$B129,CI_Mat,$C129)=0,"⚠ No Current Inventory row for this site + material",IF($G129="","⚠ Status missing",IF(AND($G129="Scheduled",$A129&lt;=AsOfDate),"⚠ Scheduled date reached – mark Received or re-date",IF(AND($G129="Received",$A129&gt;AsOfDate),"Future-dated – added on its date",IF(AND($G129="Received",$A129&lt;SUMIFS(CI_Count,CI_Site,$B129,CI_Mat,$C129)),"Before count date – already in the count","OK"))))))))</f>
        <v/>
      </c>
    </row>
    <row r="130" customFormat="false" ht="15" hidden="false" customHeight="false" outlineLevel="0" collapsed="false">
      <c r="A130" s="65"/>
      <c r="B130" s="63"/>
      <c r="C130" s="70"/>
      <c r="D130" s="16" t="str">
        <f aca="false">IF($C130="","",IFERROR(INDEX(Mat_Short,MATCH($C130,Mat_Code,0)),"⚠ Unknown code"))</f>
        <v/>
      </c>
      <c r="E130" s="66"/>
      <c r="F130" s="64" t="str">
        <f aca="false">IF($C130="","",IFERROR(INDEX(Mat_Unit,MATCH($C130,Mat_Code,0)),""))</f>
        <v/>
      </c>
      <c r="G130" s="70"/>
      <c r="H130" s="63"/>
      <c r="I130" s="63"/>
      <c r="J130" s="63"/>
      <c r="K130" s="16" t="str">
        <f aca="false">IF(AND($A130="",$B130="",$C130="",$E130=""),"",IF($A130="","⚠ Date missing",IF(OR($B130="",$C130=""),"⚠ Site / material missing",IF(COUNTIFS(CI_Site,$B130,CI_Mat,$C130)=0,"⚠ No Current Inventory row for this site + material",IF($G130="","⚠ Status missing",IF(AND($G130="Scheduled",$A130&lt;=AsOfDate),"⚠ Scheduled date reached – mark Received or re-date",IF(AND($G130="Received",$A130&gt;AsOfDate),"Future-dated – added on its date",IF(AND($G130="Received",$A130&lt;SUMIFS(CI_Count,CI_Site,$B130,CI_Mat,$C130)),"Before count date – already in the count","OK"))))))))</f>
        <v/>
      </c>
    </row>
    <row r="131" customFormat="false" ht="15" hidden="false" customHeight="false" outlineLevel="0" collapsed="false">
      <c r="A131" s="65"/>
      <c r="B131" s="63"/>
      <c r="C131" s="70"/>
      <c r="D131" s="16" t="str">
        <f aca="false">IF($C131="","",IFERROR(INDEX(Mat_Short,MATCH($C131,Mat_Code,0)),"⚠ Unknown code"))</f>
        <v/>
      </c>
      <c r="E131" s="66"/>
      <c r="F131" s="64" t="str">
        <f aca="false">IF($C131="","",IFERROR(INDEX(Mat_Unit,MATCH($C131,Mat_Code,0)),""))</f>
        <v/>
      </c>
      <c r="G131" s="70"/>
      <c r="H131" s="63"/>
      <c r="I131" s="63"/>
      <c r="J131" s="63"/>
      <c r="K131" s="16" t="str">
        <f aca="false">IF(AND($A131="",$B131="",$C131="",$E131=""),"",IF($A131="","⚠ Date missing",IF(OR($B131="",$C131=""),"⚠ Site / material missing",IF(COUNTIFS(CI_Site,$B131,CI_Mat,$C131)=0,"⚠ No Current Inventory row for this site + material",IF($G131="","⚠ Status missing",IF(AND($G131="Scheduled",$A131&lt;=AsOfDate),"⚠ Scheduled date reached – mark Received or re-date",IF(AND($G131="Received",$A131&gt;AsOfDate),"Future-dated – added on its date",IF(AND($G131="Received",$A131&lt;SUMIFS(CI_Count,CI_Site,$B131,CI_Mat,$C131)),"Before count date – already in the count","OK"))))))))</f>
        <v/>
      </c>
    </row>
    <row r="132" customFormat="false" ht="15" hidden="false" customHeight="false" outlineLevel="0" collapsed="false">
      <c r="A132" s="65"/>
      <c r="B132" s="63"/>
      <c r="C132" s="70"/>
      <c r="D132" s="16" t="str">
        <f aca="false">IF($C132="","",IFERROR(INDEX(Mat_Short,MATCH($C132,Mat_Code,0)),"⚠ Unknown code"))</f>
        <v/>
      </c>
      <c r="E132" s="66"/>
      <c r="F132" s="64" t="str">
        <f aca="false">IF($C132="","",IFERROR(INDEX(Mat_Unit,MATCH($C132,Mat_Code,0)),""))</f>
        <v/>
      </c>
      <c r="G132" s="70"/>
      <c r="H132" s="63"/>
      <c r="I132" s="63"/>
      <c r="J132" s="63"/>
      <c r="K132" s="16" t="str">
        <f aca="false">IF(AND($A132="",$B132="",$C132="",$E132=""),"",IF($A132="","⚠ Date missing",IF(OR($B132="",$C132=""),"⚠ Site / material missing",IF(COUNTIFS(CI_Site,$B132,CI_Mat,$C132)=0,"⚠ No Current Inventory row for this site + material",IF($G132="","⚠ Status missing",IF(AND($G132="Scheduled",$A132&lt;=AsOfDate),"⚠ Scheduled date reached – mark Received or re-date",IF(AND($G132="Received",$A132&gt;AsOfDate),"Future-dated – added on its date",IF(AND($G132="Received",$A132&lt;SUMIFS(CI_Count,CI_Site,$B132,CI_Mat,$C132)),"Before count date – already in the count","OK"))))))))</f>
        <v/>
      </c>
    </row>
    <row r="133" customFormat="false" ht="15" hidden="false" customHeight="false" outlineLevel="0" collapsed="false">
      <c r="A133" s="65"/>
      <c r="B133" s="63"/>
      <c r="C133" s="70"/>
      <c r="D133" s="16" t="str">
        <f aca="false">IF($C133="","",IFERROR(INDEX(Mat_Short,MATCH($C133,Mat_Code,0)),"⚠ Unknown code"))</f>
        <v/>
      </c>
      <c r="E133" s="66"/>
      <c r="F133" s="64" t="str">
        <f aca="false">IF($C133="","",IFERROR(INDEX(Mat_Unit,MATCH($C133,Mat_Code,0)),""))</f>
        <v/>
      </c>
      <c r="G133" s="70"/>
      <c r="H133" s="63"/>
      <c r="I133" s="63"/>
      <c r="J133" s="63"/>
      <c r="K133" s="16" t="str">
        <f aca="false">IF(AND($A133="",$B133="",$C133="",$E133=""),"",IF($A133="","⚠ Date missing",IF(OR($B133="",$C133=""),"⚠ Site / material missing",IF(COUNTIFS(CI_Site,$B133,CI_Mat,$C133)=0,"⚠ No Current Inventory row for this site + material",IF($G133="","⚠ Status missing",IF(AND($G133="Scheduled",$A133&lt;=AsOfDate),"⚠ Scheduled date reached – mark Received or re-date",IF(AND($G133="Received",$A133&gt;AsOfDate),"Future-dated – added on its date",IF(AND($G133="Received",$A133&lt;SUMIFS(CI_Count,CI_Site,$B133,CI_Mat,$C133)),"Before count date – already in the count","OK"))))))))</f>
        <v/>
      </c>
    </row>
    <row r="134" customFormat="false" ht="15" hidden="false" customHeight="false" outlineLevel="0" collapsed="false">
      <c r="A134" s="65"/>
      <c r="B134" s="63"/>
      <c r="C134" s="70"/>
      <c r="D134" s="16" t="str">
        <f aca="false">IF($C134="","",IFERROR(INDEX(Mat_Short,MATCH($C134,Mat_Code,0)),"⚠ Unknown code"))</f>
        <v/>
      </c>
      <c r="E134" s="66"/>
      <c r="F134" s="64" t="str">
        <f aca="false">IF($C134="","",IFERROR(INDEX(Mat_Unit,MATCH($C134,Mat_Code,0)),""))</f>
        <v/>
      </c>
      <c r="G134" s="70"/>
      <c r="H134" s="63"/>
      <c r="I134" s="63"/>
      <c r="J134" s="63"/>
      <c r="K134" s="16" t="str">
        <f aca="false">IF(AND($A134="",$B134="",$C134="",$E134=""),"",IF($A134="","⚠ Date missing",IF(OR($B134="",$C134=""),"⚠ Site / material missing",IF(COUNTIFS(CI_Site,$B134,CI_Mat,$C134)=0,"⚠ No Current Inventory row for this site + material",IF($G134="","⚠ Status missing",IF(AND($G134="Scheduled",$A134&lt;=AsOfDate),"⚠ Scheduled date reached – mark Received or re-date",IF(AND($G134="Received",$A134&gt;AsOfDate),"Future-dated – added on its date",IF(AND($G134="Received",$A134&lt;SUMIFS(CI_Count,CI_Site,$B134,CI_Mat,$C134)),"Before count date – already in the count","OK"))))))))</f>
        <v/>
      </c>
    </row>
    <row r="135" customFormat="false" ht="15" hidden="false" customHeight="false" outlineLevel="0" collapsed="false">
      <c r="A135" s="65"/>
      <c r="B135" s="63"/>
      <c r="C135" s="70"/>
      <c r="D135" s="16" t="str">
        <f aca="false">IF($C135="","",IFERROR(INDEX(Mat_Short,MATCH($C135,Mat_Code,0)),"⚠ Unknown code"))</f>
        <v/>
      </c>
      <c r="E135" s="66"/>
      <c r="F135" s="64" t="str">
        <f aca="false">IF($C135="","",IFERROR(INDEX(Mat_Unit,MATCH($C135,Mat_Code,0)),""))</f>
        <v/>
      </c>
      <c r="G135" s="70"/>
      <c r="H135" s="63"/>
      <c r="I135" s="63"/>
      <c r="J135" s="63"/>
      <c r="K135" s="16" t="str">
        <f aca="false">IF(AND($A135="",$B135="",$C135="",$E135=""),"",IF($A135="","⚠ Date missing",IF(OR($B135="",$C135=""),"⚠ Site / material missing",IF(COUNTIFS(CI_Site,$B135,CI_Mat,$C135)=0,"⚠ No Current Inventory row for this site + material",IF($G135="","⚠ Status missing",IF(AND($G135="Scheduled",$A135&lt;=AsOfDate),"⚠ Scheduled date reached – mark Received or re-date",IF(AND($G135="Received",$A135&gt;AsOfDate),"Future-dated – added on its date",IF(AND($G135="Received",$A135&lt;SUMIFS(CI_Count,CI_Site,$B135,CI_Mat,$C135)),"Before count date – already in the count","OK"))))))))</f>
        <v/>
      </c>
    </row>
    <row r="136" customFormat="false" ht="15" hidden="false" customHeight="false" outlineLevel="0" collapsed="false">
      <c r="A136" s="65"/>
      <c r="B136" s="63"/>
      <c r="C136" s="70"/>
      <c r="D136" s="16" t="str">
        <f aca="false">IF($C136="","",IFERROR(INDEX(Mat_Short,MATCH($C136,Mat_Code,0)),"⚠ Unknown code"))</f>
        <v/>
      </c>
      <c r="E136" s="66"/>
      <c r="F136" s="64" t="str">
        <f aca="false">IF($C136="","",IFERROR(INDEX(Mat_Unit,MATCH($C136,Mat_Code,0)),""))</f>
        <v/>
      </c>
      <c r="G136" s="70"/>
      <c r="H136" s="63"/>
      <c r="I136" s="63"/>
      <c r="J136" s="63"/>
      <c r="K136" s="16" t="str">
        <f aca="false">IF(AND($A136="",$B136="",$C136="",$E136=""),"",IF($A136="","⚠ Date missing",IF(OR($B136="",$C136=""),"⚠ Site / material missing",IF(COUNTIFS(CI_Site,$B136,CI_Mat,$C136)=0,"⚠ No Current Inventory row for this site + material",IF($G136="","⚠ Status missing",IF(AND($G136="Scheduled",$A136&lt;=AsOfDate),"⚠ Scheduled date reached – mark Received or re-date",IF(AND($G136="Received",$A136&gt;AsOfDate),"Future-dated – added on its date",IF(AND($G136="Received",$A136&lt;SUMIFS(CI_Count,CI_Site,$B136,CI_Mat,$C136)),"Before count date – already in the count","OK"))))))))</f>
        <v/>
      </c>
    </row>
    <row r="137" customFormat="false" ht="15" hidden="false" customHeight="false" outlineLevel="0" collapsed="false">
      <c r="A137" s="65"/>
      <c r="B137" s="63"/>
      <c r="C137" s="70"/>
      <c r="D137" s="16" t="str">
        <f aca="false">IF($C137="","",IFERROR(INDEX(Mat_Short,MATCH($C137,Mat_Code,0)),"⚠ Unknown code"))</f>
        <v/>
      </c>
      <c r="E137" s="66"/>
      <c r="F137" s="64" t="str">
        <f aca="false">IF($C137="","",IFERROR(INDEX(Mat_Unit,MATCH($C137,Mat_Code,0)),""))</f>
        <v/>
      </c>
      <c r="G137" s="70"/>
      <c r="H137" s="63"/>
      <c r="I137" s="63"/>
      <c r="J137" s="63"/>
      <c r="K137" s="16" t="str">
        <f aca="false">IF(AND($A137="",$B137="",$C137="",$E137=""),"",IF($A137="","⚠ Date missing",IF(OR($B137="",$C137=""),"⚠ Site / material missing",IF(COUNTIFS(CI_Site,$B137,CI_Mat,$C137)=0,"⚠ No Current Inventory row for this site + material",IF($G137="","⚠ Status missing",IF(AND($G137="Scheduled",$A137&lt;=AsOfDate),"⚠ Scheduled date reached – mark Received or re-date",IF(AND($G137="Received",$A137&gt;AsOfDate),"Future-dated – added on its date",IF(AND($G137="Received",$A137&lt;SUMIFS(CI_Count,CI_Site,$B137,CI_Mat,$C137)),"Before count date – already in the count","OK"))))))))</f>
        <v/>
      </c>
    </row>
    <row r="138" customFormat="false" ht="15" hidden="false" customHeight="false" outlineLevel="0" collapsed="false">
      <c r="A138" s="65"/>
      <c r="B138" s="63"/>
      <c r="C138" s="70"/>
      <c r="D138" s="16" t="str">
        <f aca="false">IF($C138="","",IFERROR(INDEX(Mat_Short,MATCH($C138,Mat_Code,0)),"⚠ Unknown code"))</f>
        <v/>
      </c>
      <c r="E138" s="66"/>
      <c r="F138" s="64" t="str">
        <f aca="false">IF($C138="","",IFERROR(INDEX(Mat_Unit,MATCH($C138,Mat_Code,0)),""))</f>
        <v/>
      </c>
      <c r="G138" s="70"/>
      <c r="H138" s="63"/>
      <c r="I138" s="63"/>
      <c r="J138" s="63"/>
      <c r="K138" s="16" t="str">
        <f aca="false">IF(AND($A138="",$B138="",$C138="",$E138=""),"",IF($A138="","⚠ Date missing",IF(OR($B138="",$C138=""),"⚠ Site / material missing",IF(COUNTIFS(CI_Site,$B138,CI_Mat,$C138)=0,"⚠ No Current Inventory row for this site + material",IF($G138="","⚠ Status missing",IF(AND($G138="Scheduled",$A138&lt;=AsOfDate),"⚠ Scheduled date reached – mark Received or re-date",IF(AND($G138="Received",$A138&gt;AsOfDate),"Future-dated – added on its date",IF(AND($G138="Received",$A138&lt;SUMIFS(CI_Count,CI_Site,$B138,CI_Mat,$C138)),"Before count date – already in the count","OK"))))))))</f>
        <v/>
      </c>
    </row>
    <row r="139" customFormat="false" ht="15" hidden="false" customHeight="false" outlineLevel="0" collapsed="false">
      <c r="A139" s="65"/>
      <c r="B139" s="63"/>
      <c r="C139" s="70"/>
      <c r="D139" s="16" t="str">
        <f aca="false">IF($C139="","",IFERROR(INDEX(Mat_Short,MATCH($C139,Mat_Code,0)),"⚠ Unknown code"))</f>
        <v/>
      </c>
      <c r="E139" s="66"/>
      <c r="F139" s="64" t="str">
        <f aca="false">IF($C139="","",IFERROR(INDEX(Mat_Unit,MATCH($C139,Mat_Code,0)),""))</f>
        <v/>
      </c>
      <c r="G139" s="70"/>
      <c r="H139" s="63"/>
      <c r="I139" s="63"/>
      <c r="J139" s="63"/>
      <c r="K139" s="16" t="str">
        <f aca="false">IF(AND($A139="",$B139="",$C139="",$E139=""),"",IF($A139="","⚠ Date missing",IF(OR($B139="",$C139=""),"⚠ Site / material missing",IF(COUNTIFS(CI_Site,$B139,CI_Mat,$C139)=0,"⚠ No Current Inventory row for this site + material",IF($G139="","⚠ Status missing",IF(AND($G139="Scheduled",$A139&lt;=AsOfDate),"⚠ Scheduled date reached – mark Received or re-date",IF(AND($G139="Received",$A139&gt;AsOfDate),"Future-dated – added on its date",IF(AND($G139="Received",$A139&lt;SUMIFS(CI_Count,CI_Site,$B139,CI_Mat,$C139)),"Before count date – already in the count","OK"))))))))</f>
        <v/>
      </c>
    </row>
    <row r="140" customFormat="false" ht="15" hidden="false" customHeight="false" outlineLevel="0" collapsed="false">
      <c r="A140" s="65"/>
      <c r="B140" s="63"/>
      <c r="C140" s="70"/>
      <c r="D140" s="16" t="str">
        <f aca="false">IF($C140="","",IFERROR(INDEX(Mat_Short,MATCH($C140,Mat_Code,0)),"⚠ Unknown code"))</f>
        <v/>
      </c>
      <c r="E140" s="66"/>
      <c r="F140" s="64" t="str">
        <f aca="false">IF($C140="","",IFERROR(INDEX(Mat_Unit,MATCH($C140,Mat_Code,0)),""))</f>
        <v/>
      </c>
      <c r="G140" s="70"/>
      <c r="H140" s="63"/>
      <c r="I140" s="63"/>
      <c r="J140" s="63"/>
      <c r="K140" s="16" t="str">
        <f aca="false">IF(AND($A140="",$B140="",$C140="",$E140=""),"",IF($A140="","⚠ Date missing",IF(OR($B140="",$C140=""),"⚠ Site / material missing",IF(COUNTIFS(CI_Site,$B140,CI_Mat,$C140)=0,"⚠ No Current Inventory row for this site + material",IF($G140="","⚠ Status missing",IF(AND($G140="Scheduled",$A140&lt;=AsOfDate),"⚠ Scheduled date reached – mark Received or re-date",IF(AND($G140="Received",$A140&gt;AsOfDate),"Future-dated – added on its date",IF(AND($G140="Received",$A140&lt;SUMIFS(CI_Count,CI_Site,$B140,CI_Mat,$C140)),"Before count date – already in the count","OK"))))))))</f>
        <v/>
      </c>
    </row>
    <row r="141" customFormat="false" ht="15" hidden="false" customHeight="false" outlineLevel="0" collapsed="false">
      <c r="A141" s="65"/>
      <c r="B141" s="63"/>
      <c r="C141" s="70"/>
      <c r="D141" s="16" t="str">
        <f aca="false">IF($C141="","",IFERROR(INDEX(Mat_Short,MATCH($C141,Mat_Code,0)),"⚠ Unknown code"))</f>
        <v/>
      </c>
      <c r="E141" s="66"/>
      <c r="F141" s="64" t="str">
        <f aca="false">IF($C141="","",IFERROR(INDEX(Mat_Unit,MATCH($C141,Mat_Code,0)),""))</f>
        <v/>
      </c>
      <c r="G141" s="70"/>
      <c r="H141" s="63"/>
      <c r="I141" s="63"/>
      <c r="J141" s="63"/>
      <c r="K141" s="16" t="str">
        <f aca="false">IF(AND($A141="",$B141="",$C141="",$E141=""),"",IF($A141="","⚠ Date missing",IF(OR($B141="",$C141=""),"⚠ Site / material missing",IF(COUNTIFS(CI_Site,$B141,CI_Mat,$C141)=0,"⚠ No Current Inventory row for this site + material",IF($G141="","⚠ Status missing",IF(AND($G141="Scheduled",$A141&lt;=AsOfDate),"⚠ Scheduled date reached – mark Received or re-date",IF(AND($G141="Received",$A141&gt;AsOfDate),"Future-dated – added on its date",IF(AND($G141="Received",$A141&lt;SUMIFS(CI_Count,CI_Site,$B141,CI_Mat,$C141)),"Before count date – already in the count","OK"))))))))</f>
        <v/>
      </c>
    </row>
    <row r="142" customFormat="false" ht="15" hidden="false" customHeight="false" outlineLevel="0" collapsed="false">
      <c r="A142" s="65"/>
      <c r="B142" s="63"/>
      <c r="C142" s="70"/>
      <c r="D142" s="16" t="str">
        <f aca="false">IF($C142="","",IFERROR(INDEX(Mat_Short,MATCH($C142,Mat_Code,0)),"⚠ Unknown code"))</f>
        <v/>
      </c>
      <c r="E142" s="66"/>
      <c r="F142" s="64" t="str">
        <f aca="false">IF($C142="","",IFERROR(INDEX(Mat_Unit,MATCH($C142,Mat_Code,0)),""))</f>
        <v/>
      </c>
      <c r="G142" s="70"/>
      <c r="H142" s="63"/>
      <c r="I142" s="63"/>
      <c r="J142" s="63"/>
      <c r="K142" s="16" t="str">
        <f aca="false">IF(AND($A142="",$B142="",$C142="",$E142=""),"",IF($A142="","⚠ Date missing",IF(OR($B142="",$C142=""),"⚠ Site / material missing",IF(COUNTIFS(CI_Site,$B142,CI_Mat,$C142)=0,"⚠ No Current Inventory row for this site + material",IF($G142="","⚠ Status missing",IF(AND($G142="Scheduled",$A142&lt;=AsOfDate),"⚠ Scheduled date reached – mark Received or re-date",IF(AND($G142="Received",$A142&gt;AsOfDate),"Future-dated – added on its date",IF(AND($G142="Received",$A142&lt;SUMIFS(CI_Count,CI_Site,$B142,CI_Mat,$C142)),"Before count date – already in the count","OK"))))))))</f>
        <v/>
      </c>
    </row>
    <row r="143" customFormat="false" ht="15" hidden="false" customHeight="false" outlineLevel="0" collapsed="false">
      <c r="A143" s="65"/>
      <c r="B143" s="63"/>
      <c r="C143" s="70"/>
      <c r="D143" s="16" t="str">
        <f aca="false">IF($C143="","",IFERROR(INDEX(Mat_Short,MATCH($C143,Mat_Code,0)),"⚠ Unknown code"))</f>
        <v/>
      </c>
      <c r="E143" s="66"/>
      <c r="F143" s="64" t="str">
        <f aca="false">IF($C143="","",IFERROR(INDEX(Mat_Unit,MATCH($C143,Mat_Code,0)),""))</f>
        <v/>
      </c>
      <c r="G143" s="70"/>
      <c r="H143" s="63"/>
      <c r="I143" s="63"/>
      <c r="J143" s="63"/>
      <c r="K143" s="16" t="str">
        <f aca="false">IF(AND($A143="",$B143="",$C143="",$E143=""),"",IF($A143="","⚠ Date missing",IF(OR($B143="",$C143=""),"⚠ Site / material missing",IF(COUNTIFS(CI_Site,$B143,CI_Mat,$C143)=0,"⚠ No Current Inventory row for this site + material",IF($G143="","⚠ Status missing",IF(AND($G143="Scheduled",$A143&lt;=AsOfDate),"⚠ Scheduled date reached – mark Received or re-date",IF(AND($G143="Received",$A143&gt;AsOfDate),"Future-dated – added on its date",IF(AND($G143="Received",$A143&lt;SUMIFS(CI_Count,CI_Site,$B143,CI_Mat,$C143)),"Before count date – already in the count","OK"))))))))</f>
        <v/>
      </c>
    </row>
    <row r="144" customFormat="false" ht="15" hidden="false" customHeight="false" outlineLevel="0" collapsed="false">
      <c r="A144" s="65"/>
      <c r="B144" s="63"/>
      <c r="C144" s="70"/>
      <c r="D144" s="16" t="str">
        <f aca="false">IF($C144="","",IFERROR(INDEX(Mat_Short,MATCH($C144,Mat_Code,0)),"⚠ Unknown code"))</f>
        <v/>
      </c>
      <c r="E144" s="66"/>
      <c r="F144" s="64" t="str">
        <f aca="false">IF($C144="","",IFERROR(INDEX(Mat_Unit,MATCH($C144,Mat_Code,0)),""))</f>
        <v/>
      </c>
      <c r="G144" s="70"/>
      <c r="H144" s="63"/>
      <c r="I144" s="63"/>
      <c r="J144" s="63"/>
      <c r="K144" s="16" t="str">
        <f aca="false">IF(AND($A144="",$B144="",$C144="",$E144=""),"",IF($A144="","⚠ Date missing",IF(OR($B144="",$C144=""),"⚠ Site / material missing",IF(COUNTIFS(CI_Site,$B144,CI_Mat,$C144)=0,"⚠ No Current Inventory row for this site + material",IF($G144="","⚠ Status missing",IF(AND($G144="Scheduled",$A144&lt;=AsOfDate),"⚠ Scheduled date reached – mark Received or re-date",IF(AND($G144="Received",$A144&gt;AsOfDate),"Future-dated – added on its date",IF(AND($G144="Received",$A144&lt;SUMIFS(CI_Count,CI_Site,$B144,CI_Mat,$C144)),"Before count date – already in the count","OK"))))))))</f>
        <v/>
      </c>
    </row>
    <row r="145" customFormat="false" ht="15" hidden="false" customHeight="false" outlineLevel="0" collapsed="false">
      <c r="A145" s="65"/>
      <c r="B145" s="63"/>
      <c r="C145" s="70"/>
      <c r="D145" s="16" t="str">
        <f aca="false">IF($C145="","",IFERROR(INDEX(Mat_Short,MATCH($C145,Mat_Code,0)),"⚠ Unknown code"))</f>
        <v/>
      </c>
      <c r="E145" s="66"/>
      <c r="F145" s="64" t="str">
        <f aca="false">IF($C145="","",IFERROR(INDEX(Mat_Unit,MATCH($C145,Mat_Code,0)),""))</f>
        <v/>
      </c>
      <c r="G145" s="70"/>
      <c r="H145" s="63"/>
      <c r="I145" s="63"/>
      <c r="J145" s="63"/>
      <c r="K145" s="16" t="str">
        <f aca="false">IF(AND($A145="",$B145="",$C145="",$E145=""),"",IF($A145="","⚠ Date missing",IF(OR($B145="",$C145=""),"⚠ Site / material missing",IF(COUNTIFS(CI_Site,$B145,CI_Mat,$C145)=0,"⚠ No Current Inventory row for this site + material",IF($G145="","⚠ Status missing",IF(AND($G145="Scheduled",$A145&lt;=AsOfDate),"⚠ Scheduled date reached – mark Received or re-date",IF(AND($G145="Received",$A145&gt;AsOfDate),"Future-dated – added on its date",IF(AND($G145="Received",$A145&lt;SUMIFS(CI_Count,CI_Site,$B145,CI_Mat,$C145)),"Before count date – already in the count","OK"))))))))</f>
        <v/>
      </c>
    </row>
    <row r="146" customFormat="false" ht="15" hidden="false" customHeight="false" outlineLevel="0" collapsed="false">
      <c r="A146" s="65"/>
      <c r="B146" s="63"/>
      <c r="C146" s="70"/>
      <c r="D146" s="16" t="str">
        <f aca="false">IF($C146="","",IFERROR(INDEX(Mat_Short,MATCH($C146,Mat_Code,0)),"⚠ Unknown code"))</f>
        <v/>
      </c>
      <c r="E146" s="66"/>
      <c r="F146" s="64" t="str">
        <f aca="false">IF($C146="","",IFERROR(INDEX(Mat_Unit,MATCH($C146,Mat_Code,0)),""))</f>
        <v/>
      </c>
      <c r="G146" s="70"/>
      <c r="H146" s="63"/>
      <c r="I146" s="63"/>
      <c r="J146" s="63"/>
      <c r="K146" s="16" t="str">
        <f aca="false">IF(AND($A146="",$B146="",$C146="",$E146=""),"",IF($A146="","⚠ Date missing",IF(OR($B146="",$C146=""),"⚠ Site / material missing",IF(COUNTIFS(CI_Site,$B146,CI_Mat,$C146)=0,"⚠ No Current Inventory row for this site + material",IF($G146="","⚠ Status missing",IF(AND($G146="Scheduled",$A146&lt;=AsOfDate),"⚠ Scheduled date reached – mark Received or re-date",IF(AND($G146="Received",$A146&gt;AsOfDate),"Future-dated – added on its date",IF(AND($G146="Received",$A146&lt;SUMIFS(CI_Count,CI_Site,$B146,CI_Mat,$C146)),"Before count date – already in the count","OK"))))))))</f>
        <v/>
      </c>
    </row>
    <row r="147" customFormat="false" ht="15" hidden="false" customHeight="false" outlineLevel="0" collapsed="false">
      <c r="A147" s="65"/>
      <c r="B147" s="63"/>
      <c r="C147" s="70"/>
      <c r="D147" s="16" t="str">
        <f aca="false">IF($C147="","",IFERROR(INDEX(Mat_Short,MATCH($C147,Mat_Code,0)),"⚠ Unknown code"))</f>
        <v/>
      </c>
      <c r="E147" s="66"/>
      <c r="F147" s="64" t="str">
        <f aca="false">IF($C147="","",IFERROR(INDEX(Mat_Unit,MATCH($C147,Mat_Code,0)),""))</f>
        <v/>
      </c>
      <c r="G147" s="70"/>
      <c r="H147" s="63"/>
      <c r="I147" s="63"/>
      <c r="J147" s="63"/>
      <c r="K147" s="16" t="str">
        <f aca="false">IF(AND($A147="",$B147="",$C147="",$E147=""),"",IF($A147="","⚠ Date missing",IF(OR($B147="",$C147=""),"⚠ Site / material missing",IF(COUNTIFS(CI_Site,$B147,CI_Mat,$C147)=0,"⚠ No Current Inventory row for this site + material",IF($G147="","⚠ Status missing",IF(AND($G147="Scheduled",$A147&lt;=AsOfDate),"⚠ Scheduled date reached – mark Received or re-date",IF(AND($G147="Received",$A147&gt;AsOfDate),"Future-dated – added on its date",IF(AND($G147="Received",$A147&lt;SUMIFS(CI_Count,CI_Site,$B147,CI_Mat,$C147)),"Before count date – already in the count","OK"))))))))</f>
        <v/>
      </c>
    </row>
    <row r="148" customFormat="false" ht="15" hidden="false" customHeight="false" outlineLevel="0" collapsed="false">
      <c r="A148" s="65"/>
      <c r="B148" s="63"/>
      <c r="C148" s="70"/>
      <c r="D148" s="16" t="str">
        <f aca="false">IF($C148="","",IFERROR(INDEX(Mat_Short,MATCH($C148,Mat_Code,0)),"⚠ Unknown code"))</f>
        <v/>
      </c>
      <c r="E148" s="66"/>
      <c r="F148" s="64" t="str">
        <f aca="false">IF($C148="","",IFERROR(INDEX(Mat_Unit,MATCH($C148,Mat_Code,0)),""))</f>
        <v/>
      </c>
      <c r="G148" s="70"/>
      <c r="H148" s="63"/>
      <c r="I148" s="63"/>
      <c r="J148" s="63"/>
      <c r="K148" s="16" t="str">
        <f aca="false">IF(AND($A148="",$B148="",$C148="",$E148=""),"",IF($A148="","⚠ Date missing",IF(OR($B148="",$C148=""),"⚠ Site / material missing",IF(COUNTIFS(CI_Site,$B148,CI_Mat,$C148)=0,"⚠ No Current Inventory row for this site + material",IF($G148="","⚠ Status missing",IF(AND($G148="Scheduled",$A148&lt;=AsOfDate),"⚠ Scheduled date reached – mark Received or re-date",IF(AND($G148="Received",$A148&gt;AsOfDate),"Future-dated – added on its date",IF(AND($G148="Received",$A148&lt;SUMIFS(CI_Count,CI_Site,$B148,CI_Mat,$C148)),"Before count date – already in the count","OK"))))))))</f>
        <v/>
      </c>
    </row>
    <row r="149" customFormat="false" ht="15" hidden="false" customHeight="false" outlineLevel="0" collapsed="false">
      <c r="A149" s="65"/>
      <c r="B149" s="63"/>
      <c r="C149" s="70"/>
      <c r="D149" s="16" t="str">
        <f aca="false">IF($C149="","",IFERROR(INDEX(Mat_Short,MATCH($C149,Mat_Code,0)),"⚠ Unknown code"))</f>
        <v/>
      </c>
      <c r="E149" s="66"/>
      <c r="F149" s="64" t="str">
        <f aca="false">IF($C149="","",IFERROR(INDEX(Mat_Unit,MATCH($C149,Mat_Code,0)),""))</f>
        <v/>
      </c>
      <c r="G149" s="70"/>
      <c r="H149" s="63"/>
      <c r="I149" s="63"/>
      <c r="J149" s="63"/>
      <c r="K149" s="16" t="str">
        <f aca="false">IF(AND($A149="",$B149="",$C149="",$E149=""),"",IF($A149="","⚠ Date missing",IF(OR($B149="",$C149=""),"⚠ Site / material missing",IF(COUNTIFS(CI_Site,$B149,CI_Mat,$C149)=0,"⚠ No Current Inventory row for this site + material",IF($G149="","⚠ Status missing",IF(AND($G149="Scheduled",$A149&lt;=AsOfDate),"⚠ Scheduled date reached – mark Received or re-date",IF(AND($G149="Received",$A149&gt;AsOfDate),"Future-dated – added on its date",IF(AND($G149="Received",$A149&lt;SUMIFS(CI_Count,CI_Site,$B149,CI_Mat,$C149)),"Before count date – already in the count","OK"))))))))</f>
        <v/>
      </c>
    </row>
    <row r="150" customFormat="false" ht="15" hidden="false" customHeight="false" outlineLevel="0" collapsed="false">
      <c r="A150" s="65"/>
      <c r="B150" s="63"/>
      <c r="C150" s="70"/>
      <c r="D150" s="16" t="str">
        <f aca="false">IF($C150="","",IFERROR(INDEX(Mat_Short,MATCH($C150,Mat_Code,0)),"⚠ Unknown code"))</f>
        <v/>
      </c>
      <c r="E150" s="66"/>
      <c r="F150" s="64" t="str">
        <f aca="false">IF($C150="","",IFERROR(INDEX(Mat_Unit,MATCH($C150,Mat_Code,0)),""))</f>
        <v/>
      </c>
      <c r="G150" s="70"/>
      <c r="H150" s="63"/>
      <c r="I150" s="63"/>
      <c r="J150" s="63"/>
      <c r="K150" s="16" t="str">
        <f aca="false">IF(AND($A150="",$B150="",$C150="",$E150=""),"",IF($A150="","⚠ Date missing",IF(OR($B150="",$C150=""),"⚠ Site / material missing",IF(COUNTIFS(CI_Site,$B150,CI_Mat,$C150)=0,"⚠ No Current Inventory row for this site + material",IF($G150="","⚠ Status missing",IF(AND($G150="Scheduled",$A150&lt;=AsOfDate),"⚠ Scheduled date reached – mark Received or re-date",IF(AND($G150="Received",$A150&gt;AsOfDate),"Future-dated – added on its date",IF(AND($G150="Received",$A150&lt;SUMIFS(CI_Count,CI_Site,$B150,CI_Mat,$C150)),"Before count date – already in the count","OK"))))))))</f>
        <v/>
      </c>
    </row>
    <row r="151" customFormat="false" ht="15" hidden="false" customHeight="false" outlineLevel="0" collapsed="false">
      <c r="A151" s="65"/>
      <c r="B151" s="63"/>
      <c r="C151" s="70"/>
      <c r="D151" s="16" t="str">
        <f aca="false">IF($C151="","",IFERROR(INDEX(Mat_Short,MATCH($C151,Mat_Code,0)),"⚠ Unknown code"))</f>
        <v/>
      </c>
      <c r="E151" s="66"/>
      <c r="F151" s="64" t="str">
        <f aca="false">IF($C151="","",IFERROR(INDEX(Mat_Unit,MATCH($C151,Mat_Code,0)),""))</f>
        <v/>
      </c>
      <c r="G151" s="70"/>
      <c r="H151" s="63"/>
      <c r="I151" s="63"/>
      <c r="J151" s="63"/>
      <c r="K151" s="16" t="str">
        <f aca="false">IF(AND($A151="",$B151="",$C151="",$E151=""),"",IF($A151="","⚠ Date missing",IF(OR($B151="",$C151=""),"⚠ Site / material missing",IF(COUNTIFS(CI_Site,$B151,CI_Mat,$C151)=0,"⚠ No Current Inventory row for this site + material",IF($G151="","⚠ Status missing",IF(AND($G151="Scheduled",$A151&lt;=AsOfDate),"⚠ Scheduled date reached – mark Received or re-date",IF(AND($G151="Received",$A151&gt;AsOfDate),"Future-dated – added on its date",IF(AND($G151="Received",$A151&lt;SUMIFS(CI_Count,CI_Site,$B151,CI_Mat,$C151)),"Before count date – already in the count","OK"))))))))</f>
        <v/>
      </c>
    </row>
    <row r="152" customFormat="false" ht="15" hidden="false" customHeight="false" outlineLevel="0" collapsed="false">
      <c r="A152" s="65"/>
      <c r="B152" s="63"/>
      <c r="C152" s="70"/>
      <c r="D152" s="16" t="str">
        <f aca="false">IF($C152="","",IFERROR(INDEX(Mat_Short,MATCH($C152,Mat_Code,0)),"⚠ Unknown code"))</f>
        <v/>
      </c>
      <c r="E152" s="66"/>
      <c r="F152" s="64" t="str">
        <f aca="false">IF($C152="","",IFERROR(INDEX(Mat_Unit,MATCH($C152,Mat_Code,0)),""))</f>
        <v/>
      </c>
      <c r="G152" s="70"/>
      <c r="H152" s="63"/>
      <c r="I152" s="63"/>
      <c r="J152" s="63"/>
      <c r="K152" s="16" t="str">
        <f aca="false">IF(AND($A152="",$B152="",$C152="",$E152=""),"",IF($A152="","⚠ Date missing",IF(OR($B152="",$C152=""),"⚠ Site / material missing",IF(COUNTIFS(CI_Site,$B152,CI_Mat,$C152)=0,"⚠ No Current Inventory row for this site + material",IF($G152="","⚠ Status missing",IF(AND($G152="Scheduled",$A152&lt;=AsOfDate),"⚠ Scheduled date reached – mark Received or re-date",IF(AND($G152="Received",$A152&gt;AsOfDate),"Future-dated – added on its date",IF(AND($G152="Received",$A152&lt;SUMIFS(CI_Count,CI_Site,$B152,CI_Mat,$C152)),"Before count date – already in the count","OK"))))))))</f>
        <v/>
      </c>
    </row>
    <row r="153" customFormat="false" ht="15" hidden="false" customHeight="false" outlineLevel="0" collapsed="false">
      <c r="A153" s="65"/>
      <c r="B153" s="63"/>
      <c r="C153" s="70"/>
      <c r="D153" s="16" t="str">
        <f aca="false">IF($C153="","",IFERROR(INDEX(Mat_Short,MATCH($C153,Mat_Code,0)),"⚠ Unknown code"))</f>
        <v/>
      </c>
      <c r="E153" s="66"/>
      <c r="F153" s="64" t="str">
        <f aca="false">IF($C153="","",IFERROR(INDEX(Mat_Unit,MATCH($C153,Mat_Code,0)),""))</f>
        <v/>
      </c>
      <c r="G153" s="70"/>
      <c r="H153" s="63"/>
      <c r="I153" s="63"/>
      <c r="J153" s="63"/>
      <c r="K153" s="16" t="str">
        <f aca="false">IF(AND($A153="",$B153="",$C153="",$E153=""),"",IF($A153="","⚠ Date missing",IF(OR($B153="",$C153=""),"⚠ Site / material missing",IF(COUNTIFS(CI_Site,$B153,CI_Mat,$C153)=0,"⚠ No Current Inventory row for this site + material",IF($G153="","⚠ Status missing",IF(AND($G153="Scheduled",$A153&lt;=AsOfDate),"⚠ Scheduled date reached – mark Received or re-date",IF(AND($G153="Received",$A153&gt;AsOfDate),"Future-dated – added on its date",IF(AND($G153="Received",$A153&lt;SUMIFS(CI_Count,CI_Site,$B153,CI_Mat,$C153)),"Before count date – already in the count","OK"))))))))</f>
        <v/>
      </c>
    </row>
    <row r="154" customFormat="false" ht="15" hidden="false" customHeight="false" outlineLevel="0" collapsed="false">
      <c r="A154" s="65"/>
      <c r="B154" s="63"/>
      <c r="C154" s="70"/>
      <c r="D154" s="16" t="str">
        <f aca="false">IF($C154="","",IFERROR(INDEX(Mat_Short,MATCH($C154,Mat_Code,0)),"⚠ Unknown code"))</f>
        <v/>
      </c>
      <c r="E154" s="66"/>
      <c r="F154" s="64" t="str">
        <f aca="false">IF($C154="","",IFERROR(INDEX(Mat_Unit,MATCH($C154,Mat_Code,0)),""))</f>
        <v/>
      </c>
      <c r="G154" s="70"/>
      <c r="H154" s="63"/>
      <c r="I154" s="63"/>
      <c r="J154" s="63"/>
      <c r="K154" s="16" t="str">
        <f aca="false">IF(AND($A154="",$B154="",$C154="",$E154=""),"",IF($A154="","⚠ Date missing",IF(OR($B154="",$C154=""),"⚠ Site / material missing",IF(COUNTIFS(CI_Site,$B154,CI_Mat,$C154)=0,"⚠ No Current Inventory row for this site + material",IF($G154="","⚠ Status missing",IF(AND($G154="Scheduled",$A154&lt;=AsOfDate),"⚠ Scheduled date reached – mark Received or re-date",IF(AND($G154="Received",$A154&gt;AsOfDate),"Future-dated – added on its date",IF(AND($G154="Received",$A154&lt;SUMIFS(CI_Count,CI_Site,$B154,CI_Mat,$C154)),"Before count date – already in the count","OK"))))))))</f>
        <v/>
      </c>
    </row>
    <row r="155" customFormat="false" ht="15" hidden="false" customHeight="false" outlineLevel="0" collapsed="false">
      <c r="A155" s="65"/>
      <c r="B155" s="63"/>
      <c r="C155" s="70"/>
      <c r="D155" s="16" t="str">
        <f aca="false">IF($C155="","",IFERROR(INDEX(Mat_Short,MATCH($C155,Mat_Code,0)),"⚠ Unknown code"))</f>
        <v/>
      </c>
      <c r="E155" s="66"/>
      <c r="F155" s="64" t="str">
        <f aca="false">IF($C155="","",IFERROR(INDEX(Mat_Unit,MATCH($C155,Mat_Code,0)),""))</f>
        <v/>
      </c>
      <c r="G155" s="70"/>
      <c r="H155" s="63"/>
      <c r="I155" s="63"/>
      <c r="J155" s="63"/>
      <c r="K155" s="16" t="str">
        <f aca="false">IF(AND($A155="",$B155="",$C155="",$E155=""),"",IF($A155="","⚠ Date missing",IF(OR($B155="",$C155=""),"⚠ Site / material missing",IF(COUNTIFS(CI_Site,$B155,CI_Mat,$C155)=0,"⚠ No Current Inventory row for this site + material",IF($G155="","⚠ Status missing",IF(AND($G155="Scheduled",$A155&lt;=AsOfDate),"⚠ Scheduled date reached – mark Received or re-date",IF(AND($G155="Received",$A155&gt;AsOfDate),"Future-dated – added on its date",IF(AND($G155="Received",$A155&lt;SUMIFS(CI_Count,CI_Site,$B155,CI_Mat,$C155)),"Before count date – already in the count","OK"))))))))</f>
        <v/>
      </c>
    </row>
    <row r="156" customFormat="false" ht="15" hidden="false" customHeight="false" outlineLevel="0" collapsed="false">
      <c r="A156" s="65"/>
      <c r="B156" s="63"/>
      <c r="C156" s="70"/>
      <c r="D156" s="16" t="str">
        <f aca="false">IF($C156="","",IFERROR(INDEX(Mat_Short,MATCH($C156,Mat_Code,0)),"⚠ Unknown code"))</f>
        <v/>
      </c>
      <c r="E156" s="66"/>
      <c r="F156" s="64" t="str">
        <f aca="false">IF($C156="","",IFERROR(INDEX(Mat_Unit,MATCH($C156,Mat_Code,0)),""))</f>
        <v/>
      </c>
      <c r="G156" s="70"/>
      <c r="H156" s="63"/>
      <c r="I156" s="63"/>
      <c r="J156" s="63"/>
      <c r="K156" s="16" t="str">
        <f aca="false">IF(AND($A156="",$B156="",$C156="",$E156=""),"",IF($A156="","⚠ Date missing",IF(OR($B156="",$C156=""),"⚠ Site / material missing",IF(COUNTIFS(CI_Site,$B156,CI_Mat,$C156)=0,"⚠ No Current Inventory row for this site + material",IF($G156="","⚠ Status missing",IF(AND($G156="Scheduled",$A156&lt;=AsOfDate),"⚠ Scheduled date reached – mark Received or re-date",IF(AND($G156="Received",$A156&gt;AsOfDate),"Future-dated – added on its date",IF(AND($G156="Received",$A156&lt;SUMIFS(CI_Count,CI_Site,$B156,CI_Mat,$C156)),"Before count date – already in the count","OK"))))))))</f>
        <v/>
      </c>
    </row>
    <row r="157" customFormat="false" ht="15" hidden="false" customHeight="false" outlineLevel="0" collapsed="false">
      <c r="A157" s="65"/>
      <c r="B157" s="63"/>
      <c r="C157" s="70"/>
      <c r="D157" s="16" t="str">
        <f aca="false">IF($C157="","",IFERROR(INDEX(Mat_Short,MATCH($C157,Mat_Code,0)),"⚠ Unknown code"))</f>
        <v/>
      </c>
      <c r="E157" s="66"/>
      <c r="F157" s="64" t="str">
        <f aca="false">IF($C157="","",IFERROR(INDEX(Mat_Unit,MATCH($C157,Mat_Code,0)),""))</f>
        <v/>
      </c>
      <c r="G157" s="70"/>
      <c r="H157" s="63"/>
      <c r="I157" s="63"/>
      <c r="J157" s="63"/>
      <c r="K157" s="16" t="str">
        <f aca="false">IF(AND($A157="",$B157="",$C157="",$E157=""),"",IF($A157="","⚠ Date missing",IF(OR($B157="",$C157=""),"⚠ Site / material missing",IF(COUNTIFS(CI_Site,$B157,CI_Mat,$C157)=0,"⚠ No Current Inventory row for this site + material",IF($G157="","⚠ Status missing",IF(AND($G157="Scheduled",$A157&lt;=AsOfDate),"⚠ Scheduled date reached – mark Received or re-date",IF(AND($G157="Received",$A157&gt;AsOfDate),"Future-dated – added on its date",IF(AND($G157="Received",$A157&lt;SUMIFS(CI_Count,CI_Site,$B157,CI_Mat,$C157)),"Before count date – already in the count","OK"))))))))</f>
        <v/>
      </c>
    </row>
    <row r="158" customFormat="false" ht="15" hidden="false" customHeight="false" outlineLevel="0" collapsed="false">
      <c r="A158" s="65"/>
      <c r="B158" s="63"/>
      <c r="C158" s="70"/>
      <c r="D158" s="16" t="str">
        <f aca="false">IF($C158="","",IFERROR(INDEX(Mat_Short,MATCH($C158,Mat_Code,0)),"⚠ Unknown code"))</f>
        <v/>
      </c>
      <c r="E158" s="66"/>
      <c r="F158" s="64" t="str">
        <f aca="false">IF($C158="","",IFERROR(INDEX(Mat_Unit,MATCH($C158,Mat_Code,0)),""))</f>
        <v/>
      </c>
      <c r="G158" s="70"/>
      <c r="H158" s="63"/>
      <c r="I158" s="63"/>
      <c r="J158" s="63"/>
      <c r="K158" s="16" t="str">
        <f aca="false">IF(AND($A158="",$B158="",$C158="",$E158=""),"",IF($A158="","⚠ Date missing",IF(OR($B158="",$C158=""),"⚠ Site / material missing",IF(COUNTIFS(CI_Site,$B158,CI_Mat,$C158)=0,"⚠ No Current Inventory row for this site + material",IF($G158="","⚠ Status missing",IF(AND($G158="Scheduled",$A158&lt;=AsOfDate),"⚠ Scheduled date reached – mark Received or re-date",IF(AND($G158="Received",$A158&gt;AsOfDate),"Future-dated – added on its date",IF(AND($G158="Received",$A158&lt;SUMIFS(CI_Count,CI_Site,$B158,CI_Mat,$C158)),"Before count date – already in the count","OK"))))))))</f>
        <v/>
      </c>
    </row>
    <row r="159" customFormat="false" ht="15" hidden="false" customHeight="false" outlineLevel="0" collapsed="false">
      <c r="A159" s="65"/>
      <c r="B159" s="63"/>
      <c r="C159" s="70"/>
      <c r="D159" s="16" t="str">
        <f aca="false">IF($C159="","",IFERROR(INDEX(Mat_Short,MATCH($C159,Mat_Code,0)),"⚠ Unknown code"))</f>
        <v/>
      </c>
      <c r="E159" s="66"/>
      <c r="F159" s="64" t="str">
        <f aca="false">IF($C159="","",IFERROR(INDEX(Mat_Unit,MATCH($C159,Mat_Code,0)),""))</f>
        <v/>
      </c>
      <c r="G159" s="70"/>
      <c r="H159" s="63"/>
      <c r="I159" s="63"/>
      <c r="J159" s="63"/>
      <c r="K159" s="16" t="str">
        <f aca="false">IF(AND($A159="",$B159="",$C159="",$E159=""),"",IF($A159="","⚠ Date missing",IF(OR($B159="",$C159=""),"⚠ Site / material missing",IF(COUNTIFS(CI_Site,$B159,CI_Mat,$C159)=0,"⚠ No Current Inventory row for this site + material",IF($G159="","⚠ Status missing",IF(AND($G159="Scheduled",$A159&lt;=AsOfDate),"⚠ Scheduled date reached – mark Received or re-date",IF(AND($G159="Received",$A159&gt;AsOfDate),"Future-dated – added on its date",IF(AND($G159="Received",$A159&lt;SUMIFS(CI_Count,CI_Site,$B159,CI_Mat,$C159)),"Before count date – already in the count","OK"))))))))</f>
        <v/>
      </c>
    </row>
    <row r="160" customFormat="false" ht="15" hidden="false" customHeight="false" outlineLevel="0" collapsed="false">
      <c r="A160" s="65"/>
      <c r="B160" s="63"/>
      <c r="C160" s="70"/>
      <c r="D160" s="16" t="str">
        <f aca="false">IF($C160="","",IFERROR(INDEX(Mat_Short,MATCH($C160,Mat_Code,0)),"⚠ Unknown code"))</f>
        <v/>
      </c>
      <c r="E160" s="66"/>
      <c r="F160" s="64" t="str">
        <f aca="false">IF($C160="","",IFERROR(INDEX(Mat_Unit,MATCH($C160,Mat_Code,0)),""))</f>
        <v/>
      </c>
      <c r="G160" s="70"/>
      <c r="H160" s="63"/>
      <c r="I160" s="63"/>
      <c r="J160" s="63"/>
      <c r="K160" s="16" t="str">
        <f aca="false">IF(AND($A160="",$B160="",$C160="",$E160=""),"",IF($A160="","⚠ Date missing",IF(OR($B160="",$C160=""),"⚠ Site / material missing",IF(COUNTIFS(CI_Site,$B160,CI_Mat,$C160)=0,"⚠ No Current Inventory row for this site + material",IF($G160="","⚠ Status missing",IF(AND($G160="Scheduled",$A160&lt;=AsOfDate),"⚠ Scheduled date reached – mark Received or re-date",IF(AND($G160="Received",$A160&gt;AsOfDate),"Future-dated – added on its date",IF(AND($G160="Received",$A160&lt;SUMIFS(CI_Count,CI_Site,$B160,CI_Mat,$C160)),"Before count date – already in the count","OK"))))))))</f>
        <v/>
      </c>
    </row>
    <row r="161" customFormat="false" ht="15" hidden="false" customHeight="false" outlineLevel="0" collapsed="false">
      <c r="A161" s="65"/>
      <c r="B161" s="63"/>
      <c r="C161" s="70"/>
      <c r="D161" s="16" t="str">
        <f aca="false">IF($C161="","",IFERROR(INDEX(Mat_Short,MATCH($C161,Mat_Code,0)),"⚠ Unknown code"))</f>
        <v/>
      </c>
      <c r="E161" s="66"/>
      <c r="F161" s="64" t="str">
        <f aca="false">IF($C161="","",IFERROR(INDEX(Mat_Unit,MATCH($C161,Mat_Code,0)),""))</f>
        <v/>
      </c>
      <c r="G161" s="70"/>
      <c r="H161" s="63"/>
      <c r="I161" s="63"/>
      <c r="J161" s="63"/>
      <c r="K161" s="16" t="str">
        <f aca="false">IF(AND($A161="",$B161="",$C161="",$E161=""),"",IF($A161="","⚠ Date missing",IF(OR($B161="",$C161=""),"⚠ Site / material missing",IF(COUNTIFS(CI_Site,$B161,CI_Mat,$C161)=0,"⚠ No Current Inventory row for this site + material",IF($G161="","⚠ Status missing",IF(AND($G161="Scheduled",$A161&lt;=AsOfDate),"⚠ Scheduled date reached – mark Received or re-date",IF(AND($G161="Received",$A161&gt;AsOfDate),"Future-dated – added on its date",IF(AND($G161="Received",$A161&lt;SUMIFS(CI_Count,CI_Site,$B161,CI_Mat,$C161)),"Before count date – already in the count","OK"))))))))</f>
        <v/>
      </c>
    </row>
    <row r="162" customFormat="false" ht="15" hidden="false" customHeight="false" outlineLevel="0" collapsed="false">
      <c r="A162" s="65"/>
      <c r="B162" s="63"/>
      <c r="C162" s="70"/>
      <c r="D162" s="16" t="str">
        <f aca="false">IF($C162="","",IFERROR(INDEX(Mat_Short,MATCH($C162,Mat_Code,0)),"⚠ Unknown code"))</f>
        <v/>
      </c>
      <c r="E162" s="66"/>
      <c r="F162" s="64" t="str">
        <f aca="false">IF($C162="","",IFERROR(INDEX(Mat_Unit,MATCH($C162,Mat_Code,0)),""))</f>
        <v/>
      </c>
      <c r="G162" s="70"/>
      <c r="H162" s="63"/>
      <c r="I162" s="63"/>
      <c r="J162" s="63"/>
      <c r="K162" s="16" t="str">
        <f aca="false">IF(AND($A162="",$B162="",$C162="",$E162=""),"",IF($A162="","⚠ Date missing",IF(OR($B162="",$C162=""),"⚠ Site / material missing",IF(COUNTIFS(CI_Site,$B162,CI_Mat,$C162)=0,"⚠ No Current Inventory row for this site + material",IF($G162="","⚠ Status missing",IF(AND($G162="Scheduled",$A162&lt;=AsOfDate),"⚠ Scheduled date reached – mark Received or re-date",IF(AND($G162="Received",$A162&gt;AsOfDate),"Future-dated – added on its date",IF(AND($G162="Received",$A162&lt;SUMIFS(CI_Count,CI_Site,$B162,CI_Mat,$C162)),"Before count date – already in the count","OK"))))))))</f>
        <v/>
      </c>
    </row>
    <row r="163" customFormat="false" ht="15" hidden="false" customHeight="false" outlineLevel="0" collapsed="false">
      <c r="A163" s="65"/>
      <c r="B163" s="63"/>
      <c r="C163" s="70"/>
      <c r="D163" s="16" t="str">
        <f aca="false">IF($C163="","",IFERROR(INDEX(Mat_Short,MATCH($C163,Mat_Code,0)),"⚠ Unknown code"))</f>
        <v/>
      </c>
      <c r="E163" s="66"/>
      <c r="F163" s="64" t="str">
        <f aca="false">IF($C163="","",IFERROR(INDEX(Mat_Unit,MATCH($C163,Mat_Code,0)),""))</f>
        <v/>
      </c>
      <c r="G163" s="70"/>
      <c r="H163" s="63"/>
      <c r="I163" s="63"/>
      <c r="J163" s="63"/>
      <c r="K163" s="16" t="str">
        <f aca="false">IF(AND($A163="",$B163="",$C163="",$E163=""),"",IF($A163="","⚠ Date missing",IF(OR($B163="",$C163=""),"⚠ Site / material missing",IF(COUNTIFS(CI_Site,$B163,CI_Mat,$C163)=0,"⚠ No Current Inventory row for this site + material",IF($G163="","⚠ Status missing",IF(AND($G163="Scheduled",$A163&lt;=AsOfDate),"⚠ Scheduled date reached – mark Received or re-date",IF(AND($G163="Received",$A163&gt;AsOfDate),"Future-dated – added on its date",IF(AND($G163="Received",$A163&lt;SUMIFS(CI_Count,CI_Site,$B163,CI_Mat,$C163)),"Before count date – already in the count","OK"))))))))</f>
        <v/>
      </c>
    </row>
    <row r="164" customFormat="false" ht="15" hidden="false" customHeight="false" outlineLevel="0" collapsed="false">
      <c r="A164" s="65"/>
      <c r="B164" s="63"/>
      <c r="C164" s="70"/>
      <c r="D164" s="16" t="str">
        <f aca="false">IF($C164="","",IFERROR(INDEX(Mat_Short,MATCH($C164,Mat_Code,0)),"⚠ Unknown code"))</f>
        <v/>
      </c>
      <c r="E164" s="66"/>
      <c r="F164" s="64" t="str">
        <f aca="false">IF($C164="","",IFERROR(INDEX(Mat_Unit,MATCH($C164,Mat_Code,0)),""))</f>
        <v/>
      </c>
      <c r="G164" s="70"/>
      <c r="H164" s="63"/>
      <c r="I164" s="63"/>
      <c r="J164" s="63"/>
      <c r="K164" s="16" t="str">
        <f aca="false">IF(AND($A164="",$B164="",$C164="",$E164=""),"",IF($A164="","⚠ Date missing",IF(OR($B164="",$C164=""),"⚠ Site / material missing",IF(COUNTIFS(CI_Site,$B164,CI_Mat,$C164)=0,"⚠ No Current Inventory row for this site + material",IF($G164="","⚠ Status missing",IF(AND($G164="Scheduled",$A164&lt;=AsOfDate),"⚠ Scheduled date reached – mark Received or re-date",IF(AND($G164="Received",$A164&gt;AsOfDate),"Future-dated – added on its date",IF(AND($G164="Received",$A164&lt;SUMIFS(CI_Count,CI_Site,$B164,CI_Mat,$C164)),"Before count date – already in the count","OK"))))))))</f>
        <v/>
      </c>
    </row>
    <row r="165" customFormat="false" ht="15" hidden="false" customHeight="false" outlineLevel="0" collapsed="false">
      <c r="A165" s="65"/>
      <c r="B165" s="63"/>
      <c r="C165" s="70"/>
      <c r="D165" s="16" t="str">
        <f aca="false">IF($C165="","",IFERROR(INDEX(Mat_Short,MATCH($C165,Mat_Code,0)),"⚠ Unknown code"))</f>
        <v/>
      </c>
      <c r="E165" s="66"/>
      <c r="F165" s="64" t="str">
        <f aca="false">IF($C165="","",IFERROR(INDEX(Mat_Unit,MATCH($C165,Mat_Code,0)),""))</f>
        <v/>
      </c>
      <c r="G165" s="70"/>
      <c r="H165" s="63"/>
      <c r="I165" s="63"/>
      <c r="J165" s="63"/>
      <c r="K165" s="16" t="str">
        <f aca="false">IF(AND($A165="",$B165="",$C165="",$E165=""),"",IF($A165="","⚠ Date missing",IF(OR($B165="",$C165=""),"⚠ Site / material missing",IF(COUNTIFS(CI_Site,$B165,CI_Mat,$C165)=0,"⚠ No Current Inventory row for this site + material",IF($G165="","⚠ Status missing",IF(AND($G165="Scheduled",$A165&lt;=AsOfDate),"⚠ Scheduled date reached – mark Received or re-date",IF(AND($G165="Received",$A165&gt;AsOfDate),"Future-dated – added on its date",IF(AND($G165="Received",$A165&lt;SUMIFS(CI_Count,CI_Site,$B165,CI_Mat,$C165)),"Before count date – already in the count","OK"))))))))</f>
        <v/>
      </c>
    </row>
    <row r="166" customFormat="false" ht="15" hidden="false" customHeight="false" outlineLevel="0" collapsed="false">
      <c r="A166" s="65"/>
      <c r="B166" s="63"/>
      <c r="C166" s="70"/>
      <c r="D166" s="16" t="str">
        <f aca="false">IF($C166="","",IFERROR(INDEX(Mat_Short,MATCH($C166,Mat_Code,0)),"⚠ Unknown code"))</f>
        <v/>
      </c>
      <c r="E166" s="66"/>
      <c r="F166" s="64" t="str">
        <f aca="false">IF($C166="","",IFERROR(INDEX(Mat_Unit,MATCH($C166,Mat_Code,0)),""))</f>
        <v/>
      </c>
      <c r="G166" s="70"/>
      <c r="H166" s="63"/>
      <c r="I166" s="63"/>
      <c r="J166" s="63"/>
      <c r="K166" s="16" t="str">
        <f aca="false">IF(AND($A166="",$B166="",$C166="",$E166=""),"",IF($A166="","⚠ Date missing",IF(OR($B166="",$C166=""),"⚠ Site / material missing",IF(COUNTIFS(CI_Site,$B166,CI_Mat,$C166)=0,"⚠ No Current Inventory row for this site + material",IF($G166="","⚠ Status missing",IF(AND($G166="Scheduled",$A166&lt;=AsOfDate),"⚠ Scheduled date reached – mark Received or re-date",IF(AND($G166="Received",$A166&gt;AsOfDate),"Future-dated – added on its date",IF(AND($G166="Received",$A166&lt;SUMIFS(CI_Count,CI_Site,$B166,CI_Mat,$C166)),"Before count date – already in the count","OK"))))))))</f>
        <v/>
      </c>
    </row>
    <row r="167" customFormat="false" ht="15" hidden="false" customHeight="false" outlineLevel="0" collapsed="false">
      <c r="A167" s="65"/>
      <c r="B167" s="63"/>
      <c r="C167" s="70"/>
      <c r="D167" s="16" t="str">
        <f aca="false">IF($C167="","",IFERROR(INDEX(Mat_Short,MATCH($C167,Mat_Code,0)),"⚠ Unknown code"))</f>
        <v/>
      </c>
      <c r="E167" s="66"/>
      <c r="F167" s="64" t="str">
        <f aca="false">IF($C167="","",IFERROR(INDEX(Mat_Unit,MATCH($C167,Mat_Code,0)),""))</f>
        <v/>
      </c>
      <c r="G167" s="70"/>
      <c r="H167" s="63"/>
      <c r="I167" s="63"/>
      <c r="J167" s="63"/>
      <c r="K167" s="16" t="str">
        <f aca="false">IF(AND($A167="",$B167="",$C167="",$E167=""),"",IF($A167="","⚠ Date missing",IF(OR($B167="",$C167=""),"⚠ Site / material missing",IF(COUNTIFS(CI_Site,$B167,CI_Mat,$C167)=0,"⚠ No Current Inventory row for this site + material",IF($G167="","⚠ Status missing",IF(AND($G167="Scheduled",$A167&lt;=AsOfDate),"⚠ Scheduled date reached – mark Received or re-date",IF(AND($G167="Received",$A167&gt;AsOfDate),"Future-dated – added on its date",IF(AND($G167="Received",$A167&lt;SUMIFS(CI_Count,CI_Site,$B167,CI_Mat,$C167)),"Before count date – already in the count","OK"))))))))</f>
        <v/>
      </c>
    </row>
    <row r="168" customFormat="false" ht="15" hidden="false" customHeight="false" outlineLevel="0" collapsed="false">
      <c r="A168" s="65"/>
      <c r="B168" s="63"/>
      <c r="C168" s="70"/>
      <c r="D168" s="16" t="str">
        <f aca="false">IF($C168="","",IFERROR(INDEX(Mat_Short,MATCH($C168,Mat_Code,0)),"⚠ Unknown code"))</f>
        <v/>
      </c>
      <c r="E168" s="66"/>
      <c r="F168" s="64" t="str">
        <f aca="false">IF($C168="","",IFERROR(INDEX(Mat_Unit,MATCH($C168,Mat_Code,0)),""))</f>
        <v/>
      </c>
      <c r="G168" s="70"/>
      <c r="H168" s="63"/>
      <c r="I168" s="63"/>
      <c r="J168" s="63"/>
      <c r="K168" s="16" t="str">
        <f aca="false">IF(AND($A168="",$B168="",$C168="",$E168=""),"",IF($A168="","⚠ Date missing",IF(OR($B168="",$C168=""),"⚠ Site / material missing",IF(COUNTIFS(CI_Site,$B168,CI_Mat,$C168)=0,"⚠ No Current Inventory row for this site + material",IF($G168="","⚠ Status missing",IF(AND($G168="Scheduled",$A168&lt;=AsOfDate),"⚠ Scheduled date reached – mark Received or re-date",IF(AND($G168="Received",$A168&gt;AsOfDate),"Future-dated – added on its date",IF(AND($G168="Received",$A168&lt;SUMIFS(CI_Count,CI_Site,$B168,CI_Mat,$C168)),"Before count date – already in the count","OK"))))))))</f>
        <v/>
      </c>
    </row>
    <row r="169" customFormat="false" ht="15" hidden="false" customHeight="false" outlineLevel="0" collapsed="false">
      <c r="A169" s="65"/>
      <c r="B169" s="63"/>
      <c r="C169" s="70"/>
      <c r="D169" s="16" t="str">
        <f aca="false">IF($C169="","",IFERROR(INDEX(Mat_Short,MATCH($C169,Mat_Code,0)),"⚠ Unknown code"))</f>
        <v/>
      </c>
      <c r="E169" s="66"/>
      <c r="F169" s="64" t="str">
        <f aca="false">IF($C169="","",IFERROR(INDEX(Mat_Unit,MATCH($C169,Mat_Code,0)),""))</f>
        <v/>
      </c>
      <c r="G169" s="70"/>
      <c r="H169" s="63"/>
      <c r="I169" s="63"/>
      <c r="J169" s="63"/>
      <c r="K169" s="16" t="str">
        <f aca="false">IF(AND($A169="",$B169="",$C169="",$E169=""),"",IF($A169="","⚠ Date missing",IF(OR($B169="",$C169=""),"⚠ Site / material missing",IF(COUNTIFS(CI_Site,$B169,CI_Mat,$C169)=0,"⚠ No Current Inventory row for this site + material",IF($G169="","⚠ Status missing",IF(AND($G169="Scheduled",$A169&lt;=AsOfDate),"⚠ Scheduled date reached – mark Received or re-date",IF(AND($G169="Received",$A169&gt;AsOfDate),"Future-dated – added on its date",IF(AND($G169="Received",$A169&lt;SUMIFS(CI_Count,CI_Site,$B169,CI_Mat,$C169)),"Before count date – already in the count","OK"))))))))</f>
        <v/>
      </c>
    </row>
    <row r="170" customFormat="false" ht="15" hidden="false" customHeight="false" outlineLevel="0" collapsed="false">
      <c r="A170" s="65"/>
      <c r="B170" s="63"/>
      <c r="C170" s="70"/>
      <c r="D170" s="16" t="str">
        <f aca="false">IF($C170="","",IFERROR(INDEX(Mat_Short,MATCH($C170,Mat_Code,0)),"⚠ Unknown code"))</f>
        <v/>
      </c>
      <c r="E170" s="66"/>
      <c r="F170" s="64" t="str">
        <f aca="false">IF($C170="","",IFERROR(INDEX(Mat_Unit,MATCH($C170,Mat_Code,0)),""))</f>
        <v/>
      </c>
      <c r="G170" s="70"/>
      <c r="H170" s="63"/>
      <c r="I170" s="63"/>
      <c r="J170" s="63"/>
      <c r="K170" s="16" t="str">
        <f aca="false">IF(AND($A170="",$B170="",$C170="",$E170=""),"",IF($A170="","⚠ Date missing",IF(OR($B170="",$C170=""),"⚠ Site / material missing",IF(COUNTIFS(CI_Site,$B170,CI_Mat,$C170)=0,"⚠ No Current Inventory row for this site + material",IF($G170="","⚠ Status missing",IF(AND($G170="Scheduled",$A170&lt;=AsOfDate),"⚠ Scheduled date reached – mark Received or re-date",IF(AND($G170="Received",$A170&gt;AsOfDate),"Future-dated – added on its date",IF(AND($G170="Received",$A170&lt;SUMIFS(CI_Count,CI_Site,$B170,CI_Mat,$C170)),"Before count date – already in the count","OK"))))))))</f>
        <v/>
      </c>
    </row>
    <row r="171" customFormat="false" ht="15" hidden="false" customHeight="false" outlineLevel="0" collapsed="false">
      <c r="A171" s="65"/>
      <c r="B171" s="63"/>
      <c r="C171" s="70"/>
      <c r="D171" s="16" t="str">
        <f aca="false">IF($C171="","",IFERROR(INDEX(Mat_Short,MATCH($C171,Mat_Code,0)),"⚠ Unknown code"))</f>
        <v/>
      </c>
      <c r="E171" s="66"/>
      <c r="F171" s="64" t="str">
        <f aca="false">IF($C171="","",IFERROR(INDEX(Mat_Unit,MATCH($C171,Mat_Code,0)),""))</f>
        <v/>
      </c>
      <c r="G171" s="70"/>
      <c r="H171" s="63"/>
      <c r="I171" s="63"/>
      <c r="J171" s="63"/>
      <c r="K171" s="16" t="str">
        <f aca="false">IF(AND($A171="",$B171="",$C171="",$E171=""),"",IF($A171="","⚠ Date missing",IF(OR($B171="",$C171=""),"⚠ Site / material missing",IF(COUNTIFS(CI_Site,$B171,CI_Mat,$C171)=0,"⚠ No Current Inventory row for this site + material",IF($G171="","⚠ Status missing",IF(AND($G171="Scheduled",$A171&lt;=AsOfDate),"⚠ Scheduled date reached – mark Received or re-date",IF(AND($G171="Received",$A171&gt;AsOfDate),"Future-dated – added on its date",IF(AND($G171="Received",$A171&lt;SUMIFS(CI_Count,CI_Site,$B171,CI_Mat,$C171)),"Before count date – already in the count","OK"))))))))</f>
        <v/>
      </c>
    </row>
    <row r="172" customFormat="false" ht="15" hidden="false" customHeight="false" outlineLevel="0" collapsed="false">
      <c r="A172" s="65"/>
      <c r="B172" s="63"/>
      <c r="C172" s="70"/>
      <c r="D172" s="16" t="str">
        <f aca="false">IF($C172="","",IFERROR(INDEX(Mat_Short,MATCH($C172,Mat_Code,0)),"⚠ Unknown code"))</f>
        <v/>
      </c>
      <c r="E172" s="66"/>
      <c r="F172" s="64" t="str">
        <f aca="false">IF($C172="","",IFERROR(INDEX(Mat_Unit,MATCH($C172,Mat_Code,0)),""))</f>
        <v/>
      </c>
      <c r="G172" s="70"/>
      <c r="H172" s="63"/>
      <c r="I172" s="63"/>
      <c r="J172" s="63"/>
      <c r="K172" s="16" t="str">
        <f aca="false">IF(AND($A172="",$B172="",$C172="",$E172=""),"",IF($A172="","⚠ Date missing",IF(OR($B172="",$C172=""),"⚠ Site / material missing",IF(COUNTIFS(CI_Site,$B172,CI_Mat,$C172)=0,"⚠ No Current Inventory row for this site + material",IF($G172="","⚠ Status missing",IF(AND($G172="Scheduled",$A172&lt;=AsOfDate),"⚠ Scheduled date reached – mark Received or re-date",IF(AND($G172="Received",$A172&gt;AsOfDate),"Future-dated – added on its date",IF(AND($G172="Received",$A172&lt;SUMIFS(CI_Count,CI_Site,$B172,CI_Mat,$C172)),"Before count date – already in the count","OK"))))))))</f>
        <v/>
      </c>
    </row>
    <row r="173" customFormat="false" ht="15" hidden="false" customHeight="false" outlineLevel="0" collapsed="false">
      <c r="A173" s="65"/>
      <c r="B173" s="63"/>
      <c r="C173" s="70"/>
      <c r="D173" s="16" t="str">
        <f aca="false">IF($C173="","",IFERROR(INDEX(Mat_Short,MATCH($C173,Mat_Code,0)),"⚠ Unknown code"))</f>
        <v/>
      </c>
      <c r="E173" s="66"/>
      <c r="F173" s="64" t="str">
        <f aca="false">IF($C173="","",IFERROR(INDEX(Mat_Unit,MATCH($C173,Mat_Code,0)),""))</f>
        <v/>
      </c>
      <c r="G173" s="70"/>
      <c r="H173" s="63"/>
      <c r="I173" s="63"/>
      <c r="J173" s="63"/>
      <c r="K173" s="16" t="str">
        <f aca="false">IF(AND($A173="",$B173="",$C173="",$E173=""),"",IF($A173="","⚠ Date missing",IF(OR($B173="",$C173=""),"⚠ Site / material missing",IF(COUNTIFS(CI_Site,$B173,CI_Mat,$C173)=0,"⚠ No Current Inventory row for this site + material",IF($G173="","⚠ Status missing",IF(AND($G173="Scheduled",$A173&lt;=AsOfDate),"⚠ Scheduled date reached – mark Received or re-date",IF(AND($G173="Received",$A173&gt;AsOfDate),"Future-dated – added on its date",IF(AND($G173="Received",$A173&lt;SUMIFS(CI_Count,CI_Site,$B173,CI_Mat,$C173)),"Before count date – already in the count","OK"))))))))</f>
        <v/>
      </c>
    </row>
    <row r="174" customFormat="false" ht="15" hidden="false" customHeight="false" outlineLevel="0" collapsed="false">
      <c r="A174" s="65"/>
      <c r="B174" s="63"/>
      <c r="C174" s="70"/>
      <c r="D174" s="16" t="str">
        <f aca="false">IF($C174="","",IFERROR(INDEX(Mat_Short,MATCH($C174,Mat_Code,0)),"⚠ Unknown code"))</f>
        <v/>
      </c>
      <c r="E174" s="66"/>
      <c r="F174" s="64" t="str">
        <f aca="false">IF($C174="","",IFERROR(INDEX(Mat_Unit,MATCH($C174,Mat_Code,0)),""))</f>
        <v/>
      </c>
      <c r="G174" s="70"/>
      <c r="H174" s="63"/>
      <c r="I174" s="63"/>
      <c r="J174" s="63"/>
      <c r="K174" s="16" t="str">
        <f aca="false">IF(AND($A174="",$B174="",$C174="",$E174=""),"",IF($A174="","⚠ Date missing",IF(OR($B174="",$C174=""),"⚠ Site / material missing",IF(COUNTIFS(CI_Site,$B174,CI_Mat,$C174)=0,"⚠ No Current Inventory row for this site + material",IF($G174="","⚠ Status missing",IF(AND($G174="Scheduled",$A174&lt;=AsOfDate),"⚠ Scheduled date reached – mark Received or re-date",IF(AND($G174="Received",$A174&gt;AsOfDate),"Future-dated – added on its date",IF(AND($G174="Received",$A174&lt;SUMIFS(CI_Count,CI_Site,$B174,CI_Mat,$C174)),"Before count date – already in the count","OK"))))))))</f>
        <v/>
      </c>
    </row>
    <row r="175" customFormat="false" ht="15" hidden="false" customHeight="false" outlineLevel="0" collapsed="false">
      <c r="A175" s="65"/>
      <c r="B175" s="63"/>
      <c r="C175" s="70"/>
      <c r="D175" s="16" t="str">
        <f aca="false">IF($C175="","",IFERROR(INDEX(Mat_Short,MATCH($C175,Mat_Code,0)),"⚠ Unknown code"))</f>
        <v/>
      </c>
      <c r="E175" s="66"/>
      <c r="F175" s="64" t="str">
        <f aca="false">IF($C175="","",IFERROR(INDEX(Mat_Unit,MATCH($C175,Mat_Code,0)),""))</f>
        <v/>
      </c>
      <c r="G175" s="70"/>
      <c r="H175" s="63"/>
      <c r="I175" s="63"/>
      <c r="J175" s="63"/>
      <c r="K175" s="16" t="str">
        <f aca="false">IF(AND($A175="",$B175="",$C175="",$E175=""),"",IF($A175="","⚠ Date missing",IF(OR($B175="",$C175=""),"⚠ Site / material missing",IF(COUNTIFS(CI_Site,$B175,CI_Mat,$C175)=0,"⚠ No Current Inventory row for this site + material",IF($G175="","⚠ Status missing",IF(AND($G175="Scheduled",$A175&lt;=AsOfDate),"⚠ Scheduled date reached – mark Received or re-date",IF(AND($G175="Received",$A175&gt;AsOfDate),"Future-dated – added on its date",IF(AND($G175="Received",$A175&lt;SUMIFS(CI_Count,CI_Site,$B175,CI_Mat,$C175)),"Before count date – already in the count","OK"))))))))</f>
        <v/>
      </c>
    </row>
    <row r="176" customFormat="false" ht="15" hidden="false" customHeight="false" outlineLevel="0" collapsed="false">
      <c r="A176" s="65"/>
      <c r="B176" s="63"/>
      <c r="C176" s="70"/>
      <c r="D176" s="16" t="str">
        <f aca="false">IF($C176="","",IFERROR(INDEX(Mat_Short,MATCH($C176,Mat_Code,0)),"⚠ Unknown code"))</f>
        <v/>
      </c>
      <c r="E176" s="66"/>
      <c r="F176" s="64" t="str">
        <f aca="false">IF($C176="","",IFERROR(INDEX(Mat_Unit,MATCH($C176,Mat_Code,0)),""))</f>
        <v/>
      </c>
      <c r="G176" s="70"/>
      <c r="H176" s="63"/>
      <c r="I176" s="63"/>
      <c r="J176" s="63"/>
      <c r="K176" s="16" t="str">
        <f aca="false">IF(AND($A176="",$B176="",$C176="",$E176=""),"",IF($A176="","⚠ Date missing",IF(OR($B176="",$C176=""),"⚠ Site / material missing",IF(COUNTIFS(CI_Site,$B176,CI_Mat,$C176)=0,"⚠ No Current Inventory row for this site + material",IF($G176="","⚠ Status missing",IF(AND($G176="Scheduled",$A176&lt;=AsOfDate),"⚠ Scheduled date reached – mark Received or re-date",IF(AND($G176="Received",$A176&gt;AsOfDate),"Future-dated – added on its date",IF(AND($G176="Received",$A176&lt;SUMIFS(CI_Count,CI_Site,$B176,CI_Mat,$C176)),"Before count date – already in the count","OK"))))))))</f>
        <v/>
      </c>
    </row>
    <row r="177" customFormat="false" ht="15" hidden="false" customHeight="false" outlineLevel="0" collapsed="false">
      <c r="A177" s="65"/>
      <c r="B177" s="63"/>
      <c r="C177" s="70"/>
      <c r="D177" s="16" t="str">
        <f aca="false">IF($C177="","",IFERROR(INDEX(Mat_Short,MATCH($C177,Mat_Code,0)),"⚠ Unknown code"))</f>
        <v/>
      </c>
      <c r="E177" s="66"/>
      <c r="F177" s="64" t="str">
        <f aca="false">IF($C177="","",IFERROR(INDEX(Mat_Unit,MATCH($C177,Mat_Code,0)),""))</f>
        <v/>
      </c>
      <c r="G177" s="70"/>
      <c r="H177" s="63"/>
      <c r="I177" s="63"/>
      <c r="J177" s="63"/>
      <c r="K177" s="16" t="str">
        <f aca="false">IF(AND($A177="",$B177="",$C177="",$E177=""),"",IF($A177="","⚠ Date missing",IF(OR($B177="",$C177=""),"⚠ Site / material missing",IF(COUNTIFS(CI_Site,$B177,CI_Mat,$C177)=0,"⚠ No Current Inventory row for this site + material",IF($G177="","⚠ Status missing",IF(AND($G177="Scheduled",$A177&lt;=AsOfDate),"⚠ Scheduled date reached – mark Received or re-date",IF(AND($G177="Received",$A177&gt;AsOfDate),"Future-dated – added on its date",IF(AND($G177="Received",$A177&lt;SUMIFS(CI_Count,CI_Site,$B177,CI_Mat,$C177)),"Before count date – already in the count","OK"))))))))</f>
        <v/>
      </c>
    </row>
    <row r="178" customFormat="false" ht="15" hidden="false" customHeight="false" outlineLevel="0" collapsed="false">
      <c r="A178" s="65"/>
      <c r="B178" s="63"/>
      <c r="C178" s="70"/>
      <c r="D178" s="16" t="str">
        <f aca="false">IF($C178="","",IFERROR(INDEX(Mat_Short,MATCH($C178,Mat_Code,0)),"⚠ Unknown code"))</f>
        <v/>
      </c>
      <c r="E178" s="66"/>
      <c r="F178" s="64" t="str">
        <f aca="false">IF($C178="","",IFERROR(INDEX(Mat_Unit,MATCH($C178,Mat_Code,0)),""))</f>
        <v/>
      </c>
      <c r="G178" s="70"/>
      <c r="H178" s="63"/>
      <c r="I178" s="63"/>
      <c r="J178" s="63"/>
      <c r="K178" s="16" t="str">
        <f aca="false">IF(AND($A178="",$B178="",$C178="",$E178=""),"",IF($A178="","⚠ Date missing",IF(OR($B178="",$C178=""),"⚠ Site / material missing",IF(COUNTIFS(CI_Site,$B178,CI_Mat,$C178)=0,"⚠ No Current Inventory row for this site + material",IF($G178="","⚠ Status missing",IF(AND($G178="Scheduled",$A178&lt;=AsOfDate),"⚠ Scheduled date reached – mark Received or re-date",IF(AND($G178="Received",$A178&gt;AsOfDate),"Future-dated – added on its date",IF(AND($G178="Received",$A178&lt;SUMIFS(CI_Count,CI_Site,$B178,CI_Mat,$C178)),"Before count date – already in the count","OK"))))))))</f>
        <v/>
      </c>
    </row>
    <row r="179" customFormat="false" ht="15" hidden="false" customHeight="false" outlineLevel="0" collapsed="false">
      <c r="A179" s="65"/>
      <c r="B179" s="63"/>
      <c r="C179" s="70"/>
      <c r="D179" s="16" t="str">
        <f aca="false">IF($C179="","",IFERROR(INDEX(Mat_Short,MATCH($C179,Mat_Code,0)),"⚠ Unknown code"))</f>
        <v/>
      </c>
      <c r="E179" s="66"/>
      <c r="F179" s="64" t="str">
        <f aca="false">IF($C179="","",IFERROR(INDEX(Mat_Unit,MATCH($C179,Mat_Code,0)),""))</f>
        <v/>
      </c>
      <c r="G179" s="70"/>
      <c r="H179" s="63"/>
      <c r="I179" s="63"/>
      <c r="J179" s="63"/>
      <c r="K179" s="16" t="str">
        <f aca="false">IF(AND($A179="",$B179="",$C179="",$E179=""),"",IF($A179="","⚠ Date missing",IF(OR($B179="",$C179=""),"⚠ Site / material missing",IF(COUNTIFS(CI_Site,$B179,CI_Mat,$C179)=0,"⚠ No Current Inventory row for this site + material",IF($G179="","⚠ Status missing",IF(AND($G179="Scheduled",$A179&lt;=AsOfDate),"⚠ Scheduled date reached – mark Received or re-date",IF(AND($G179="Received",$A179&gt;AsOfDate),"Future-dated – added on its date",IF(AND($G179="Received",$A179&lt;SUMIFS(CI_Count,CI_Site,$B179,CI_Mat,$C179)),"Before count date – already in the count","OK"))))))))</f>
        <v/>
      </c>
    </row>
    <row r="180" customFormat="false" ht="15" hidden="false" customHeight="false" outlineLevel="0" collapsed="false">
      <c r="A180" s="65"/>
      <c r="B180" s="63"/>
      <c r="C180" s="70"/>
      <c r="D180" s="16" t="str">
        <f aca="false">IF($C180="","",IFERROR(INDEX(Mat_Short,MATCH($C180,Mat_Code,0)),"⚠ Unknown code"))</f>
        <v/>
      </c>
      <c r="E180" s="66"/>
      <c r="F180" s="64" t="str">
        <f aca="false">IF($C180="","",IFERROR(INDEX(Mat_Unit,MATCH($C180,Mat_Code,0)),""))</f>
        <v/>
      </c>
      <c r="G180" s="70"/>
      <c r="H180" s="63"/>
      <c r="I180" s="63"/>
      <c r="J180" s="63"/>
      <c r="K180" s="16" t="str">
        <f aca="false">IF(AND($A180="",$B180="",$C180="",$E180=""),"",IF($A180="","⚠ Date missing",IF(OR($B180="",$C180=""),"⚠ Site / material missing",IF(COUNTIFS(CI_Site,$B180,CI_Mat,$C180)=0,"⚠ No Current Inventory row for this site + material",IF($G180="","⚠ Status missing",IF(AND($G180="Scheduled",$A180&lt;=AsOfDate),"⚠ Scheduled date reached – mark Received or re-date",IF(AND($G180="Received",$A180&gt;AsOfDate),"Future-dated – added on its date",IF(AND($G180="Received",$A180&lt;SUMIFS(CI_Count,CI_Site,$B180,CI_Mat,$C180)),"Before count date – already in the count","OK"))))))))</f>
        <v/>
      </c>
    </row>
    <row r="181" customFormat="false" ht="15" hidden="false" customHeight="false" outlineLevel="0" collapsed="false">
      <c r="A181" s="65"/>
      <c r="B181" s="63"/>
      <c r="C181" s="70"/>
      <c r="D181" s="16" t="str">
        <f aca="false">IF($C181="","",IFERROR(INDEX(Mat_Short,MATCH($C181,Mat_Code,0)),"⚠ Unknown code"))</f>
        <v/>
      </c>
      <c r="E181" s="66"/>
      <c r="F181" s="64" t="str">
        <f aca="false">IF($C181="","",IFERROR(INDEX(Mat_Unit,MATCH($C181,Mat_Code,0)),""))</f>
        <v/>
      </c>
      <c r="G181" s="70"/>
      <c r="H181" s="63"/>
      <c r="I181" s="63"/>
      <c r="J181" s="63"/>
      <c r="K181" s="16" t="str">
        <f aca="false">IF(AND($A181="",$B181="",$C181="",$E181=""),"",IF($A181="","⚠ Date missing",IF(OR($B181="",$C181=""),"⚠ Site / material missing",IF(COUNTIFS(CI_Site,$B181,CI_Mat,$C181)=0,"⚠ No Current Inventory row for this site + material",IF($G181="","⚠ Status missing",IF(AND($G181="Scheduled",$A181&lt;=AsOfDate),"⚠ Scheduled date reached – mark Received or re-date",IF(AND($G181="Received",$A181&gt;AsOfDate),"Future-dated – added on its date",IF(AND($G181="Received",$A181&lt;SUMIFS(CI_Count,CI_Site,$B181,CI_Mat,$C181)),"Before count date – already in the count","OK"))))))))</f>
        <v/>
      </c>
    </row>
    <row r="182" customFormat="false" ht="15" hidden="false" customHeight="false" outlineLevel="0" collapsed="false">
      <c r="A182" s="65"/>
      <c r="B182" s="63"/>
      <c r="C182" s="70"/>
      <c r="D182" s="16" t="str">
        <f aca="false">IF($C182="","",IFERROR(INDEX(Mat_Short,MATCH($C182,Mat_Code,0)),"⚠ Unknown code"))</f>
        <v/>
      </c>
      <c r="E182" s="66"/>
      <c r="F182" s="64" t="str">
        <f aca="false">IF($C182="","",IFERROR(INDEX(Mat_Unit,MATCH($C182,Mat_Code,0)),""))</f>
        <v/>
      </c>
      <c r="G182" s="70"/>
      <c r="H182" s="63"/>
      <c r="I182" s="63"/>
      <c r="J182" s="63"/>
      <c r="K182" s="16" t="str">
        <f aca="false">IF(AND($A182="",$B182="",$C182="",$E182=""),"",IF($A182="","⚠ Date missing",IF(OR($B182="",$C182=""),"⚠ Site / material missing",IF(COUNTIFS(CI_Site,$B182,CI_Mat,$C182)=0,"⚠ No Current Inventory row for this site + material",IF($G182="","⚠ Status missing",IF(AND($G182="Scheduled",$A182&lt;=AsOfDate),"⚠ Scheduled date reached – mark Received or re-date",IF(AND($G182="Received",$A182&gt;AsOfDate),"Future-dated – added on its date",IF(AND($G182="Received",$A182&lt;SUMIFS(CI_Count,CI_Site,$B182,CI_Mat,$C182)),"Before count date – already in the count","OK"))))))))</f>
        <v/>
      </c>
    </row>
    <row r="183" customFormat="false" ht="15" hidden="false" customHeight="false" outlineLevel="0" collapsed="false">
      <c r="A183" s="65"/>
      <c r="B183" s="63"/>
      <c r="C183" s="70"/>
      <c r="D183" s="16" t="str">
        <f aca="false">IF($C183="","",IFERROR(INDEX(Mat_Short,MATCH($C183,Mat_Code,0)),"⚠ Unknown code"))</f>
        <v/>
      </c>
      <c r="E183" s="66"/>
      <c r="F183" s="64" t="str">
        <f aca="false">IF($C183="","",IFERROR(INDEX(Mat_Unit,MATCH($C183,Mat_Code,0)),""))</f>
        <v/>
      </c>
      <c r="G183" s="70"/>
      <c r="H183" s="63"/>
      <c r="I183" s="63"/>
      <c r="J183" s="63"/>
      <c r="K183" s="16" t="str">
        <f aca="false">IF(AND($A183="",$B183="",$C183="",$E183=""),"",IF($A183="","⚠ Date missing",IF(OR($B183="",$C183=""),"⚠ Site / material missing",IF(COUNTIFS(CI_Site,$B183,CI_Mat,$C183)=0,"⚠ No Current Inventory row for this site + material",IF($G183="","⚠ Status missing",IF(AND($G183="Scheduled",$A183&lt;=AsOfDate),"⚠ Scheduled date reached – mark Received or re-date",IF(AND($G183="Received",$A183&gt;AsOfDate),"Future-dated – added on its date",IF(AND($G183="Received",$A183&lt;SUMIFS(CI_Count,CI_Site,$B183,CI_Mat,$C183)),"Before count date – already in the count","OK"))))))))</f>
        <v/>
      </c>
    </row>
    <row r="184" customFormat="false" ht="15" hidden="false" customHeight="false" outlineLevel="0" collapsed="false">
      <c r="A184" s="65"/>
      <c r="B184" s="63"/>
      <c r="C184" s="70"/>
      <c r="D184" s="16" t="str">
        <f aca="false">IF($C184="","",IFERROR(INDEX(Mat_Short,MATCH($C184,Mat_Code,0)),"⚠ Unknown code"))</f>
        <v/>
      </c>
      <c r="E184" s="66"/>
      <c r="F184" s="64" t="str">
        <f aca="false">IF($C184="","",IFERROR(INDEX(Mat_Unit,MATCH($C184,Mat_Code,0)),""))</f>
        <v/>
      </c>
      <c r="G184" s="70"/>
      <c r="H184" s="63"/>
      <c r="I184" s="63"/>
      <c r="J184" s="63"/>
      <c r="K184" s="16" t="str">
        <f aca="false">IF(AND($A184="",$B184="",$C184="",$E184=""),"",IF($A184="","⚠ Date missing",IF(OR($B184="",$C184=""),"⚠ Site / material missing",IF(COUNTIFS(CI_Site,$B184,CI_Mat,$C184)=0,"⚠ No Current Inventory row for this site + material",IF($G184="","⚠ Status missing",IF(AND($G184="Scheduled",$A184&lt;=AsOfDate),"⚠ Scheduled date reached – mark Received or re-date",IF(AND($G184="Received",$A184&gt;AsOfDate),"Future-dated – added on its date",IF(AND($G184="Received",$A184&lt;SUMIFS(CI_Count,CI_Site,$B184,CI_Mat,$C184)),"Before count date – already in the count","OK"))))))))</f>
        <v/>
      </c>
    </row>
    <row r="185" customFormat="false" ht="15" hidden="false" customHeight="false" outlineLevel="0" collapsed="false">
      <c r="A185" s="65"/>
      <c r="B185" s="63"/>
      <c r="C185" s="70"/>
      <c r="D185" s="16" t="str">
        <f aca="false">IF($C185="","",IFERROR(INDEX(Mat_Short,MATCH($C185,Mat_Code,0)),"⚠ Unknown code"))</f>
        <v/>
      </c>
      <c r="E185" s="66"/>
      <c r="F185" s="64" t="str">
        <f aca="false">IF($C185="","",IFERROR(INDEX(Mat_Unit,MATCH($C185,Mat_Code,0)),""))</f>
        <v/>
      </c>
      <c r="G185" s="70"/>
      <c r="H185" s="63"/>
      <c r="I185" s="63"/>
      <c r="J185" s="63"/>
      <c r="K185" s="16" t="str">
        <f aca="false">IF(AND($A185="",$B185="",$C185="",$E185=""),"",IF($A185="","⚠ Date missing",IF(OR($B185="",$C185=""),"⚠ Site / material missing",IF(COUNTIFS(CI_Site,$B185,CI_Mat,$C185)=0,"⚠ No Current Inventory row for this site + material",IF($G185="","⚠ Status missing",IF(AND($G185="Scheduled",$A185&lt;=AsOfDate),"⚠ Scheduled date reached – mark Received or re-date",IF(AND($G185="Received",$A185&gt;AsOfDate),"Future-dated – added on its date",IF(AND($G185="Received",$A185&lt;SUMIFS(CI_Count,CI_Site,$B185,CI_Mat,$C185)),"Before count date – already in the count","OK"))))))))</f>
        <v/>
      </c>
    </row>
    <row r="186" customFormat="false" ht="15" hidden="false" customHeight="false" outlineLevel="0" collapsed="false">
      <c r="A186" s="65"/>
      <c r="B186" s="63"/>
      <c r="C186" s="70"/>
      <c r="D186" s="16" t="str">
        <f aca="false">IF($C186="","",IFERROR(INDEX(Mat_Short,MATCH($C186,Mat_Code,0)),"⚠ Unknown code"))</f>
        <v/>
      </c>
      <c r="E186" s="66"/>
      <c r="F186" s="64" t="str">
        <f aca="false">IF($C186="","",IFERROR(INDEX(Mat_Unit,MATCH($C186,Mat_Code,0)),""))</f>
        <v/>
      </c>
      <c r="G186" s="70"/>
      <c r="H186" s="63"/>
      <c r="I186" s="63"/>
      <c r="J186" s="63"/>
      <c r="K186" s="16" t="str">
        <f aca="false">IF(AND($A186="",$B186="",$C186="",$E186=""),"",IF($A186="","⚠ Date missing",IF(OR($B186="",$C186=""),"⚠ Site / material missing",IF(COUNTIFS(CI_Site,$B186,CI_Mat,$C186)=0,"⚠ No Current Inventory row for this site + material",IF($G186="","⚠ Status missing",IF(AND($G186="Scheduled",$A186&lt;=AsOfDate),"⚠ Scheduled date reached – mark Received or re-date",IF(AND($G186="Received",$A186&gt;AsOfDate),"Future-dated – added on its date",IF(AND($G186="Received",$A186&lt;SUMIFS(CI_Count,CI_Site,$B186,CI_Mat,$C186)),"Before count date – already in the count","OK"))))))))</f>
        <v/>
      </c>
    </row>
    <row r="187" customFormat="false" ht="15" hidden="false" customHeight="false" outlineLevel="0" collapsed="false">
      <c r="A187" s="65"/>
      <c r="B187" s="63"/>
      <c r="C187" s="70"/>
      <c r="D187" s="16" t="str">
        <f aca="false">IF($C187="","",IFERROR(INDEX(Mat_Short,MATCH($C187,Mat_Code,0)),"⚠ Unknown code"))</f>
        <v/>
      </c>
      <c r="E187" s="66"/>
      <c r="F187" s="64" t="str">
        <f aca="false">IF($C187="","",IFERROR(INDEX(Mat_Unit,MATCH($C187,Mat_Code,0)),""))</f>
        <v/>
      </c>
      <c r="G187" s="70"/>
      <c r="H187" s="63"/>
      <c r="I187" s="63"/>
      <c r="J187" s="63"/>
      <c r="K187" s="16" t="str">
        <f aca="false">IF(AND($A187="",$B187="",$C187="",$E187=""),"",IF($A187="","⚠ Date missing",IF(OR($B187="",$C187=""),"⚠ Site / material missing",IF(COUNTIFS(CI_Site,$B187,CI_Mat,$C187)=0,"⚠ No Current Inventory row for this site + material",IF($G187="","⚠ Status missing",IF(AND($G187="Scheduled",$A187&lt;=AsOfDate),"⚠ Scheduled date reached – mark Received or re-date",IF(AND($G187="Received",$A187&gt;AsOfDate),"Future-dated – added on its date",IF(AND($G187="Received",$A187&lt;SUMIFS(CI_Count,CI_Site,$B187,CI_Mat,$C187)),"Before count date – already in the count","OK"))))))))</f>
        <v/>
      </c>
    </row>
    <row r="188" customFormat="false" ht="15" hidden="false" customHeight="false" outlineLevel="0" collapsed="false">
      <c r="A188" s="65"/>
      <c r="B188" s="63"/>
      <c r="C188" s="70"/>
      <c r="D188" s="16" t="str">
        <f aca="false">IF($C188="","",IFERROR(INDEX(Mat_Short,MATCH($C188,Mat_Code,0)),"⚠ Unknown code"))</f>
        <v/>
      </c>
      <c r="E188" s="66"/>
      <c r="F188" s="64" t="str">
        <f aca="false">IF($C188="","",IFERROR(INDEX(Mat_Unit,MATCH($C188,Mat_Code,0)),""))</f>
        <v/>
      </c>
      <c r="G188" s="70"/>
      <c r="H188" s="63"/>
      <c r="I188" s="63"/>
      <c r="J188" s="63"/>
      <c r="K188" s="16" t="str">
        <f aca="false">IF(AND($A188="",$B188="",$C188="",$E188=""),"",IF($A188="","⚠ Date missing",IF(OR($B188="",$C188=""),"⚠ Site / material missing",IF(COUNTIFS(CI_Site,$B188,CI_Mat,$C188)=0,"⚠ No Current Inventory row for this site + material",IF($G188="","⚠ Status missing",IF(AND($G188="Scheduled",$A188&lt;=AsOfDate),"⚠ Scheduled date reached – mark Received or re-date",IF(AND($G188="Received",$A188&gt;AsOfDate),"Future-dated – added on its date",IF(AND($G188="Received",$A188&lt;SUMIFS(CI_Count,CI_Site,$B188,CI_Mat,$C188)),"Before count date – already in the count","OK"))))))))</f>
        <v/>
      </c>
    </row>
    <row r="189" customFormat="false" ht="15" hidden="false" customHeight="false" outlineLevel="0" collapsed="false">
      <c r="A189" s="65"/>
      <c r="B189" s="63"/>
      <c r="C189" s="70"/>
      <c r="D189" s="16" t="str">
        <f aca="false">IF($C189="","",IFERROR(INDEX(Mat_Short,MATCH($C189,Mat_Code,0)),"⚠ Unknown code"))</f>
        <v/>
      </c>
      <c r="E189" s="66"/>
      <c r="F189" s="64" t="str">
        <f aca="false">IF($C189="","",IFERROR(INDEX(Mat_Unit,MATCH($C189,Mat_Code,0)),""))</f>
        <v/>
      </c>
      <c r="G189" s="70"/>
      <c r="H189" s="63"/>
      <c r="I189" s="63"/>
      <c r="J189" s="63"/>
      <c r="K189" s="16" t="str">
        <f aca="false">IF(AND($A189="",$B189="",$C189="",$E189=""),"",IF($A189="","⚠ Date missing",IF(OR($B189="",$C189=""),"⚠ Site / material missing",IF(COUNTIFS(CI_Site,$B189,CI_Mat,$C189)=0,"⚠ No Current Inventory row for this site + material",IF($G189="","⚠ Status missing",IF(AND($G189="Scheduled",$A189&lt;=AsOfDate),"⚠ Scheduled date reached – mark Received or re-date",IF(AND($G189="Received",$A189&gt;AsOfDate),"Future-dated – added on its date",IF(AND($G189="Received",$A189&lt;SUMIFS(CI_Count,CI_Site,$B189,CI_Mat,$C189)),"Before count date – already in the count","OK"))))))))</f>
        <v/>
      </c>
    </row>
    <row r="190" customFormat="false" ht="15" hidden="false" customHeight="false" outlineLevel="0" collapsed="false">
      <c r="A190" s="65"/>
      <c r="B190" s="63"/>
      <c r="C190" s="70"/>
      <c r="D190" s="16" t="str">
        <f aca="false">IF($C190="","",IFERROR(INDEX(Mat_Short,MATCH($C190,Mat_Code,0)),"⚠ Unknown code"))</f>
        <v/>
      </c>
      <c r="E190" s="66"/>
      <c r="F190" s="64" t="str">
        <f aca="false">IF($C190="","",IFERROR(INDEX(Mat_Unit,MATCH($C190,Mat_Code,0)),""))</f>
        <v/>
      </c>
      <c r="G190" s="70"/>
      <c r="H190" s="63"/>
      <c r="I190" s="63"/>
      <c r="J190" s="63"/>
      <c r="K190" s="16" t="str">
        <f aca="false">IF(AND($A190="",$B190="",$C190="",$E190=""),"",IF($A190="","⚠ Date missing",IF(OR($B190="",$C190=""),"⚠ Site / material missing",IF(COUNTIFS(CI_Site,$B190,CI_Mat,$C190)=0,"⚠ No Current Inventory row for this site + material",IF($G190="","⚠ Status missing",IF(AND($G190="Scheduled",$A190&lt;=AsOfDate),"⚠ Scheduled date reached – mark Received or re-date",IF(AND($G190="Received",$A190&gt;AsOfDate),"Future-dated – added on its date",IF(AND($G190="Received",$A190&lt;SUMIFS(CI_Count,CI_Site,$B190,CI_Mat,$C190)),"Before count date – already in the count","OK"))))))))</f>
        <v/>
      </c>
    </row>
    <row r="191" customFormat="false" ht="15" hidden="false" customHeight="false" outlineLevel="0" collapsed="false">
      <c r="A191" s="65"/>
      <c r="B191" s="63"/>
      <c r="C191" s="70"/>
      <c r="D191" s="16" t="str">
        <f aca="false">IF($C191="","",IFERROR(INDEX(Mat_Short,MATCH($C191,Mat_Code,0)),"⚠ Unknown code"))</f>
        <v/>
      </c>
      <c r="E191" s="66"/>
      <c r="F191" s="64" t="str">
        <f aca="false">IF($C191="","",IFERROR(INDEX(Mat_Unit,MATCH($C191,Mat_Code,0)),""))</f>
        <v/>
      </c>
      <c r="G191" s="70"/>
      <c r="H191" s="63"/>
      <c r="I191" s="63"/>
      <c r="J191" s="63"/>
      <c r="K191" s="16" t="str">
        <f aca="false">IF(AND($A191="",$B191="",$C191="",$E191=""),"",IF($A191="","⚠ Date missing",IF(OR($B191="",$C191=""),"⚠ Site / material missing",IF(COUNTIFS(CI_Site,$B191,CI_Mat,$C191)=0,"⚠ No Current Inventory row for this site + material",IF($G191="","⚠ Status missing",IF(AND($G191="Scheduled",$A191&lt;=AsOfDate),"⚠ Scheduled date reached – mark Received or re-date",IF(AND($G191="Received",$A191&gt;AsOfDate),"Future-dated – added on its date",IF(AND($G191="Received",$A191&lt;SUMIFS(CI_Count,CI_Site,$B191,CI_Mat,$C191)),"Before count date – already in the count","OK"))))))))</f>
        <v/>
      </c>
    </row>
    <row r="192" customFormat="false" ht="15" hidden="false" customHeight="false" outlineLevel="0" collapsed="false">
      <c r="A192" s="65"/>
      <c r="B192" s="63"/>
      <c r="C192" s="70"/>
      <c r="D192" s="16" t="str">
        <f aca="false">IF($C192="","",IFERROR(INDEX(Mat_Short,MATCH($C192,Mat_Code,0)),"⚠ Unknown code"))</f>
        <v/>
      </c>
      <c r="E192" s="66"/>
      <c r="F192" s="64" t="str">
        <f aca="false">IF($C192="","",IFERROR(INDEX(Mat_Unit,MATCH($C192,Mat_Code,0)),""))</f>
        <v/>
      </c>
      <c r="G192" s="70"/>
      <c r="H192" s="63"/>
      <c r="I192" s="63"/>
      <c r="J192" s="63"/>
      <c r="K192" s="16" t="str">
        <f aca="false">IF(AND($A192="",$B192="",$C192="",$E192=""),"",IF($A192="","⚠ Date missing",IF(OR($B192="",$C192=""),"⚠ Site / material missing",IF(COUNTIFS(CI_Site,$B192,CI_Mat,$C192)=0,"⚠ No Current Inventory row for this site + material",IF($G192="","⚠ Status missing",IF(AND($G192="Scheduled",$A192&lt;=AsOfDate),"⚠ Scheduled date reached – mark Received or re-date",IF(AND($G192="Received",$A192&gt;AsOfDate),"Future-dated – added on its date",IF(AND($G192="Received",$A192&lt;SUMIFS(CI_Count,CI_Site,$B192,CI_Mat,$C192)),"Before count date – already in the count","OK"))))))))</f>
        <v/>
      </c>
    </row>
    <row r="193" customFormat="false" ht="15" hidden="false" customHeight="false" outlineLevel="0" collapsed="false">
      <c r="A193" s="65"/>
      <c r="B193" s="63"/>
      <c r="C193" s="70"/>
      <c r="D193" s="16" t="str">
        <f aca="false">IF($C193="","",IFERROR(INDEX(Mat_Short,MATCH($C193,Mat_Code,0)),"⚠ Unknown code"))</f>
        <v/>
      </c>
      <c r="E193" s="66"/>
      <c r="F193" s="64" t="str">
        <f aca="false">IF($C193="","",IFERROR(INDEX(Mat_Unit,MATCH($C193,Mat_Code,0)),""))</f>
        <v/>
      </c>
      <c r="G193" s="70"/>
      <c r="H193" s="63"/>
      <c r="I193" s="63"/>
      <c r="J193" s="63"/>
      <c r="K193" s="16" t="str">
        <f aca="false">IF(AND($A193="",$B193="",$C193="",$E193=""),"",IF($A193="","⚠ Date missing",IF(OR($B193="",$C193=""),"⚠ Site / material missing",IF(COUNTIFS(CI_Site,$B193,CI_Mat,$C193)=0,"⚠ No Current Inventory row for this site + material",IF($G193="","⚠ Status missing",IF(AND($G193="Scheduled",$A193&lt;=AsOfDate),"⚠ Scheduled date reached – mark Received or re-date",IF(AND($G193="Received",$A193&gt;AsOfDate),"Future-dated – added on its date",IF(AND($G193="Received",$A193&lt;SUMIFS(CI_Count,CI_Site,$B193,CI_Mat,$C193)),"Before count date – already in the count","OK"))))))))</f>
        <v/>
      </c>
    </row>
    <row r="194" customFormat="false" ht="15" hidden="false" customHeight="false" outlineLevel="0" collapsed="false">
      <c r="A194" s="65"/>
      <c r="B194" s="63"/>
      <c r="C194" s="70"/>
      <c r="D194" s="16" t="str">
        <f aca="false">IF($C194="","",IFERROR(INDEX(Mat_Short,MATCH($C194,Mat_Code,0)),"⚠ Unknown code"))</f>
        <v/>
      </c>
      <c r="E194" s="66"/>
      <c r="F194" s="64" t="str">
        <f aca="false">IF($C194="","",IFERROR(INDEX(Mat_Unit,MATCH($C194,Mat_Code,0)),""))</f>
        <v/>
      </c>
      <c r="G194" s="70"/>
      <c r="H194" s="63"/>
      <c r="I194" s="63"/>
      <c r="J194" s="63"/>
      <c r="K194" s="16" t="str">
        <f aca="false">IF(AND($A194="",$B194="",$C194="",$E194=""),"",IF($A194="","⚠ Date missing",IF(OR($B194="",$C194=""),"⚠ Site / material missing",IF(COUNTIFS(CI_Site,$B194,CI_Mat,$C194)=0,"⚠ No Current Inventory row for this site + material",IF($G194="","⚠ Status missing",IF(AND($G194="Scheduled",$A194&lt;=AsOfDate),"⚠ Scheduled date reached – mark Received or re-date",IF(AND($G194="Received",$A194&gt;AsOfDate),"Future-dated – added on its date",IF(AND($G194="Received",$A194&lt;SUMIFS(CI_Count,CI_Site,$B194,CI_Mat,$C194)),"Before count date – already in the count","OK"))))))))</f>
        <v/>
      </c>
    </row>
    <row r="195" customFormat="false" ht="15" hidden="false" customHeight="false" outlineLevel="0" collapsed="false">
      <c r="A195" s="65"/>
      <c r="B195" s="63"/>
      <c r="C195" s="70"/>
      <c r="D195" s="16" t="str">
        <f aca="false">IF($C195="","",IFERROR(INDEX(Mat_Short,MATCH($C195,Mat_Code,0)),"⚠ Unknown code"))</f>
        <v/>
      </c>
      <c r="E195" s="66"/>
      <c r="F195" s="64" t="str">
        <f aca="false">IF($C195="","",IFERROR(INDEX(Mat_Unit,MATCH($C195,Mat_Code,0)),""))</f>
        <v/>
      </c>
      <c r="G195" s="70"/>
      <c r="H195" s="63"/>
      <c r="I195" s="63"/>
      <c r="J195" s="63"/>
      <c r="K195" s="16" t="str">
        <f aca="false">IF(AND($A195="",$B195="",$C195="",$E195=""),"",IF($A195="","⚠ Date missing",IF(OR($B195="",$C195=""),"⚠ Site / material missing",IF(COUNTIFS(CI_Site,$B195,CI_Mat,$C195)=0,"⚠ No Current Inventory row for this site + material",IF($G195="","⚠ Status missing",IF(AND($G195="Scheduled",$A195&lt;=AsOfDate),"⚠ Scheduled date reached – mark Received or re-date",IF(AND($G195="Received",$A195&gt;AsOfDate),"Future-dated – added on its date",IF(AND($G195="Received",$A195&lt;SUMIFS(CI_Count,CI_Site,$B195,CI_Mat,$C195)),"Before count date – already in the count","OK"))))))))</f>
        <v/>
      </c>
    </row>
    <row r="196" customFormat="false" ht="15" hidden="false" customHeight="false" outlineLevel="0" collapsed="false">
      <c r="A196" s="65"/>
      <c r="B196" s="63"/>
      <c r="C196" s="70"/>
      <c r="D196" s="16" t="str">
        <f aca="false">IF($C196="","",IFERROR(INDEX(Mat_Short,MATCH($C196,Mat_Code,0)),"⚠ Unknown code"))</f>
        <v/>
      </c>
      <c r="E196" s="66"/>
      <c r="F196" s="64" t="str">
        <f aca="false">IF($C196="","",IFERROR(INDEX(Mat_Unit,MATCH($C196,Mat_Code,0)),""))</f>
        <v/>
      </c>
      <c r="G196" s="70"/>
      <c r="H196" s="63"/>
      <c r="I196" s="63"/>
      <c r="J196" s="63"/>
      <c r="K196" s="16" t="str">
        <f aca="false">IF(AND($A196="",$B196="",$C196="",$E196=""),"",IF($A196="","⚠ Date missing",IF(OR($B196="",$C196=""),"⚠ Site / material missing",IF(COUNTIFS(CI_Site,$B196,CI_Mat,$C196)=0,"⚠ No Current Inventory row for this site + material",IF($G196="","⚠ Status missing",IF(AND($G196="Scheduled",$A196&lt;=AsOfDate),"⚠ Scheduled date reached – mark Received or re-date",IF(AND($G196="Received",$A196&gt;AsOfDate),"Future-dated – added on its date",IF(AND($G196="Received",$A196&lt;SUMIFS(CI_Count,CI_Site,$B196,CI_Mat,$C196)),"Before count date – already in the count","OK"))))))))</f>
        <v/>
      </c>
    </row>
    <row r="197" customFormat="false" ht="15" hidden="false" customHeight="false" outlineLevel="0" collapsed="false">
      <c r="A197" s="65"/>
      <c r="B197" s="63"/>
      <c r="C197" s="70"/>
      <c r="D197" s="16" t="str">
        <f aca="false">IF($C197="","",IFERROR(INDEX(Mat_Short,MATCH($C197,Mat_Code,0)),"⚠ Unknown code"))</f>
        <v/>
      </c>
      <c r="E197" s="66"/>
      <c r="F197" s="64" t="str">
        <f aca="false">IF($C197="","",IFERROR(INDEX(Mat_Unit,MATCH($C197,Mat_Code,0)),""))</f>
        <v/>
      </c>
      <c r="G197" s="70"/>
      <c r="H197" s="63"/>
      <c r="I197" s="63"/>
      <c r="J197" s="63"/>
      <c r="K197" s="16" t="str">
        <f aca="false">IF(AND($A197="",$B197="",$C197="",$E197=""),"",IF($A197="","⚠ Date missing",IF(OR($B197="",$C197=""),"⚠ Site / material missing",IF(COUNTIFS(CI_Site,$B197,CI_Mat,$C197)=0,"⚠ No Current Inventory row for this site + material",IF($G197="","⚠ Status missing",IF(AND($G197="Scheduled",$A197&lt;=AsOfDate),"⚠ Scheduled date reached – mark Received or re-date",IF(AND($G197="Received",$A197&gt;AsOfDate),"Future-dated – added on its date",IF(AND($G197="Received",$A197&lt;SUMIFS(CI_Count,CI_Site,$B197,CI_Mat,$C197)),"Before count date – already in the count","OK"))))))))</f>
        <v/>
      </c>
    </row>
    <row r="198" customFormat="false" ht="15" hidden="false" customHeight="false" outlineLevel="0" collapsed="false">
      <c r="A198" s="65"/>
      <c r="B198" s="63"/>
      <c r="C198" s="70"/>
      <c r="D198" s="16" t="str">
        <f aca="false">IF($C198="","",IFERROR(INDEX(Mat_Short,MATCH($C198,Mat_Code,0)),"⚠ Unknown code"))</f>
        <v/>
      </c>
      <c r="E198" s="66"/>
      <c r="F198" s="64" t="str">
        <f aca="false">IF($C198="","",IFERROR(INDEX(Mat_Unit,MATCH($C198,Mat_Code,0)),""))</f>
        <v/>
      </c>
      <c r="G198" s="70"/>
      <c r="H198" s="63"/>
      <c r="I198" s="63"/>
      <c r="J198" s="63"/>
      <c r="K198" s="16" t="str">
        <f aca="false">IF(AND($A198="",$B198="",$C198="",$E198=""),"",IF($A198="","⚠ Date missing",IF(OR($B198="",$C198=""),"⚠ Site / material missing",IF(COUNTIFS(CI_Site,$B198,CI_Mat,$C198)=0,"⚠ No Current Inventory row for this site + material",IF($G198="","⚠ Status missing",IF(AND($G198="Scheduled",$A198&lt;=AsOfDate),"⚠ Scheduled date reached – mark Received or re-date",IF(AND($G198="Received",$A198&gt;AsOfDate),"Future-dated – added on its date",IF(AND($G198="Received",$A198&lt;SUMIFS(CI_Count,CI_Site,$B198,CI_Mat,$C198)),"Before count date – already in the count","OK"))))))))</f>
        <v/>
      </c>
    </row>
    <row r="199" customFormat="false" ht="15" hidden="false" customHeight="false" outlineLevel="0" collapsed="false">
      <c r="A199" s="65"/>
      <c r="B199" s="63"/>
      <c r="C199" s="70"/>
      <c r="D199" s="16" t="str">
        <f aca="false">IF($C199="","",IFERROR(INDEX(Mat_Short,MATCH($C199,Mat_Code,0)),"⚠ Unknown code"))</f>
        <v/>
      </c>
      <c r="E199" s="66"/>
      <c r="F199" s="64" t="str">
        <f aca="false">IF($C199="","",IFERROR(INDEX(Mat_Unit,MATCH($C199,Mat_Code,0)),""))</f>
        <v/>
      </c>
      <c r="G199" s="70"/>
      <c r="H199" s="63"/>
      <c r="I199" s="63"/>
      <c r="J199" s="63"/>
      <c r="K199" s="16" t="str">
        <f aca="false">IF(AND($A199="",$B199="",$C199="",$E199=""),"",IF($A199="","⚠ Date missing",IF(OR($B199="",$C199=""),"⚠ Site / material missing",IF(COUNTIFS(CI_Site,$B199,CI_Mat,$C199)=0,"⚠ No Current Inventory row for this site + material",IF($G199="","⚠ Status missing",IF(AND($G199="Scheduled",$A199&lt;=AsOfDate),"⚠ Scheduled date reached – mark Received or re-date",IF(AND($G199="Received",$A199&gt;AsOfDate),"Future-dated – added on its date",IF(AND($G199="Received",$A199&lt;SUMIFS(CI_Count,CI_Site,$B199,CI_Mat,$C199)),"Before count date – already in the count","OK"))))))))</f>
        <v/>
      </c>
    </row>
    <row r="200" customFormat="false" ht="15" hidden="false" customHeight="false" outlineLevel="0" collapsed="false">
      <c r="A200" s="65"/>
      <c r="B200" s="63"/>
      <c r="C200" s="70"/>
      <c r="D200" s="16" t="str">
        <f aca="false">IF($C200="","",IFERROR(INDEX(Mat_Short,MATCH($C200,Mat_Code,0)),"⚠ Unknown code"))</f>
        <v/>
      </c>
      <c r="E200" s="66"/>
      <c r="F200" s="64" t="str">
        <f aca="false">IF($C200="","",IFERROR(INDEX(Mat_Unit,MATCH($C200,Mat_Code,0)),""))</f>
        <v/>
      </c>
      <c r="G200" s="70"/>
      <c r="H200" s="63"/>
      <c r="I200" s="63"/>
      <c r="J200" s="63"/>
      <c r="K200" s="16" t="str">
        <f aca="false">IF(AND($A200="",$B200="",$C200="",$E200=""),"",IF($A200="","⚠ Date missing",IF(OR($B200="",$C200=""),"⚠ Site / material missing",IF(COUNTIFS(CI_Site,$B200,CI_Mat,$C200)=0,"⚠ No Current Inventory row for this site + material",IF($G200="","⚠ Status missing",IF(AND($G200="Scheduled",$A200&lt;=AsOfDate),"⚠ Scheduled date reached – mark Received or re-date",IF(AND($G200="Received",$A200&gt;AsOfDate),"Future-dated – added on its date",IF(AND($G200="Received",$A200&lt;SUMIFS(CI_Count,CI_Site,$B200,CI_Mat,$C200)),"Before count date – already in the count","OK"))))))))</f>
        <v/>
      </c>
    </row>
    <row r="201" customFormat="false" ht="15" hidden="false" customHeight="false" outlineLevel="0" collapsed="false">
      <c r="A201" s="65"/>
      <c r="B201" s="63"/>
      <c r="C201" s="70"/>
      <c r="D201" s="16" t="str">
        <f aca="false">IF($C201="","",IFERROR(INDEX(Mat_Short,MATCH($C201,Mat_Code,0)),"⚠ Unknown code"))</f>
        <v/>
      </c>
      <c r="E201" s="66"/>
      <c r="F201" s="64" t="str">
        <f aca="false">IF($C201="","",IFERROR(INDEX(Mat_Unit,MATCH($C201,Mat_Code,0)),""))</f>
        <v/>
      </c>
      <c r="G201" s="70"/>
      <c r="H201" s="63"/>
      <c r="I201" s="63"/>
      <c r="J201" s="63"/>
      <c r="K201" s="16" t="str">
        <f aca="false">IF(AND($A201="",$B201="",$C201="",$E201=""),"",IF($A201="","⚠ Date missing",IF(OR($B201="",$C201=""),"⚠ Site / material missing",IF(COUNTIFS(CI_Site,$B201,CI_Mat,$C201)=0,"⚠ No Current Inventory row for this site + material",IF($G201="","⚠ Status missing",IF(AND($G201="Scheduled",$A201&lt;=AsOfDate),"⚠ Scheduled date reached – mark Received or re-date",IF(AND($G201="Received",$A201&gt;AsOfDate),"Future-dated – added on its date",IF(AND($G201="Received",$A201&lt;SUMIFS(CI_Count,CI_Site,$B201,CI_Mat,$C201)),"Before count date – already in the count","OK"))))))))</f>
        <v/>
      </c>
    </row>
    <row r="202" customFormat="false" ht="15" hidden="false" customHeight="false" outlineLevel="0" collapsed="false">
      <c r="A202" s="65"/>
      <c r="B202" s="63"/>
      <c r="C202" s="70"/>
      <c r="D202" s="16" t="str">
        <f aca="false">IF($C202="","",IFERROR(INDEX(Mat_Short,MATCH($C202,Mat_Code,0)),"⚠ Unknown code"))</f>
        <v/>
      </c>
      <c r="E202" s="66"/>
      <c r="F202" s="64" t="str">
        <f aca="false">IF($C202="","",IFERROR(INDEX(Mat_Unit,MATCH($C202,Mat_Code,0)),""))</f>
        <v/>
      </c>
      <c r="G202" s="70"/>
      <c r="H202" s="63"/>
      <c r="I202" s="63"/>
      <c r="J202" s="63"/>
      <c r="K202" s="16" t="str">
        <f aca="false">IF(AND($A202="",$B202="",$C202="",$E202=""),"",IF($A202="","⚠ Date missing",IF(OR($B202="",$C202=""),"⚠ Site / material missing",IF(COUNTIFS(CI_Site,$B202,CI_Mat,$C202)=0,"⚠ No Current Inventory row for this site + material",IF($G202="","⚠ Status missing",IF(AND($G202="Scheduled",$A202&lt;=AsOfDate),"⚠ Scheduled date reached – mark Received or re-date",IF(AND($G202="Received",$A202&gt;AsOfDate),"Future-dated – added on its date",IF(AND($G202="Received",$A202&lt;SUMIFS(CI_Count,CI_Site,$B202,CI_Mat,$C202)),"Before count date – already in the count","OK"))))))))</f>
        <v/>
      </c>
    </row>
    <row r="203" customFormat="false" ht="15" hidden="false" customHeight="false" outlineLevel="0" collapsed="false">
      <c r="A203" s="65"/>
      <c r="B203" s="63"/>
      <c r="C203" s="70"/>
      <c r="D203" s="16" t="str">
        <f aca="false">IF($C203="","",IFERROR(INDEX(Mat_Short,MATCH($C203,Mat_Code,0)),"⚠ Unknown code"))</f>
        <v/>
      </c>
      <c r="E203" s="66"/>
      <c r="F203" s="64" t="str">
        <f aca="false">IF($C203="","",IFERROR(INDEX(Mat_Unit,MATCH($C203,Mat_Code,0)),""))</f>
        <v/>
      </c>
      <c r="G203" s="70"/>
      <c r="H203" s="63"/>
      <c r="I203" s="63"/>
      <c r="J203" s="63"/>
      <c r="K203" s="16" t="str">
        <f aca="false">IF(AND($A203="",$B203="",$C203="",$E203=""),"",IF($A203="","⚠ Date missing",IF(OR($B203="",$C203=""),"⚠ Site / material missing",IF(COUNTIFS(CI_Site,$B203,CI_Mat,$C203)=0,"⚠ No Current Inventory row for this site + material",IF($G203="","⚠ Status missing",IF(AND($G203="Scheduled",$A203&lt;=AsOfDate),"⚠ Scheduled date reached – mark Received or re-date",IF(AND($G203="Received",$A203&gt;AsOfDate),"Future-dated – added on its date",IF(AND($G203="Received",$A203&lt;SUMIFS(CI_Count,CI_Site,$B203,CI_Mat,$C203)),"Before count date – already in the count","OK"))))))))</f>
        <v/>
      </c>
    </row>
    <row r="204" customFormat="false" ht="15" hidden="false" customHeight="false" outlineLevel="0" collapsed="false">
      <c r="A204" s="65"/>
      <c r="B204" s="63"/>
      <c r="C204" s="70"/>
      <c r="D204" s="16" t="str">
        <f aca="false">IF($C204="","",IFERROR(INDEX(Mat_Short,MATCH($C204,Mat_Code,0)),"⚠ Unknown code"))</f>
        <v/>
      </c>
      <c r="E204" s="66"/>
      <c r="F204" s="64" t="str">
        <f aca="false">IF($C204="","",IFERROR(INDEX(Mat_Unit,MATCH($C204,Mat_Code,0)),""))</f>
        <v/>
      </c>
      <c r="G204" s="70"/>
      <c r="H204" s="63"/>
      <c r="I204" s="63"/>
      <c r="J204" s="63"/>
      <c r="K204" s="16" t="str">
        <f aca="false">IF(AND($A204="",$B204="",$C204="",$E204=""),"",IF($A204="","⚠ Date missing",IF(OR($B204="",$C204=""),"⚠ Site / material missing",IF(COUNTIFS(CI_Site,$B204,CI_Mat,$C204)=0,"⚠ No Current Inventory row for this site + material",IF($G204="","⚠ Status missing",IF(AND($G204="Scheduled",$A204&lt;=AsOfDate),"⚠ Scheduled date reached – mark Received or re-date",IF(AND($G204="Received",$A204&gt;AsOfDate),"Future-dated – added on its date",IF(AND($G204="Received",$A204&lt;SUMIFS(CI_Count,CI_Site,$B204,CI_Mat,$C204)),"Before count date – already in the count","OK"))))))))</f>
        <v/>
      </c>
    </row>
    <row r="205" customFormat="false" ht="15" hidden="false" customHeight="false" outlineLevel="0" collapsed="false">
      <c r="A205" s="65"/>
      <c r="B205" s="63"/>
      <c r="C205" s="70"/>
      <c r="D205" s="16" t="str">
        <f aca="false">IF($C205="","",IFERROR(INDEX(Mat_Short,MATCH($C205,Mat_Code,0)),"⚠ Unknown code"))</f>
        <v/>
      </c>
      <c r="E205" s="66"/>
      <c r="F205" s="64" t="str">
        <f aca="false">IF($C205="","",IFERROR(INDEX(Mat_Unit,MATCH($C205,Mat_Code,0)),""))</f>
        <v/>
      </c>
      <c r="G205" s="70"/>
      <c r="H205" s="63"/>
      <c r="I205" s="63"/>
      <c r="J205" s="63"/>
      <c r="K205" s="16" t="str">
        <f aca="false">IF(AND($A205="",$B205="",$C205="",$E205=""),"",IF($A205="","⚠ Date missing",IF(OR($B205="",$C205=""),"⚠ Site / material missing",IF(COUNTIFS(CI_Site,$B205,CI_Mat,$C205)=0,"⚠ No Current Inventory row for this site + material",IF($G205="","⚠ Status missing",IF(AND($G205="Scheduled",$A205&lt;=AsOfDate),"⚠ Scheduled date reached – mark Received or re-date",IF(AND($G205="Received",$A205&gt;AsOfDate),"Future-dated – added on its date",IF(AND($G205="Received",$A205&lt;SUMIFS(CI_Count,CI_Site,$B205,CI_Mat,$C205)),"Before count date – already in the count","OK"))))))))</f>
        <v/>
      </c>
    </row>
    <row r="206" customFormat="false" ht="15" hidden="false" customHeight="false" outlineLevel="0" collapsed="false">
      <c r="A206" s="65"/>
      <c r="B206" s="63"/>
      <c r="C206" s="70"/>
      <c r="D206" s="16" t="str">
        <f aca="false">IF($C206="","",IFERROR(INDEX(Mat_Short,MATCH($C206,Mat_Code,0)),"⚠ Unknown code"))</f>
        <v/>
      </c>
      <c r="E206" s="66"/>
      <c r="F206" s="64" t="str">
        <f aca="false">IF($C206="","",IFERROR(INDEX(Mat_Unit,MATCH($C206,Mat_Code,0)),""))</f>
        <v/>
      </c>
      <c r="G206" s="70"/>
      <c r="H206" s="63"/>
      <c r="I206" s="63"/>
      <c r="J206" s="63"/>
      <c r="K206" s="16" t="str">
        <f aca="false">IF(AND($A206="",$B206="",$C206="",$E206=""),"",IF($A206="","⚠ Date missing",IF(OR($B206="",$C206=""),"⚠ Site / material missing",IF(COUNTIFS(CI_Site,$B206,CI_Mat,$C206)=0,"⚠ No Current Inventory row for this site + material",IF($G206="","⚠ Status missing",IF(AND($G206="Scheduled",$A206&lt;=AsOfDate),"⚠ Scheduled date reached – mark Received or re-date",IF(AND($G206="Received",$A206&gt;AsOfDate),"Future-dated – added on its date",IF(AND($G206="Received",$A206&lt;SUMIFS(CI_Count,CI_Site,$B206,CI_Mat,$C206)),"Before count date – already in the count","OK"))))))))</f>
        <v/>
      </c>
    </row>
    <row r="207" customFormat="false" ht="15" hidden="false" customHeight="false" outlineLevel="0" collapsed="false">
      <c r="A207" s="65"/>
      <c r="B207" s="63"/>
      <c r="C207" s="70"/>
      <c r="D207" s="16" t="str">
        <f aca="false">IF($C207="","",IFERROR(INDEX(Mat_Short,MATCH($C207,Mat_Code,0)),"⚠ Unknown code"))</f>
        <v/>
      </c>
      <c r="E207" s="66"/>
      <c r="F207" s="64" t="str">
        <f aca="false">IF($C207="","",IFERROR(INDEX(Mat_Unit,MATCH($C207,Mat_Code,0)),""))</f>
        <v/>
      </c>
      <c r="G207" s="70"/>
      <c r="H207" s="63"/>
      <c r="I207" s="63"/>
      <c r="J207" s="63"/>
      <c r="K207" s="16" t="str">
        <f aca="false">IF(AND($A207="",$B207="",$C207="",$E207=""),"",IF($A207="","⚠ Date missing",IF(OR($B207="",$C207=""),"⚠ Site / material missing",IF(COUNTIFS(CI_Site,$B207,CI_Mat,$C207)=0,"⚠ No Current Inventory row for this site + material",IF($G207="","⚠ Status missing",IF(AND($G207="Scheduled",$A207&lt;=AsOfDate),"⚠ Scheduled date reached – mark Received or re-date",IF(AND($G207="Received",$A207&gt;AsOfDate),"Future-dated – added on its date",IF(AND($G207="Received",$A207&lt;SUMIFS(CI_Count,CI_Site,$B207,CI_Mat,$C207)),"Before count date – already in the count","OK"))))))))</f>
        <v/>
      </c>
    </row>
    <row r="208" customFormat="false" ht="15" hidden="false" customHeight="false" outlineLevel="0" collapsed="false">
      <c r="A208" s="65"/>
      <c r="B208" s="63"/>
      <c r="C208" s="70"/>
      <c r="D208" s="16" t="str">
        <f aca="false">IF($C208="","",IFERROR(INDEX(Mat_Short,MATCH($C208,Mat_Code,0)),"⚠ Unknown code"))</f>
        <v/>
      </c>
      <c r="E208" s="66"/>
      <c r="F208" s="64" t="str">
        <f aca="false">IF($C208="","",IFERROR(INDEX(Mat_Unit,MATCH($C208,Mat_Code,0)),""))</f>
        <v/>
      </c>
      <c r="G208" s="70"/>
      <c r="H208" s="63"/>
      <c r="I208" s="63"/>
      <c r="J208" s="63"/>
      <c r="K208" s="16" t="str">
        <f aca="false">IF(AND($A208="",$B208="",$C208="",$E208=""),"",IF($A208="","⚠ Date missing",IF(OR($B208="",$C208=""),"⚠ Site / material missing",IF(COUNTIFS(CI_Site,$B208,CI_Mat,$C208)=0,"⚠ No Current Inventory row for this site + material",IF($G208="","⚠ Status missing",IF(AND($G208="Scheduled",$A208&lt;=AsOfDate),"⚠ Scheduled date reached – mark Received or re-date",IF(AND($G208="Received",$A208&gt;AsOfDate),"Future-dated – added on its date",IF(AND($G208="Received",$A208&lt;SUMIFS(CI_Count,CI_Site,$B208,CI_Mat,$C208)),"Before count date – already in the count","OK"))))))))</f>
        <v/>
      </c>
    </row>
    <row r="209" customFormat="false" ht="15" hidden="false" customHeight="false" outlineLevel="0" collapsed="false">
      <c r="A209" s="65"/>
      <c r="B209" s="63"/>
      <c r="C209" s="70"/>
      <c r="D209" s="16" t="str">
        <f aca="false">IF($C209="","",IFERROR(INDEX(Mat_Short,MATCH($C209,Mat_Code,0)),"⚠ Unknown code"))</f>
        <v/>
      </c>
      <c r="E209" s="66"/>
      <c r="F209" s="64" t="str">
        <f aca="false">IF($C209="","",IFERROR(INDEX(Mat_Unit,MATCH($C209,Mat_Code,0)),""))</f>
        <v/>
      </c>
      <c r="G209" s="70"/>
      <c r="H209" s="63"/>
      <c r="I209" s="63"/>
      <c r="J209" s="63"/>
      <c r="K209" s="16" t="str">
        <f aca="false">IF(AND($A209="",$B209="",$C209="",$E209=""),"",IF($A209="","⚠ Date missing",IF(OR($B209="",$C209=""),"⚠ Site / material missing",IF(COUNTIFS(CI_Site,$B209,CI_Mat,$C209)=0,"⚠ No Current Inventory row for this site + material",IF($G209="","⚠ Status missing",IF(AND($G209="Scheduled",$A209&lt;=AsOfDate),"⚠ Scheduled date reached – mark Received or re-date",IF(AND($G209="Received",$A209&gt;AsOfDate),"Future-dated – added on its date",IF(AND($G209="Received",$A209&lt;SUMIFS(CI_Count,CI_Site,$B209,CI_Mat,$C209)),"Before count date – already in the count","OK"))))))))</f>
        <v/>
      </c>
    </row>
    <row r="210" customFormat="false" ht="15" hidden="false" customHeight="false" outlineLevel="0" collapsed="false">
      <c r="A210" s="65"/>
      <c r="B210" s="63"/>
      <c r="C210" s="70"/>
      <c r="D210" s="16" t="str">
        <f aca="false">IF($C210="","",IFERROR(INDEX(Mat_Short,MATCH($C210,Mat_Code,0)),"⚠ Unknown code"))</f>
        <v/>
      </c>
      <c r="E210" s="66"/>
      <c r="F210" s="64" t="str">
        <f aca="false">IF($C210="","",IFERROR(INDEX(Mat_Unit,MATCH($C210,Mat_Code,0)),""))</f>
        <v/>
      </c>
      <c r="G210" s="70"/>
      <c r="H210" s="63"/>
      <c r="I210" s="63"/>
      <c r="J210" s="63"/>
      <c r="K210" s="16" t="str">
        <f aca="false">IF(AND($A210="",$B210="",$C210="",$E210=""),"",IF($A210="","⚠ Date missing",IF(OR($B210="",$C210=""),"⚠ Site / material missing",IF(COUNTIFS(CI_Site,$B210,CI_Mat,$C210)=0,"⚠ No Current Inventory row for this site + material",IF($G210="","⚠ Status missing",IF(AND($G210="Scheduled",$A210&lt;=AsOfDate),"⚠ Scheduled date reached – mark Received or re-date",IF(AND($G210="Received",$A210&gt;AsOfDate),"Future-dated – added on its date",IF(AND($G210="Received",$A210&lt;SUMIFS(CI_Count,CI_Site,$B210,CI_Mat,$C210)),"Before count date – already in the count","OK"))))))))</f>
        <v/>
      </c>
    </row>
    <row r="211" customFormat="false" ht="15" hidden="false" customHeight="false" outlineLevel="0" collapsed="false">
      <c r="A211" s="65"/>
      <c r="B211" s="63"/>
      <c r="C211" s="70"/>
      <c r="D211" s="16" t="str">
        <f aca="false">IF($C211="","",IFERROR(INDEX(Mat_Short,MATCH($C211,Mat_Code,0)),"⚠ Unknown code"))</f>
        <v/>
      </c>
      <c r="E211" s="66"/>
      <c r="F211" s="64" t="str">
        <f aca="false">IF($C211="","",IFERROR(INDEX(Mat_Unit,MATCH($C211,Mat_Code,0)),""))</f>
        <v/>
      </c>
      <c r="G211" s="70"/>
      <c r="H211" s="63"/>
      <c r="I211" s="63"/>
      <c r="J211" s="63"/>
      <c r="K211" s="16" t="str">
        <f aca="false">IF(AND($A211="",$B211="",$C211="",$E211=""),"",IF($A211="","⚠ Date missing",IF(OR($B211="",$C211=""),"⚠ Site / material missing",IF(COUNTIFS(CI_Site,$B211,CI_Mat,$C211)=0,"⚠ No Current Inventory row for this site + material",IF($G211="","⚠ Status missing",IF(AND($G211="Scheduled",$A211&lt;=AsOfDate),"⚠ Scheduled date reached – mark Received or re-date",IF(AND($G211="Received",$A211&gt;AsOfDate),"Future-dated – added on its date",IF(AND($G211="Received",$A211&lt;SUMIFS(CI_Count,CI_Site,$B211,CI_Mat,$C211)),"Before count date – already in the count","OK"))))))))</f>
        <v/>
      </c>
    </row>
    <row r="212" customFormat="false" ht="15" hidden="false" customHeight="false" outlineLevel="0" collapsed="false">
      <c r="A212" s="65"/>
      <c r="B212" s="63"/>
      <c r="C212" s="70"/>
      <c r="D212" s="16" t="str">
        <f aca="false">IF($C212="","",IFERROR(INDEX(Mat_Short,MATCH($C212,Mat_Code,0)),"⚠ Unknown code"))</f>
        <v/>
      </c>
      <c r="E212" s="66"/>
      <c r="F212" s="64" t="str">
        <f aca="false">IF($C212="","",IFERROR(INDEX(Mat_Unit,MATCH($C212,Mat_Code,0)),""))</f>
        <v/>
      </c>
      <c r="G212" s="70"/>
      <c r="H212" s="63"/>
      <c r="I212" s="63"/>
      <c r="J212" s="63"/>
      <c r="K212" s="16" t="str">
        <f aca="false">IF(AND($A212="",$B212="",$C212="",$E212=""),"",IF($A212="","⚠ Date missing",IF(OR($B212="",$C212=""),"⚠ Site / material missing",IF(COUNTIFS(CI_Site,$B212,CI_Mat,$C212)=0,"⚠ No Current Inventory row for this site + material",IF($G212="","⚠ Status missing",IF(AND($G212="Scheduled",$A212&lt;=AsOfDate),"⚠ Scheduled date reached – mark Received or re-date",IF(AND($G212="Received",$A212&gt;AsOfDate),"Future-dated – added on its date",IF(AND($G212="Received",$A212&lt;SUMIFS(CI_Count,CI_Site,$B212,CI_Mat,$C212)),"Before count date – already in the count","OK"))))))))</f>
        <v/>
      </c>
    </row>
    <row r="213" customFormat="false" ht="15" hidden="false" customHeight="false" outlineLevel="0" collapsed="false">
      <c r="A213" s="65"/>
      <c r="B213" s="63"/>
      <c r="C213" s="70"/>
      <c r="D213" s="16" t="str">
        <f aca="false">IF($C213="","",IFERROR(INDEX(Mat_Short,MATCH($C213,Mat_Code,0)),"⚠ Unknown code"))</f>
        <v/>
      </c>
      <c r="E213" s="66"/>
      <c r="F213" s="64" t="str">
        <f aca="false">IF($C213="","",IFERROR(INDEX(Mat_Unit,MATCH($C213,Mat_Code,0)),""))</f>
        <v/>
      </c>
      <c r="G213" s="70"/>
      <c r="H213" s="63"/>
      <c r="I213" s="63"/>
      <c r="J213" s="63"/>
      <c r="K213" s="16" t="str">
        <f aca="false">IF(AND($A213="",$B213="",$C213="",$E213=""),"",IF($A213="","⚠ Date missing",IF(OR($B213="",$C213=""),"⚠ Site / material missing",IF(COUNTIFS(CI_Site,$B213,CI_Mat,$C213)=0,"⚠ No Current Inventory row for this site + material",IF($G213="","⚠ Status missing",IF(AND($G213="Scheduled",$A213&lt;=AsOfDate),"⚠ Scheduled date reached – mark Received or re-date",IF(AND($G213="Received",$A213&gt;AsOfDate),"Future-dated – added on its date",IF(AND($G213="Received",$A213&lt;SUMIFS(CI_Count,CI_Site,$B213,CI_Mat,$C213)),"Before count date – already in the count","OK"))))))))</f>
        <v/>
      </c>
    </row>
    <row r="214" customFormat="false" ht="15" hidden="false" customHeight="false" outlineLevel="0" collapsed="false">
      <c r="A214" s="65"/>
      <c r="B214" s="63"/>
      <c r="C214" s="70"/>
      <c r="D214" s="16" t="str">
        <f aca="false">IF($C214="","",IFERROR(INDEX(Mat_Short,MATCH($C214,Mat_Code,0)),"⚠ Unknown code"))</f>
        <v/>
      </c>
      <c r="E214" s="66"/>
      <c r="F214" s="64" t="str">
        <f aca="false">IF($C214="","",IFERROR(INDEX(Mat_Unit,MATCH($C214,Mat_Code,0)),""))</f>
        <v/>
      </c>
      <c r="G214" s="70"/>
      <c r="H214" s="63"/>
      <c r="I214" s="63"/>
      <c r="J214" s="63"/>
      <c r="K214" s="16" t="str">
        <f aca="false">IF(AND($A214="",$B214="",$C214="",$E214=""),"",IF($A214="","⚠ Date missing",IF(OR($B214="",$C214=""),"⚠ Site / material missing",IF(COUNTIFS(CI_Site,$B214,CI_Mat,$C214)=0,"⚠ No Current Inventory row for this site + material",IF($G214="","⚠ Status missing",IF(AND($G214="Scheduled",$A214&lt;=AsOfDate),"⚠ Scheduled date reached – mark Received or re-date",IF(AND($G214="Received",$A214&gt;AsOfDate),"Future-dated – added on its date",IF(AND($G214="Received",$A214&lt;SUMIFS(CI_Count,CI_Site,$B214,CI_Mat,$C214)),"Before count date – already in the count","OK"))))))))</f>
        <v/>
      </c>
    </row>
    <row r="215" customFormat="false" ht="15" hidden="false" customHeight="false" outlineLevel="0" collapsed="false">
      <c r="A215" s="65"/>
      <c r="B215" s="63"/>
      <c r="C215" s="70"/>
      <c r="D215" s="16" t="str">
        <f aca="false">IF($C215="","",IFERROR(INDEX(Mat_Short,MATCH($C215,Mat_Code,0)),"⚠ Unknown code"))</f>
        <v/>
      </c>
      <c r="E215" s="66"/>
      <c r="F215" s="64" t="str">
        <f aca="false">IF($C215="","",IFERROR(INDEX(Mat_Unit,MATCH($C215,Mat_Code,0)),""))</f>
        <v/>
      </c>
      <c r="G215" s="70"/>
      <c r="H215" s="63"/>
      <c r="I215" s="63"/>
      <c r="J215" s="63"/>
      <c r="K215" s="16" t="str">
        <f aca="false">IF(AND($A215="",$B215="",$C215="",$E215=""),"",IF($A215="","⚠ Date missing",IF(OR($B215="",$C215=""),"⚠ Site / material missing",IF(COUNTIFS(CI_Site,$B215,CI_Mat,$C215)=0,"⚠ No Current Inventory row for this site + material",IF($G215="","⚠ Status missing",IF(AND($G215="Scheduled",$A215&lt;=AsOfDate),"⚠ Scheduled date reached – mark Received or re-date",IF(AND($G215="Received",$A215&gt;AsOfDate),"Future-dated – added on its date",IF(AND($G215="Received",$A215&lt;SUMIFS(CI_Count,CI_Site,$B215,CI_Mat,$C215)),"Before count date – already in the count","OK"))))))))</f>
        <v/>
      </c>
    </row>
    <row r="216" customFormat="false" ht="15" hidden="false" customHeight="false" outlineLevel="0" collapsed="false">
      <c r="A216" s="65"/>
      <c r="B216" s="63"/>
      <c r="C216" s="70"/>
      <c r="D216" s="16" t="str">
        <f aca="false">IF($C216="","",IFERROR(INDEX(Mat_Short,MATCH($C216,Mat_Code,0)),"⚠ Unknown code"))</f>
        <v/>
      </c>
      <c r="E216" s="66"/>
      <c r="F216" s="64" t="str">
        <f aca="false">IF($C216="","",IFERROR(INDEX(Mat_Unit,MATCH($C216,Mat_Code,0)),""))</f>
        <v/>
      </c>
      <c r="G216" s="70"/>
      <c r="H216" s="63"/>
      <c r="I216" s="63"/>
      <c r="J216" s="63"/>
      <c r="K216" s="16" t="str">
        <f aca="false">IF(AND($A216="",$B216="",$C216="",$E216=""),"",IF($A216="","⚠ Date missing",IF(OR($B216="",$C216=""),"⚠ Site / material missing",IF(COUNTIFS(CI_Site,$B216,CI_Mat,$C216)=0,"⚠ No Current Inventory row for this site + material",IF($G216="","⚠ Status missing",IF(AND($G216="Scheduled",$A216&lt;=AsOfDate),"⚠ Scheduled date reached – mark Received or re-date",IF(AND($G216="Received",$A216&gt;AsOfDate),"Future-dated – added on its date",IF(AND($G216="Received",$A216&lt;SUMIFS(CI_Count,CI_Site,$B216,CI_Mat,$C216)),"Before count date – already in the count","OK"))))))))</f>
        <v/>
      </c>
    </row>
    <row r="217" customFormat="false" ht="15" hidden="false" customHeight="false" outlineLevel="0" collapsed="false">
      <c r="A217" s="65"/>
      <c r="B217" s="63"/>
      <c r="C217" s="70"/>
      <c r="D217" s="16" t="str">
        <f aca="false">IF($C217="","",IFERROR(INDEX(Mat_Short,MATCH($C217,Mat_Code,0)),"⚠ Unknown code"))</f>
        <v/>
      </c>
      <c r="E217" s="66"/>
      <c r="F217" s="64" t="str">
        <f aca="false">IF($C217="","",IFERROR(INDEX(Mat_Unit,MATCH($C217,Mat_Code,0)),""))</f>
        <v/>
      </c>
      <c r="G217" s="70"/>
      <c r="H217" s="63"/>
      <c r="I217" s="63"/>
      <c r="J217" s="63"/>
      <c r="K217" s="16" t="str">
        <f aca="false">IF(AND($A217="",$B217="",$C217="",$E217=""),"",IF($A217="","⚠ Date missing",IF(OR($B217="",$C217=""),"⚠ Site / material missing",IF(COUNTIFS(CI_Site,$B217,CI_Mat,$C217)=0,"⚠ No Current Inventory row for this site + material",IF($G217="","⚠ Status missing",IF(AND($G217="Scheduled",$A217&lt;=AsOfDate),"⚠ Scheduled date reached – mark Received or re-date",IF(AND($G217="Received",$A217&gt;AsOfDate),"Future-dated – added on its date",IF(AND($G217="Received",$A217&lt;SUMIFS(CI_Count,CI_Site,$B217,CI_Mat,$C217)),"Before count date – already in the count","OK"))))))))</f>
        <v/>
      </c>
    </row>
    <row r="218" customFormat="false" ht="15" hidden="false" customHeight="false" outlineLevel="0" collapsed="false">
      <c r="A218" s="65"/>
      <c r="B218" s="63"/>
      <c r="C218" s="70"/>
      <c r="D218" s="16" t="str">
        <f aca="false">IF($C218="","",IFERROR(INDEX(Mat_Short,MATCH($C218,Mat_Code,0)),"⚠ Unknown code"))</f>
        <v/>
      </c>
      <c r="E218" s="66"/>
      <c r="F218" s="64" t="str">
        <f aca="false">IF($C218="","",IFERROR(INDEX(Mat_Unit,MATCH($C218,Mat_Code,0)),""))</f>
        <v/>
      </c>
      <c r="G218" s="70"/>
      <c r="H218" s="63"/>
      <c r="I218" s="63"/>
      <c r="J218" s="63"/>
      <c r="K218" s="16" t="str">
        <f aca="false">IF(AND($A218="",$B218="",$C218="",$E218=""),"",IF($A218="","⚠ Date missing",IF(OR($B218="",$C218=""),"⚠ Site / material missing",IF(COUNTIFS(CI_Site,$B218,CI_Mat,$C218)=0,"⚠ No Current Inventory row for this site + material",IF($G218="","⚠ Status missing",IF(AND($G218="Scheduled",$A218&lt;=AsOfDate),"⚠ Scheduled date reached – mark Received or re-date",IF(AND($G218="Received",$A218&gt;AsOfDate),"Future-dated – added on its date",IF(AND($G218="Received",$A218&lt;SUMIFS(CI_Count,CI_Site,$B218,CI_Mat,$C218)),"Before count date – already in the count","OK"))))))))</f>
        <v/>
      </c>
    </row>
    <row r="219" customFormat="false" ht="15" hidden="false" customHeight="false" outlineLevel="0" collapsed="false">
      <c r="A219" s="65"/>
      <c r="B219" s="63"/>
      <c r="C219" s="70"/>
      <c r="D219" s="16" t="str">
        <f aca="false">IF($C219="","",IFERROR(INDEX(Mat_Short,MATCH($C219,Mat_Code,0)),"⚠ Unknown code"))</f>
        <v/>
      </c>
      <c r="E219" s="66"/>
      <c r="F219" s="64" t="str">
        <f aca="false">IF($C219="","",IFERROR(INDEX(Mat_Unit,MATCH($C219,Mat_Code,0)),""))</f>
        <v/>
      </c>
      <c r="G219" s="70"/>
      <c r="H219" s="63"/>
      <c r="I219" s="63"/>
      <c r="J219" s="63"/>
      <c r="K219" s="16" t="str">
        <f aca="false">IF(AND($A219="",$B219="",$C219="",$E219=""),"",IF($A219="","⚠ Date missing",IF(OR($B219="",$C219=""),"⚠ Site / material missing",IF(COUNTIFS(CI_Site,$B219,CI_Mat,$C219)=0,"⚠ No Current Inventory row for this site + material",IF($G219="","⚠ Status missing",IF(AND($G219="Scheduled",$A219&lt;=AsOfDate),"⚠ Scheduled date reached – mark Received or re-date",IF(AND($G219="Received",$A219&gt;AsOfDate),"Future-dated – added on its date",IF(AND($G219="Received",$A219&lt;SUMIFS(CI_Count,CI_Site,$B219,CI_Mat,$C219)),"Before count date – already in the count","OK"))))))))</f>
        <v/>
      </c>
    </row>
    <row r="220" customFormat="false" ht="15" hidden="false" customHeight="false" outlineLevel="0" collapsed="false">
      <c r="A220" s="65"/>
      <c r="B220" s="63"/>
      <c r="C220" s="70"/>
      <c r="D220" s="16" t="str">
        <f aca="false">IF($C220="","",IFERROR(INDEX(Mat_Short,MATCH($C220,Mat_Code,0)),"⚠ Unknown code"))</f>
        <v/>
      </c>
      <c r="E220" s="66"/>
      <c r="F220" s="64" t="str">
        <f aca="false">IF($C220="","",IFERROR(INDEX(Mat_Unit,MATCH($C220,Mat_Code,0)),""))</f>
        <v/>
      </c>
      <c r="G220" s="70"/>
      <c r="H220" s="63"/>
      <c r="I220" s="63"/>
      <c r="J220" s="63"/>
      <c r="K220" s="16" t="str">
        <f aca="false">IF(AND($A220="",$B220="",$C220="",$E220=""),"",IF($A220="","⚠ Date missing",IF(OR($B220="",$C220=""),"⚠ Site / material missing",IF(COUNTIFS(CI_Site,$B220,CI_Mat,$C220)=0,"⚠ No Current Inventory row for this site + material",IF($G220="","⚠ Status missing",IF(AND($G220="Scheduled",$A220&lt;=AsOfDate),"⚠ Scheduled date reached – mark Received or re-date",IF(AND($G220="Received",$A220&gt;AsOfDate),"Future-dated – added on its date",IF(AND($G220="Received",$A220&lt;SUMIFS(CI_Count,CI_Site,$B220,CI_Mat,$C220)),"Before count date – already in the count","OK"))))))))</f>
        <v/>
      </c>
    </row>
    <row r="221" customFormat="false" ht="15" hidden="false" customHeight="false" outlineLevel="0" collapsed="false">
      <c r="A221" s="65"/>
      <c r="B221" s="63"/>
      <c r="C221" s="70"/>
      <c r="D221" s="16" t="str">
        <f aca="false">IF($C221="","",IFERROR(INDEX(Mat_Short,MATCH($C221,Mat_Code,0)),"⚠ Unknown code"))</f>
        <v/>
      </c>
      <c r="E221" s="66"/>
      <c r="F221" s="64" t="str">
        <f aca="false">IF($C221="","",IFERROR(INDEX(Mat_Unit,MATCH($C221,Mat_Code,0)),""))</f>
        <v/>
      </c>
      <c r="G221" s="70"/>
      <c r="H221" s="63"/>
      <c r="I221" s="63"/>
      <c r="J221" s="63"/>
      <c r="K221" s="16" t="str">
        <f aca="false">IF(AND($A221="",$B221="",$C221="",$E221=""),"",IF($A221="","⚠ Date missing",IF(OR($B221="",$C221=""),"⚠ Site / material missing",IF(COUNTIFS(CI_Site,$B221,CI_Mat,$C221)=0,"⚠ No Current Inventory row for this site + material",IF($G221="","⚠ Status missing",IF(AND($G221="Scheduled",$A221&lt;=AsOfDate),"⚠ Scheduled date reached – mark Received or re-date",IF(AND($G221="Received",$A221&gt;AsOfDate),"Future-dated – added on its date",IF(AND($G221="Received",$A221&lt;SUMIFS(CI_Count,CI_Site,$B221,CI_Mat,$C221)),"Before count date – already in the count","OK"))))))))</f>
        <v/>
      </c>
    </row>
    <row r="222" customFormat="false" ht="15" hidden="false" customHeight="false" outlineLevel="0" collapsed="false">
      <c r="A222" s="65"/>
      <c r="B222" s="63"/>
      <c r="C222" s="70"/>
      <c r="D222" s="16" t="str">
        <f aca="false">IF($C222="","",IFERROR(INDEX(Mat_Short,MATCH($C222,Mat_Code,0)),"⚠ Unknown code"))</f>
        <v/>
      </c>
      <c r="E222" s="66"/>
      <c r="F222" s="64" t="str">
        <f aca="false">IF($C222="","",IFERROR(INDEX(Mat_Unit,MATCH($C222,Mat_Code,0)),""))</f>
        <v/>
      </c>
      <c r="G222" s="70"/>
      <c r="H222" s="63"/>
      <c r="I222" s="63"/>
      <c r="J222" s="63"/>
      <c r="K222" s="16" t="str">
        <f aca="false">IF(AND($A222="",$B222="",$C222="",$E222=""),"",IF($A222="","⚠ Date missing",IF(OR($B222="",$C222=""),"⚠ Site / material missing",IF(COUNTIFS(CI_Site,$B222,CI_Mat,$C222)=0,"⚠ No Current Inventory row for this site + material",IF($G222="","⚠ Status missing",IF(AND($G222="Scheduled",$A222&lt;=AsOfDate),"⚠ Scheduled date reached – mark Received or re-date",IF(AND($G222="Received",$A222&gt;AsOfDate),"Future-dated – added on its date",IF(AND($G222="Received",$A222&lt;SUMIFS(CI_Count,CI_Site,$B222,CI_Mat,$C222)),"Before count date – already in the count","OK"))))))))</f>
        <v/>
      </c>
    </row>
    <row r="223" customFormat="false" ht="15" hidden="false" customHeight="false" outlineLevel="0" collapsed="false">
      <c r="A223" s="65"/>
      <c r="B223" s="63"/>
      <c r="C223" s="70"/>
      <c r="D223" s="16" t="str">
        <f aca="false">IF($C223="","",IFERROR(INDEX(Mat_Short,MATCH($C223,Mat_Code,0)),"⚠ Unknown code"))</f>
        <v/>
      </c>
      <c r="E223" s="66"/>
      <c r="F223" s="64" t="str">
        <f aca="false">IF($C223="","",IFERROR(INDEX(Mat_Unit,MATCH($C223,Mat_Code,0)),""))</f>
        <v/>
      </c>
      <c r="G223" s="70"/>
      <c r="H223" s="63"/>
      <c r="I223" s="63"/>
      <c r="J223" s="63"/>
      <c r="K223" s="16" t="str">
        <f aca="false">IF(AND($A223="",$B223="",$C223="",$E223=""),"",IF($A223="","⚠ Date missing",IF(OR($B223="",$C223=""),"⚠ Site / material missing",IF(COUNTIFS(CI_Site,$B223,CI_Mat,$C223)=0,"⚠ No Current Inventory row for this site + material",IF($G223="","⚠ Status missing",IF(AND($G223="Scheduled",$A223&lt;=AsOfDate),"⚠ Scheduled date reached – mark Received or re-date",IF(AND($G223="Received",$A223&gt;AsOfDate),"Future-dated – added on its date",IF(AND($G223="Received",$A223&lt;SUMIFS(CI_Count,CI_Site,$B223,CI_Mat,$C223)),"Before count date – already in the count","OK"))))))))</f>
        <v/>
      </c>
    </row>
    <row r="224" customFormat="false" ht="15" hidden="false" customHeight="false" outlineLevel="0" collapsed="false">
      <c r="A224" s="65"/>
      <c r="B224" s="63"/>
      <c r="C224" s="70"/>
      <c r="D224" s="16" t="str">
        <f aca="false">IF($C224="","",IFERROR(INDEX(Mat_Short,MATCH($C224,Mat_Code,0)),"⚠ Unknown code"))</f>
        <v/>
      </c>
      <c r="E224" s="66"/>
      <c r="F224" s="64" t="str">
        <f aca="false">IF($C224="","",IFERROR(INDEX(Mat_Unit,MATCH($C224,Mat_Code,0)),""))</f>
        <v/>
      </c>
      <c r="G224" s="70"/>
      <c r="H224" s="63"/>
      <c r="I224" s="63"/>
      <c r="J224" s="63"/>
      <c r="K224" s="16" t="str">
        <f aca="false">IF(AND($A224="",$B224="",$C224="",$E224=""),"",IF($A224="","⚠ Date missing",IF(OR($B224="",$C224=""),"⚠ Site / material missing",IF(COUNTIFS(CI_Site,$B224,CI_Mat,$C224)=0,"⚠ No Current Inventory row for this site + material",IF($G224="","⚠ Status missing",IF(AND($G224="Scheduled",$A224&lt;=AsOfDate),"⚠ Scheduled date reached – mark Received or re-date",IF(AND($G224="Received",$A224&gt;AsOfDate),"Future-dated – added on its date",IF(AND($G224="Received",$A224&lt;SUMIFS(CI_Count,CI_Site,$B224,CI_Mat,$C224)),"Before count date – already in the count","OK"))))))))</f>
        <v/>
      </c>
    </row>
    <row r="225" customFormat="false" ht="15" hidden="false" customHeight="false" outlineLevel="0" collapsed="false">
      <c r="A225" s="65"/>
      <c r="B225" s="63"/>
      <c r="C225" s="70"/>
      <c r="D225" s="16" t="str">
        <f aca="false">IF($C225="","",IFERROR(INDEX(Mat_Short,MATCH($C225,Mat_Code,0)),"⚠ Unknown code"))</f>
        <v/>
      </c>
      <c r="E225" s="66"/>
      <c r="F225" s="64" t="str">
        <f aca="false">IF($C225="","",IFERROR(INDEX(Mat_Unit,MATCH($C225,Mat_Code,0)),""))</f>
        <v/>
      </c>
      <c r="G225" s="70"/>
      <c r="H225" s="63"/>
      <c r="I225" s="63"/>
      <c r="J225" s="63"/>
      <c r="K225" s="16" t="str">
        <f aca="false">IF(AND($A225="",$B225="",$C225="",$E225=""),"",IF($A225="","⚠ Date missing",IF(OR($B225="",$C225=""),"⚠ Site / material missing",IF(COUNTIFS(CI_Site,$B225,CI_Mat,$C225)=0,"⚠ No Current Inventory row for this site + material",IF($G225="","⚠ Status missing",IF(AND($G225="Scheduled",$A225&lt;=AsOfDate),"⚠ Scheduled date reached – mark Received or re-date",IF(AND($G225="Received",$A225&gt;AsOfDate),"Future-dated – added on its date",IF(AND($G225="Received",$A225&lt;SUMIFS(CI_Count,CI_Site,$B225,CI_Mat,$C225)),"Before count date – already in the count","OK"))))))))</f>
        <v/>
      </c>
    </row>
    <row r="226" customFormat="false" ht="15" hidden="false" customHeight="false" outlineLevel="0" collapsed="false">
      <c r="A226" s="65"/>
      <c r="B226" s="63"/>
      <c r="C226" s="70"/>
      <c r="D226" s="16" t="str">
        <f aca="false">IF($C226="","",IFERROR(INDEX(Mat_Short,MATCH($C226,Mat_Code,0)),"⚠ Unknown code"))</f>
        <v/>
      </c>
      <c r="E226" s="66"/>
      <c r="F226" s="64" t="str">
        <f aca="false">IF($C226="","",IFERROR(INDEX(Mat_Unit,MATCH($C226,Mat_Code,0)),""))</f>
        <v/>
      </c>
      <c r="G226" s="70"/>
      <c r="H226" s="63"/>
      <c r="I226" s="63"/>
      <c r="J226" s="63"/>
      <c r="K226" s="16" t="str">
        <f aca="false">IF(AND($A226="",$B226="",$C226="",$E226=""),"",IF($A226="","⚠ Date missing",IF(OR($B226="",$C226=""),"⚠ Site / material missing",IF(COUNTIFS(CI_Site,$B226,CI_Mat,$C226)=0,"⚠ No Current Inventory row for this site + material",IF($G226="","⚠ Status missing",IF(AND($G226="Scheduled",$A226&lt;=AsOfDate),"⚠ Scheduled date reached – mark Received or re-date",IF(AND($G226="Received",$A226&gt;AsOfDate),"Future-dated – added on its date",IF(AND($G226="Received",$A226&lt;SUMIFS(CI_Count,CI_Site,$B226,CI_Mat,$C226)),"Before count date – already in the count","OK"))))))))</f>
        <v/>
      </c>
    </row>
    <row r="227" customFormat="false" ht="15" hidden="false" customHeight="false" outlineLevel="0" collapsed="false">
      <c r="A227" s="65"/>
      <c r="B227" s="63"/>
      <c r="C227" s="70"/>
      <c r="D227" s="16" t="str">
        <f aca="false">IF($C227="","",IFERROR(INDEX(Mat_Short,MATCH($C227,Mat_Code,0)),"⚠ Unknown code"))</f>
        <v/>
      </c>
      <c r="E227" s="66"/>
      <c r="F227" s="64" t="str">
        <f aca="false">IF($C227="","",IFERROR(INDEX(Mat_Unit,MATCH($C227,Mat_Code,0)),""))</f>
        <v/>
      </c>
      <c r="G227" s="70"/>
      <c r="H227" s="63"/>
      <c r="I227" s="63"/>
      <c r="J227" s="63"/>
      <c r="K227" s="16" t="str">
        <f aca="false">IF(AND($A227="",$B227="",$C227="",$E227=""),"",IF($A227="","⚠ Date missing",IF(OR($B227="",$C227=""),"⚠ Site / material missing",IF(COUNTIFS(CI_Site,$B227,CI_Mat,$C227)=0,"⚠ No Current Inventory row for this site + material",IF($G227="","⚠ Status missing",IF(AND($G227="Scheduled",$A227&lt;=AsOfDate),"⚠ Scheduled date reached – mark Received or re-date",IF(AND($G227="Received",$A227&gt;AsOfDate),"Future-dated – added on its date",IF(AND($G227="Received",$A227&lt;SUMIFS(CI_Count,CI_Site,$B227,CI_Mat,$C227)),"Before count date – already in the count","OK"))))))))</f>
        <v/>
      </c>
    </row>
    <row r="228" customFormat="false" ht="15" hidden="false" customHeight="false" outlineLevel="0" collapsed="false">
      <c r="A228" s="65"/>
      <c r="B228" s="63"/>
      <c r="C228" s="70"/>
      <c r="D228" s="16" t="str">
        <f aca="false">IF($C228="","",IFERROR(INDEX(Mat_Short,MATCH($C228,Mat_Code,0)),"⚠ Unknown code"))</f>
        <v/>
      </c>
      <c r="E228" s="66"/>
      <c r="F228" s="64" t="str">
        <f aca="false">IF($C228="","",IFERROR(INDEX(Mat_Unit,MATCH($C228,Mat_Code,0)),""))</f>
        <v/>
      </c>
      <c r="G228" s="70"/>
      <c r="H228" s="63"/>
      <c r="I228" s="63"/>
      <c r="J228" s="63"/>
      <c r="K228" s="16" t="str">
        <f aca="false">IF(AND($A228="",$B228="",$C228="",$E228=""),"",IF($A228="","⚠ Date missing",IF(OR($B228="",$C228=""),"⚠ Site / material missing",IF(COUNTIFS(CI_Site,$B228,CI_Mat,$C228)=0,"⚠ No Current Inventory row for this site + material",IF($G228="","⚠ Status missing",IF(AND($G228="Scheduled",$A228&lt;=AsOfDate),"⚠ Scheduled date reached – mark Received or re-date",IF(AND($G228="Received",$A228&gt;AsOfDate),"Future-dated – added on its date",IF(AND($G228="Received",$A228&lt;SUMIFS(CI_Count,CI_Site,$B228,CI_Mat,$C228)),"Before count date – already in the count","OK"))))))))</f>
        <v/>
      </c>
    </row>
    <row r="229" customFormat="false" ht="15" hidden="false" customHeight="false" outlineLevel="0" collapsed="false">
      <c r="A229" s="65"/>
      <c r="B229" s="63"/>
      <c r="C229" s="70"/>
      <c r="D229" s="16" t="str">
        <f aca="false">IF($C229="","",IFERROR(INDEX(Mat_Short,MATCH($C229,Mat_Code,0)),"⚠ Unknown code"))</f>
        <v/>
      </c>
      <c r="E229" s="66"/>
      <c r="F229" s="64" t="str">
        <f aca="false">IF($C229="","",IFERROR(INDEX(Mat_Unit,MATCH($C229,Mat_Code,0)),""))</f>
        <v/>
      </c>
      <c r="G229" s="70"/>
      <c r="H229" s="63"/>
      <c r="I229" s="63"/>
      <c r="J229" s="63"/>
      <c r="K229" s="16" t="str">
        <f aca="false">IF(AND($A229="",$B229="",$C229="",$E229=""),"",IF($A229="","⚠ Date missing",IF(OR($B229="",$C229=""),"⚠ Site / material missing",IF(COUNTIFS(CI_Site,$B229,CI_Mat,$C229)=0,"⚠ No Current Inventory row for this site + material",IF($G229="","⚠ Status missing",IF(AND($G229="Scheduled",$A229&lt;=AsOfDate),"⚠ Scheduled date reached – mark Received or re-date",IF(AND($G229="Received",$A229&gt;AsOfDate),"Future-dated – added on its date",IF(AND($G229="Received",$A229&lt;SUMIFS(CI_Count,CI_Site,$B229,CI_Mat,$C229)),"Before count date – already in the count","OK"))))))))</f>
        <v/>
      </c>
    </row>
    <row r="230" customFormat="false" ht="15" hidden="false" customHeight="false" outlineLevel="0" collapsed="false">
      <c r="A230" s="65"/>
      <c r="B230" s="63"/>
      <c r="C230" s="70"/>
      <c r="D230" s="16" t="str">
        <f aca="false">IF($C230="","",IFERROR(INDEX(Mat_Short,MATCH($C230,Mat_Code,0)),"⚠ Unknown code"))</f>
        <v/>
      </c>
      <c r="E230" s="66"/>
      <c r="F230" s="64" t="str">
        <f aca="false">IF($C230="","",IFERROR(INDEX(Mat_Unit,MATCH($C230,Mat_Code,0)),""))</f>
        <v/>
      </c>
      <c r="G230" s="70"/>
      <c r="H230" s="63"/>
      <c r="I230" s="63"/>
      <c r="J230" s="63"/>
      <c r="K230" s="16" t="str">
        <f aca="false">IF(AND($A230="",$B230="",$C230="",$E230=""),"",IF($A230="","⚠ Date missing",IF(OR($B230="",$C230=""),"⚠ Site / material missing",IF(COUNTIFS(CI_Site,$B230,CI_Mat,$C230)=0,"⚠ No Current Inventory row for this site + material",IF($G230="","⚠ Status missing",IF(AND($G230="Scheduled",$A230&lt;=AsOfDate),"⚠ Scheduled date reached – mark Received or re-date",IF(AND($G230="Received",$A230&gt;AsOfDate),"Future-dated – added on its date",IF(AND($G230="Received",$A230&lt;SUMIFS(CI_Count,CI_Site,$B230,CI_Mat,$C230)),"Before count date – already in the count","OK"))))))))</f>
        <v/>
      </c>
    </row>
    <row r="231" customFormat="false" ht="15" hidden="false" customHeight="false" outlineLevel="0" collapsed="false">
      <c r="A231" s="65"/>
      <c r="B231" s="63"/>
      <c r="C231" s="70"/>
      <c r="D231" s="16" t="str">
        <f aca="false">IF($C231="","",IFERROR(INDEX(Mat_Short,MATCH($C231,Mat_Code,0)),"⚠ Unknown code"))</f>
        <v/>
      </c>
      <c r="E231" s="66"/>
      <c r="F231" s="64" t="str">
        <f aca="false">IF($C231="","",IFERROR(INDEX(Mat_Unit,MATCH($C231,Mat_Code,0)),""))</f>
        <v/>
      </c>
      <c r="G231" s="70"/>
      <c r="H231" s="63"/>
      <c r="I231" s="63"/>
      <c r="J231" s="63"/>
      <c r="K231" s="16" t="str">
        <f aca="false">IF(AND($A231="",$B231="",$C231="",$E231=""),"",IF($A231="","⚠ Date missing",IF(OR($B231="",$C231=""),"⚠ Site / material missing",IF(COUNTIFS(CI_Site,$B231,CI_Mat,$C231)=0,"⚠ No Current Inventory row for this site + material",IF($G231="","⚠ Status missing",IF(AND($G231="Scheduled",$A231&lt;=AsOfDate),"⚠ Scheduled date reached – mark Received or re-date",IF(AND($G231="Received",$A231&gt;AsOfDate),"Future-dated – added on its date",IF(AND($G231="Received",$A231&lt;SUMIFS(CI_Count,CI_Site,$B231,CI_Mat,$C231)),"Before count date – already in the count","OK"))))))))</f>
        <v/>
      </c>
    </row>
    <row r="232" customFormat="false" ht="15" hidden="false" customHeight="false" outlineLevel="0" collapsed="false">
      <c r="A232" s="65"/>
      <c r="B232" s="63"/>
      <c r="C232" s="70"/>
      <c r="D232" s="16" t="str">
        <f aca="false">IF($C232="","",IFERROR(INDEX(Mat_Short,MATCH($C232,Mat_Code,0)),"⚠ Unknown code"))</f>
        <v/>
      </c>
      <c r="E232" s="66"/>
      <c r="F232" s="64" t="str">
        <f aca="false">IF($C232="","",IFERROR(INDEX(Mat_Unit,MATCH($C232,Mat_Code,0)),""))</f>
        <v/>
      </c>
      <c r="G232" s="70"/>
      <c r="H232" s="63"/>
      <c r="I232" s="63"/>
      <c r="J232" s="63"/>
      <c r="K232" s="16" t="str">
        <f aca="false">IF(AND($A232="",$B232="",$C232="",$E232=""),"",IF($A232="","⚠ Date missing",IF(OR($B232="",$C232=""),"⚠ Site / material missing",IF(COUNTIFS(CI_Site,$B232,CI_Mat,$C232)=0,"⚠ No Current Inventory row for this site + material",IF($G232="","⚠ Status missing",IF(AND($G232="Scheduled",$A232&lt;=AsOfDate),"⚠ Scheduled date reached – mark Received or re-date",IF(AND($G232="Received",$A232&gt;AsOfDate),"Future-dated – added on its date",IF(AND($G232="Received",$A232&lt;SUMIFS(CI_Count,CI_Site,$B232,CI_Mat,$C232)),"Before count date – already in the count","OK"))))))))</f>
        <v/>
      </c>
    </row>
    <row r="233" customFormat="false" ht="15" hidden="false" customHeight="false" outlineLevel="0" collapsed="false">
      <c r="A233" s="65"/>
      <c r="B233" s="63"/>
      <c r="C233" s="70"/>
      <c r="D233" s="16" t="str">
        <f aca="false">IF($C233="","",IFERROR(INDEX(Mat_Short,MATCH($C233,Mat_Code,0)),"⚠ Unknown code"))</f>
        <v/>
      </c>
      <c r="E233" s="66"/>
      <c r="F233" s="64" t="str">
        <f aca="false">IF($C233="","",IFERROR(INDEX(Mat_Unit,MATCH($C233,Mat_Code,0)),""))</f>
        <v/>
      </c>
      <c r="G233" s="70"/>
      <c r="H233" s="63"/>
      <c r="I233" s="63"/>
      <c r="J233" s="63"/>
      <c r="K233" s="16" t="str">
        <f aca="false">IF(AND($A233="",$B233="",$C233="",$E233=""),"",IF($A233="","⚠ Date missing",IF(OR($B233="",$C233=""),"⚠ Site / material missing",IF(COUNTIFS(CI_Site,$B233,CI_Mat,$C233)=0,"⚠ No Current Inventory row for this site + material",IF($G233="","⚠ Status missing",IF(AND($G233="Scheduled",$A233&lt;=AsOfDate),"⚠ Scheduled date reached – mark Received or re-date",IF(AND($G233="Received",$A233&gt;AsOfDate),"Future-dated – added on its date",IF(AND($G233="Received",$A233&lt;SUMIFS(CI_Count,CI_Site,$B233,CI_Mat,$C233)),"Before count date – already in the count","OK"))))))))</f>
        <v/>
      </c>
    </row>
    <row r="234" customFormat="false" ht="15" hidden="false" customHeight="false" outlineLevel="0" collapsed="false">
      <c r="A234" s="65"/>
      <c r="B234" s="63"/>
      <c r="C234" s="70"/>
      <c r="D234" s="16" t="str">
        <f aca="false">IF($C234="","",IFERROR(INDEX(Mat_Short,MATCH($C234,Mat_Code,0)),"⚠ Unknown code"))</f>
        <v/>
      </c>
      <c r="E234" s="66"/>
      <c r="F234" s="64" t="str">
        <f aca="false">IF($C234="","",IFERROR(INDEX(Mat_Unit,MATCH($C234,Mat_Code,0)),""))</f>
        <v/>
      </c>
      <c r="G234" s="70"/>
      <c r="H234" s="63"/>
      <c r="I234" s="63"/>
      <c r="J234" s="63"/>
      <c r="K234" s="16" t="str">
        <f aca="false">IF(AND($A234="",$B234="",$C234="",$E234=""),"",IF($A234="","⚠ Date missing",IF(OR($B234="",$C234=""),"⚠ Site / material missing",IF(COUNTIFS(CI_Site,$B234,CI_Mat,$C234)=0,"⚠ No Current Inventory row for this site + material",IF($G234="","⚠ Status missing",IF(AND($G234="Scheduled",$A234&lt;=AsOfDate),"⚠ Scheduled date reached – mark Received or re-date",IF(AND($G234="Received",$A234&gt;AsOfDate),"Future-dated – added on its date",IF(AND($G234="Received",$A234&lt;SUMIFS(CI_Count,CI_Site,$B234,CI_Mat,$C234)),"Before count date – already in the count","OK"))))))))</f>
        <v/>
      </c>
    </row>
    <row r="235" customFormat="false" ht="15" hidden="false" customHeight="false" outlineLevel="0" collapsed="false">
      <c r="A235" s="65"/>
      <c r="B235" s="63"/>
      <c r="C235" s="70"/>
      <c r="D235" s="16" t="str">
        <f aca="false">IF($C235="","",IFERROR(INDEX(Mat_Short,MATCH($C235,Mat_Code,0)),"⚠ Unknown code"))</f>
        <v/>
      </c>
      <c r="E235" s="66"/>
      <c r="F235" s="64" t="str">
        <f aca="false">IF($C235="","",IFERROR(INDEX(Mat_Unit,MATCH($C235,Mat_Code,0)),""))</f>
        <v/>
      </c>
      <c r="G235" s="70"/>
      <c r="H235" s="63"/>
      <c r="I235" s="63"/>
      <c r="J235" s="63"/>
      <c r="K235" s="16" t="str">
        <f aca="false">IF(AND($A235="",$B235="",$C235="",$E235=""),"",IF($A235="","⚠ Date missing",IF(OR($B235="",$C235=""),"⚠ Site / material missing",IF(COUNTIFS(CI_Site,$B235,CI_Mat,$C235)=0,"⚠ No Current Inventory row for this site + material",IF($G235="","⚠ Status missing",IF(AND($G235="Scheduled",$A235&lt;=AsOfDate),"⚠ Scheduled date reached – mark Received or re-date",IF(AND($G235="Received",$A235&gt;AsOfDate),"Future-dated – added on its date",IF(AND($G235="Received",$A235&lt;SUMIFS(CI_Count,CI_Site,$B235,CI_Mat,$C235)),"Before count date – already in the count","OK"))))))))</f>
        <v/>
      </c>
    </row>
    <row r="236" customFormat="false" ht="15" hidden="false" customHeight="false" outlineLevel="0" collapsed="false">
      <c r="A236" s="65"/>
      <c r="B236" s="63"/>
      <c r="C236" s="70"/>
      <c r="D236" s="16" t="str">
        <f aca="false">IF($C236="","",IFERROR(INDEX(Mat_Short,MATCH($C236,Mat_Code,0)),"⚠ Unknown code"))</f>
        <v/>
      </c>
      <c r="E236" s="66"/>
      <c r="F236" s="64" t="str">
        <f aca="false">IF($C236="","",IFERROR(INDEX(Mat_Unit,MATCH($C236,Mat_Code,0)),""))</f>
        <v/>
      </c>
      <c r="G236" s="70"/>
      <c r="H236" s="63"/>
      <c r="I236" s="63"/>
      <c r="J236" s="63"/>
      <c r="K236" s="16" t="str">
        <f aca="false">IF(AND($A236="",$B236="",$C236="",$E236=""),"",IF($A236="","⚠ Date missing",IF(OR($B236="",$C236=""),"⚠ Site / material missing",IF(COUNTIFS(CI_Site,$B236,CI_Mat,$C236)=0,"⚠ No Current Inventory row for this site + material",IF($G236="","⚠ Status missing",IF(AND($G236="Scheduled",$A236&lt;=AsOfDate),"⚠ Scheduled date reached – mark Received or re-date",IF(AND($G236="Received",$A236&gt;AsOfDate),"Future-dated – added on its date",IF(AND($G236="Received",$A236&lt;SUMIFS(CI_Count,CI_Site,$B236,CI_Mat,$C236)),"Before count date – already in the count","OK"))))))))</f>
        <v/>
      </c>
    </row>
    <row r="237" customFormat="false" ht="15" hidden="false" customHeight="false" outlineLevel="0" collapsed="false">
      <c r="A237" s="65"/>
      <c r="B237" s="63"/>
      <c r="C237" s="70"/>
      <c r="D237" s="16" t="str">
        <f aca="false">IF($C237="","",IFERROR(INDEX(Mat_Short,MATCH($C237,Mat_Code,0)),"⚠ Unknown code"))</f>
        <v/>
      </c>
      <c r="E237" s="66"/>
      <c r="F237" s="64" t="str">
        <f aca="false">IF($C237="","",IFERROR(INDEX(Mat_Unit,MATCH($C237,Mat_Code,0)),""))</f>
        <v/>
      </c>
      <c r="G237" s="70"/>
      <c r="H237" s="63"/>
      <c r="I237" s="63"/>
      <c r="J237" s="63"/>
      <c r="K237" s="16" t="str">
        <f aca="false">IF(AND($A237="",$B237="",$C237="",$E237=""),"",IF($A237="","⚠ Date missing",IF(OR($B237="",$C237=""),"⚠ Site / material missing",IF(COUNTIFS(CI_Site,$B237,CI_Mat,$C237)=0,"⚠ No Current Inventory row for this site + material",IF($G237="","⚠ Status missing",IF(AND($G237="Scheduled",$A237&lt;=AsOfDate),"⚠ Scheduled date reached – mark Received or re-date",IF(AND($G237="Received",$A237&gt;AsOfDate),"Future-dated – added on its date",IF(AND($G237="Received",$A237&lt;SUMIFS(CI_Count,CI_Site,$B237,CI_Mat,$C237)),"Before count date – already in the count","OK"))))))))</f>
        <v/>
      </c>
    </row>
    <row r="238" customFormat="false" ht="15" hidden="false" customHeight="false" outlineLevel="0" collapsed="false">
      <c r="A238" s="65"/>
      <c r="B238" s="63"/>
      <c r="C238" s="70"/>
      <c r="D238" s="16" t="str">
        <f aca="false">IF($C238="","",IFERROR(INDEX(Mat_Short,MATCH($C238,Mat_Code,0)),"⚠ Unknown code"))</f>
        <v/>
      </c>
      <c r="E238" s="66"/>
      <c r="F238" s="64" t="str">
        <f aca="false">IF($C238="","",IFERROR(INDEX(Mat_Unit,MATCH($C238,Mat_Code,0)),""))</f>
        <v/>
      </c>
      <c r="G238" s="70"/>
      <c r="H238" s="63"/>
      <c r="I238" s="63"/>
      <c r="J238" s="63"/>
      <c r="K238" s="16" t="str">
        <f aca="false">IF(AND($A238="",$B238="",$C238="",$E238=""),"",IF($A238="","⚠ Date missing",IF(OR($B238="",$C238=""),"⚠ Site / material missing",IF(COUNTIFS(CI_Site,$B238,CI_Mat,$C238)=0,"⚠ No Current Inventory row for this site + material",IF($G238="","⚠ Status missing",IF(AND($G238="Scheduled",$A238&lt;=AsOfDate),"⚠ Scheduled date reached – mark Received or re-date",IF(AND($G238="Received",$A238&gt;AsOfDate),"Future-dated – added on its date",IF(AND($G238="Received",$A238&lt;SUMIFS(CI_Count,CI_Site,$B238,CI_Mat,$C238)),"Before count date – already in the count","OK"))))))))</f>
        <v/>
      </c>
    </row>
    <row r="239" customFormat="false" ht="15" hidden="false" customHeight="false" outlineLevel="0" collapsed="false">
      <c r="A239" s="65"/>
      <c r="B239" s="63"/>
      <c r="C239" s="70"/>
      <c r="D239" s="16" t="str">
        <f aca="false">IF($C239="","",IFERROR(INDEX(Mat_Short,MATCH($C239,Mat_Code,0)),"⚠ Unknown code"))</f>
        <v/>
      </c>
      <c r="E239" s="66"/>
      <c r="F239" s="64" t="str">
        <f aca="false">IF($C239="","",IFERROR(INDEX(Mat_Unit,MATCH($C239,Mat_Code,0)),""))</f>
        <v/>
      </c>
      <c r="G239" s="70"/>
      <c r="H239" s="63"/>
      <c r="I239" s="63"/>
      <c r="J239" s="63"/>
      <c r="K239" s="16" t="str">
        <f aca="false">IF(AND($A239="",$B239="",$C239="",$E239=""),"",IF($A239="","⚠ Date missing",IF(OR($B239="",$C239=""),"⚠ Site / material missing",IF(COUNTIFS(CI_Site,$B239,CI_Mat,$C239)=0,"⚠ No Current Inventory row for this site + material",IF($G239="","⚠ Status missing",IF(AND($G239="Scheduled",$A239&lt;=AsOfDate),"⚠ Scheduled date reached – mark Received or re-date",IF(AND($G239="Received",$A239&gt;AsOfDate),"Future-dated – added on its date",IF(AND($G239="Received",$A239&lt;SUMIFS(CI_Count,CI_Site,$B239,CI_Mat,$C239)),"Before count date – already in the count","OK"))))))))</f>
        <v/>
      </c>
    </row>
    <row r="240" customFormat="false" ht="15" hidden="false" customHeight="false" outlineLevel="0" collapsed="false">
      <c r="A240" s="65"/>
      <c r="B240" s="63"/>
      <c r="C240" s="70"/>
      <c r="D240" s="16" t="str">
        <f aca="false">IF($C240="","",IFERROR(INDEX(Mat_Short,MATCH($C240,Mat_Code,0)),"⚠ Unknown code"))</f>
        <v/>
      </c>
      <c r="E240" s="66"/>
      <c r="F240" s="64" t="str">
        <f aca="false">IF($C240="","",IFERROR(INDEX(Mat_Unit,MATCH($C240,Mat_Code,0)),""))</f>
        <v/>
      </c>
      <c r="G240" s="70"/>
      <c r="H240" s="63"/>
      <c r="I240" s="63"/>
      <c r="J240" s="63"/>
      <c r="K240" s="16" t="str">
        <f aca="false">IF(AND($A240="",$B240="",$C240="",$E240=""),"",IF($A240="","⚠ Date missing",IF(OR($B240="",$C240=""),"⚠ Site / material missing",IF(COUNTIFS(CI_Site,$B240,CI_Mat,$C240)=0,"⚠ No Current Inventory row for this site + material",IF($G240="","⚠ Status missing",IF(AND($G240="Scheduled",$A240&lt;=AsOfDate),"⚠ Scheduled date reached – mark Received or re-date",IF(AND($G240="Received",$A240&gt;AsOfDate),"Future-dated – added on its date",IF(AND($G240="Received",$A240&lt;SUMIFS(CI_Count,CI_Site,$B240,CI_Mat,$C240)),"Before count date – already in the count","OK"))))))))</f>
        <v/>
      </c>
    </row>
    <row r="241" customFormat="false" ht="15" hidden="false" customHeight="false" outlineLevel="0" collapsed="false">
      <c r="A241" s="65"/>
      <c r="B241" s="63"/>
      <c r="C241" s="70"/>
      <c r="D241" s="16" t="str">
        <f aca="false">IF($C241="","",IFERROR(INDEX(Mat_Short,MATCH($C241,Mat_Code,0)),"⚠ Unknown code"))</f>
        <v/>
      </c>
      <c r="E241" s="66"/>
      <c r="F241" s="64" t="str">
        <f aca="false">IF($C241="","",IFERROR(INDEX(Mat_Unit,MATCH($C241,Mat_Code,0)),""))</f>
        <v/>
      </c>
      <c r="G241" s="70"/>
      <c r="H241" s="63"/>
      <c r="I241" s="63"/>
      <c r="J241" s="63"/>
      <c r="K241" s="16" t="str">
        <f aca="false">IF(AND($A241="",$B241="",$C241="",$E241=""),"",IF($A241="","⚠ Date missing",IF(OR($B241="",$C241=""),"⚠ Site / material missing",IF(COUNTIFS(CI_Site,$B241,CI_Mat,$C241)=0,"⚠ No Current Inventory row for this site + material",IF($G241="","⚠ Status missing",IF(AND($G241="Scheduled",$A241&lt;=AsOfDate),"⚠ Scheduled date reached – mark Received or re-date",IF(AND($G241="Received",$A241&gt;AsOfDate),"Future-dated – added on its date",IF(AND($G241="Received",$A241&lt;SUMIFS(CI_Count,CI_Site,$B241,CI_Mat,$C241)),"Before count date – already in the count","OK"))))))))</f>
        <v/>
      </c>
    </row>
    <row r="242" customFormat="false" ht="15" hidden="false" customHeight="false" outlineLevel="0" collapsed="false">
      <c r="A242" s="65"/>
      <c r="B242" s="63"/>
      <c r="C242" s="70"/>
      <c r="D242" s="16" t="str">
        <f aca="false">IF($C242="","",IFERROR(INDEX(Mat_Short,MATCH($C242,Mat_Code,0)),"⚠ Unknown code"))</f>
        <v/>
      </c>
      <c r="E242" s="66"/>
      <c r="F242" s="64" t="str">
        <f aca="false">IF($C242="","",IFERROR(INDEX(Mat_Unit,MATCH($C242,Mat_Code,0)),""))</f>
        <v/>
      </c>
      <c r="G242" s="70"/>
      <c r="H242" s="63"/>
      <c r="I242" s="63"/>
      <c r="J242" s="63"/>
      <c r="K242" s="16" t="str">
        <f aca="false">IF(AND($A242="",$B242="",$C242="",$E242=""),"",IF($A242="","⚠ Date missing",IF(OR($B242="",$C242=""),"⚠ Site / material missing",IF(COUNTIFS(CI_Site,$B242,CI_Mat,$C242)=0,"⚠ No Current Inventory row for this site + material",IF($G242="","⚠ Status missing",IF(AND($G242="Scheduled",$A242&lt;=AsOfDate),"⚠ Scheduled date reached – mark Received or re-date",IF(AND($G242="Received",$A242&gt;AsOfDate),"Future-dated – added on its date",IF(AND($G242="Received",$A242&lt;SUMIFS(CI_Count,CI_Site,$B242,CI_Mat,$C242)),"Before count date – already in the count","OK"))))))))</f>
        <v/>
      </c>
    </row>
    <row r="243" customFormat="false" ht="15" hidden="false" customHeight="false" outlineLevel="0" collapsed="false">
      <c r="A243" s="65"/>
      <c r="B243" s="63"/>
      <c r="C243" s="70"/>
      <c r="D243" s="16" t="str">
        <f aca="false">IF($C243="","",IFERROR(INDEX(Mat_Short,MATCH($C243,Mat_Code,0)),"⚠ Unknown code"))</f>
        <v/>
      </c>
      <c r="E243" s="66"/>
      <c r="F243" s="64" t="str">
        <f aca="false">IF($C243="","",IFERROR(INDEX(Mat_Unit,MATCH($C243,Mat_Code,0)),""))</f>
        <v/>
      </c>
      <c r="G243" s="70"/>
      <c r="H243" s="63"/>
      <c r="I243" s="63"/>
      <c r="J243" s="63"/>
      <c r="K243" s="16" t="str">
        <f aca="false">IF(AND($A243="",$B243="",$C243="",$E243=""),"",IF($A243="","⚠ Date missing",IF(OR($B243="",$C243=""),"⚠ Site / material missing",IF(COUNTIFS(CI_Site,$B243,CI_Mat,$C243)=0,"⚠ No Current Inventory row for this site + material",IF($G243="","⚠ Status missing",IF(AND($G243="Scheduled",$A243&lt;=AsOfDate),"⚠ Scheduled date reached – mark Received or re-date",IF(AND($G243="Received",$A243&gt;AsOfDate),"Future-dated – added on its date",IF(AND($G243="Received",$A243&lt;SUMIFS(CI_Count,CI_Site,$B243,CI_Mat,$C243)),"Before count date – already in the count","OK"))))))))</f>
        <v/>
      </c>
    </row>
    <row r="244" customFormat="false" ht="15" hidden="false" customHeight="false" outlineLevel="0" collapsed="false">
      <c r="A244" s="65"/>
      <c r="B244" s="63"/>
      <c r="C244" s="70"/>
      <c r="D244" s="16" t="str">
        <f aca="false">IF($C244="","",IFERROR(INDEX(Mat_Short,MATCH($C244,Mat_Code,0)),"⚠ Unknown code"))</f>
        <v/>
      </c>
      <c r="E244" s="66"/>
      <c r="F244" s="64" t="str">
        <f aca="false">IF($C244="","",IFERROR(INDEX(Mat_Unit,MATCH($C244,Mat_Code,0)),""))</f>
        <v/>
      </c>
      <c r="G244" s="70"/>
      <c r="H244" s="63"/>
      <c r="I244" s="63"/>
      <c r="J244" s="63"/>
      <c r="K244" s="16" t="str">
        <f aca="false">IF(AND($A244="",$B244="",$C244="",$E244=""),"",IF($A244="","⚠ Date missing",IF(OR($B244="",$C244=""),"⚠ Site / material missing",IF(COUNTIFS(CI_Site,$B244,CI_Mat,$C244)=0,"⚠ No Current Inventory row for this site + material",IF($G244="","⚠ Status missing",IF(AND($G244="Scheduled",$A244&lt;=AsOfDate),"⚠ Scheduled date reached – mark Received or re-date",IF(AND($G244="Received",$A244&gt;AsOfDate),"Future-dated – added on its date",IF(AND($G244="Received",$A244&lt;SUMIFS(CI_Count,CI_Site,$B244,CI_Mat,$C244)),"Before count date – already in the count","OK"))))))))</f>
        <v/>
      </c>
    </row>
    <row r="245" customFormat="false" ht="15" hidden="false" customHeight="false" outlineLevel="0" collapsed="false">
      <c r="A245" s="65"/>
      <c r="B245" s="63"/>
      <c r="C245" s="70"/>
      <c r="D245" s="16" t="str">
        <f aca="false">IF($C245="","",IFERROR(INDEX(Mat_Short,MATCH($C245,Mat_Code,0)),"⚠ Unknown code"))</f>
        <v/>
      </c>
      <c r="E245" s="66"/>
      <c r="F245" s="64" t="str">
        <f aca="false">IF($C245="","",IFERROR(INDEX(Mat_Unit,MATCH($C245,Mat_Code,0)),""))</f>
        <v/>
      </c>
      <c r="G245" s="70"/>
      <c r="H245" s="63"/>
      <c r="I245" s="63"/>
      <c r="J245" s="63"/>
      <c r="K245" s="16" t="str">
        <f aca="false">IF(AND($A245="",$B245="",$C245="",$E245=""),"",IF($A245="","⚠ Date missing",IF(OR($B245="",$C245=""),"⚠ Site / material missing",IF(COUNTIFS(CI_Site,$B245,CI_Mat,$C245)=0,"⚠ No Current Inventory row for this site + material",IF($G245="","⚠ Status missing",IF(AND($G245="Scheduled",$A245&lt;=AsOfDate),"⚠ Scheduled date reached – mark Received or re-date",IF(AND($G245="Received",$A245&gt;AsOfDate),"Future-dated – added on its date",IF(AND($G245="Received",$A245&lt;SUMIFS(CI_Count,CI_Site,$B245,CI_Mat,$C245)),"Before count date – already in the count","OK"))))))))</f>
        <v/>
      </c>
    </row>
    <row r="246" customFormat="false" ht="15" hidden="false" customHeight="false" outlineLevel="0" collapsed="false">
      <c r="A246" s="65"/>
      <c r="B246" s="63"/>
      <c r="C246" s="70"/>
      <c r="D246" s="16" t="str">
        <f aca="false">IF($C246="","",IFERROR(INDEX(Mat_Short,MATCH($C246,Mat_Code,0)),"⚠ Unknown code"))</f>
        <v/>
      </c>
      <c r="E246" s="66"/>
      <c r="F246" s="64" t="str">
        <f aca="false">IF($C246="","",IFERROR(INDEX(Mat_Unit,MATCH($C246,Mat_Code,0)),""))</f>
        <v/>
      </c>
      <c r="G246" s="70"/>
      <c r="H246" s="63"/>
      <c r="I246" s="63"/>
      <c r="J246" s="63"/>
      <c r="K246" s="16" t="str">
        <f aca="false">IF(AND($A246="",$B246="",$C246="",$E246=""),"",IF($A246="","⚠ Date missing",IF(OR($B246="",$C246=""),"⚠ Site / material missing",IF(COUNTIFS(CI_Site,$B246,CI_Mat,$C246)=0,"⚠ No Current Inventory row for this site + material",IF($G246="","⚠ Status missing",IF(AND($G246="Scheduled",$A246&lt;=AsOfDate),"⚠ Scheduled date reached – mark Received or re-date",IF(AND($G246="Received",$A246&gt;AsOfDate),"Future-dated – added on its date",IF(AND($G246="Received",$A246&lt;SUMIFS(CI_Count,CI_Site,$B246,CI_Mat,$C246)),"Before count date – already in the count","OK"))))))))</f>
        <v/>
      </c>
    </row>
    <row r="247" customFormat="false" ht="15" hidden="false" customHeight="false" outlineLevel="0" collapsed="false">
      <c r="A247" s="65"/>
      <c r="B247" s="63"/>
      <c r="C247" s="70"/>
      <c r="D247" s="16" t="str">
        <f aca="false">IF($C247="","",IFERROR(INDEX(Mat_Short,MATCH($C247,Mat_Code,0)),"⚠ Unknown code"))</f>
        <v/>
      </c>
      <c r="E247" s="66"/>
      <c r="F247" s="64" t="str">
        <f aca="false">IF($C247="","",IFERROR(INDEX(Mat_Unit,MATCH($C247,Mat_Code,0)),""))</f>
        <v/>
      </c>
      <c r="G247" s="70"/>
      <c r="H247" s="63"/>
      <c r="I247" s="63"/>
      <c r="J247" s="63"/>
      <c r="K247" s="16" t="str">
        <f aca="false">IF(AND($A247="",$B247="",$C247="",$E247=""),"",IF($A247="","⚠ Date missing",IF(OR($B247="",$C247=""),"⚠ Site / material missing",IF(COUNTIFS(CI_Site,$B247,CI_Mat,$C247)=0,"⚠ No Current Inventory row for this site + material",IF($G247="","⚠ Status missing",IF(AND($G247="Scheduled",$A247&lt;=AsOfDate),"⚠ Scheduled date reached – mark Received or re-date",IF(AND($G247="Received",$A247&gt;AsOfDate),"Future-dated – added on its date",IF(AND($G247="Received",$A247&lt;SUMIFS(CI_Count,CI_Site,$B247,CI_Mat,$C247)),"Before count date – already in the count","OK"))))))))</f>
        <v/>
      </c>
    </row>
    <row r="248" customFormat="false" ht="15" hidden="false" customHeight="false" outlineLevel="0" collapsed="false">
      <c r="A248" s="65"/>
      <c r="B248" s="63"/>
      <c r="C248" s="70"/>
      <c r="D248" s="16" t="str">
        <f aca="false">IF($C248="","",IFERROR(INDEX(Mat_Short,MATCH($C248,Mat_Code,0)),"⚠ Unknown code"))</f>
        <v/>
      </c>
      <c r="E248" s="66"/>
      <c r="F248" s="64" t="str">
        <f aca="false">IF($C248="","",IFERROR(INDEX(Mat_Unit,MATCH($C248,Mat_Code,0)),""))</f>
        <v/>
      </c>
      <c r="G248" s="70"/>
      <c r="H248" s="63"/>
      <c r="I248" s="63"/>
      <c r="J248" s="63"/>
      <c r="K248" s="16" t="str">
        <f aca="false">IF(AND($A248="",$B248="",$C248="",$E248=""),"",IF($A248="","⚠ Date missing",IF(OR($B248="",$C248=""),"⚠ Site / material missing",IF(COUNTIFS(CI_Site,$B248,CI_Mat,$C248)=0,"⚠ No Current Inventory row for this site + material",IF($G248="","⚠ Status missing",IF(AND($G248="Scheduled",$A248&lt;=AsOfDate),"⚠ Scheduled date reached – mark Received or re-date",IF(AND($G248="Received",$A248&gt;AsOfDate),"Future-dated – added on its date",IF(AND($G248="Received",$A248&lt;SUMIFS(CI_Count,CI_Site,$B248,CI_Mat,$C248)),"Before count date – already in the count","OK"))))))))</f>
        <v/>
      </c>
    </row>
    <row r="249" customFormat="false" ht="15" hidden="false" customHeight="false" outlineLevel="0" collapsed="false">
      <c r="A249" s="65"/>
      <c r="B249" s="63"/>
      <c r="C249" s="70"/>
      <c r="D249" s="16" t="str">
        <f aca="false">IF($C249="","",IFERROR(INDEX(Mat_Short,MATCH($C249,Mat_Code,0)),"⚠ Unknown code"))</f>
        <v/>
      </c>
      <c r="E249" s="66"/>
      <c r="F249" s="64" t="str">
        <f aca="false">IF($C249="","",IFERROR(INDEX(Mat_Unit,MATCH($C249,Mat_Code,0)),""))</f>
        <v/>
      </c>
      <c r="G249" s="70"/>
      <c r="H249" s="63"/>
      <c r="I249" s="63"/>
      <c r="J249" s="63"/>
      <c r="K249" s="16" t="str">
        <f aca="false">IF(AND($A249="",$B249="",$C249="",$E249=""),"",IF($A249="","⚠ Date missing",IF(OR($B249="",$C249=""),"⚠ Site / material missing",IF(COUNTIFS(CI_Site,$B249,CI_Mat,$C249)=0,"⚠ No Current Inventory row for this site + material",IF($G249="","⚠ Status missing",IF(AND($G249="Scheduled",$A249&lt;=AsOfDate),"⚠ Scheduled date reached – mark Received or re-date",IF(AND($G249="Received",$A249&gt;AsOfDate),"Future-dated – added on its date",IF(AND($G249="Received",$A249&lt;SUMIFS(CI_Count,CI_Site,$B249,CI_Mat,$C249)),"Before count date – already in the count","OK"))))))))</f>
        <v/>
      </c>
    </row>
    <row r="250" customFormat="false" ht="15" hidden="false" customHeight="false" outlineLevel="0" collapsed="false">
      <c r="A250" s="65"/>
      <c r="B250" s="63"/>
      <c r="C250" s="70"/>
      <c r="D250" s="16" t="str">
        <f aca="false">IF($C250="","",IFERROR(INDEX(Mat_Short,MATCH($C250,Mat_Code,0)),"⚠ Unknown code"))</f>
        <v/>
      </c>
      <c r="E250" s="66"/>
      <c r="F250" s="64" t="str">
        <f aca="false">IF($C250="","",IFERROR(INDEX(Mat_Unit,MATCH($C250,Mat_Code,0)),""))</f>
        <v/>
      </c>
      <c r="G250" s="70"/>
      <c r="H250" s="63"/>
      <c r="I250" s="63"/>
      <c r="J250" s="63"/>
      <c r="K250" s="16" t="str">
        <f aca="false">IF(AND($A250="",$B250="",$C250="",$E250=""),"",IF($A250="","⚠ Date missing",IF(OR($B250="",$C250=""),"⚠ Site / material missing",IF(COUNTIFS(CI_Site,$B250,CI_Mat,$C250)=0,"⚠ No Current Inventory row for this site + material",IF($G250="","⚠ Status missing",IF(AND($G250="Scheduled",$A250&lt;=AsOfDate),"⚠ Scheduled date reached – mark Received or re-date",IF(AND($G250="Received",$A250&gt;AsOfDate),"Future-dated – added on its date",IF(AND($G250="Received",$A250&lt;SUMIFS(CI_Count,CI_Site,$B250,CI_Mat,$C250)),"Before count date – already in the count","OK"))))))))</f>
        <v/>
      </c>
    </row>
    <row r="251" customFormat="false" ht="15" hidden="false" customHeight="false" outlineLevel="0" collapsed="false">
      <c r="A251" s="65"/>
      <c r="B251" s="63"/>
      <c r="C251" s="70"/>
      <c r="D251" s="16" t="str">
        <f aca="false">IF($C251="","",IFERROR(INDEX(Mat_Short,MATCH($C251,Mat_Code,0)),"⚠ Unknown code"))</f>
        <v/>
      </c>
      <c r="E251" s="66"/>
      <c r="F251" s="64" t="str">
        <f aca="false">IF($C251="","",IFERROR(INDEX(Mat_Unit,MATCH($C251,Mat_Code,0)),""))</f>
        <v/>
      </c>
      <c r="G251" s="70"/>
      <c r="H251" s="63"/>
      <c r="I251" s="63"/>
      <c r="J251" s="63"/>
      <c r="K251" s="16" t="str">
        <f aca="false">IF(AND($A251="",$B251="",$C251="",$E251=""),"",IF($A251="","⚠ Date missing",IF(OR($B251="",$C251=""),"⚠ Site / material missing",IF(COUNTIFS(CI_Site,$B251,CI_Mat,$C251)=0,"⚠ No Current Inventory row for this site + material",IF($G251="","⚠ Status missing",IF(AND($G251="Scheduled",$A251&lt;=AsOfDate),"⚠ Scheduled date reached – mark Received or re-date",IF(AND($G251="Received",$A251&gt;AsOfDate),"Future-dated – added on its date",IF(AND($G251="Received",$A251&lt;SUMIFS(CI_Count,CI_Site,$B251,CI_Mat,$C251)),"Before count date – already in the count","OK"))))))))</f>
        <v/>
      </c>
    </row>
    <row r="252" customFormat="false" ht="15" hidden="false" customHeight="false" outlineLevel="0" collapsed="false">
      <c r="A252" s="65"/>
      <c r="B252" s="63"/>
      <c r="C252" s="70"/>
      <c r="D252" s="16" t="str">
        <f aca="false">IF($C252="","",IFERROR(INDEX(Mat_Short,MATCH($C252,Mat_Code,0)),"⚠ Unknown code"))</f>
        <v/>
      </c>
      <c r="E252" s="66"/>
      <c r="F252" s="64" t="str">
        <f aca="false">IF($C252="","",IFERROR(INDEX(Mat_Unit,MATCH($C252,Mat_Code,0)),""))</f>
        <v/>
      </c>
      <c r="G252" s="70"/>
      <c r="H252" s="63"/>
      <c r="I252" s="63"/>
      <c r="J252" s="63"/>
      <c r="K252" s="16" t="str">
        <f aca="false">IF(AND($A252="",$B252="",$C252="",$E252=""),"",IF($A252="","⚠ Date missing",IF(OR($B252="",$C252=""),"⚠ Site / material missing",IF(COUNTIFS(CI_Site,$B252,CI_Mat,$C252)=0,"⚠ No Current Inventory row for this site + material",IF($G252="","⚠ Status missing",IF(AND($G252="Scheduled",$A252&lt;=AsOfDate),"⚠ Scheduled date reached – mark Received or re-date",IF(AND($G252="Received",$A252&gt;AsOfDate),"Future-dated – added on its date",IF(AND($G252="Received",$A252&lt;SUMIFS(CI_Count,CI_Site,$B252,CI_Mat,$C252)),"Before count date – already in the count","OK"))))))))</f>
        <v/>
      </c>
    </row>
    <row r="253" customFormat="false" ht="15" hidden="false" customHeight="false" outlineLevel="0" collapsed="false">
      <c r="A253" s="65"/>
      <c r="B253" s="63"/>
      <c r="C253" s="70"/>
      <c r="D253" s="16" t="str">
        <f aca="false">IF($C253="","",IFERROR(INDEX(Mat_Short,MATCH($C253,Mat_Code,0)),"⚠ Unknown code"))</f>
        <v/>
      </c>
      <c r="E253" s="66"/>
      <c r="F253" s="64" t="str">
        <f aca="false">IF($C253="","",IFERROR(INDEX(Mat_Unit,MATCH($C253,Mat_Code,0)),""))</f>
        <v/>
      </c>
      <c r="G253" s="70"/>
      <c r="H253" s="63"/>
      <c r="I253" s="63"/>
      <c r="J253" s="63"/>
      <c r="K253" s="16" t="str">
        <f aca="false">IF(AND($A253="",$B253="",$C253="",$E253=""),"",IF($A253="","⚠ Date missing",IF(OR($B253="",$C253=""),"⚠ Site / material missing",IF(COUNTIFS(CI_Site,$B253,CI_Mat,$C253)=0,"⚠ No Current Inventory row for this site + material",IF($G253="","⚠ Status missing",IF(AND($G253="Scheduled",$A253&lt;=AsOfDate),"⚠ Scheduled date reached – mark Received or re-date",IF(AND($G253="Received",$A253&gt;AsOfDate),"Future-dated – added on its date",IF(AND($G253="Received",$A253&lt;SUMIFS(CI_Count,CI_Site,$B253,CI_Mat,$C253)),"Before count date – already in the count","OK"))))))))</f>
        <v/>
      </c>
    </row>
    <row r="254" customFormat="false" ht="15" hidden="false" customHeight="false" outlineLevel="0" collapsed="false">
      <c r="A254" s="65"/>
      <c r="B254" s="63"/>
      <c r="C254" s="70"/>
      <c r="D254" s="16" t="str">
        <f aca="false">IF($C254="","",IFERROR(INDEX(Mat_Short,MATCH($C254,Mat_Code,0)),"⚠ Unknown code"))</f>
        <v/>
      </c>
      <c r="E254" s="66"/>
      <c r="F254" s="64" t="str">
        <f aca="false">IF($C254="","",IFERROR(INDEX(Mat_Unit,MATCH($C254,Mat_Code,0)),""))</f>
        <v/>
      </c>
      <c r="G254" s="70"/>
      <c r="H254" s="63"/>
      <c r="I254" s="63"/>
      <c r="J254" s="63"/>
      <c r="K254" s="16" t="str">
        <f aca="false">IF(AND($A254="",$B254="",$C254="",$E254=""),"",IF($A254="","⚠ Date missing",IF(OR($B254="",$C254=""),"⚠ Site / material missing",IF(COUNTIFS(CI_Site,$B254,CI_Mat,$C254)=0,"⚠ No Current Inventory row for this site + material",IF($G254="","⚠ Status missing",IF(AND($G254="Scheduled",$A254&lt;=AsOfDate),"⚠ Scheduled date reached – mark Received or re-date",IF(AND($G254="Received",$A254&gt;AsOfDate),"Future-dated – added on its date",IF(AND($G254="Received",$A254&lt;SUMIFS(CI_Count,CI_Site,$B254,CI_Mat,$C254)),"Before count date – already in the count","OK"))))))))</f>
        <v/>
      </c>
    </row>
    <row r="255" customFormat="false" ht="15" hidden="false" customHeight="false" outlineLevel="0" collapsed="false">
      <c r="A255" s="65"/>
      <c r="B255" s="63"/>
      <c r="C255" s="70"/>
      <c r="D255" s="16" t="str">
        <f aca="false">IF($C255="","",IFERROR(INDEX(Mat_Short,MATCH($C255,Mat_Code,0)),"⚠ Unknown code"))</f>
        <v/>
      </c>
      <c r="E255" s="66"/>
      <c r="F255" s="64" t="str">
        <f aca="false">IF($C255="","",IFERROR(INDEX(Mat_Unit,MATCH($C255,Mat_Code,0)),""))</f>
        <v/>
      </c>
      <c r="G255" s="70"/>
      <c r="H255" s="63"/>
      <c r="I255" s="63"/>
      <c r="J255" s="63"/>
      <c r="K255" s="16" t="str">
        <f aca="false">IF(AND($A255="",$B255="",$C255="",$E255=""),"",IF($A255="","⚠ Date missing",IF(OR($B255="",$C255=""),"⚠ Site / material missing",IF(COUNTIFS(CI_Site,$B255,CI_Mat,$C255)=0,"⚠ No Current Inventory row for this site + material",IF($G255="","⚠ Status missing",IF(AND($G255="Scheduled",$A255&lt;=AsOfDate),"⚠ Scheduled date reached – mark Received or re-date",IF(AND($G255="Received",$A255&gt;AsOfDate),"Future-dated – added on its date",IF(AND($G255="Received",$A255&lt;SUMIFS(CI_Count,CI_Site,$B255,CI_Mat,$C255)),"Before count date – already in the count","OK"))))))))</f>
        <v/>
      </c>
    </row>
    <row r="256" customFormat="false" ht="15" hidden="false" customHeight="false" outlineLevel="0" collapsed="false">
      <c r="A256" s="65"/>
      <c r="B256" s="63"/>
      <c r="C256" s="70"/>
      <c r="D256" s="16" t="str">
        <f aca="false">IF($C256="","",IFERROR(INDEX(Mat_Short,MATCH($C256,Mat_Code,0)),"⚠ Unknown code"))</f>
        <v/>
      </c>
      <c r="E256" s="66"/>
      <c r="F256" s="64" t="str">
        <f aca="false">IF($C256="","",IFERROR(INDEX(Mat_Unit,MATCH($C256,Mat_Code,0)),""))</f>
        <v/>
      </c>
      <c r="G256" s="70"/>
      <c r="H256" s="63"/>
      <c r="I256" s="63"/>
      <c r="J256" s="63"/>
      <c r="K256" s="16" t="str">
        <f aca="false">IF(AND($A256="",$B256="",$C256="",$E256=""),"",IF($A256="","⚠ Date missing",IF(OR($B256="",$C256=""),"⚠ Site / material missing",IF(COUNTIFS(CI_Site,$B256,CI_Mat,$C256)=0,"⚠ No Current Inventory row for this site + material",IF($G256="","⚠ Status missing",IF(AND($G256="Scheduled",$A256&lt;=AsOfDate),"⚠ Scheduled date reached – mark Received or re-date",IF(AND($G256="Received",$A256&gt;AsOfDate),"Future-dated – added on its date",IF(AND($G256="Received",$A256&lt;SUMIFS(CI_Count,CI_Site,$B256,CI_Mat,$C256)),"Before count date – already in the count","OK"))))))))</f>
        <v/>
      </c>
    </row>
    <row r="257" customFormat="false" ht="15" hidden="false" customHeight="false" outlineLevel="0" collapsed="false">
      <c r="A257" s="65"/>
      <c r="B257" s="63"/>
      <c r="C257" s="70"/>
      <c r="D257" s="16" t="str">
        <f aca="false">IF($C257="","",IFERROR(INDEX(Mat_Short,MATCH($C257,Mat_Code,0)),"⚠ Unknown code"))</f>
        <v/>
      </c>
      <c r="E257" s="66"/>
      <c r="F257" s="64" t="str">
        <f aca="false">IF($C257="","",IFERROR(INDEX(Mat_Unit,MATCH($C257,Mat_Code,0)),""))</f>
        <v/>
      </c>
      <c r="G257" s="70"/>
      <c r="H257" s="63"/>
      <c r="I257" s="63"/>
      <c r="J257" s="63"/>
      <c r="K257" s="16" t="str">
        <f aca="false">IF(AND($A257="",$B257="",$C257="",$E257=""),"",IF($A257="","⚠ Date missing",IF(OR($B257="",$C257=""),"⚠ Site / material missing",IF(COUNTIFS(CI_Site,$B257,CI_Mat,$C257)=0,"⚠ No Current Inventory row for this site + material",IF($G257="","⚠ Status missing",IF(AND($G257="Scheduled",$A257&lt;=AsOfDate),"⚠ Scheduled date reached – mark Received or re-date",IF(AND($G257="Received",$A257&gt;AsOfDate),"Future-dated – added on its date",IF(AND($G257="Received",$A257&lt;SUMIFS(CI_Count,CI_Site,$B257,CI_Mat,$C257)),"Before count date – already in the count","OK"))))))))</f>
        <v/>
      </c>
    </row>
    <row r="258" customFormat="false" ht="15" hidden="false" customHeight="false" outlineLevel="0" collapsed="false">
      <c r="A258" s="65"/>
      <c r="B258" s="63"/>
      <c r="C258" s="70"/>
      <c r="D258" s="16" t="str">
        <f aca="false">IF($C258="","",IFERROR(INDEX(Mat_Short,MATCH($C258,Mat_Code,0)),"⚠ Unknown code"))</f>
        <v/>
      </c>
      <c r="E258" s="66"/>
      <c r="F258" s="64" t="str">
        <f aca="false">IF($C258="","",IFERROR(INDEX(Mat_Unit,MATCH($C258,Mat_Code,0)),""))</f>
        <v/>
      </c>
      <c r="G258" s="70"/>
      <c r="H258" s="63"/>
      <c r="I258" s="63"/>
      <c r="J258" s="63"/>
      <c r="K258" s="16" t="str">
        <f aca="false">IF(AND($A258="",$B258="",$C258="",$E258=""),"",IF($A258="","⚠ Date missing",IF(OR($B258="",$C258=""),"⚠ Site / material missing",IF(COUNTIFS(CI_Site,$B258,CI_Mat,$C258)=0,"⚠ No Current Inventory row for this site + material",IF($G258="","⚠ Status missing",IF(AND($G258="Scheduled",$A258&lt;=AsOfDate),"⚠ Scheduled date reached – mark Received or re-date",IF(AND($G258="Received",$A258&gt;AsOfDate),"Future-dated – added on its date",IF(AND($G258="Received",$A258&lt;SUMIFS(CI_Count,CI_Site,$B258,CI_Mat,$C258)),"Before count date – already in the count","OK"))))))))</f>
        <v/>
      </c>
    </row>
    <row r="259" customFormat="false" ht="15" hidden="false" customHeight="false" outlineLevel="0" collapsed="false">
      <c r="A259" s="65"/>
      <c r="B259" s="63"/>
      <c r="C259" s="70"/>
      <c r="D259" s="16" t="str">
        <f aca="false">IF($C259="","",IFERROR(INDEX(Mat_Short,MATCH($C259,Mat_Code,0)),"⚠ Unknown code"))</f>
        <v/>
      </c>
      <c r="E259" s="66"/>
      <c r="F259" s="64" t="str">
        <f aca="false">IF($C259="","",IFERROR(INDEX(Mat_Unit,MATCH($C259,Mat_Code,0)),""))</f>
        <v/>
      </c>
      <c r="G259" s="70"/>
      <c r="H259" s="63"/>
      <c r="I259" s="63"/>
      <c r="J259" s="63"/>
      <c r="K259" s="16" t="str">
        <f aca="false">IF(AND($A259="",$B259="",$C259="",$E259=""),"",IF($A259="","⚠ Date missing",IF(OR($B259="",$C259=""),"⚠ Site / material missing",IF(COUNTIFS(CI_Site,$B259,CI_Mat,$C259)=0,"⚠ No Current Inventory row for this site + material",IF($G259="","⚠ Status missing",IF(AND($G259="Scheduled",$A259&lt;=AsOfDate),"⚠ Scheduled date reached – mark Received or re-date",IF(AND($G259="Received",$A259&gt;AsOfDate),"Future-dated – added on its date",IF(AND($G259="Received",$A259&lt;SUMIFS(CI_Count,CI_Site,$B259,CI_Mat,$C259)),"Before count date – already in the count","OK"))))))))</f>
        <v/>
      </c>
    </row>
    <row r="260" customFormat="false" ht="15" hidden="false" customHeight="false" outlineLevel="0" collapsed="false">
      <c r="A260" s="65"/>
      <c r="B260" s="63"/>
      <c r="C260" s="70"/>
      <c r="D260" s="16" t="str">
        <f aca="false">IF($C260="","",IFERROR(INDEX(Mat_Short,MATCH($C260,Mat_Code,0)),"⚠ Unknown code"))</f>
        <v/>
      </c>
      <c r="E260" s="66"/>
      <c r="F260" s="64" t="str">
        <f aca="false">IF($C260="","",IFERROR(INDEX(Mat_Unit,MATCH($C260,Mat_Code,0)),""))</f>
        <v/>
      </c>
      <c r="G260" s="70"/>
      <c r="H260" s="63"/>
      <c r="I260" s="63"/>
      <c r="J260" s="63"/>
      <c r="K260" s="16" t="str">
        <f aca="false">IF(AND($A260="",$B260="",$C260="",$E260=""),"",IF($A260="","⚠ Date missing",IF(OR($B260="",$C260=""),"⚠ Site / material missing",IF(COUNTIFS(CI_Site,$B260,CI_Mat,$C260)=0,"⚠ No Current Inventory row for this site + material",IF($G260="","⚠ Status missing",IF(AND($G260="Scheduled",$A260&lt;=AsOfDate),"⚠ Scheduled date reached – mark Received or re-date",IF(AND($G260="Received",$A260&gt;AsOfDate),"Future-dated – added on its date",IF(AND($G260="Received",$A260&lt;SUMIFS(CI_Count,CI_Site,$B260,CI_Mat,$C260)),"Before count date – already in the count","OK"))))))))</f>
        <v/>
      </c>
    </row>
    <row r="261" customFormat="false" ht="15" hidden="false" customHeight="false" outlineLevel="0" collapsed="false">
      <c r="A261" s="65"/>
      <c r="B261" s="63"/>
      <c r="C261" s="70"/>
      <c r="D261" s="16" t="str">
        <f aca="false">IF($C261="","",IFERROR(INDEX(Mat_Short,MATCH($C261,Mat_Code,0)),"⚠ Unknown code"))</f>
        <v/>
      </c>
      <c r="E261" s="66"/>
      <c r="F261" s="64" t="str">
        <f aca="false">IF($C261="","",IFERROR(INDEX(Mat_Unit,MATCH($C261,Mat_Code,0)),""))</f>
        <v/>
      </c>
      <c r="G261" s="70"/>
      <c r="H261" s="63"/>
      <c r="I261" s="63"/>
      <c r="J261" s="63"/>
      <c r="K261" s="16" t="str">
        <f aca="false">IF(AND($A261="",$B261="",$C261="",$E261=""),"",IF($A261="","⚠ Date missing",IF(OR($B261="",$C261=""),"⚠ Site / material missing",IF(COUNTIFS(CI_Site,$B261,CI_Mat,$C261)=0,"⚠ No Current Inventory row for this site + material",IF($G261="","⚠ Status missing",IF(AND($G261="Scheduled",$A261&lt;=AsOfDate),"⚠ Scheduled date reached – mark Received or re-date",IF(AND($G261="Received",$A261&gt;AsOfDate),"Future-dated – added on its date",IF(AND($G261="Received",$A261&lt;SUMIFS(CI_Count,CI_Site,$B261,CI_Mat,$C261)),"Before count date – already in the count","OK"))))))))</f>
        <v/>
      </c>
    </row>
    <row r="262" customFormat="false" ht="15" hidden="false" customHeight="false" outlineLevel="0" collapsed="false">
      <c r="A262" s="65"/>
      <c r="B262" s="63"/>
      <c r="C262" s="70"/>
      <c r="D262" s="16" t="str">
        <f aca="false">IF($C262="","",IFERROR(INDEX(Mat_Short,MATCH($C262,Mat_Code,0)),"⚠ Unknown code"))</f>
        <v/>
      </c>
      <c r="E262" s="66"/>
      <c r="F262" s="64" t="str">
        <f aca="false">IF($C262="","",IFERROR(INDEX(Mat_Unit,MATCH($C262,Mat_Code,0)),""))</f>
        <v/>
      </c>
      <c r="G262" s="70"/>
      <c r="H262" s="63"/>
      <c r="I262" s="63"/>
      <c r="J262" s="63"/>
      <c r="K262" s="16" t="str">
        <f aca="false">IF(AND($A262="",$B262="",$C262="",$E262=""),"",IF($A262="","⚠ Date missing",IF(OR($B262="",$C262=""),"⚠ Site / material missing",IF(COUNTIFS(CI_Site,$B262,CI_Mat,$C262)=0,"⚠ No Current Inventory row for this site + material",IF($G262="","⚠ Status missing",IF(AND($G262="Scheduled",$A262&lt;=AsOfDate),"⚠ Scheduled date reached – mark Received or re-date",IF(AND($G262="Received",$A262&gt;AsOfDate),"Future-dated – added on its date",IF(AND($G262="Received",$A262&lt;SUMIFS(CI_Count,CI_Site,$B262,CI_Mat,$C262)),"Before count date – already in the count","OK"))))))))</f>
        <v/>
      </c>
    </row>
    <row r="263" customFormat="false" ht="15" hidden="false" customHeight="false" outlineLevel="0" collapsed="false">
      <c r="A263" s="65"/>
      <c r="B263" s="63"/>
      <c r="C263" s="70"/>
      <c r="D263" s="16" t="str">
        <f aca="false">IF($C263="","",IFERROR(INDEX(Mat_Short,MATCH($C263,Mat_Code,0)),"⚠ Unknown code"))</f>
        <v/>
      </c>
      <c r="E263" s="66"/>
      <c r="F263" s="64" t="str">
        <f aca="false">IF($C263="","",IFERROR(INDEX(Mat_Unit,MATCH($C263,Mat_Code,0)),""))</f>
        <v/>
      </c>
      <c r="G263" s="70"/>
      <c r="H263" s="63"/>
      <c r="I263" s="63"/>
      <c r="J263" s="63"/>
      <c r="K263" s="16" t="str">
        <f aca="false">IF(AND($A263="",$B263="",$C263="",$E263=""),"",IF($A263="","⚠ Date missing",IF(OR($B263="",$C263=""),"⚠ Site / material missing",IF(COUNTIFS(CI_Site,$B263,CI_Mat,$C263)=0,"⚠ No Current Inventory row for this site + material",IF($G263="","⚠ Status missing",IF(AND($G263="Scheduled",$A263&lt;=AsOfDate),"⚠ Scheduled date reached – mark Received or re-date",IF(AND($G263="Received",$A263&gt;AsOfDate),"Future-dated – added on its date",IF(AND($G263="Received",$A263&lt;SUMIFS(CI_Count,CI_Site,$B263,CI_Mat,$C263)),"Before count date – already in the count","OK"))))))))</f>
        <v/>
      </c>
    </row>
    <row r="264" customFormat="false" ht="15" hidden="false" customHeight="false" outlineLevel="0" collapsed="false">
      <c r="A264" s="65"/>
      <c r="B264" s="63"/>
      <c r="C264" s="70"/>
      <c r="D264" s="16" t="str">
        <f aca="false">IF($C264="","",IFERROR(INDEX(Mat_Short,MATCH($C264,Mat_Code,0)),"⚠ Unknown code"))</f>
        <v/>
      </c>
      <c r="E264" s="66"/>
      <c r="F264" s="64" t="str">
        <f aca="false">IF($C264="","",IFERROR(INDEX(Mat_Unit,MATCH($C264,Mat_Code,0)),""))</f>
        <v/>
      </c>
      <c r="G264" s="70"/>
      <c r="H264" s="63"/>
      <c r="I264" s="63"/>
      <c r="J264" s="63"/>
      <c r="K264" s="16" t="str">
        <f aca="false">IF(AND($A264="",$B264="",$C264="",$E264=""),"",IF($A264="","⚠ Date missing",IF(OR($B264="",$C264=""),"⚠ Site / material missing",IF(COUNTIFS(CI_Site,$B264,CI_Mat,$C264)=0,"⚠ No Current Inventory row for this site + material",IF($G264="","⚠ Status missing",IF(AND($G264="Scheduled",$A264&lt;=AsOfDate),"⚠ Scheduled date reached – mark Received or re-date",IF(AND($G264="Received",$A264&gt;AsOfDate),"Future-dated – added on its date",IF(AND($G264="Received",$A264&lt;SUMIFS(CI_Count,CI_Site,$B264,CI_Mat,$C264)),"Before count date – already in the count","OK"))))))))</f>
        <v/>
      </c>
    </row>
    <row r="265" customFormat="false" ht="15" hidden="false" customHeight="false" outlineLevel="0" collapsed="false">
      <c r="A265" s="65"/>
      <c r="B265" s="63"/>
      <c r="C265" s="70"/>
      <c r="D265" s="16" t="str">
        <f aca="false">IF($C265="","",IFERROR(INDEX(Mat_Short,MATCH($C265,Mat_Code,0)),"⚠ Unknown code"))</f>
        <v/>
      </c>
      <c r="E265" s="66"/>
      <c r="F265" s="64" t="str">
        <f aca="false">IF($C265="","",IFERROR(INDEX(Mat_Unit,MATCH($C265,Mat_Code,0)),""))</f>
        <v/>
      </c>
      <c r="G265" s="70"/>
      <c r="H265" s="63"/>
      <c r="I265" s="63"/>
      <c r="J265" s="63"/>
      <c r="K265" s="16" t="str">
        <f aca="false">IF(AND($A265="",$B265="",$C265="",$E265=""),"",IF($A265="","⚠ Date missing",IF(OR($B265="",$C265=""),"⚠ Site / material missing",IF(COUNTIFS(CI_Site,$B265,CI_Mat,$C265)=0,"⚠ No Current Inventory row for this site + material",IF($G265="","⚠ Status missing",IF(AND($G265="Scheduled",$A265&lt;=AsOfDate),"⚠ Scheduled date reached – mark Received or re-date",IF(AND($G265="Received",$A265&gt;AsOfDate),"Future-dated – added on its date",IF(AND($G265="Received",$A265&lt;SUMIFS(CI_Count,CI_Site,$B265,CI_Mat,$C265)),"Before count date – already in the count","OK"))))))))</f>
        <v/>
      </c>
    </row>
    <row r="266" customFormat="false" ht="15" hidden="false" customHeight="false" outlineLevel="0" collapsed="false">
      <c r="A266" s="65"/>
      <c r="B266" s="63"/>
      <c r="C266" s="70"/>
      <c r="D266" s="16" t="str">
        <f aca="false">IF($C266="","",IFERROR(INDEX(Mat_Short,MATCH($C266,Mat_Code,0)),"⚠ Unknown code"))</f>
        <v/>
      </c>
      <c r="E266" s="66"/>
      <c r="F266" s="64" t="str">
        <f aca="false">IF($C266="","",IFERROR(INDEX(Mat_Unit,MATCH($C266,Mat_Code,0)),""))</f>
        <v/>
      </c>
      <c r="G266" s="70"/>
      <c r="H266" s="63"/>
      <c r="I266" s="63"/>
      <c r="J266" s="63"/>
      <c r="K266" s="16" t="str">
        <f aca="false">IF(AND($A266="",$B266="",$C266="",$E266=""),"",IF($A266="","⚠ Date missing",IF(OR($B266="",$C266=""),"⚠ Site / material missing",IF(COUNTIFS(CI_Site,$B266,CI_Mat,$C266)=0,"⚠ No Current Inventory row for this site + material",IF($G266="","⚠ Status missing",IF(AND($G266="Scheduled",$A266&lt;=AsOfDate),"⚠ Scheduled date reached – mark Received or re-date",IF(AND($G266="Received",$A266&gt;AsOfDate),"Future-dated – added on its date",IF(AND($G266="Received",$A266&lt;SUMIFS(CI_Count,CI_Site,$B266,CI_Mat,$C266)),"Before count date – already in the count","OK"))))))))</f>
        <v/>
      </c>
    </row>
    <row r="267" customFormat="false" ht="15" hidden="false" customHeight="false" outlineLevel="0" collapsed="false">
      <c r="A267" s="65"/>
      <c r="B267" s="63"/>
      <c r="C267" s="70"/>
      <c r="D267" s="16" t="str">
        <f aca="false">IF($C267="","",IFERROR(INDEX(Mat_Short,MATCH($C267,Mat_Code,0)),"⚠ Unknown code"))</f>
        <v/>
      </c>
      <c r="E267" s="66"/>
      <c r="F267" s="64" t="str">
        <f aca="false">IF($C267="","",IFERROR(INDEX(Mat_Unit,MATCH($C267,Mat_Code,0)),""))</f>
        <v/>
      </c>
      <c r="G267" s="70"/>
      <c r="H267" s="63"/>
      <c r="I267" s="63"/>
      <c r="J267" s="63"/>
      <c r="K267" s="16" t="str">
        <f aca="false">IF(AND($A267="",$B267="",$C267="",$E267=""),"",IF($A267="","⚠ Date missing",IF(OR($B267="",$C267=""),"⚠ Site / material missing",IF(COUNTIFS(CI_Site,$B267,CI_Mat,$C267)=0,"⚠ No Current Inventory row for this site + material",IF($G267="","⚠ Status missing",IF(AND($G267="Scheduled",$A267&lt;=AsOfDate),"⚠ Scheduled date reached – mark Received or re-date",IF(AND($G267="Received",$A267&gt;AsOfDate),"Future-dated – added on its date",IF(AND($G267="Received",$A267&lt;SUMIFS(CI_Count,CI_Site,$B267,CI_Mat,$C267)),"Before count date – already in the count","OK"))))))))</f>
        <v/>
      </c>
    </row>
    <row r="268" customFormat="false" ht="15" hidden="false" customHeight="false" outlineLevel="0" collapsed="false">
      <c r="A268" s="65"/>
      <c r="B268" s="63"/>
      <c r="C268" s="70"/>
      <c r="D268" s="16" t="str">
        <f aca="false">IF($C268="","",IFERROR(INDEX(Mat_Short,MATCH($C268,Mat_Code,0)),"⚠ Unknown code"))</f>
        <v/>
      </c>
      <c r="E268" s="66"/>
      <c r="F268" s="64" t="str">
        <f aca="false">IF($C268="","",IFERROR(INDEX(Mat_Unit,MATCH($C268,Mat_Code,0)),""))</f>
        <v/>
      </c>
      <c r="G268" s="70"/>
      <c r="H268" s="63"/>
      <c r="I268" s="63"/>
      <c r="J268" s="63"/>
      <c r="K268" s="16" t="str">
        <f aca="false">IF(AND($A268="",$B268="",$C268="",$E268=""),"",IF($A268="","⚠ Date missing",IF(OR($B268="",$C268=""),"⚠ Site / material missing",IF(COUNTIFS(CI_Site,$B268,CI_Mat,$C268)=0,"⚠ No Current Inventory row for this site + material",IF($G268="","⚠ Status missing",IF(AND($G268="Scheduled",$A268&lt;=AsOfDate),"⚠ Scheduled date reached – mark Received or re-date",IF(AND($G268="Received",$A268&gt;AsOfDate),"Future-dated – added on its date",IF(AND($G268="Received",$A268&lt;SUMIFS(CI_Count,CI_Site,$B268,CI_Mat,$C268)),"Before count date – already in the count","OK"))))))))</f>
        <v/>
      </c>
    </row>
    <row r="269" customFormat="false" ht="15" hidden="false" customHeight="false" outlineLevel="0" collapsed="false">
      <c r="A269" s="65"/>
      <c r="B269" s="63"/>
      <c r="C269" s="70"/>
      <c r="D269" s="16" t="str">
        <f aca="false">IF($C269="","",IFERROR(INDEX(Mat_Short,MATCH($C269,Mat_Code,0)),"⚠ Unknown code"))</f>
        <v/>
      </c>
      <c r="E269" s="66"/>
      <c r="F269" s="64" t="str">
        <f aca="false">IF($C269="","",IFERROR(INDEX(Mat_Unit,MATCH($C269,Mat_Code,0)),""))</f>
        <v/>
      </c>
      <c r="G269" s="70"/>
      <c r="H269" s="63"/>
      <c r="I269" s="63"/>
      <c r="J269" s="63"/>
      <c r="K269" s="16" t="str">
        <f aca="false">IF(AND($A269="",$B269="",$C269="",$E269=""),"",IF($A269="","⚠ Date missing",IF(OR($B269="",$C269=""),"⚠ Site / material missing",IF(COUNTIFS(CI_Site,$B269,CI_Mat,$C269)=0,"⚠ No Current Inventory row for this site + material",IF($G269="","⚠ Status missing",IF(AND($G269="Scheduled",$A269&lt;=AsOfDate),"⚠ Scheduled date reached – mark Received or re-date",IF(AND($G269="Received",$A269&gt;AsOfDate),"Future-dated – added on its date",IF(AND($G269="Received",$A269&lt;SUMIFS(CI_Count,CI_Site,$B269,CI_Mat,$C269)),"Before count date – already in the count","OK"))))))))</f>
        <v/>
      </c>
    </row>
    <row r="270" customFormat="false" ht="15" hidden="false" customHeight="false" outlineLevel="0" collapsed="false">
      <c r="A270" s="65"/>
      <c r="B270" s="63"/>
      <c r="C270" s="70"/>
      <c r="D270" s="16" t="str">
        <f aca="false">IF($C270="","",IFERROR(INDEX(Mat_Short,MATCH($C270,Mat_Code,0)),"⚠ Unknown code"))</f>
        <v/>
      </c>
      <c r="E270" s="66"/>
      <c r="F270" s="64" t="str">
        <f aca="false">IF($C270="","",IFERROR(INDEX(Mat_Unit,MATCH($C270,Mat_Code,0)),""))</f>
        <v/>
      </c>
      <c r="G270" s="70"/>
      <c r="H270" s="63"/>
      <c r="I270" s="63"/>
      <c r="J270" s="63"/>
      <c r="K270" s="16" t="str">
        <f aca="false">IF(AND($A270="",$B270="",$C270="",$E270=""),"",IF($A270="","⚠ Date missing",IF(OR($B270="",$C270=""),"⚠ Site / material missing",IF(COUNTIFS(CI_Site,$B270,CI_Mat,$C270)=0,"⚠ No Current Inventory row for this site + material",IF($G270="","⚠ Status missing",IF(AND($G270="Scheduled",$A270&lt;=AsOfDate),"⚠ Scheduled date reached – mark Received or re-date",IF(AND($G270="Received",$A270&gt;AsOfDate),"Future-dated – added on its date",IF(AND($G270="Received",$A270&lt;SUMIFS(CI_Count,CI_Site,$B270,CI_Mat,$C270)),"Before count date – already in the count","OK"))))))))</f>
        <v/>
      </c>
    </row>
    <row r="271" customFormat="false" ht="15" hidden="false" customHeight="false" outlineLevel="0" collapsed="false">
      <c r="A271" s="65"/>
      <c r="B271" s="63"/>
      <c r="C271" s="70"/>
      <c r="D271" s="16" t="str">
        <f aca="false">IF($C271="","",IFERROR(INDEX(Mat_Short,MATCH($C271,Mat_Code,0)),"⚠ Unknown code"))</f>
        <v/>
      </c>
      <c r="E271" s="66"/>
      <c r="F271" s="64" t="str">
        <f aca="false">IF($C271="","",IFERROR(INDEX(Mat_Unit,MATCH($C271,Mat_Code,0)),""))</f>
        <v/>
      </c>
      <c r="G271" s="70"/>
      <c r="H271" s="63"/>
      <c r="I271" s="63"/>
      <c r="J271" s="63"/>
      <c r="K271" s="16" t="str">
        <f aca="false">IF(AND($A271="",$B271="",$C271="",$E271=""),"",IF($A271="","⚠ Date missing",IF(OR($B271="",$C271=""),"⚠ Site / material missing",IF(COUNTIFS(CI_Site,$B271,CI_Mat,$C271)=0,"⚠ No Current Inventory row for this site + material",IF($G271="","⚠ Status missing",IF(AND($G271="Scheduled",$A271&lt;=AsOfDate),"⚠ Scheduled date reached – mark Received or re-date",IF(AND($G271="Received",$A271&gt;AsOfDate),"Future-dated – added on its date",IF(AND($G271="Received",$A271&lt;SUMIFS(CI_Count,CI_Site,$B271,CI_Mat,$C271)),"Before count date – already in the count","OK"))))))))</f>
        <v/>
      </c>
    </row>
    <row r="272" customFormat="false" ht="15" hidden="false" customHeight="false" outlineLevel="0" collapsed="false">
      <c r="A272" s="65"/>
      <c r="B272" s="63"/>
      <c r="C272" s="70"/>
      <c r="D272" s="16" t="str">
        <f aca="false">IF($C272="","",IFERROR(INDEX(Mat_Short,MATCH($C272,Mat_Code,0)),"⚠ Unknown code"))</f>
        <v/>
      </c>
      <c r="E272" s="66"/>
      <c r="F272" s="64" t="str">
        <f aca="false">IF($C272="","",IFERROR(INDEX(Mat_Unit,MATCH($C272,Mat_Code,0)),""))</f>
        <v/>
      </c>
      <c r="G272" s="70"/>
      <c r="H272" s="63"/>
      <c r="I272" s="63"/>
      <c r="J272" s="63"/>
      <c r="K272" s="16" t="str">
        <f aca="false">IF(AND($A272="",$B272="",$C272="",$E272=""),"",IF($A272="","⚠ Date missing",IF(OR($B272="",$C272=""),"⚠ Site / material missing",IF(COUNTIFS(CI_Site,$B272,CI_Mat,$C272)=0,"⚠ No Current Inventory row for this site + material",IF($G272="","⚠ Status missing",IF(AND($G272="Scheduled",$A272&lt;=AsOfDate),"⚠ Scheduled date reached – mark Received or re-date",IF(AND($G272="Received",$A272&gt;AsOfDate),"Future-dated – added on its date",IF(AND($G272="Received",$A272&lt;SUMIFS(CI_Count,CI_Site,$B272,CI_Mat,$C272)),"Before count date – already in the count","OK"))))))))</f>
        <v/>
      </c>
    </row>
    <row r="273" customFormat="false" ht="15" hidden="false" customHeight="false" outlineLevel="0" collapsed="false">
      <c r="A273" s="65"/>
      <c r="B273" s="63"/>
      <c r="C273" s="70"/>
      <c r="D273" s="16" t="str">
        <f aca="false">IF($C273="","",IFERROR(INDEX(Mat_Short,MATCH($C273,Mat_Code,0)),"⚠ Unknown code"))</f>
        <v/>
      </c>
      <c r="E273" s="66"/>
      <c r="F273" s="64" t="str">
        <f aca="false">IF($C273="","",IFERROR(INDEX(Mat_Unit,MATCH($C273,Mat_Code,0)),""))</f>
        <v/>
      </c>
      <c r="G273" s="70"/>
      <c r="H273" s="63"/>
      <c r="I273" s="63"/>
      <c r="J273" s="63"/>
      <c r="K273" s="16" t="str">
        <f aca="false">IF(AND($A273="",$B273="",$C273="",$E273=""),"",IF($A273="","⚠ Date missing",IF(OR($B273="",$C273=""),"⚠ Site / material missing",IF(COUNTIFS(CI_Site,$B273,CI_Mat,$C273)=0,"⚠ No Current Inventory row for this site + material",IF($G273="","⚠ Status missing",IF(AND($G273="Scheduled",$A273&lt;=AsOfDate),"⚠ Scheduled date reached – mark Received or re-date",IF(AND($G273="Received",$A273&gt;AsOfDate),"Future-dated – added on its date",IF(AND($G273="Received",$A273&lt;SUMIFS(CI_Count,CI_Site,$B273,CI_Mat,$C273)),"Before count date – already in the count","OK"))))))))</f>
        <v/>
      </c>
    </row>
    <row r="274" customFormat="false" ht="15" hidden="false" customHeight="false" outlineLevel="0" collapsed="false">
      <c r="A274" s="65"/>
      <c r="B274" s="63"/>
      <c r="C274" s="70"/>
      <c r="D274" s="16" t="str">
        <f aca="false">IF($C274="","",IFERROR(INDEX(Mat_Short,MATCH($C274,Mat_Code,0)),"⚠ Unknown code"))</f>
        <v/>
      </c>
      <c r="E274" s="66"/>
      <c r="F274" s="64" t="str">
        <f aca="false">IF($C274="","",IFERROR(INDEX(Mat_Unit,MATCH($C274,Mat_Code,0)),""))</f>
        <v/>
      </c>
      <c r="G274" s="70"/>
      <c r="H274" s="63"/>
      <c r="I274" s="63"/>
      <c r="J274" s="63"/>
      <c r="K274" s="16" t="str">
        <f aca="false">IF(AND($A274="",$B274="",$C274="",$E274=""),"",IF($A274="","⚠ Date missing",IF(OR($B274="",$C274=""),"⚠ Site / material missing",IF(COUNTIFS(CI_Site,$B274,CI_Mat,$C274)=0,"⚠ No Current Inventory row for this site + material",IF($G274="","⚠ Status missing",IF(AND($G274="Scheduled",$A274&lt;=AsOfDate),"⚠ Scheduled date reached – mark Received or re-date",IF(AND($G274="Received",$A274&gt;AsOfDate),"Future-dated – added on its date",IF(AND($G274="Received",$A274&lt;SUMIFS(CI_Count,CI_Site,$B274,CI_Mat,$C274)),"Before count date – already in the count","OK"))))))))</f>
        <v/>
      </c>
    </row>
    <row r="275" customFormat="false" ht="15" hidden="false" customHeight="false" outlineLevel="0" collapsed="false">
      <c r="A275" s="65"/>
      <c r="B275" s="63"/>
      <c r="C275" s="70"/>
      <c r="D275" s="16" t="str">
        <f aca="false">IF($C275="","",IFERROR(INDEX(Mat_Short,MATCH($C275,Mat_Code,0)),"⚠ Unknown code"))</f>
        <v/>
      </c>
      <c r="E275" s="66"/>
      <c r="F275" s="64" t="str">
        <f aca="false">IF($C275="","",IFERROR(INDEX(Mat_Unit,MATCH($C275,Mat_Code,0)),""))</f>
        <v/>
      </c>
      <c r="G275" s="70"/>
      <c r="H275" s="63"/>
      <c r="I275" s="63"/>
      <c r="J275" s="63"/>
      <c r="K275" s="16" t="str">
        <f aca="false">IF(AND($A275="",$B275="",$C275="",$E275=""),"",IF($A275="","⚠ Date missing",IF(OR($B275="",$C275=""),"⚠ Site / material missing",IF(COUNTIFS(CI_Site,$B275,CI_Mat,$C275)=0,"⚠ No Current Inventory row for this site + material",IF($G275="","⚠ Status missing",IF(AND($G275="Scheduled",$A275&lt;=AsOfDate),"⚠ Scheduled date reached – mark Received or re-date",IF(AND($G275="Received",$A275&gt;AsOfDate),"Future-dated – added on its date",IF(AND($G275="Received",$A275&lt;SUMIFS(CI_Count,CI_Site,$B275,CI_Mat,$C275)),"Before count date – already in the count","OK"))))))))</f>
        <v/>
      </c>
    </row>
    <row r="276" customFormat="false" ht="15" hidden="false" customHeight="false" outlineLevel="0" collapsed="false">
      <c r="A276" s="65"/>
      <c r="B276" s="63"/>
      <c r="C276" s="70"/>
      <c r="D276" s="16" t="str">
        <f aca="false">IF($C276="","",IFERROR(INDEX(Mat_Short,MATCH($C276,Mat_Code,0)),"⚠ Unknown code"))</f>
        <v/>
      </c>
      <c r="E276" s="66"/>
      <c r="F276" s="64" t="str">
        <f aca="false">IF($C276="","",IFERROR(INDEX(Mat_Unit,MATCH($C276,Mat_Code,0)),""))</f>
        <v/>
      </c>
      <c r="G276" s="70"/>
      <c r="H276" s="63"/>
      <c r="I276" s="63"/>
      <c r="J276" s="63"/>
      <c r="K276" s="16" t="str">
        <f aca="false">IF(AND($A276="",$B276="",$C276="",$E276=""),"",IF($A276="","⚠ Date missing",IF(OR($B276="",$C276=""),"⚠ Site / material missing",IF(COUNTIFS(CI_Site,$B276,CI_Mat,$C276)=0,"⚠ No Current Inventory row for this site + material",IF($G276="","⚠ Status missing",IF(AND($G276="Scheduled",$A276&lt;=AsOfDate),"⚠ Scheduled date reached – mark Received or re-date",IF(AND($G276="Received",$A276&gt;AsOfDate),"Future-dated – added on its date",IF(AND($G276="Received",$A276&lt;SUMIFS(CI_Count,CI_Site,$B276,CI_Mat,$C276)),"Before count date – already in the count","OK"))))))))</f>
        <v/>
      </c>
    </row>
    <row r="277" customFormat="false" ht="15" hidden="false" customHeight="false" outlineLevel="0" collapsed="false">
      <c r="A277" s="65"/>
      <c r="B277" s="63"/>
      <c r="C277" s="70"/>
      <c r="D277" s="16" t="str">
        <f aca="false">IF($C277="","",IFERROR(INDEX(Mat_Short,MATCH($C277,Mat_Code,0)),"⚠ Unknown code"))</f>
        <v/>
      </c>
      <c r="E277" s="66"/>
      <c r="F277" s="64" t="str">
        <f aca="false">IF($C277="","",IFERROR(INDEX(Mat_Unit,MATCH($C277,Mat_Code,0)),""))</f>
        <v/>
      </c>
      <c r="G277" s="70"/>
      <c r="H277" s="63"/>
      <c r="I277" s="63"/>
      <c r="J277" s="63"/>
      <c r="K277" s="16" t="str">
        <f aca="false">IF(AND($A277="",$B277="",$C277="",$E277=""),"",IF($A277="","⚠ Date missing",IF(OR($B277="",$C277=""),"⚠ Site / material missing",IF(COUNTIFS(CI_Site,$B277,CI_Mat,$C277)=0,"⚠ No Current Inventory row for this site + material",IF($G277="","⚠ Status missing",IF(AND($G277="Scheduled",$A277&lt;=AsOfDate),"⚠ Scheduled date reached – mark Received or re-date",IF(AND($G277="Received",$A277&gt;AsOfDate),"Future-dated – added on its date",IF(AND($G277="Received",$A277&lt;SUMIFS(CI_Count,CI_Site,$B277,CI_Mat,$C277)),"Before count date – already in the count","OK"))))))))</f>
        <v/>
      </c>
    </row>
    <row r="278" customFormat="false" ht="15" hidden="false" customHeight="false" outlineLevel="0" collapsed="false">
      <c r="A278" s="65"/>
      <c r="B278" s="63"/>
      <c r="C278" s="70"/>
      <c r="D278" s="16" t="str">
        <f aca="false">IF($C278="","",IFERROR(INDEX(Mat_Short,MATCH($C278,Mat_Code,0)),"⚠ Unknown code"))</f>
        <v/>
      </c>
      <c r="E278" s="66"/>
      <c r="F278" s="64" t="str">
        <f aca="false">IF($C278="","",IFERROR(INDEX(Mat_Unit,MATCH($C278,Mat_Code,0)),""))</f>
        <v/>
      </c>
      <c r="G278" s="70"/>
      <c r="H278" s="63"/>
      <c r="I278" s="63"/>
      <c r="J278" s="63"/>
      <c r="K278" s="16" t="str">
        <f aca="false">IF(AND($A278="",$B278="",$C278="",$E278=""),"",IF($A278="","⚠ Date missing",IF(OR($B278="",$C278=""),"⚠ Site / material missing",IF(COUNTIFS(CI_Site,$B278,CI_Mat,$C278)=0,"⚠ No Current Inventory row for this site + material",IF($G278="","⚠ Status missing",IF(AND($G278="Scheduled",$A278&lt;=AsOfDate),"⚠ Scheduled date reached – mark Received or re-date",IF(AND($G278="Received",$A278&gt;AsOfDate),"Future-dated – added on its date",IF(AND($G278="Received",$A278&lt;SUMIFS(CI_Count,CI_Site,$B278,CI_Mat,$C278)),"Before count date – already in the count","OK"))))))))</f>
        <v/>
      </c>
    </row>
    <row r="279" customFormat="false" ht="15" hidden="false" customHeight="false" outlineLevel="0" collapsed="false">
      <c r="A279" s="65"/>
      <c r="B279" s="63"/>
      <c r="C279" s="70"/>
      <c r="D279" s="16" t="str">
        <f aca="false">IF($C279="","",IFERROR(INDEX(Mat_Short,MATCH($C279,Mat_Code,0)),"⚠ Unknown code"))</f>
        <v/>
      </c>
      <c r="E279" s="66"/>
      <c r="F279" s="64" t="str">
        <f aca="false">IF($C279="","",IFERROR(INDEX(Mat_Unit,MATCH($C279,Mat_Code,0)),""))</f>
        <v/>
      </c>
      <c r="G279" s="70"/>
      <c r="H279" s="63"/>
      <c r="I279" s="63"/>
      <c r="J279" s="63"/>
      <c r="K279" s="16" t="str">
        <f aca="false">IF(AND($A279="",$B279="",$C279="",$E279=""),"",IF($A279="","⚠ Date missing",IF(OR($B279="",$C279=""),"⚠ Site / material missing",IF(COUNTIFS(CI_Site,$B279,CI_Mat,$C279)=0,"⚠ No Current Inventory row for this site + material",IF($G279="","⚠ Status missing",IF(AND($G279="Scheduled",$A279&lt;=AsOfDate),"⚠ Scheduled date reached – mark Received or re-date",IF(AND($G279="Received",$A279&gt;AsOfDate),"Future-dated – added on its date",IF(AND($G279="Received",$A279&lt;SUMIFS(CI_Count,CI_Site,$B279,CI_Mat,$C279)),"Before count date – already in the count","OK"))))))))</f>
        <v/>
      </c>
    </row>
    <row r="280" customFormat="false" ht="15" hidden="false" customHeight="false" outlineLevel="0" collapsed="false">
      <c r="A280" s="65"/>
      <c r="B280" s="63"/>
      <c r="C280" s="70"/>
      <c r="D280" s="16" t="str">
        <f aca="false">IF($C280="","",IFERROR(INDEX(Mat_Short,MATCH($C280,Mat_Code,0)),"⚠ Unknown code"))</f>
        <v/>
      </c>
      <c r="E280" s="66"/>
      <c r="F280" s="64" t="str">
        <f aca="false">IF($C280="","",IFERROR(INDEX(Mat_Unit,MATCH($C280,Mat_Code,0)),""))</f>
        <v/>
      </c>
      <c r="G280" s="70"/>
      <c r="H280" s="63"/>
      <c r="I280" s="63"/>
      <c r="J280" s="63"/>
      <c r="K280" s="16" t="str">
        <f aca="false">IF(AND($A280="",$B280="",$C280="",$E280=""),"",IF($A280="","⚠ Date missing",IF(OR($B280="",$C280=""),"⚠ Site / material missing",IF(COUNTIFS(CI_Site,$B280,CI_Mat,$C280)=0,"⚠ No Current Inventory row for this site + material",IF($G280="","⚠ Status missing",IF(AND($G280="Scheduled",$A280&lt;=AsOfDate),"⚠ Scheduled date reached – mark Received or re-date",IF(AND($G280="Received",$A280&gt;AsOfDate),"Future-dated – added on its date",IF(AND($G280="Received",$A280&lt;SUMIFS(CI_Count,CI_Site,$B280,CI_Mat,$C280)),"Before count date – already in the count","OK"))))))))</f>
        <v/>
      </c>
    </row>
    <row r="281" customFormat="false" ht="15" hidden="false" customHeight="false" outlineLevel="0" collapsed="false">
      <c r="A281" s="65"/>
      <c r="B281" s="63"/>
      <c r="C281" s="70"/>
      <c r="D281" s="16" t="str">
        <f aca="false">IF($C281="","",IFERROR(INDEX(Mat_Short,MATCH($C281,Mat_Code,0)),"⚠ Unknown code"))</f>
        <v/>
      </c>
      <c r="E281" s="66"/>
      <c r="F281" s="64" t="str">
        <f aca="false">IF($C281="","",IFERROR(INDEX(Mat_Unit,MATCH($C281,Mat_Code,0)),""))</f>
        <v/>
      </c>
      <c r="G281" s="70"/>
      <c r="H281" s="63"/>
      <c r="I281" s="63"/>
      <c r="J281" s="63"/>
      <c r="K281" s="16" t="str">
        <f aca="false">IF(AND($A281="",$B281="",$C281="",$E281=""),"",IF($A281="","⚠ Date missing",IF(OR($B281="",$C281=""),"⚠ Site / material missing",IF(COUNTIFS(CI_Site,$B281,CI_Mat,$C281)=0,"⚠ No Current Inventory row for this site + material",IF($G281="","⚠ Status missing",IF(AND($G281="Scheduled",$A281&lt;=AsOfDate),"⚠ Scheduled date reached – mark Received or re-date",IF(AND($G281="Received",$A281&gt;AsOfDate),"Future-dated – added on its date",IF(AND($G281="Received",$A281&lt;SUMIFS(CI_Count,CI_Site,$B281,CI_Mat,$C281)),"Before count date – already in the count","OK"))))))))</f>
        <v/>
      </c>
    </row>
    <row r="282" customFormat="false" ht="15" hidden="false" customHeight="false" outlineLevel="0" collapsed="false">
      <c r="A282" s="65"/>
      <c r="B282" s="63"/>
      <c r="C282" s="70"/>
      <c r="D282" s="16" t="str">
        <f aca="false">IF($C282="","",IFERROR(INDEX(Mat_Short,MATCH($C282,Mat_Code,0)),"⚠ Unknown code"))</f>
        <v/>
      </c>
      <c r="E282" s="66"/>
      <c r="F282" s="64" t="str">
        <f aca="false">IF($C282="","",IFERROR(INDEX(Mat_Unit,MATCH($C282,Mat_Code,0)),""))</f>
        <v/>
      </c>
      <c r="G282" s="70"/>
      <c r="H282" s="63"/>
      <c r="I282" s="63"/>
      <c r="J282" s="63"/>
      <c r="K282" s="16" t="str">
        <f aca="false">IF(AND($A282="",$B282="",$C282="",$E282=""),"",IF($A282="","⚠ Date missing",IF(OR($B282="",$C282=""),"⚠ Site / material missing",IF(COUNTIFS(CI_Site,$B282,CI_Mat,$C282)=0,"⚠ No Current Inventory row for this site + material",IF($G282="","⚠ Status missing",IF(AND($G282="Scheduled",$A282&lt;=AsOfDate),"⚠ Scheduled date reached – mark Received or re-date",IF(AND($G282="Received",$A282&gt;AsOfDate),"Future-dated – added on its date",IF(AND($G282="Received",$A282&lt;SUMIFS(CI_Count,CI_Site,$B282,CI_Mat,$C282)),"Before count date – already in the count","OK"))))))))</f>
        <v/>
      </c>
    </row>
    <row r="283" customFormat="false" ht="15" hidden="false" customHeight="false" outlineLevel="0" collapsed="false">
      <c r="A283" s="65"/>
      <c r="B283" s="63"/>
      <c r="C283" s="70"/>
      <c r="D283" s="16" t="str">
        <f aca="false">IF($C283="","",IFERROR(INDEX(Mat_Short,MATCH($C283,Mat_Code,0)),"⚠ Unknown code"))</f>
        <v/>
      </c>
      <c r="E283" s="66"/>
      <c r="F283" s="64" t="str">
        <f aca="false">IF($C283="","",IFERROR(INDEX(Mat_Unit,MATCH($C283,Mat_Code,0)),""))</f>
        <v/>
      </c>
      <c r="G283" s="70"/>
      <c r="H283" s="63"/>
      <c r="I283" s="63"/>
      <c r="J283" s="63"/>
      <c r="K283" s="16" t="str">
        <f aca="false">IF(AND($A283="",$B283="",$C283="",$E283=""),"",IF($A283="","⚠ Date missing",IF(OR($B283="",$C283=""),"⚠ Site / material missing",IF(COUNTIFS(CI_Site,$B283,CI_Mat,$C283)=0,"⚠ No Current Inventory row for this site + material",IF($G283="","⚠ Status missing",IF(AND($G283="Scheduled",$A283&lt;=AsOfDate),"⚠ Scheduled date reached – mark Received or re-date",IF(AND($G283="Received",$A283&gt;AsOfDate),"Future-dated – added on its date",IF(AND($G283="Received",$A283&lt;SUMIFS(CI_Count,CI_Site,$B283,CI_Mat,$C283)),"Before count date – already in the count","OK"))))))))</f>
        <v/>
      </c>
    </row>
    <row r="284" customFormat="false" ht="15" hidden="false" customHeight="false" outlineLevel="0" collapsed="false">
      <c r="A284" s="65"/>
      <c r="B284" s="63"/>
      <c r="C284" s="70"/>
      <c r="D284" s="16" t="str">
        <f aca="false">IF($C284="","",IFERROR(INDEX(Mat_Short,MATCH($C284,Mat_Code,0)),"⚠ Unknown code"))</f>
        <v/>
      </c>
      <c r="E284" s="66"/>
      <c r="F284" s="64" t="str">
        <f aca="false">IF($C284="","",IFERROR(INDEX(Mat_Unit,MATCH($C284,Mat_Code,0)),""))</f>
        <v/>
      </c>
      <c r="G284" s="70"/>
      <c r="H284" s="63"/>
      <c r="I284" s="63"/>
      <c r="J284" s="63"/>
      <c r="K284" s="16" t="str">
        <f aca="false">IF(AND($A284="",$B284="",$C284="",$E284=""),"",IF($A284="","⚠ Date missing",IF(OR($B284="",$C284=""),"⚠ Site / material missing",IF(COUNTIFS(CI_Site,$B284,CI_Mat,$C284)=0,"⚠ No Current Inventory row for this site + material",IF($G284="","⚠ Status missing",IF(AND($G284="Scheduled",$A284&lt;=AsOfDate),"⚠ Scheduled date reached – mark Received or re-date",IF(AND($G284="Received",$A284&gt;AsOfDate),"Future-dated – added on its date",IF(AND($G284="Received",$A284&lt;SUMIFS(CI_Count,CI_Site,$B284,CI_Mat,$C284)),"Before count date – already in the count","OK"))))))))</f>
        <v/>
      </c>
    </row>
    <row r="285" customFormat="false" ht="15" hidden="false" customHeight="false" outlineLevel="0" collapsed="false">
      <c r="A285" s="65"/>
      <c r="B285" s="63"/>
      <c r="C285" s="70"/>
      <c r="D285" s="16" t="str">
        <f aca="false">IF($C285="","",IFERROR(INDEX(Mat_Short,MATCH($C285,Mat_Code,0)),"⚠ Unknown code"))</f>
        <v/>
      </c>
      <c r="E285" s="66"/>
      <c r="F285" s="64" t="str">
        <f aca="false">IF($C285="","",IFERROR(INDEX(Mat_Unit,MATCH($C285,Mat_Code,0)),""))</f>
        <v/>
      </c>
      <c r="G285" s="70"/>
      <c r="H285" s="63"/>
      <c r="I285" s="63"/>
      <c r="J285" s="63"/>
      <c r="K285" s="16" t="str">
        <f aca="false">IF(AND($A285="",$B285="",$C285="",$E285=""),"",IF($A285="","⚠ Date missing",IF(OR($B285="",$C285=""),"⚠ Site / material missing",IF(COUNTIFS(CI_Site,$B285,CI_Mat,$C285)=0,"⚠ No Current Inventory row for this site + material",IF($G285="","⚠ Status missing",IF(AND($G285="Scheduled",$A285&lt;=AsOfDate),"⚠ Scheduled date reached – mark Received or re-date",IF(AND($G285="Received",$A285&gt;AsOfDate),"Future-dated – added on its date",IF(AND($G285="Received",$A285&lt;SUMIFS(CI_Count,CI_Site,$B285,CI_Mat,$C285)),"Before count date – already in the count","OK"))))))))</f>
        <v/>
      </c>
    </row>
    <row r="286" customFormat="false" ht="15" hidden="false" customHeight="false" outlineLevel="0" collapsed="false">
      <c r="A286" s="65"/>
      <c r="B286" s="63"/>
      <c r="C286" s="70"/>
      <c r="D286" s="16" t="str">
        <f aca="false">IF($C286="","",IFERROR(INDEX(Mat_Short,MATCH($C286,Mat_Code,0)),"⚠ Unknown code"))</f>
        <v/>
      </c>
      <c r="E286" s="66"/>
      <c r="F286" s="64" t="str">
        <f aca="false">IF($C286="","",IFERROR(INDEX(Mat_Unit,MATCH($C286,Mat_Code,0)),""))</f>
        <v/>
      </c>
      <c r="G286" s="70"/>
      <c r="H286" s="63"/>
      <c r="I286" s="63"/>
      <c r="J286" s="63"/>
      <c r="K286" s="16" t="str">
        <f aca="false">IF(AND($A286="",$B286="",$C286="",$E286=""),"",IF($A286="","⚠ Date missing",IF(OR($B286="",$C286=""),"⚠ Site / material missing",IF(COUNTIFS(CI_Site,$B286,CI_Mat,$C286)=0,"⚠ No Current Inventory row for this site + material",IF($G286="","⚠ Status missing",IF(AND($G286="Scheduled",$A286&lt;=AsOfDate),"⚠ Scheduled date reached – mark Received or re-date",IF(AND($G286="Received",$A286&gt;AsOfDate),"Future-dated – added on its date",IF(AND($G286="Received",$A286&lt;SUMIFS(CI_Count,CI_Site,$B286,CI_Mat,$C286)),"Before count date – already in the count","OK"))))))))</f>
        <v/>
      </c>
    </row>
    <row r="287" customFormat="false" ht="15" hidden="false" customHeight="false" outlineLevel="0" collapsed="false">
      <c r="A287" s="65"/>
      <c r="B287" s="63"/>
      <c r="C287" s="70"/>
      <c r="D287" s="16" t="str">
        <f aca="false">IF($C287="","",IFERROR(INDEX(Mat_Short,MATCH($C287,Mat_Code,0)),"⚠ Unknown code"))</f>
        <v/>
      </c>
      <c r="E287" s="66"/>
      <c r="F287" s="64" t="str">
        <f aca="false">IF($C287="","",IFERROR(INDEX(Mat_Unit,MATCH($C287,Mat_Code,0)),""))</f>
        <v/>
      </c>
      <c r="G287" s="70"/>
      <c r="H287" s="63"/>
      <c r="I287" s="63"/>
      <c r="J287" s="63"/>
      <c r="K287" s="16" t="str">
        <f aca="false">IF(AND($A287="",$B287="",$C287="",$E287=""),"",IF($A287="","⚠ Date missing",IF(OR($B287="",$C287=""),"⚠ Site / material missing",IF(COUNTIFS(CI_Site,$B287,CI_Mat,$C287)=0,"⚠ No Current Inventory row for this site + material",IF($G287="","⚠ Status missing",IF(AND($G287="Scheduled",$A287&lt;=AsOfDate),"⚠ Scheduled date reached – mark Received or re-date",IF(AND($G287="Received",$A287&gt;AsOfDate),"Future-dated – added on its date",IF(AND($G287="Received",$A287&lt;SUMIFS(CI_Count,CI_Site,$B287,CI_Mat,$C287)),"Before count date – already in the count","OK"))))))))</f>
        <v/>
      </c>
    </row>
    <row r="288" customFormat="false" ht="15" hidden="false" customHeight="false" outlineLevel="0" collapsed="false">
      <c r="A288" s="65"/>
      <c r="B288" s="63"/>
      <c r="C288" s="70"/>
      <c r="D288" s="16" t="str">
        <f aca="false">IF($C288="","",IFERROR(INDEX(Mat_Short,MATCH($C288,Mat_Code,0)),"⚠ Unknown code"))</f>
        <v/>
      </c>
      <c r="E288" s="66"/>
      <c r="F288" s="64" t="str">
        <f aca="false">IF($C288="","",IFERROR(INDEX(Mat_Unit,MATCH($C288,Mat_Code,0)),""))</f>
        <v/>
      </c>
      <c r="G288" s="70"/>
      <c r="H288" s="63"/>
      <c r="I288" s="63"/>
      <c r="J288" s="63"/>
      <c r="K288" s="16" t="str">
        <f aca="false">IF(AND($A288="",$B288="",$C288="",$E288=""),"",IF($A288="","⚠ Date missing",IF(OR($B288="",$C288=""),"⚠ Site / material missing",IF(COUNTIFS(CI_Site,$B288,CI_Mat,$C288)=0,"⚠ No Current Inventory row for this site + material",IF($G288="","⚠ Status missing",IF(AND($G288="Scheduled",$A288&lt;=AsOfDate),"⚠ Scheduled date reached – mark Received or re-date",IF(AND($G288="Received",$A288&gt;AsOfDate),"Future-dated – added on its date",IF(AND($G288="Received",$A288&lt;SUMIFS(CI_Count,CI_Site,$B288,CI_Mat,$C288)),"Before count date – already in the count","OK"))))))))</f>
        <v/>
      </c>
    </row>
    <row r="289" customFormat="false" ht="15" hidden="false" customHeight="false" outlineLevel="0" collapsed="false">
      <c r="A289" s="65"/>
      <c r="B289" s="63"/>
      <c r="C289" s="70"/>
      <c r="D289" s="16" t="str">
        <f aca="false">IF($C289="","",IFERROR(INDEX(Mat_Short,MATCH($C289,Mat_Code,0)),"⚠ Unknown code"))</f>
        <v/>
      </c>
      <c r="E289" s="66"/>
      <c r="F289" s="64" t="str">
        <f aca="false">IF($C289="","",IFERROR(INDEX(Mat_Unit,MATCH($C289,Mat_Code,0)),""))</f>
        <v/>
      </c>
      <c r="G289" s="70"/>
      <c r="H289" s="63"/>
      <c r="I289" s="63"/>
      <c r="J289" s="63"/>
      <c r="K289" s="16" t="str">
        <f aca="false">IF(AND($A289="",$B289="",$C289="",$E289=""),"",IF($A289="","⚠ Date missing",IF(OR($B289="",$C289=""),"⚠ Site / material missing",IF(COUNTIFS(CI_Site,$B289,CI_Mat,$C289)=0,"⚠ No Current Inventory row for this site + material",IF($G289="","⚠ Status missing",IF(AND($G289="Scheduled",$A289&lt;=AsOfDate),"⚠ Scheduled date reached – mark Received or re-date",IF(AND($G289="Received",$A289&gt;AsOfDate),"Future-dated – added on its date",IF(AND($G289="Received",$A289&lt;SUMIFS(CI_Count,CI_Site,$B289,CI_Mat,$C289)),"Before count date – already in the count","OK"))))))))</f>
        <v/>
      </c>
    </row>
    <row r="290" customFormat="false" ht="15" hidden="false" customHeight="false" outlineLevel="0" collapsed="false">
      <c r="A290" s="65"/>
      <c r="B290" s="63"/>
      <c r="C290" s="70"/>
      <c r="D290" s="16" t="str">
        <f aca="false">IF($C290="","",IFERROR(INDEX(Mat_Short,MATCH($C290,Mat_Code,0)),"⚠ Unknown code"))</f>
        <v/>
      </c>
      <c r="E290" s="66"/>
      <c r="F290" s="64" t="str">
        <f aca="false">IF($C290="","",IFERROR(INDEX(Mat_Unit,MATCH($C290,Mat_Code,0)),""))</f>
        <v/>
      </c>
      <c r="G290" s="70"/>
      <c r="H290" s="63"/>
      <c r="I290" s="63"/>
      <c r="J290" s="63"/>
      <c r="K290" s="16" t="str">
        <f aca="false">IF(AND($A290="",$B290="",$C290="",$E290=""),"",IF($A290="","⚠ Date missing",IF(OR($B290="",$C290=""),"⚠ Site / material missing",IF(COUNTIFS(CI_Site,$B290,CI_Mat,$C290)=0,"⚠ No Current Inventory row for this site + material",IF($G290="","⚠ Status missing",IF(AND($G290="Scheduled",$A290&lt;=AsOfDate),"⚠ Scheduled date reached – mark Received or re-date",IF(AND($G290="Received",$A290&gt;AsOfDate),"Future-dated – added on its date",IF(AND($G290="Received",$A290&lt;SUMIFS(CI_Count,CI_Site,$B290,CI_Mat,$C290)),"Before count date – already in the count","OK"))))))))</f>
        <v/>
      </c>
    </row>
    <row r="291" customFormat="false" ht="15" hidden="false" customHeight="false" outlineLevel="0" collapsed="false">
      <c r="A291" s="65"/>
      <c r="B291" s="63"/>
      <c r="C291" s="70"/>
      <c r="D291" s="16" t="str">
        <f aca="false">IF($C291="","",IFERROR(INDEX(Mat_Short,MATCH($C291,Mat_Code,0)),"⚠ Unknown code"))</f>
        <v/>
      </c>
      <c r="E291" s="66"/>
      <c r="F291" s="64" t="str">
        <f aca="false">IF($C291="","",IFERROR(INDEX(Mat_Unit,MATCH($C291,Mat_Code,0)),""))</f>
        <v/>
      </c>
      <c r="G291" s="70"/>
      <c r="H291" s="63"/>
      <c r="I291" s="63"/>
      <c r="J291" s="63"/>
      <c r="K291" s="16" t="str">
        <f aca="false">IF(AND($A291="",$B291="",$C291="",$E291=""),"",IF($A291="","⚠ Date missing",IF(OR($B291="",$C291=""),"⚠ Site / material missing",IF(COUNTIFS(CI_Site,$B291,CI_Mat,$C291)=0,"⚠ No Current Inventory row for this site + material",IF($G291="","⚠ Status missing",IF(AND($G291="Scheduled",$A291&lt;=AsOfDate),"⚠ Scheduled date reached – mark Received or re-date",IF(AND($G291="Received",$A291&gt;AsOfDate),"Future-dated – added on its date",IF(AND($G291="Received",$A291&lt;SUMIFS(CI_Count,CI_Site,$B291,CI_Mat,$C291)),"Before count date – already in the count","OK"))))))))</f>
        <v/>
      </c>
    </row>
    <row r="292" customFormat="false" ht="15" hidden="false" customHeight="false" outlineLevel="0" collapsed="false">
      <c r="A292" s="65"/>
      <c r="B292" s="63"/>
      <c r="C292" s="70"/>
      <c r="D292" s="16" t="str">
        <f aca="false">IF($C292="","",IFERROR(INDEX(Mat_Short,MATCH($C292,Mat_Code,0)),"⚠ Unknown code"))</f>
        <v/>
      </c>
      <c r="E292" s="66"/>
      <c r="F292" s="64" t="str">
        <f aca="false">IF($C292="","",IFERROR(INDEX(Mat_Unit,MATCH($C292,Mat_Code,0)),""))</f>
        <v/>
      </c>
      <c r="G292" s="70"/>
      <c r="H292" s="63"/>
      <c r="I292" s="63"/>
      <c r="J292" s="63"/>
      <c r="K292" s="16" t="str">
        <f aca="false">IF(AND($A292="",$B292="",$C292="",$E292=""),"",IF($A292="","⚠ Date missing",IF(OR($B292="",$C292=""),"⚠ Site / material missing",IF(COUNTIFS(CI_Site,$B292,CI_Mat,$C292)=0,"⚠ No Current Inventory row for this site + material",IF($G292="","⚠ Status missing",IF(AND($G292="Scheduled",$A292&lt;=AsOfDate),"⚠ Scheduled date reached – mark Received or re-date",IF(AND($G292="Received",$A292&gt;AsOfDate),"Future-dated – added on its date",IF(AND($G292="Received",$A292&lt;SUMIFS(CI_Count,CI_Site,$B292,CI_Mat,$C292)),"Before count date – already in the count","OK"))))))))</f>
        <v/>
      </c>
    </row>
    <row r="293" customFormat="false" ht="15" hidden="false" customHeight="false" outlineLevel="0" collapsed="false">
      <c r="A293" s="65"/>
      <c r="B293" s="63"/>
      <c r="C293" s="70"/>
      <c r="D293" s="16" t="str">
        <f aca="false">IF($C293="","",IFERROR(INDEX(Mat_Short,MATCH($C293,Mat_Code,0)),"⚠ Unknown code"))</f>
        <v/>
      </c>
      <c r="E293" s="66"/>
      <c r="F293" s="64" t="str">
        <f aca="false">IF($C293="","",IFERROR(INDEX(Mat_Unit,MATCH($C293,Mat_Code,0)),""))</f>
        <v/>
      </c>
      <c r="G293" s="70"/>
      <c r="H293" s="63"/>
      <c r="I293" s="63"/>
      <c r="J293" s="63"/>
      <c r="K293" s="16" t="str">
        <f aca="false">IF(AND($A293="",$B293="",$C293="",$E293=""),"",IF($A293="","⚠ Date missing",IF(OR($B293="",$C293=""),"⚠ Site / material missing",IF(COUNTIFS(CI_Site,$B293,CI_Mat,$C293)=0,"⚠ No Current Inventory row for this site + material",IF($G293="","⚠ Status missing",IF(AND($G293="Scheduled",$A293&lt;=AsOfDate),"⚠ Scheduled date reached – mark Received or re-date",IF(AND($G293="Received",$A293&gt;AsOfDate),"Future-dated – added on its date",IF(AND($G293="Received",$A293&lt;SUMIFS(CI_Count,CI_Site,$B293,CI_Mat,$C293)),"Before count date – already in the count","OK"))))))))</f>
        <v/>
      </c>
    </row>
    <row r="294" customFormat="false" ht="15" hidden="false" customHeight="false" outlineLevel="0" collapsed="false">
      <c r="A294" s="65"/>
      <c r="B294" s="63"/>
      <c r="C294" s="70"/>
      <c r="D294" s="16" t="str">
        <f aca="false">IF($C294="","",IFERROR(INDEX(Mat_Short,MATCH($C294,Mat_Code,0)),"⚠ Unknown code"))</f>
        <v/>
      </c>
      <c r="E294" s="66"/>
      <c r="F294" s="64" t="str">
        <f aca="false">IF($C294="","",IFERROR(INDEX(Mat_Unit,MATCH($C294,Mat_Code,0)),""))</f>
        <v/>
      </c>
      <c r="G294" s="70"/>
      <c r="H294" s="63"/>
      <c r="I294" s="63"/>
      <c r="J294" s="63"/>
      <c r="K294" s="16" t="str">
        <f aca="false">IF(AND($A294="",$B294="",$C294="",$E294=""),"",IF($A294="","⚠ Date missing",IF(OR($B294="",$C294=""),"⚠ Site / material missing",IF(COUNTIFS(CI_Site,$B294,CI_Mat,$C294)=0,"⚠ No Current Inventory row for this site + material",IF($G294="","⚠ Status missing",IF(AND($G294="Scheduled",$A294&lt;=AsOfDate),"⚠ Scheduled date reached – mark Received or re-date",IF(AND($G294="Received",$A294&gt;AsOfDate),"Future-dated – added on its date",IF(AND($G294="Received",$A294&lt;SUMIFS(CI_Count,CI_Site,$B294,CI_Mat,$C294)),"Before count date – already in the count","OK"))))))))</f>
        <v/>
      </c>
    </row>
    <row r="295" customFormat="false" ht="15" hidden="false" customHeight="false" outlineLevel="0" collapsed="false">
      <c r="A295" s="65"/>
      <c r="B295" s="63"/>
      <c r="C295" s="70"/>
      <c r="D295" s="16" t="str">
        <f aca="false">IF($C295="","",IFERROR(INDEX(Mat_Short,MATCH($C295,Mat_Code,0)),"⚠ Unknown code"))</f>
        <v/>
      </c>
      <c r="E295" s="66"/>
      <c r="F295" s="64" t="str">
        <f aca="false">IF($C295="","",IFERROR(INDEX(Mat_Unit,MATCH($C295,Mat_Code,0)),""))</f>
        <v/>
      </c>
      <c r="G295" s="70"/>
      <c r="H295" s="63"/>
      <c r="I295" s="63"/>
      <c r="J295" s="63"/>
      <c r="K295" s="16" t="str">
        <f aca="false">IF(AND($A295="",$B295="",$C295="",$E295=""),"",IF($A295="","⚠ Date missing",IF(OR($B295="",$C295=""),"⚠ Site / material missing",IF(COUNTIFS(CI_Site,$B295,CI_Mat,$C295)=0,"⚠ No Current Inventory row for this site + material",IF($G295="","⚠ Status missing",IF(AND($G295="Scheduled",$A295&lt;=AsOfDate),"⚠ Scheduled date reached – mark Received or re-date",IF(AND($G295="Received",$A295&gt;AsOfDate),"Future-dated – added on its date",IF(AND($G295="Received",$A295&lt;SUMIFS(CI_Count,CI_Site,$B295,CI_Mat,$C295)),"Before count date – already in the count","OK"))))))))</f>
        <v/>
      </c>
    </row>
    <row r="296" customFormat="false" ht="15" hidden="false" customHeight="false" outlineLevel="0" collapsed="false">
      <c r="A296" s="65"/>
      <c r="B296" s="63"/>
      <c r="C296" s="70"/>
      <c r="D296" s="16" t="str">
        <f aca="false">IF($C296="","",IFERROR(INDEX(Mat_Short,MATCH($C296,Mat_Code,0)),"⚠ Unknown code"))</f>
        <v/>
      </c>
      <c r="E296" s="66"/>
      <c r="F296" s="64" t="str">
        <f aca="false">IF($C296="","",IFERROR(INDEX(Mat_Unit,MATCH($C296,Mat_Code,0)),""))</f>
        <v/>
      </c>
      <c r="G296" s="70"/>
      <c r="H296" s="63"/>
      <c r="I296" s="63"/>
      <c r="J296" s="63"/>
      <c r="K296" s="16" t="str">
        <f aca="false">IF(AND($A296="",$B296="",$C296="",$E296=""),"",IF($A296="","⚠ Date missing",IF(OR($B296="",$C296=""),"⚠ Site / material missing",IF(COUNTIFS(CI_Site,$B296,CI_Mat,$C296)=0,"⚠ No Current Inventory row for this site + material",IF($G296="","⚠ Status missing",IF(AND($G296="Scheduled",$A296&lt;=AsOfDate),"⚠ Scheduled date reached – mark Received or re-date",IF(AND($G296="Received",$A296&gt;AsOfDate),"Future-dated – added on its date",IF(AND($G296="Received",$A296&lt;SUMIFS(CI_Count,CI_Site,$B296,CI_Mat,$C296)),"Before count date – already in the count","OK"))))))))</f>
        <v/>
      </c>
    </row>
    <row r="297" customFormat="false" ht="15" hidden="false" customHeight="false" outlineLevel="0" collapsed="false">
      <c r="A297" s="65"/>
      <c r="B297" s="63"/>
      <c r="C297" s="70"/>
      <c r="D297" s="16" t="str">
        <f aca="false">IF($C297="","",IFERROR(INDEX(Mat_Short,MATCH($C297,Mat_Code,0)),"⚠ Unknown code"))</f>
        <v/>
      </c>
      <c r="E297" s="66"/>
      <c r="F297" s="64" t="str">
        <f aca="false">IF($C297="","",IFERROR(INDEX(Mat_Unit,MATCH($C297,Mat_Code,0)),""))</f>
        <v/>
      </c>
      <c r="G297" s="70"/>
      <c r="H297" s="63"/>
      <c r="I297" s="63"/>
      <c r="J297" s="63"/>
      <c r="K297" s="16" t="str">
        <f aca="false">IF(AND($A297="",$B297="",$C297="",$E297=""),"",IF($A297="","⚠ Date missing",IF(OR($B297="",$C297=""),"⚠ Site / material missing",IF(COUNTIFS(CI_Site,$B297,CI_Mat,$C297)=0,"⚠ No Current Inventory row for this site + material",IF($G297="","⚠ Status missing",IF(AND($G297="Scheduled",$A297&lt;=AsOfDate),"⚠ Scheduled date reached – mark Received or re-date",IF(AND($G297="Received",$A297&gt;AsOfDate),"Future-dated – added on its date",IF(AND($G297="Received",$A297&lt;SUMIFS(CI_Count,CI_Site,$B297,CI_Mat,$C297)),"Before count date – already in the count","OK"))))))))</f>
        <v/>
      </c>
    </row>
    <row r="298" customFormat="false" ht="15" hidden="false" customHeight="false" outlineLevel="0" collapsed="false">
      <c r="A298" s="65"/>
      <c r="B298" s="63"/>
      <c r="C298" s="70"/>
      <c r="D298" s="16" t="str">
        <f aca="false">IF($C298="","",IFERROR(INDEX(Mat_Short,MATCH($C298,Mat_Code,0)),"⚠ Unknown code"))</f>
        <v/>
      </c>
      <c r="E298" s="66"/>
      <c r="F298" s="64" t="str">
        <f aca="false">IF($C298="","",IFERROR(INDEX(Mat_Unit,MATCH($C298,Mat_Code,0)),""))</f>
        <v/>
      </c>
      <c r="G298" s="70"/>
      <c r="H298" s="63"/>
      <c r="I298" s="63"/>
      <c r="J298" s="63"/>
      <c r="K298" s="16" t="str">
        <f aca="false">IF(AND($A298="",$B298="",$C298="",$E298=""),"",IF($A298="","⚠ Date missing",IF(OR($B298="",$C298=""),"⚠ Site / material missing",IF(COUNTIFS(CI_Site,$B298,CI_Mat,$C298)=0,"⚠ No Current Inventory row for this site + material",IF($G298="","⚠ Status missing",IF(AND($G298="Scheduled",$A298&lt;=AsOfDate),"⚠ Scheduled date reached – mark Received or re-date",IF(AND($G298="Received",$A298&gt;AsOfDate),"Future-dated – added on its date",IF(AND($G298="Received",$A298&lt;SUMIFS(CI_Count,CI_Site,$B298,CI_Mat,$C298)),"Before count date – already in the count","OK"))))))))</f>
        <v/>
      </c>
    </row>
    <row r="299" customFormat="false" ht="15" hidden="false" customHeight="false" outlineLevel="0" collapsed="false">
      <c r="A299" s="65"/>
      <c r="B299" s="63"/>
      <c r="C299" s="70"/>
      <c r="D299" s="16" t="str">
        <f aca="false">IF($C299="","",IFERROR(INDEX(Mat_Short,MATCH($C299,Mat_Code,0)),"⚠ Unknown code"))</f>
        <v/>
      </c>
      <c r="E299" s="66"/>
      <c r="F299" s="64" t="str">
        <f aca="false">IF($C299="","",IFERROR(INDEX(Mat_Unit,MATCH($C299,Mat_Code,0)),""))</f>
        <v/>
      </c>
      <c r="G299" s="70"/>
      <c r="H299" s="63"/>
      <c r="I299" s="63"/>
      <c r="J299" s="63"/>
      <c r="K299" s="16" t="str">
        <f aca="false">IF(AND($A299="",$B299="",$C299="",$E299=""),"",IF($A299="","⚠ Date missing",IF(OR($B299="",$C299=""),"⚠ Site / material missing",IF(COUNTIFS(CI_Site,$B299,CI_Mat,$C299)=0,"⚠ No Current Inventory row for this site + material",IF($G299="","⚠ Status missing",IF(AND($G299="Scheduled",$A299&lt;=AsOfDate),"⚠ Scheduled date reached – mark Received or re-date",IF(AND($G299="Received",$A299&gt;AsOfDate),"Future-dated – added on its date",IF(AND($G299="Received",$A299&lt;SUMIFS(CI_Count,CI_Site,$B299,CI_Mat,$C299)),"Before count date – already in the count","OK"))))))))</f>
        <v/>
      </c>
    </row>
    <row r="300" customFormat="false" ht="15" hidden="false" customHeight="false" outlineLevel="0" collapsed="false">
      <c r="A300" s="65"/>
      <c r="B300" s="63"/>
      <c r="C300" s="70"/>
      <c r="D300" s="16" t="str">
        <f aca="false">IF($C300="","",IFERROR(INDEX(Mat_Short,MATCH($C300,Mat_Code,0)),"⚠ Unknown code"))</f>
        <v/>
      </c>
      <c r="E300" s="66"/>
      <c r="F300" s="64" t="str">
        <f aca="false">IF($C300="","",IFERROR(INDEX(Mat_Unit,MATCH($C300,Mat_Code,0)),""))</f>
        <v/>
      </c>
      <c r="G300" s="70"/>
      <c r="H300" s="63"/>
      <c r="I300" s="63"/>
      <c r="J300" s="63"/>
      <c r="K300" s="16" t="str">
        <f aca="false">IF(AND($A300="",$B300="",$C300="",$E300=""),"",IF($A300="","⚠ Date missing",IF(OR($B300="",$C300=""),"⚠ Site / material missing",IF(COUNTIFS(CI_Site,$B300,CI_Mat,$C300)=0,"⚠ No Current Inventory row for this site + material",IF($G300="","⚠ Status missing",IF(AND($G300="Scheduled",$A300&lt;=AsOfDate),"⚠ Scheduled date reached – mark Received or re-date",IF(AND($G300="Received",$A300&gt;AsOfDate),"Future-dated – added on its date",IF(AND($G300="Received",$A300&lt;SUMIFS(CI_Count,CI_Site,$B300,CI_Mat,$C300)),"Before count date – already in the count","OK"))))))))</f>
        <v/>
      </c>
    </row>
    <row r="301" customFormat="false" ht="15" hidden="false" customHeight="false" outlineLevel="0" collapsed="false">
      <c r="A301" s="65"/>
      <c r="B301" s="63"/>
      <c r="C301" s="70"/>
      <c r="D301" s="16" t="str">
        <f aca="false">IF($C301="","",IFERROR(INDEX(Mat_Short,MATCH($C301,Mat_Code,0)),"⚠ Unknown code"))</f>
        <v/>
      </c>
      <c r="E301" s="66"/>
      <c r="F301" s="64" t="str">
        <f aca="false">IF($C301="","",IFERROR(INDEX(Mat_Unit,MATCH($C301,Mat_Code,0)),""))</f>
        <v/>
      </c>
      <c r="G301" s="70"/>
      <c r="H301" s="63"/>
      <c r="I301" s="63"/>
      <c r="J301" s="63"/>
      <c r="K301" s="16" t="str">
        <f aca="false">IF(AND($A301="",$B301="",$C301="",$E301=""),"",IF($A301="","⚠ Date missing",IF(OR($B301="",$C301=""),"⚠ Site / material missing",IF(COUNTIFS(CI_Site,$B301,CI_Mat,$C301)=0,"⚠ No Current Inventory row for this site + material",IF($G301="","⚠ Status missing",IF(AND($G301="Scheduled",$A301&lt;=AsOfDate),"⚠ Scheduled date reached – mark Received or re-date",IF(AND($G301="Received",$A301&gt;AsOfDate),"Future-dated – added on its date",IF(AND($G301="Received",$A301&lt;SUMIFS(CI_Count,CI_Site,$B301,CI_Mat,$C301)),"Before count date – already in the count","OK"))))))))</f>
        <v/>
      </c>
    </row>
    <row r="302" customFormat="false" ht="15" hidden="false" customHeight="false" outlineLevel="0" collapsed="false">
      <c r="A302" s="65"/>
      <c r="B302" s="63"/>
      <c r="C302" s="70"/>
      <c r="D302" s="16" t="str">
        <f aca="false">IF($C302="","",IFERROR(INDEX(Mat_Short,MATCH($C302,Mat_Code,0)),"⚠ Unknown code"))</f>
        <v/>
      </c>
      <c r="E302" s="66"/>
      <c r="F302" s="64" t="str">
        <f aca="false">IF($C302="","",IFERROR(INDEX(Mat_Unit,MATCH($C302,Mat_Code,0)),""))</f>
        <v/>
      </c>
      <c r="G302" s="70"/>
      <c r="H302" s="63"/>
      <c r="I302" s="63"/>
      <c r="J302" s="63"/>
      <c r="K302" s="16" t="str">
        <f aca="false">IF(AND($A302="",$B302="",$C302="",$E302=""),"",IF($A302="","⚠ Date missing",IF(OR($B302="",$C302=""),"⚠ Site / material missing",IF(COUNTIFS(CI_Site,$B302,CI_Mat,$C302)=0,"⚠ No Current Inventory row for this site + material",IF($G302="","⚠ Status missing",IF(AND($G302="Scheduled",$A302&lt;=AsOfDate),"⚠ Scheduled date reached – mark Received or re-date",IF(AND($G302="Received",$A302&gt;AsOfDate),"Future-dated – added on its date",IF(AND($G302="Received",$A302&lt;SUMIFS(CI_Count,CI_Site,$B302,CI_Mat,$C302)),"Before count date – already in the count","OK"))))))))</f>
        <v/>
      </c>
    </row>
    <row r="303" customFormat="false" ht="15" hidden="false" customHeight="false" outlineLevel="0" collapsed="false">
      <c r="A303" s="65"/>
      <c r="B303" s="63"/>
      <c r="C303" s="70"/>
      <c r="D303" s="16" t="str">
        <f aca="false">IF($C303="","",IFERROR(INDEX(Mat_Short,MATCH($C303,Mat_Code,0)),"⚠ Unknown code"))</f>
        <v/>
      </c>
      <c r="E303" s="66"/>
      <c r="F303" s="64" t="str">
        <f aca="false">IF($C303="","",IFERROR(INDEX(Mat_Unit,MATCH($C303,Mat_Code,0)),""))</f>
        <v/>
      </c>
      <c r="G303" s="70"/>
      <c r="H303" s="63"/>
      <c r="I303" s="63"/>
      <c r="J303" s="63"/>
      <c r="K303" s="16" t="str">
        <f aca="false">IF(AND($A303="",$B303="",$C303="",$E303=""),"",IF($A303="","⚠ Date missing",IF(OR($B303="",$C303=""),"⚠ Site / material missing",IF(COUNTIFS(CI_Site,$B303,CI_Mat,$C303)=0,"⚠ No Current Inventory row for this site + material",IF($G303="","⚠ Status missing",IF(AND($G303="Scheduled",$A303&lt;=AsOfDate),"⚠ Scheduled date reached – mark Received or re-date",IF(AND($G303="Received",$A303&gt;AsOfDate),"Future-dated – added on its date",IF(AND($G303="Received",$A303&lt;SUMIFS(CI_Count,CI_Site,$B303,CI_Mat,$C303)),"Before count date – already in the count","OK"))))))))</f>
        <v/>
      </c>
    </row>
    <row r="304" customFormat="false" ht="15" hidden="false" customHeight="false" outlineLevel="0" collapsed="false">
      <c r="A304" s="65"/>
      <c r="B304" s="63"/>
      <c r="C304" s="70"/>
      <c r="D304" s="16" t="str">
        <f aca="false">IF($C304="","",IFERROR(INDEX(Mat_Short,MATCH($C304,Mat_Code,0)),"⚠ Unknown code"))</f>
        <v/>
      </c>
      <c r="E304" s="66"/>
      <c r="F304" s="64" t="str">
        <f aca="false">IF($C304="","",IFERROR(INDEX(Mat_Unit,MATCH($C304,Mat_Code,0)),""))</f>
        <v/>
      </c>
      <c r="G304" s="70"/>
      <c r="H304" s="63"/>
      <c r="I304" s="63"/>
      <c r="J304" s="63"/>
      <c r="K304" s="16" t="str">
        <f aca="false">IF(AND($A304="",$B304="",$C304="",$E304=""),"",IF($A304="","⚠ Date missing",IF(OR($B304="",$C304=""),"⚠ Site / material missing",IF(COUNTIFS(CI_Site,$B304,CI_Mat,$C304)=0,"⚠ No Current Inventory row for this site + material",IF($G304="","⚠ Status missing",IF(AND($G304="Scheduled",$A304&lt;=AsOfDate),"⚠ Scheduled date reached – mark Received or re-date",IF(AND($G304="Received",$A304&gt;AsOfDate),"Future-dated – added on its date",IF(AND($G304="Received",$A304&lt;SUMIFS(CI_Count,CI_Site,$B304,CI_Mat,$C304)),"Before count date – already in the count","OK"))))))))</f>
        <v/>
      </c>
    </row>
    <row r="305" customFormat="false" ht="15" hidden="false" customHeight="false" outlineLevel="0" collapsed="false">
      <c r="A305" s="65"/>
      <c r="B305" s="63"/>
      <c r="C305" s="70"/>
      <c r="D305" s="16" t="str">
        <f aca="false">IF($C305="","",IFERROR(INDEX(Mat_Short,MATCH($C305,Mat_Code,0)),"⚠ Unknown code"))</f>
        <v/>
      </c>
      <c r="E305" s="66"/>
      <c r="F305" s="64" t="str">
        <f aca="false">IF($C305="","",IFERROR(INDEX(Mat_Unit,MATCH($C305,Mat_Code,0)),""))</f>
        <v/>
      </c>
      <c r="G305" s="70"/>
      <c r="H305" s="63"/>
      <c r="I305" s="63"/>
      <c r="J305" s="63"/>
      <c r="K305" s="16" t="str">
        <f aca="false">IF(AND($A305="",$B305="",$C305="",$E305=""),"",IF($A305="","⚠ Date missing",IF(OR($B305="",$C305=""),"⚠ Site / material missing",IF(COUNTIFS(CI_Site,$B305,CI_Mat,$C305)=0,"⚠ No Current Inventory row for this site + material",IF($G305="","⚠ Status missing",IF(AND($G305="Scheduled",$A305&lt;=AsOfDate),"⚠ Scheduled date reached – mark Received or re-date",IF(AND($G305="Received",$A305&gt;AsOfDate),"Future-dated – added on its date",IF(AND($G305="Received",$A305&lt;SUMIFS(CI_Count,CI_Site,$B305,CI_Mat,$C305)),"Before count date – already in the count","OK"))))))))</f>
        <v/>
      </c>
    </row>
    <row r="306" customFormat="false" ht="15" hidden="false" customHeight="false" outlineLevel="0" collapsed="false">
      <c r="A306" s="65"/>
      <c r="B306" s="63"/>
      <c r="C306" s="70"/>
      <c r="D306" s="16" t="str">
        <f aca="false">IF($C306="","",IFERROR(INDEX(Mat_Short,MATCH($C306,Mat_Code,0)),"⚠ Unknown code"))</f>
        <v/>
      </c>
      <c r="E306" s="66"/>
      <c r="F306" s="64" t="str">
        <f aca="false">IF($C306="","",IFERROR(INDEX(Mat_Unit,MATCH($C306,Mat_Code,0)),""))</f>
        <v/>
      </c>
      <c r="G306" s="70"/>
      <c r="H306" s="63"/>
      <c r="I306" s="63"/>
      <c r="J306" s="63"/>
      <c r="K306" s="16" t="str">
        <f aca="false">IF(AND($A306="",$B306="",$C306="",$E306=""),"",IF($A306="","⚠ Date missing",IF(OR($B306="",$C306=""),"⚠ Site / material missing",IF(COUNTIFS(CI_Site,$B306,CI_Mat,$C306)=0,"⚠ No Current Inventory row for this site + material",IF($G306="","⚠ Status missing",IF(AND($G306="Scheduled",$A306&lt;=AsOfDate),"⚠ Scheduled date reached – mark Received or re-date",IF(AND($G306="Received",$A306&gt;AsOfDate),"Future-dated – added on its date",IF(AND($G306="Received",$A306&lt;SUMIFS(CI_Count,CI_Site,$B306,CI_Mat,$C306)),"Before count date – already in the count","OK"))))))))</f>
        <v/>
      </c>
    </row>
    <row r="307" customFormat="false" ht="15" hidden="false" customHeight="false" outlineLevel="0" collapsed="false">
      <c r="A307" s="65"/>
      <c r="B307" s="63"/>
      <c r="C307" s="70"/>
      <c r="D307" s="16" t="str">
        <f aca="false">IF($C307="","",IFERROR(INDEX(Mat_Short,MATCH($C307,Mat_Code,0)),"⚠ Unknown code"))</f>
        <v/>
      </c>
      <c r="E307" s="66"/>
      <c r="F307" s="64" t="str">
        <f aca="false">IF($C307="","",IFERROR(INDEX(Mat_Unit,MATCH($C307,Mat_Code,0)),""))</f>
        <v/>
      </c>
      <c r="G307" s="70"/>
      <c r="H307" s="63"/>
      <c r="I307" s="63"/>
      <c r="J307" s="63"/>
      <c r="K307" s="16" t="str">
        <f aca="false">IF(AND($A307="",$B307="",$C307="",$E307=""),"",IF($A307="","⚠ Date missing",IF(OR($B307="",$C307=""),"⚠ Site / material missing",IF(COUNTIFS(CI_Site,$B307,CI_Mat,$C307)=0,"⚠ No Current Inventory row for this site + material",IF($G307="","⚠ Status missing",IF(AND($G307="Scheduled",$A307&lt;=AsOfDate),"⚠ Scheduled date reached – mark Received or re-date",IF(AND($G307="Received",$A307&gt;AsOfDate),"Future-dated – added on its date",IF(AND($G307="Received",$A307&lt;SUMIFS(CI_Count,CI_Site,$B307,CI_Mat,$C307)),"Before count date – already in the count","OK"))))))))</f>
        <v/>
      </c>
    </row>
    <row r="308" customFormat="false" ht="15" hidden="false" customHeight="false" outlineLevel="0" collapsed="false">
      <c r="A308" s="65"/>
      <c r="B308" s="63"/>
      <c r="C308" s="70"/>
      <c r="D308" s="16" t="str">
        <f aca="false">IF($C308="","",IFERROR(INDEX(Mat_Short,MATCH($C308,Mat_Code,0)),"⚠ Unknown code"))</f>
        <v/>
      </c>
      <c r="E308" s="66"/>
      <c r="F308" s="64" t="str">
        <f aca="false">IF($C308="","",IFERROR(INDEX(Mat_Unit,MATCH($C308,Mat_Code,0)),""))</f>
        <v/>
      </c>
      <c r="G308" s="70"/>
      <c r="H308" s="63"/>
      <c r="I308" s="63"/>
      <c r="J308" s="63"/>
      <c r="K308" s="16" t="str">
        <f aca="false">IF(AND($A308="",$B308="",$C308="",$E308=""),"",IF($A308="","⚠ Date missing",IF(OR($B308="",$C308=""),"⚠ Site / material missing",IF(COUNTIFS(CI_Site,$B308,CI_Mat,$C308)=0,"⚠ No Current Inventory row for this site + material",IF($G308="","⚠ Status missing",IF(AND($G308="Scheduled",$A308&lt;=AsOfDate),"⚠ Scheduled date reached – mark Received or re-date",IF(AND($G308="Received",$A308&gt;AsOfDate),"Future-dated – added on its date",IF(AND($G308="Received",$A308&lt;SUMIFS(CI_Count,CI_Site,$B308,CI_Mat,$C308)),"Before count date – already in the count","OK"))))))))</f>
        <v/>
      </c>
    </row>
    <row r="309" customFormat="false" ht="15" hidden="false" customHeight="false" outlineLevel="0" collapsed="false">
      <c r="A309" s="65"/>
      <c r="B309" s="63"/>
      <c r="C309" s="70"/>
      <c r="D309" s="16" t="str">
        <f aca="false">IF($C309="","",IFERROR(INDEX(Mat_Short,MATCH($C309,Mat_Code,0)),"⚠ Unknown code"))</f>
        <v/>
      </c>
      <c r="E309" s="66"/>
      <c r="F309" s="64" t="str">
        <f aca="false">IF($C309="","",IFERROR(INDEX(Mat_Unit,MATCH($C309,Mat_Code,0)),""))</f>
        <v/>
      </c>
      <c r="G309" s="70"/>
      <c r="H309" s="63"/>
      <c r="I309" s="63"/>
      <c r="J309" s="63"/>
      <c r="K309" s="16" t="str">
        <f aca="false">IF(AND($A309="",$B309="",$C309="",$E309=""),"",IF($A309="","⚠ Date missing",IF(OR($B309="",$C309=""),"⚠ Site / material missing",IF(COUNTIFS(CI_Site,$B309,CI_Mat,$C309)=0,"⚠ No Current Inventory row for this site + material",IF($G309="","⚠ Status missing",IF(AND($G309="Scheduled",$A309&lt;=AsOfDate),"⚠ Scheduled date reached – mark Received or re-date",IF(AND($G309="Received",$A309&gt;AsOfDate),"Future-dated – added on its date",IF(AND($G309="Received",$A309&lt;SUMIFS(CI_Count,CI_Site,$B309,CI_Mat,$C309)),"Before count date – already in the count","OK"))))))))</f>
        <v/>
      </c>
    </row>
    <row r="310" customFormat="false" ht="15" hidden="false" customHeight="false" outlineLevel="0" collapsed="false">
      <c r="A310" s="65"/>
      <c r="B310" s="63"/>
      <c r="C310" s="70"/>
      <c r="D310" s="16" t="str">
        <f aca="false">IF($C310="","",IFERROR(INDEX(Mat_Short,MATCH($C310,Mat_Code,0)),"⚠ Unknown code"))</f>
        <v/>
      </c>
      <c r="E310" s="66"/>
      <c r="F310" s="64" t="str">
        <f aca="false">IF($C310="","",IFERROR(INDEX(Mat_Unit,MATCH($C310,Mat_Code,0)),""))</f>
        <v/>
      </c>
      <c r="G310" s="70"/>
      <c r="H310" s="63"/>
      <c r="I310" s="63"/>
      <c r="J310" s="63"/>
      <c r="K310" s="16" t="str">
        <f aca="false">IF(AND($A310="",$B310="",$C310="",$E310=""),"",IF($A310="","⚠ Date missing",IF(OR($B310="",$C310=""),"⚠ Site / material missing",IF(COUNTIFS(CI_Site,$B310,CI_Mat,$C310)=0,"⚠ No Current Inventory row for this site + material",IF($G310="","⚠ Status missing",IF(AND($G310="Scheduled",$A310&lt;=AsOfDate),"⚠ Scheduled date reached – mark Received or re-date",IF(AND($G310="Received",$A310&gt;AsOfDate),"Future-dated – added on its date",IF(AND($G310="Received",$A310&lt;SUMIFS(CI_Count,CI_Site,$B310,CI_Mat,$C310)),"Before count date – already in the count","OK"))))))))</f>
        <v/>
      </c>
    </row>
    <row r="311" customFormat="false" ht="15" hidden="false" customHeight="false" outlineLevel="0" collapsed="false">
      <c r="A311" s="65"/>
      <c r="B311" s="63"/>
      <c r="C311" s="70"/>
      <c r="D311" s="16" t="str">
        <f aca="false">IF($C311="","",IFERROR(INDEX(Mat_Short,MATCH($C311,Mat_Code,0)),"⚠ Unknown code"))</f>
        <v/>
      </c>
      <c r="E311" s="66"/>
      <c r="F311" s="64" t="str">
        <f aca="false">IF($C311="","",IFERROR(INDEX(Mat_Unit,MATCH($C311,Mat_Code,0)),""))</f>
        <v/>
      </c>
      <c r="G311" s="70"/>
      <c r="H311" s="63"/>
      <c r="I311" s="63"/>
      <c r="J311" s="63"/>
      <c r="K311" s="16" t="str">
        <f aca="false">IF(AND($A311="",$B311="",$C311="",$E311=""),"",IF($A311="","⚠ Date missing",IF(OR($B311="",$C311=""),"⚠ Site / material missing",IF(COUNTIFS(CI_Site,$B311,CI_Mat,$C311)=0,"⚠ No Current Inventory row for this site + material",IF($G311="","⚠ Status missing",IF(AND($G311="Scheduled",$A311&lt;=AsOfDate),"⚠ Scheduled date reached – mark Received or re-date",IF(AND($G311="Received",$A311&gt;AsOfDate),"Future-dated – added on its date",IF(AND($G311="Received",$A311&lt;SUMIFS(CI_Count,CI_Site,$B311,CI_Mat,$C311)),"Before count date – already in the count","OK"))))))))</f>
        <v/>
      </c>
    </row>
    <row r="312" customFormat="false" ht="15" hidden="false" customHeight="false" outlineLevel="0" collapsed="false">
      <c r="A312" s="65"/>
      <c r="B312" s="63"/>
      <c r="C312" s="70"/>
      <c r="D312" s="16" t="str">
        <f aca="false">IF($C312="","",IFERROR(INDEX(Mat_Short,MATCH($C312,Mat_Code,0)),"⚠ Unknown code"))</f>
        <v/>
      </c>
      <c r="E312" s="66"/>
      <c r="F312" s="64" t="str">
        <f aca="false">IF($C312="","",IFERROR(INDEX(Mat_Unit,MATCH($C312,Mat_Code,0)),""))</f>
        <v/>
      </c>
      <c r="G312" s="70"/>
      <c r="H312" s="63"/>
      <c r="I312" s="63"/>
      <c r="J312" s="63"/>
      <c r="K312" s="16" t="str">
        <f aca="false">IF(AND($A312="",$B312="",$C312="",$E312=""),"",IF($A312="","⚠ Date missing",IF(OR($B312="",$C312=""),"⚠ Site / material missing",IF(COUNTIFS(CI_Site,$B312,CI_Mat,$C312)=0,"⚠ No Current Inventory row for this site + material",IF($G312="","⚠ Status missing",IF(AND($G312="Scheduled",$A312&lt;=AsOfDate),"⚠ Scheduled date reached – mark Received or re-date",IF(AND($G312="Received",$A312&gt;AsOfDate),"Future-dated – added on its date",IF(AND($G312="Received",$A312&lt;SUMIFS(CI_Count,CI_Site,$B312,CI_Mat,$C312)),"Before count date – already in the count","OK"))))))))</f>
        <v/>
      </c>
    </row>
    <row r="313" customFormat="false" ht="15" hidden="false" customHeight="false" outlineLevel="0" collapsed="false">
      <c r="A313" s="65"/>
      <c r="B313" s="63"/>
      <c r="C313" s="70"/>
      <c r="D313" s="16" t="str">
        <f aca="false">IF($C313="","",IFERROR(INDEX(Mat_Short,MATCH($C313,Mat_Code,0)),"⚠ Unknown code"))</f>
        <v/>
      </c>
      <c r="E313" s="66"/>
      <c r="F313" s="64" t="str">
        <f aca="false">IF($C313="","",IFERROR(INDEX(Mat_Unit,MATCH($C313,Mat_Code,0)),""))</f>
        <v/>
      </c>
      <c r="G313" s="70"/>
      <c r="H313" s="63"/>
      <c r="I313" s="63"/>
      <c r="J313" s="63"/>
      <c r="K313" s="16" t="str">
        <f aca="false">IF(AND($A313="",$B313="",$C313="",$E313=""),"",IF($A313="","⚠ Date missing",IF(OR($B313="",$C313=""),"⚠ Site / material missing",IF(COUNTIFS(CI_Site,$B313,CI_Mat,$C313)=0,"⚠ No Current Inventory row for this site + material",IF($G313="","⚠ Status missing",IF(AND($G313="Scheduled",$A313&lt;=AsOfDate),"⚠ Scheduled date reached – mark Received or re-date",IF(AND($G313="Received",$A313&gt;AsOfDate),"Future-dated – added on its date",IF(AND($G313="Received",$A313&lt;SUMIFS(CI_Count,CI_Site,$B313,CI_Mat,$C313)),"Before count date – already in the count","OK"))))))))</f>
        <v/>
      </c>
    </row>
    <row r="314" customFormat="false" ht="15" hidden="false" customHeight="false" outlineLevel="0" collapsed="false">
      <c r="A314" s="65"/>
      <c r="B314" s="63"/>
      <c r="C314" s="70"/>
      <c r="D314" s="16" t="str">
        <f aca="false">IF($C314="","",IFERROR(INDEX(Mat_Short,MATCH($C314,Mat_Code,0)),"⚠ Unknown code"))</f>
        <v/>
      </c>
      <c r="E314" s="66"/>
      <c r="F314" s="64" t="str">
        <f aca="false">IF($C314="","",IFERROR(INDEX(Mat_Unit,MATCH($C314,Mat_Code,0)),""))</f>
        <v/>
      </c>
      <c r="G314" s="70"/>
      <c r="H314" s="63"/>
      <c r="I314" s="63"/>
      <c r="J314" s="63"/>
      <c r="K314" s="16" t="str">
        <f aca="false">IF(AND($A314="",$B314="",$C314="",$E314=""),"",IF($A314="","⚠ Date missing",IF(OR($B314="",$C314=""),"⚠ Site / material missing",IF(COUNTIFS(CI_Site,$B314,CI_Mat,$C314)=0,"⚠ No Current Inventory row for this site + material",IF($G314="","⚠ Status missing",IF(AND($G314="Scheduled",$A314&lt;=AsOfDate),"⚠ Scheduled date reached – mark Received or re-date",IF(AND($G314="Received",$A314&gt;AsOfDate),"Future-dated – added on its date",IF(AND($G314="Received",$A314&lt;SUMIFS(CI_Count,CI_Site,$B314,CI_Mat,$C314)),"Before count date – already in the count","OK"))))))))</f>
        <v/>
      </c>
    </row>
    <row r="315" customFormat="false" ht="15" hidden="false" customHeight="false" outlineLevel="0" collapsed="false">
      <c r="A315" s="65"/>
      <c r="B315" s="63"/>
      <c r="C315" s="70"/>
      <c r="D315" s="16" t="str">
        <f aca="false">IF($C315="","",IFERROR(INDEX(Mat_Short,MATCH($C315,Mat_Code,0)),"⚠ Unknown code"))</f>
        <v/>
      </c>
      <c r="E315" s="66"/>
      <c r="F315" s="64" t="str">
        <f aca="false">IF($C315="","",IFERROR(INDEX(Mat_Unit,MATCH($C315,Mat_Code,0)),""))</f>
        <v/>
      </c>
      <c r="G315" s="70"/>
      <c r="H315" s="63"/>
      <c r="I315" s="63"/>
      <c r="J315" s="63"/>
      <c r="K315" s="16" t="str">
        <f aca="false">IF(AND($A315="",$B315="",$C315="",$E315=""),"",IF($A315="","⚠ Date missing",IF(OR($B315="",$C315=""),"⚠ Site / material missing",IF(COUNTIFS(CI_Site,$B315,CI_Mat,$C315)=0,"⚠ No Current Inventory row for this site + material",IF($G315="","⚠ Status missing",IF(AND($G315="Scheduled",$A315&lt;=AsOfDate),"⚠ Scheduled date reached – mark Received or re-date",IF(AND($G315="Received",$A315&gt;AsOfDate),"Future-dated – added on its date",IF(AND($G315="Received",$A315&lt;SUMIFS(CI_Count,CI_Site,$B315,CI_Mat,$C315)),"Before count date – already in the count","OK"))))))))</f>
        <v/>
      </c>
    </row>
    <row r="316" customFormat="false" ht="15" hidden="false" customHeight="false" outlineLevel="0" collapsed="false">
      <c r="A316" s="65"/>
      <c r="B316" s="63"/>
      <c r="C316" s="70"/>
      <c r="D316" s="16" t="str">
        <f aca="false">IF($C316="","",IFERROR(INDEX(Mat_Short,MATCH($C316,Mat_Code,0)),"⚠ Unknown code"))</f>
        <v/>
      </c>
      <c r="E316" s="66"/>
      <c r="F316" s="64" t="str">
        <f aca="false">IF($C316="","",IFERROR(INDEX(Mat_Unit,MATCH($C316,Mat_Code,0)),""))</f>
        <v/>
      </c>
      <c r="G316" s="70"/>
      <c r="H316" s="63"/>
      <c r="I316" s="63"/>
      <c r="J316" s="63"/>
      <c r="K316" s="16" t="str">
        <f aca="false">IF(AND($A316="",$B316="",$C316="",$E316=""),"",IF($A316="","⚠ Date missing",IF(OR($B316="",$C316=""),"⚠ Site / material missing",IF(COUNTIFS(CI_Site,$B316,CI_Mat,$C316)=0,"⚠ No Current Inventory row for this site + material",IF($G316="","⚠ Status missing",IF(AND($G316="Scheduled",$A316&lt;=AsOfDate),"⚠ Scheduled date reached – mark Received or re-date",IF(AND($G316="Received",$A316&gt;AsOfDate),"Future-dated – added on its date",IF(AND($G316="Received",$A316&lt;SUMIFS(CI_Count,CI_Site,$B316,CI_Mat,$C316)),"Before count date – already in the count","OK"))))))))</f>
        <v/>
      </c>
    </row>
    <row r="317" customFormat="false" ht="15" hidden="false" customHeight="false" outlineLevel="0" collapsed="false">
      <c r="A317" s="65"/>
      <c r="B317" s="63"/>
      <c r="C317" s="70"/>
      <c r="D317" s="16" t="str">
        <f aca="false">IF($C317="","",IFERROR(INDEX(Mat_Short,MATCH($C317,Mat_Code,0)),"⚠ Unknown code"))</f>
        <v/>
      </c>
      <c r="E317" s="66"/>
      <c r="F317" s="64" t="str">
        <f aca="false">IF($C317="","",IFERROR(INDEX(Mat_Unit,MATCH($C317,Mat_Code,0)),""))</f>
        <v/>
      </c>
      <c r="G317" s="70"/>
      <c r="H317" s="63"/>
      <c r="I317" s="63"/>
      <c r="J317" s="63"/>
      <c r="K317" s="16" t="str">
        <f aca="false">IF(AND($A317="",$B317="",$C317="",$E317=""),"",IF($A317="","⚠ Date missing",IF(OR($B317="",$C317=""),"⚠ Site / material missing",IF(COUNTIFS(CI_Site,$B317,CI_Mat,$C317)=0,"⚠ No Current Inventory row for this site + material",IF($G317="","⚠ Status missing",IF(AND($G317="Scheduled",$A317&lt;=AsOfDate),"⚠ Scheduled date reached – mark Received or re-date",IF(AND($G317="Received",$A317&gt;AsOfDate),"Future-dated – added on its date",IF(AND($G317="Received",$A317&lt;SUMIFS(CI_Count,CI_Site,$B317,CI_Mat,$C317)),"Before count date – already in the count","OK"))))))))</f>
        <v/>
      </c>
    </row>
    <row r="318" customFormat="false" ht="15" hidden="false" customHeight="false" outlineLevel="0" collapsed="false">
      <c r="A318" s="65"/>
      <c r="B318" s="63"/>
      <c r="C318" s="70"/>
      <c r="D318" s="16" t="str">
        <f aca="false">IF($C318="","",IFERROR(INDEX(Mat_Short,MATCH($C318,Mat_Code,0)),"⚠ Unknown code"))</f>
        <v/>
      </c>
      <c r="E318" s="66"/>
      <c r="F318" s="64" t="str">
        <f aca="false">IF($C318="","",IFERROR(INDEX(Mat_Unit,MATCH($C318,Mat_Code,0)),""))</f>
        <v/>
      </c>
      <c r="G318" s="70"/>
      <c r="H318" s="63"/>
      <c r="I318" s="63"/>
      <c r="J318" s="63"/>
      <c r="K318" s="16" t="str">
        <f aca="false">IF(AND($A318="",$B318="",$C318="",$E318=""),"",IF($A318="","⚠ Date missing",IF(OR($B318="",$C318=""),"⚠ Site / material missing",IF(COUNTIFS(CI_Site,$B318,CI_Mat,$C318)=0,"⚠ No Current Inventory row for this site + material",IF($G318="","⚠ Status missing",IF(AND($G318="Scheduled",$A318&lt;=AsOfDate),"⚠ Scheduled date reached – mark Received or re-date",IF(AND($G318="Received",$A318&gt;AsOfDate),"Future-dated – added on its date",IF(AND($G318="Received",$A318&lt;SUMIFS(CI_Count,CI_Site,$B318,CI_Mat,$C318)),"Before count date – already in the count","OK"))))))))</f>
        <v/>
      </c>
    </row>
    <row r="319" customFormat="false" ht="15" hidden="false" customHeight="false" outlineLevel="0" collapsed="false">
      <c r="A319" s="65"/>
      <c r="B319" s="63"/>
      <c r="C319" s="70"/>
      <c r="D319" s="16" t="str">
        <f aca="false">IF($C319="","",IFERROR(INDEX(Mat_Short,MATCH($C319,Mat_Code,0)),"⚠ Unknown code"))</f>
        <v/>
      </c>
      <c r="E319" s="66"/>
      <c r="F319" s="64" t="str">
        <f aca="false">IF($C319="","",IFERROR(INDEX(Mat_Unit,MATCH($C319,Mat_Code,0)),""))</f>
        <v/>
      </c>
      <c r="G319" s="70"/>
      <c r="H319" s="63"/>
      <c r="I319" s="63"/>
      <c r="J319" s="63"/>
      <c r="K319" s="16" t="str">
        <f aca="false">IF(AND($A319="",$B319="",$C319="",$E319=""),"",IF($A319="","⚠ Date missing",IF(OR($B319="",$C319=""),"⚠ Site / material missing",IF(COUNTIFS(CI_Site,$B319,CI_Mat,$C319)=0,"⚠ No Current Inventory row for this site + material",IF($G319="","⚠ Status missing",IF(AND($G319="Scheduled",$A319&lt;=AsOfDate),"⚠ Scheduled date reached – mark Received or re-date",IF(AND($G319="Received",$A319&gt;AsOfDate),"Future-dated – added on its date",IF(AND($G319="Received",$A319&lt;SUMIFS(CI_Count,CI_Site,$B319,CI_Mat,$C319)),"Before count date – already in the count","OK"))))))))</f>
        <v/>
      </c>
    </row>
    <row r="320" customFormat="false" ht="15" hidden="false" customHeight="false" outlineLevel="0" collapsed="false">
      <c r="A320" s="65"/>
      <c r="B320" s="63"/>
      <c r="C320" s="70"/>
      <c r="D320" s="16" t="str">
        <f aca="false">IF($C320="","",IFERROR(INDEX(Mat_Short,MATCH($C320,Mat_Code,0)),"⚠ Unknown code"))</f>
        <v/>
      </c>
      <c r="E320" s="66"/>
      <c r="F320" s="64" t="str">
        <f aca="false">IF($C320="","",IFERROR(INDEX(Mat_Unit,MATCH($C320,Mat_Code,0)),""))</f>
        <v/>
      </c>
      <c r="G320" s="70"/>
      <c r="H320" s="63"/>
      <c r="I320" s="63"/>
      <c r="J320" s="63"/>
      <c r="K320" s="16" t="str">
        <f aca="false">IF(AND($A320="",$B320="",$C320="",$E320=""),"",IF($A320="","⚠ Date missing",IF(OR($B320="",$C320=""),"⚠ Site / material missing",IF(COUNTIFS(CI_Site,$B320,CI_Mat,$C320)=0,"⚠ No Current Inventory row for this site + material",IF($G320="","⚠ Status missing",IF(AND($G320="Scheduled",$A320&lt;=AsOfDate),"⚠ Scheduled date reached – mark Received or re-date",IF(AND($G320="Received",$A320&gt;AsOfDate),"Future-dated – added on its date",IF(AND($G320="Received",$A320&lt;SUMIFS(CI_Count,CI_Site,$B320,CI_Mat,$C320)),"Before count date – already in the count","OK"))))))))</f>
        <v/>
      </c>
    </row>
    <row r="321" customFormat="false" ht="15" hidden="false" customHeight="false" outlineLevel="0" collapsed="false">
      <c r="A321" s="65"/>
      <c r="B321" s="63"/>
      <c r="C321" s="70"/>
      <c r="D321" s="16" t="str">
        <f aca="false">IF($C321="","",IFERROR(INDEX(Mat_Short,MATCH($C321,Mat_Code,0)),"⚠ Unknown code"))</f>
        <v/>
      </c>
      <c r="E321" s="66"/>
      <c r="F321" s="64" t="str">
        <f aca="false">IF($C321="","",IFERROR(INDEX(Mat_Unit,MATCH($C321,Mat_Code,0)),""))</f>
        <v/>
      </c>
      <c r="G321" s="70"/>
      <c r="H321" s="63"/>
      <c r="I321" s="63"/>
      <c r="J321" s="63"/>
      <c r="K321" s="16" t="str">
        <f aca="false">IF(AND($A321="",$B321="",$C321="",$E321=""),"",IF($A321="","⚠ Date missing",IF(OR($B321="",$C321=""),"⚠ Site / material missing",IF(COUNTIFS(CI_Site,$B321,CI_Mat,$C321)=0,"⚠ No Current Inventory row for this site + material",IF($G321="","⚠ Status missing",IF(AND($G321="Scheduled",$A321&lt;=AsOfDate),"⚠ Scheduled date reached – mark Received or re-date",IF(AND($G321="Received",$A321&gt;AsOfDate),"Future-dated – added on its date",IF(AND($G321="Received",$A321&lt;SUMIFS(CI_Count,CI_Site,$B321,CI_Mat,$C321)),"Before count date – already in the count","OK"))))))))</f>
        <v/>
      </c>
    </row>
    <row r="322" customFormat="false" ht="15" hidden="false" customHeight="false" outlineLevel="0" collapsed="false">
      <c r="A322" s="65"/>
      <c r="B322" s="63"/>
      <c r="C322" s="70"/>
      <c r="D322" s="16" t="str">
        <f aca="false">IF($C322="","",IFERROR(INDEX(Mat_Short,MATCH($C322,Mat_Code,0)),"⚠ Unknown code"))</f>
        <v/>
      </c>
      <c r="E322" s="66"/>
      <c r="F322" s="64" t="str">
        <f aca="false">IF($C322="","",IFERROR(INDEX(Mat_Unit,MATCH($C322,Mat_Code,0)),""))</f>
        <v/>
      </c>
      <c r="G322" s="70"/>
      <c r="H322" s="63"/>
      <c r="I322" s="63"/>
      <c r="J322" s="63"/>
      <c r="K322" s="16" t="str">
        <f aca="false">IF(AND($A322="",$B322="",$C322="",$E322=""),"",IF($A322="","⚠ Date missing",IF(OR($B322="",$C322=""),"⚠ Site / material missing",IF(COUNTIFS(CI_Site,$B322,CI_Mat,$C322)=0,"⚠ No Current Inventory row for this site + material",IF($G322="","⚠ Status missing",IF(AND($G322="Scheduled",$A322&lt;=AsOfDate),"⚠ Scheduled date reached – mark Received or re-date",IF(AND($G322="Received",$A322&gt;AsOfDate),"Future-dated – added on its date",IF(AND($G322="Received",$A322&lt;SUMIFS(CI_Count,CI_Site,$B322,CI_Mat,$C322)),"Before count date – already in the count","OK"))))))))</f>
        <v/>
      </c>
    </row>
    <row r="323" customFormat="false" ht="15" hidden="false" customHeight="false" outlineLevel="0" collapsed="false">
      <c r="A323" s="65"/>
      <c r="B323" s="63"/>
      <c r="C323" s="70"/>
      <c r="D323" s="16" t="str">
        <f aca="false">IF($C323="","",IFERROR(INDEX(Mat_Short,MATCH($C323,Mat_Code,0)),"⚠ Unknown code"))</f>
        <v/>
      </c>
      <c r="E323" s="66"/>
      <c r="F323" s="64" t="str">
        <f aca="false">IF($C323="","",IFERROR(INDEX(Mat_Unit,MATCH($C323,Mat_Code,0)),""))</f>
        <v/>
      </c>
      <c r="G323" s="70"/>
      <c r="H323" s="63"/>
      <c r="I323" s="63"/>
      <c r="J323" s="63"/>
      <c r="K323" s="16" t="str">
        <f aca="false">IF(AND($A323="",$B323="",$C323="",$E323=""),"",IF($A323="","⚠ Date missing",IF(OR($B323="",$C323=""),"⚠ Site / material missing",IF(COUNTIFS(CI_Site,$B323,CI_Mat,$C323)=0,"⚠ No Current Inventory row for this site + material",IF($G323="","⚠ Status missing",IF(AND($G323="Scheduled",$A323&lt;=AsOfDate),"⚠ Scheduled date reached – mark Received or re-date",IF(AND($G323="Received",$A323&gt;AsOfDate),"Future-dated – added on its date",IF(AND($G323="Received",$A323&lt;SUMIFS(CI_Count,CI_Site,$B323,CI_Mat,$C323)),"Before count date – already in the count","OK"))))))))</f>
        <v/>
      </c>
    </row>
    <row r="324" customFormat="false" ht="15" hidden="false" customHeight="false" outlineLevel="0" collapsed="false">
      <c r="A324" s="65"/>
      <c r="B324" s="63"/>
      <c r="C324" s="70"/>
      <c r="D324" s="16" t="str">
        <f aca="false">IF($C324="","",IFERROR(INDEX(Mat_Short,MATCH($C324,Mat_Code,0)),"⚠ Unknown code"))</f>
        <v/>
      </c>
      <c r="E324" s="66"/>
      <c r="F324" s="64" t="str">
        <f aca="false">IF($C324="","",IFERROR(INDEX(Mat_Unit,MATCH($C324,Mat_Code,0)),""))</f>
        <v/>
      </c>
      <c r="G324" s="70"/>
      <c r="H324" s="63"/>
      <c r="I324" s="63"/>
      <c r="J324" s="63"/>
      <c r="K324" s="16" t="str">
        <f aca="false">IF(AND($A324="",$B324="",$C324="",$E324=""),"",IF($A324="","⚠ Date missing",IF(OR($B324="",$C324=""),"⚠ Site / material missing",IF(COUNTIFS(CI_Site,$B324,CI_Mat,$C324)=0,"⚠ No Current Inventory row for this site + material",IF($G324="","⚠ Status missing",IF(AND($G324="Scheduled",$A324&lt;=AsOfDate),"⚠ Scheduled date reached – mark Received or re-date",IF(AND($G324="Received",$A324&gt;AsOfDate),"Future-dated – added on its date",IF(AND($G324="Received",$A324&lt;SUMIFS(CI_Count,CI_Site,$B324,CI_Mat,$C324)),"Before count date – already in the count","OK"))))))))</f>
        <v/>
      </c>
    </row>
    <row r="325" customFormat="false" ht="15" hidden="false" customHeight="false" outlineLevel="0" collapsed="false">
      <c r="A325" s="65"/>
      <c r="B325" s="63"/>
      <c r="C325" s="70"/>
      <c r="D325" s="16" t="str">
        <f aca="false">IF($C325="","",IFERROR(INDEX(Mat_Short,MATCH($C325,Mat_Code,0)),"⚠ Unknown code"))</f>
        <v/>
      </c>
      <c r="E325" s="66"/>
      <c r="F325" s="64" t="str">
        <f aca="false">IF($C325="","",IFERROR(INDEX(Mat_Unit,MATCH($C325,Mat_Code,0)),""))</f>
        <v/>
      </c>
      <c r="G325" s="70"/>
      <c r="H325" s="63"/>
      <c r="I325" s="63"/>
      <c r="J325" s="63"/>
      <c r="K325" s="16" t="str">
        <f aca="false">IF(AND($A325="",$B325="",$C325="",$E325=""),"",IF($A325="","⚠ Date missing",IF(OR($B325="",$C325=""),"⚠ Site / material missing",IF(COUNTIFS(CI_Site,$B325,CI_Mat,$C325)=0,"⚠ No Current Inventory row for this site + material",IF($G325="","⚠ Status missing",IF(AND($G325="Scheduled",$A325&lt;=AsOfDate),"⚠ Scheduled date reached – mark Received or re-date",IF(AND($G325="Received",$A325&gt;AsOfDate),"Future-dated – added on its date",IF(AND($G325="Received",$A325&lt;SUMIFS(CI_Count,CI_Site,$B325,CI_Mat,$C325)),"Before count date – already in the count","OK"))))))))</f>
        <v/>
      </c>
    </row>
    <row r="326" customFormat="false" ht="15" hidden="false" customHeight="false" outlineLevel="0" collapsed="false">
      <c r="A326" s="65"/>
      <c r="B326" s="63"/>
      <c r="C326" s="70"/>
      <c r="D326" s="16" t="str">
        <f aca="false">IF($C326="","",IFERROR(INDEX(Mat_Short,MATCH($C326,Mat_Code,0)),"⚠ Unknown code"))</f>
        <v/>
      </c>
      <c r="E326" s="66"/>
      <c r="F326" s="64" t="str">
        <f aca="false">IF($C326="","",IFERROR(INDEX(Mat_Unit,MATCH($C326,Mat_Code,0)),""))</f>
        <v/>
      </c>
      <c r="G326" s="70"/>
      <c r="H326" s="63"/>
      <c r="I326" s="63"/>
      <c r="J326" s="63"/>
      <c r="K326" s="16" t="str">
        <f aca="false">IF(AND($A326="",$B326="",$C326="",$E326=""),"",IF($A326="","⚠ Date missing",IF(OR($B326="",$C326=""),"⚠ Site / material missing",IF(COUNTIFS(CI_Site,$B326,CI_Mat,$C326)=0,"⚠ No Current Inventory row for this site + material",IF($G326="","⚠ Status missing",IF(AND($G326="Scheduled",$A326&lt;=AsOfDate),"⚠ Scheduled date reached – mark Received or re-date",IF(AND($G326="Received",$A326&gt;AsOfDate),"Future-dated – added on its date",IF(AND($G326="Received",$A326&lt;SUMIFS(CI_Count,CI_Site,$B326,CI_Mat,$C326)),"Before count date – already in the count","OK"))))))))</f>
        <v/>
      </c>
    </row>
    <row r="327" customFormat="false" ht="15" hidden="false" customHeight="false" outlineLevel="0" collapsed="false">
      <c r="A327" s="65"/>
      <c r="B327" s="63"/>
      <c r="C327" s="70"/>
      <c r="D327" s="16" t="str">
        <f aca="false">IF($C327="","",IFERROR(INDEX(Mat_Short,MATCH($C327,Mat_Code,0)),"⚠ Unknown code"))</f>
        <v/>
      </c>
      <c r="E327" s="66"/>
      <c r="F327" s="64" t="str">
        <f aca="false">IF($C327="","",IFERROR(INDEX(Mat_Unit,MATCH($C327,Mat_Code,0)),""))</f>
        <v/>
      </c>
      <c r="G327" s="70"/>
      <c r="H327" s="63"/>
      <c r="I327" s="63"/>
      <c r="J327" s="63"/>
      <c r="K327" s="16" t="str">
        <f aca="false">IF(AND($A327="",$B327="",$C327="",$E327=""),"",IF($A327="","⚠ Date missing",IF(OR($B327="",$C327=""),"⚠ Site / material missing",IF(COUNTIFS(CI_Site,$B327,CI_Mat,$C327)=0,"⚠ No Current Inventory row for this site + material",IF($G327="","⚠ Status missing",IF(AND($G327="Scheduled",$A327&lt;=AsOfDate),"⚠ Scheduled date reached – mark Received or re-date",IF(AND($G327="Received",$A327&gt;AsOfDate),"Future-dated – added on its date",IF(AND($G327="Received",$A327&lt;SUMIFS(CI_Count,CI_Site,$B327,CI_Mat,$C327)),"Before count date – already in the count","OK"))))))))</f>
        <v/>
      </c>
    </row>
    <row r="328" customFormat="false" ht="15" hidden="false" customHeight="false" outlineLevel="0" collapsed="false">
      <c r="A328" s="65"/>
      <c r="B328" s="63"/>
      <c r="C328" s="70"/>
      <c r="D328" s="16" t="str">
        <f aca="false">IF($C328="","",IFERROR(INDEX(Mat_Short,MATCH($C328,Mat_Code,0)),"⚠ Unknown code"))</f>
        <v/>
      </c>
      <c r="E328" s="66"/>
      <c r="F328" s="64" t="str">
        <f aca="false">IF($C328="","",IFERROR(INDEX(Mat_Unit,MATCH($C328,Mat_Code,0)),""))</f>
        <v/>
      </c>
      <c r="G328" s="70"/>
      <c r="H328" s="63"/>
      <c r="I328" s="63"/>
      <c r="J328" s="63"/>
      <c r="K328" s="16" t="str">
        <f aca="false">IF(AND($A328="",$B328="",$C328="",$E328=""),"",IF($A328="","⚠ Date missing",IF(OR($B328="",$C328=""),"⚠ Site / material missing",IF(COUNTIFS(CI_Site,$B328,CI_Mat,$C328)=0,"⚠ No Current Inventory row for this site + material",IF($G328="","⚠ Status missing",IF(AND($G328="Scheduled",$A328&lt;=AsOfDate),"⚠ Scheduled date reached – mark Received or re-date",IF(AND($G328="Received",$A328&gt;AsOfDate),"Future-dated – added on its date",IF(AND($G328="Received",$A328&lt;SUMIFS(CI_Count,CI_Site,$B328,CI_Mat,$C328)),"Before count date – already in the count","OK"))))))))</f>
        <v/>
      </c>
    </row>
    <row r="329" customFormat="false" ht="15" hidden="false" customHeight="false" outlineLevel="0" collapsed="false">
      <c r="A329" s="65"/>
      <c r="B329" s="63"/>
      <c r="C329" s="70"/>
      <c r="D329" s="16" t="str">
        <f aca="false">IF($C329="","",IFERROR(INDEX(Mat_Short,MATCH($C329,Mat_Code,0)),"⚠ Unknown code"))</f>
        <v/>
      </c>
      <c r="E329" s="66"/>
      <c r="F329" s="64" t="str">
        <f aca="false">IF($C329="","",IFERROR(INDEX(Mat_Unit,MATCH($C329,Mat_Code,0)),""))</f>
        <v/>
      </c>
      <c r="G329" s="70"/>
      <c r="H329" s="63"/>
      <c r="I329" s="63"/>
      <c r="J329" s="63"/>
      <c r="K329" s="16" t="str">
        <f aca="false">IF(AND($A329="",$B329="",$C329="",$E329=""),"",IF($A329="","⚠ Date missing",IF(OR($B329="",$C329=""),"⚠ Site / material missing",IF(COUNTIFS(CI_Site,$B329,CI_Mat,$C329)=0,"⚠ No Current Inventory row for this site + material",IF($G329="","⚠ Status missing",IF(AND($G329="Scheduled",$A329&lt;=AsOfDate),"⚠ Scheduled date reached – mark Received or re-date",IF(AND($G329="Received",$A329&gt;AsOfDate),"Future-dated – added on its date",IF(AND($G329="Received",$A329&lt;SUMIFS(CI_Count,CI_Site,$B329,CI_Mat,$C329)),"Before count date – already in the count","OK"))))))))</f>
        <v/>
      </c>
    </row>
    <row r="330" customFormat="false" ht="15" hidden="false" customHeight="false" outlineLevel="0" collapsed="false">
      <c r="A330" s="65"/>
      <c r="B330" s="63"/>
      <c r="C330" s="70"/>
      <c r="D330" s="16" t="str">
        <f aca="false">IF($C330="","",IFERROR(INDEX(Mat_Short,MATCH($C330,Mat_Code,0)),"⚠ Unknown code"))</f>
        <v/>
      </c>
      <c r="E330" s="66"/>
      <c r="F330" s="64" t="str">
        <f aca="false">IF($C330="","",IFERROR(INDEX(Mat_Unit,MATCH($C330,Mat_Code,0)),""))</f>
        <v/>
      </c>
      <c r="G330" s="70"/>
      <c r="H330" s="63"/>
      <c r="I330" s="63"/>
      <c r="J330" s="63"/>
      <c r="K330" s="16" t="str">
        <f aca="false">IF(AND($A330="",$B330="",$C330="",$E330=""),"",IF($A330="","⚠ Date missing",IF(OR($B330="",$C330=""),"⚠ Site / material missing",IF(COUNTIFS(CI_Site,$B330,CI_Mat,$C330)=0,"⚠ No Current Inventory row for this site + material",IF($G330="","⚠ Status missing",IF(AND($G330="Scheduled",$A330&lt;=AsOfDate),"⚠ Scheduled date reached – mark Received or re-date",IF(AND($G330="Received",$A330&gt;AsOfDate),"Future-dated – added on its date",IF(AND($G330="Received",$A330&lt;SUMIFS(CI_Count,CI_Site,$B330,CI_Mat,$C330)),"Before count date – already in the count","OK"))))))))</f>
        <v/>
      </c>
    </row>
    <row r="331" customFormat="false" ht="15" hidden="false" customHeight="false" outlineLevel="0" collapsed="false">
      <c r="A331" s="65"/>
      <c r="B331" s="63"/>
      <c r="C331" s="70"/>
      <c r="D331" s="16" t="str">
        <f aca="false">IF($C331="","",IFERROR(INDEX(Mat_Short,MATCH($C331,Mat_Code,0)),"⚠ Unknown code"))</f>
        <v/>
      </c>
      <c r="E331" s="66"/>
      <c r="F331" s="64" t="str">
        <f aca="false">IF($C331="","",IFERROR(INDEX(Mat_Unit,MATCH($C331,Mat_Code,0)),""))</f>
        <v/>
      </c>
      <c r="G331" s="70"/>
      <c r="H331" s="63"/>
      <c r="I331" s="63"/>
      <c r="J331" s="63"/>
      <c r="K331" s="16" t="str">
        <f aca="false">IF(AND($A331="",$B331="",$C331="",$E331=""),"",IF($A331="","⚠ Date missing",IF(OR($B331="",$C331=""),"⚠ Site / material missing",IF(COUNTIFS(CI_Site,$B331,CI_Mat,$C331)=0,"⚠ No Current Inventory row for this site + material",IF($G331="","⚠ Status missing",IF(AND($G331="Scheduled",$A331&lt;=AsOfDate),"⚠ Scheduled date reached – mark Received or re-date",IF(AND($G331="Received",$A331&gt;AsOfDate),"Future-dated – added on its date",IF(AND($G331="Received",$A331&lt;SUMIFS(CI_Count,CI_Site,$B331,CI_Mat,$C331)),"Before count date – already in the count","OK"))))))))</f>
        <v/>
      </c>
    </row>
    <row r="332" customFormat="false" ht="15" hidden="false" customHeight="false" outlineLevel="0" collapsed="false">
      <c r="A332" s="65"/>
      <c r="B332" s="63"/>
      <c r="C332" s="70"/>
      <c r="D332" s="16" t="str">
        <f aca="false">IF($C332="","",IFERROR(INDEX(Mat_Short,MATCH($C332,Mat_Code,0)),"⚠ Unknown code"))</f>
        <v/>
      </c>
      <c r="E332" s="66"/>
      <c r="F332" s="64" t="str">
        <f aca="false">IF($C332="","",IFERROR(INDEX(Mat_Unit,MATCH($C332,Mat_Code,0)),""))</f>
        <v/>
      </c>
      <c r="G332" s="70"/>
      <c r="H332" s="63"/>
      <c r="I332" s="63"/>
      <c r="J332" s="63"/>
      <c r="K332" s="16" t="str">
        <f aca="false">IF(AND($A332="",$B332="",$C332="",$E332=""),"",IF($A332="","⚠ Date missing",IF(OR($B332="",$C332=""),"⚠ Site / material missing",IF(COUNTIFS(CI_Site,$B332,CI_Mat,$C332)=0,"⚠ No Current Inventory row for this site + material",IF($G332="","⚠ Status missing",IF(AND($G332="Scheduled",$A332&lt;=AsOfDate),"⚠ Scheduled date reached – mark Received or re-date",IF(AND($G332="Received",$A332&gt;AsOfDate),"Future-dated – added on its date",IF(AND($G332="Received",$A332&lt;SUMIFS(CI_Count,CI_Site,$B332,CI_Mat,$C332)),"Before count date – already in the count","OK"))))))))</f>
        <v/>
      </c>
    </row>
    <row r="333" customFormat="false" ht="15" hidden="false" customHeight="false" outlineLevel="0" collapsed="false">
      <c r="A333" s="65"/>
      <c r="B333" s="63"/>
      <c r="C333" s="70"/>
      <c r="D333" s="16" t="str">
        <f aca="false">IF($C333="","",IFERROR(INDEX(Mat_Short,MATCH($C333,Mat_Code,0)),"⚠ Unknown code"))</f>
        <v/>
      </c>
      <c r="E333" s="66"/>
      <c r="F333" s="64" t="str">
        <f aca="false">IF($C333="","",IFERROR(INDEX(Mat_Unit,MATCH($C333,Mat_Code,0)),""))</f>
        <v/>
      </c>
      <c r="G333" s="70"/>
      <c r="H333" s="63"/>
      <c r="I333" s="63"/>
      <c r="J333" s="63"/>
      <c r="K333" s="16" t="str">
        <f aca="false">IF(AND($A333="",$B333="",$C333="",$E333=""),"",IF($A333="","⚠ Date missing",IF(OR($B333="",$C333=""),"⚠ Site / material missing",IF(COUNTIFS(CI_Site,$B333,CI_Mat,$C333)=0,"⚠ No Current Inventory row for this site + material",IF($G333="","⚠ Status missing",IF(AND($G333="Scheduled",$A333&lt;=AsOfDate),"⚠ Scheduled date reached – mark Received or re-date",IF(AND($G333="Received",$A333&gt;AsOfDate),"Future-dated – added on its date",IF(AND($G333="Received",$A333&lt;SUMIFS(CI_Count,CI_Site,$B333,CI_Mat,$C333)),"Before count date – already in the count","OK"))))))))</f>
        <v/>
      </c>
    </row>
    <row r="334" customFormat="false" ht="15" hidden="false" customHeight="false" outlineLevel="0" collapsed="false">
      <c r="A334" s="65"/>
      <c r="B334" s="63"/>
      <c r="C334" s="70"/>
      <c r="D334" s="16" t="str">
        <f aca="false">IF($C334="","",IFERROR(INDEX(Mat_Short,MATCH($C334,Mat_Code,0)),"⚠ Unknown code"))</f>
        <v/>
      </c>
      <c r="E334" s="66"/>
      <c r="F334" s="64" t="str">
        <f aca="false">IF($C334="","",IFERROR(INDEX(Mat_Unit,MATCH($C334,Mat_Code,0)),""))</f>
        <v/>
      </c>
      <c r="G334" s="70"/>
      <c r="H334" s="63"/>
      <c r="I334" s="63"/>
      <c r="J334" s="63"/>
      <c r="K334" s="16" t="str">
        <f aca="false">IF(AND($A334="",$B334="",$C334="",$E334=""),"",IF($A334="","⚠ Date missing",IF(OR($B334="",$C334=""),"⚠ Site / material missing",IF(COUNTIFS(CI_Site,$B334,CI_Mat,$C334)=0,"⚠ No Current Inventory row for this site + material",IF($G334="","⚠ Status missing",IF(AND($G334="Scheduled",$A334&lt;=AsOfDate),"⚠ Scheduled date reached – mark Received or re-date",IF(AND($G334="Received",$A334&gt;AsOfDate),"Future-dated – added on its date",IF(AND($G334="Received",$A334&lt;SUMIFS(CI_Count,CI_Site,$B334,CI_Mat,$C334)),"Before count date – already in the count","OK"))))))))</f>
        <v/>
      </c>
    </row>
    <row r="335" customFormat="false" ht="15" hidden="false" customHeight="false" outlineLevel="0" collapsed="false">
      <c r="A335" s="65"/>
      <c r="B335" s="63"/>
      <c r="C335" s="70"/>
      <c r="D335" s="16" t="str">
        <f aca="false">IF($C335="","",IFERROR(INDEX(Mat_Short,MATCH($C335,Mat_Code,0)),"⚠ Unknown code"))</f>
        <v/>
      </c>
      <c r="E335" s="66"/>
      <c r="F335" s="64" t="str">
        <f aca="false">IF($C335="","",IFERROR(INDEX(Mat_Unit,MATCH($C335,Mat_Code,0)),""))</f>
        <v/>
      </c>
      <c r="G335" s="70"/>
      <c r="H335" s="63"/>
      <c r="I335" s="63"/>
      <c r="J335" s="63"/>
      <c r="K335" s="16" t="str">
        <f aca="false">IF(AND($A335="",$B335="",$C335="",$E335=""),"",IF($A335="","⚠ Date missing",IF(OR($B335="",$C335=""),"⚠ Site / material missing",IF(COUNTIFS(CI_Site,$B335,CI_Mat,$C335)=0,"⚠ No Current Inventory row for this site + material",IF($G335="","⚠ Status missing",IF(AND($G335="Scheduled",$A335&lt;=AsOfDate),"⚠ Scheduled date reached – mark Received or re-date",IF(AND($G335="Received",$A335&gt;AsOfDate),"Future-dated – added on its date",IF(AND($G335="Received",$A335&lt;SUMIFS(CI_Count,CI_Site,$B335,CI_Mat,$C335)),"Before count date – already in the count","OK"))))))))</f>
        <v/>
      </c>
    </row>
    <row r="336" customFormat="false" ht="15" hidden="false" customHeight="false" outlineLevel="0" collapsed="false">
      <c r="A336" s="65"/>
      <c r="B336" s="63"/>
      <c r="C336" s="70"/>
      <c r="D336" s="16" t="str">
        <f aca="false">IF($C336="","",IFERROR(INDEX(Mat_Short,MATCH($C336,Mat_Code,0)),"⚠ Unknown code"))</f>
        <v/>
      </c>
      <c r="E336" s="66"/>
      <c r="F336" s="64" t="str">
        <f aca="false">IF($C336="","",IFERROR(INDEX(Mat_Unit,MATCH($C336,Mat_Code,0)),""))</f>
        <v/>
      </c>
      <c r="G336" s="70"/>
      <c r="H336" s="63"/>
      <c r="I336" s="63"/>
      <c r="J336" s="63"/>
      <c r="K336" s="16" t="str">
        <f aca="false">IF(AND($A336="",$B336="",$C336="",$E336=""),"",IF($A336="","⚠ Date missing",IF(OR($B336="",$C336=""),"⚠ Site / material missing",IF(COUNTIFS(CI_Site,$B336,CI_Mat,$C336)=0,"⚠ No Current Inventory row for this site + material",IF($G336="","⚠ Status missing",IF(AND($G336="Scheduled",$A336&lt;=AsOfDate),"⚠ Scheduled date reached – mark Received or re-date",IF(AND($G336="Received",$A336&gt;AsOfDate),"Future-dated – added on its date",IF(AND($G336="Received",$A336&lt;SUMIFS(CI_Count,CI_Site,$B336,CI_Mat,$C336)),"Before count date – already in the count","OK"))))))))</f>
        <v/>
      </c>
    </row>
    <row r="337" customFormat="false" ht="15" hidden="false" customHeight="false" outlineLevel="0" collapsed="false">
      <c r="A337" s="65"/>
      <c r="B337" s="63"/>
      <c r="C337" s="70"/>
      <c r="D337" s="16" t="str">
        <f aca="false">IF($C337="","",IFERROR(INDEX(Mat_Short,MATCH($C337,Mat_Code,0)),"⚠ Unknown code"))</f>
        <v/>
      </c>
      <c r="E337" s="66"/>
      <c r="F337" s="64" t="str">
        <f aca="false">IF($C337="","",IFERROR(INDEX(Mat_Unit,MATCH($C337,Mat_Code,0)),""))</f>
        <v/>
      </c>
      <c r="G337" s="70"/>
      <c r="H337" s="63"/>
      <c r="I337" s="63"/>
      <c r="J337" s="63"/>
      <c r="K337" s="16" t="str">
        <f aca="false">IF(AND($A337="",$B337="",$C337="",$E337=""),"",IF($A337="","⚠ Date missing",IF(OR($B337="",$C337=""),"⚠ Site / material missing",IF(COUNTIFS(CI_Site,$B337,CI_Mat,$C337)=0,"⚠ No Current Inventory row for this site + material",IF($G337="","⚠ Status missing",IF(AND($G337="Scheduled",$A337&lt;=AsOfDate),"⚠ Scheduled date reached – mark Received or re-date",IF(AND($G337="Received",$A337&gt;AsOfDate),"Future-dated – added on its date",IF(AND($G337="Received",$A337&lt;SUMIFS(CI_Count,CI_Site,$B337,CI_Mat,$C337)),"Before count date – already in the count","OK"))))))))</f>
        <v/>
      </c>
    </row>
    <row r="338" customFormat="false" ht="15" hidden="false" customHeight="false" outlineLevel="0" collapsed="false">
      <c r="A338" s="65"/>
      <c r="B338" s="63"/>
      <c r="C338" s="70"/>
      <c r="D338" s="16" t="str">
        <f aca="false">IF($C338="","",IFERROR(INDEX(Mat_Short,MATCH($C338,Mat_Code,0)),"⚠ Unknown code"))</f>
        <v/>
      </c>
      <c r="E338" s="66"/>
      <c r="F338" s="64" t="str">
        <f aca="false">IF($C338="","",IFERROR(INDEX(Mat_Unit,MATCH($C338,Mat_Code,0)),""))</f>
        <v/>
      </c>
      <c r="G338" s="70"/>
      <c r="H338" s="63"/>
      <c r="I338" s="63"/>
      <c r="J338" s="63"/>
      <c r="K338" s="16" t="str">
        <f aca="false">IF(AND($A338="",$B338="",$C338="",$E338=""),"",IF($A338="","⚠ Date missing",IF(OR($B338="",$C338=""),"⚠ Site / material missing",IF(COUNTIFS(CI_Site,$B338,CI_Mat,$C338)=0,"⚠ No Current Inventory row for this site + material",IF($G338="","⚠ Status missing",IF(AND($G338="Scheduled",$A338&lt;=AsOfDate),"⚠ Scheduled date reached – mark Received or re-date",IF(AND($G338="Received",$A338&gt;AsOfDate),"Future-dated – added on its date",IF(AND($G338="Received",$A338&lt;SUMIFS(CI_Count,CI_Site,$B338,CI_Mat,$C338)),"Before count date – already in the count","OK"))))))))</f>
        <v/>
      </c>
    </row>
    <row r="339" customFormat="false" ht="15" hidden="false" customHeight="false" outlineLevel="0" collapsed="false">
      <c r="A339" s="65"/>
      <c r="B339" s="63"/>
      <c r="C339" s="70"/>
      <c r="D339" s="16" t="str">
        <f aca="false">IF($C339="","",IFERROR(INDEX(Mat_Short,MATCH($C339,Mat_Code,0)),"⚠ Unknown code"))</f>
        <v/>
      </c>
      <c r="E339" s="66"/>
      <c r="F339" s="64" t="str">
        <f aca="false">IF($C339="","",IFERROR(INDEX(Mat_Unit,MATCH($C339,Mat_Code,0)),""))</f>
        <v/>
      </c>
      <c r="G339" s="70"/>
      <c r="H339" s="63"/>
      <c r="I339" s="63"/>
      <c r="J339" s="63"/>
      <c r="K339" s="16" t="str">
        <f aca="false">IF(AND($A339="",$B339="",$C339="",$E339=""),"",IF($A339="","⚠ Date missing",IF(OR($B339="",$C339=""),"⚠ Site / material missing",IF(COUNTIFS(CI_Site,$B339,CI_Mat,$C339)=0,"⚠ No Current Inventory row for this site + material",IF($G339="","⚠ Status missing",IF(AND($G339="Scheduled",$A339&lt;=AsOfDate),"⚠ Scheduled date reached – mark Received or re-date",IF(AND($G339="Received",$A339&gt;AsOfDate),"Future-dated – added on its date",IF(AND($G339="Received",$A339&lt;SUMIFS(CI_Count,CI_Site,$B339,CI_Mat,$C339)),"Before count date – already in the count","OK"))))))))</f>
        <v/>
      </c>
    </row>
    <row r="340" customFormat="false" ht="15" hidden="false" customHeight="false" outlineLevel="0" collapsed="false">
      <c r="A340" s="65"/>
      <c r="B340" s="63"/>
      <c r="C340" s="70"/>
      <c r="D340" s="16" t="str">
        <f aca="false">IF($C340="","",IFERROR(INDEX(Mat_Short,MATCH($C340,Mat_Code,0)),"⚠ Unknown code"))</f>
        <v/>
      </c>
      <c r="E340" s="66"/>
      <c r="F340" s="64" t="str">
        <f aca="false">IF($C340="","",IFERROR(INDEX(Mat_Unit,MATCH($C340,Mat_Code,0)),""))</f>
        <v/>
      </c>
      <c r="G340" s="70"/>
      <c r="H340" s="63"/>
      <c r="I340" s="63"/>
      <c r="J340" s="63"/>
      <c r="K340" s="16" t="str">
        <f aca="false">IF(AND($A340="",$B340="",$C340="",$E340=""),"",IF($A340="","⚠ Date missing",IF(OR($B340="",$C340=""),"⚠ Site / material missing",IF(COUNTIFS(CI_Site,$B340,CI_Mat,$C340)=0,"⚠ No Current Inventory row for this site + material",IF($G340="","⚠ Status missing",IF(AND($G340="Scheduled",$A340&lt;=AsOfDate),"⚠ Scheduled date reached – mark Received or re-date",IF(AND($G340="Received",$A340&gt;AsOfDate),"Future-dated – added on its date",IF(AND($G340="Received",$A340&lt;SUMIFS(CI_Count,CI_Site,$B340,CI_Mat,$C340)),"Before count date – already in the count","OK"))))))))</f>
        <v/>
      </c>
    </row>
    <row r="341" customFormat="false" ht="15" hidden="false" customHeight="false" outlineLevel="0" collapsed="false">
      <c r="A341" s="65"/>
      <c r="B341" s="63"/>
      <c r="C341" s="70"/>
      <c r="D341" s="16" t="str">
        <f aca="false">IF($C341="","",IFERROR(INDEX(Mat_Short,MATCH($C341,Mat_Code,0)),"⚠ Unknown code"))</f>
        <v/>
      </c>
      <c r="E341" s="66"/>
      <c r="F341" s="64" t="str">
        <f aca="false">IF($C341="","",IFERROR(INDEX(Mat_Unit,MATCH($C341,Mat_Code,0)),""))</f>
        <v/>
      </c>
      <c r="G341" s="70"/>
      <c r="H341" s="63"/>
      <c r="I341" s="63"/>
      <c r="J341" s="63"/>
      <c r="K341" s="16" t="str">
        <f aca="false">IF(AND($A341="",$B341="",$C341="",$E341=""),"",IF($A341="","⚠ Date missing",IF(OR($B341="",$C341=""),"⚠ Site / material missing",IF(COUNTIFS(CI_Site,$B341,CI_Mat,$C341)=0,"⚠ No Current Inventory row for this site + material",IF($G341="","⚠ Status missing",IF(AND($G341="Scheduled",$A341&lt;=AsOfDate),"⚠ Scheduled date reached – mark Received or re-date",IF(AND($G341="Received",$A341&gt;AsOfDate),"Future-dated – added on its date",IF(AND($G341="Received",$A341&lt;SUMIFS(CI_Count,CI_Site,$B341,CI_Mat,$C341)),"Before count date – already in the count","OK"))))))))</f>
        <v/>
      </c>
    </row>
    <row r="342" customFormat="false" ht="15" hidden="false" customHeight="false" outlineLevel="0" collapsed="false">
      <c r="A342" s="65"/>
      <c r="B342" s="63"/>
      <c r="C342" s="70"/>
      <c r="D342" s="16" t="str">
        <f aca="false">IF($C342="","",IFERROR(INDEX(Mat_Short,MATCH($C342,Mat_Code,0)),"⚠ Unknown code"))</f>
        <v/>
      </c>
      <c r="E342" s="66"/>
      <c r="F342" s="64" t="str">
        <f aca="false">IF($C342="","",IFERROR(INDEX(Mat_Unit,MATCH($C342,Mat_Code,0)),""))</f>
        <v/>
      </c>
      <c r="G342" s="70"/>
      <c r="H342" s="63"/>
      <c r="I342" s="63"/>
      <c r="J342" s="63"/>
      <c r="K342" s="16" t="str">
        <f aca="false">IF(AND($A342="",$B342="",$C342="",$E342=""),"",IF($A342="","⚠ Date missing",IF(OR($B342="",$C342=""),"⚠ Site / material missing",IF(COUNTIFS(CI_Site,$B342,CI_Mat,$C342)=0,"⚠ No Current Inventory row for this site + material",IF($G342="","⚠ Status missing",IF(AND($G342="Scheduled",$A342&lt;=AsOfDate),"⚠ Scheduled date reached – mark Received or re-date",IF(AND($G342="Received",$A342&gt;AsOfDate),"Future-dated – added on its date",IF(AND($G342="Received",$A342&lt;SUMIFS(CI_Count,CI_Site,$B342,CI_Mat,$C342)),"Before count date – already in the count","OK"))))))))</f>
        <v/>
      </c>
    </row>
    <row r="343" customFormat="false" ht="15" hidden="false" customHeight="false" outlineLevel="0" collapsed="false">
      <c r="A343" s="65"/>
      <c r="B343" s="63"/>
      <c r="C343" s="70"/>
      <c r="D343" s="16" t="str">
        <f aca="false">IF($C343="","",IFERROR(INDEX(Mat_Short,MATCH($C343,Mat_Code,0)),"⚠ Unknown code"))</f>
        <v/>
      </c>
      <c r="E343" s="66"/>
      <c r="F343" s="64" t="str">
        <f aca="false">IF($C343="","",IFERROR(INDEX(Mat_Unit,MATCH($C343,Mat_Code,0)),""))</f>
        <v/>
      </c>
      <c r="G343" s="70"/>
      <c r="H343" s="63"/>
      <c r="I343" s="63"/>
      <c r="J343" s="63"/>
      <c r="K343" s="16" t="str">
        <f aca="false">IF(AND($A343="",$B343="",$C343="",$E343=""),"",IF($A343="","⚠ Date missing",IF(OR($B343="",$C343=""),"⚠ Site / material missing",IF(COUNTIFS(CI_Site,$B343,CI_Mat,$C343)=0,"⚠ No Current Inventory row for this site + material",IF($G343="","⚠ Status missing",IF(AND($G343="Scheduled",$A343&lt;=AsOfDate),"⚠ Scheduled date reached – mark Received or re-date",IF(AND($G343="Received",$A343&gt;AsOfDate),"Future-dated – added on its date",IF(AND($G343="Received",$A343&lt;SUMIFS(CI_Count,CI_Site,$B343,CI_Mat,$C343)),"Before count date – already in the count","OK"))))))))</f>
        <v/>
      </c>
    </row>
    <row r="344" customFormat="false" ht="15" hidden="false" customHeight="false" outlineLevel="0" collapsed="false">
      <c r="A344" s="65"/>
      <c r="B344" s="63"/>
      <c r="C344" s="70"/>
      <c r="D344" s="16" t="str">
        <f aca="false">IF($C344="","",IFERROR(INDEX(Mat_Short,MATCH($C344,Mat_Code,0)),"⚠ Unknown code"))</f>
        <v/>
      </c>
      <c r="E344" s="66"/>
      <c r="F344" s="64" t="str">
        <f aca="false">IF($C344="","",IFERROR(INDEX(Mat_Unit,MATCH($C344,Mat_Code,0)),""))</f>
        <v/>
      </c>
      <c r="G344" s="70"/>
      <c r="H344" s="63"/>
      <c r="I344" s="63"/>
      <c r="J344" s="63"/>
      <c r="K344" s="16" t="str">
        <f aca="false">IF(AND($A344="",$B344="",$C344="",$E344=""),"",IF($A344="","⚠ Date missing",IF(OR($B344="",$C344=""),"⚠ Site / material missing",IF(COUNTIFS(CI_Site,$B344,CI_Mat,$C344)=0,"⚠ No Current Inventory row for this site + material",IF($G344="","⚠ Status missing",IF(AND($G344="Scheduled",$A344&lt;=AsOfDate),"⚠ Scheduled date reached – mark Received or re-date",IF(AND($G344="Received",$A344&gt;AsOfDate),"Future-dated – added on its date",IF(AND($G344="Received",$A344&lt;SUMIFS(CI_Count,CI_Site,$B344,CI_Mat,$C344)),"Before count date – already in the count","OK"))))))))</f>
        <v/>
      </c>
    </row>
    <row r="345" customFormat="false" ht="15" hidden="false" customHeight="false" outlineLevel="0" collapsed="false">
      <c r="A345" s="65"/>
      <c r="B345" s="63"/>
      <c r="C345" s="70"/>
      <c r="D345" s="16" t="str">
        <f aca="false">IF($C345="","",IFERROR(INDEX(Mat_Short,MATCH($C345,Mat_Code,0)),"⚠ Unknown code"))</f>
        <v/>
      </c>
      <c r="E345" s="66"/>
      <c r="F345" s="64" t="str">
        <f aca="false">IF($C345="","",IFERROR(INDEX(Mat_Unit,MATCH($C345,Mat_Code,0)),""))</f>
        <v/>
      </c>
      <c r="G345" s="70"/>
      <c r="H345" s="63"/>
      <c r="I345" s="63"/>
      <c r="J345" s="63"/>
      <c r="K345" s="16" t="str">
        <f aca="false">IF(AND($A345="",$B345="",$C345="",$E345=""),"",IF($A345="","⚠ Date missing",IF(OR($B345="",$C345=""),"⚠ Site / material missing",IF(COUNTIFS(CI_Site,$B345,CI_Mat,$C345)=0,"⚠ No Current Inventory row for this site + material",IF($G345="","⚠ Status missing",IF(AND($G345="Scheduled",$A345&lt;=AsOfDate),"⚠ Scheduled date reached – mark Received or re-date",IF(AND($G345="Received",$A345&gt;AsOfDate),"Future-dated – added on its date",IF(AND($G345="Received",$A345&lt;SUMIFS(CI_Count,CI_Site,$B345,CI_Mat,$C345)),"Before count date – already in the count","OK"))))))))</f>
        <v/>
      </c>
    </row>
    <row r="346" customFormat="false" ht="15" hidden="false" customHeight="false" outlineLevel="0" collapsed="false">
      <c r="A346" s="65"/>
      <c r="B346" s="63"/>
      <c r="C346" s="70"/>
      <c r="D346" s="16" t="str">
        <f aca="false">IF($C346="","",IFERROR(INDEX(Mat_Short,MATCH($C346,Mat_Code,0)),"⚠ Unknown code"))</f>
        <v/>
      </c>
      <c r="E346" s="66"/>
      <c r="F346" s="64" t="str">
        <f aca="false">IF($C346="","",IFERROR(INDEX(Mat_Unit,MATCH($C346,Mat_Code,0)),""))</f>
        <v/>
      </c>
      <c r="G346" s="70"/>
      <c r="H346" s="63"/>
      <c r="I346" s="63"/>
      <c r="J346" s="63"/>
      <c r="K346" s="16" t="str">
        <f aca="false">IF(AND($A346="",$B346="",$C346="",$E346=""),"",IF($A346="","⚠ Date missing",IF(OR($B346="",$C346=""),"⚠ Site / material missing",IF(COUNTIFS(CI_Site,$B346,CI_Mat,$C346)=0,"⚠ No Current Inventory row for this site + material",IF($G346="","⚠ Status missing",IF(AND($G346="Scheduled",$A346&lt;=AsOfDate),"⚠ Scheduled date reached – mark Received or re-date",IF(AND($G346="Received",$A346&gt;AsOfDate),"Future-dated – added on its date",IF(AND($G346="Received",$A346&lt;SUMIFS(CI_Count,CI_Site,$B346,CI_Mat,$C346)),"Before count date – already in the count","OK"))))))))</f>
        <v/>
      </c>
    </row>
    <row r="347" customFormat="false" ht="15" hidden="false" customHeight="false" outlineLevel="0" collapsed="false">
      <c r="A347" s="65"/>
      <c r="B347" s="63"/>
      <c r="C347" s="70"/>
      <c r="D347" s="16" t="str">
        <f aca="false">IF($C347="","",IFERROR(INDEX(Mat_Short,MATCH($C347,Mat_Code,0)),"⚠ Unknown code"))</f>
        <v/>
      </c>
      <c r="E347" s="66"/>
      <c r="F347" s="64" t="str">
        <f aca="false">IF($C347="","",IFERROR(INDEX(Mat_Unit,MATCH($C347,Mat_Code,0)),""))</f>
        <v/>
      </c>
      <c r="G347" s="70"/>
      <c r="H347" s="63"/>
      <c r="I347" s="63"/>
      <c r="J347" s="63"/>
      <c r="K347" s="16" t="str">
        <f aca="false">IF(AND($A347="",$B347="",$C347="",$E347=""),"",IF($A347="","⚠ Date missing",IF(OR($B347="",$C347=""),"⚠ Site / material missing",IF(COUNTIFS(CI_Site,$B347,CI_Mat,$C347)=0,"⚠ No Current Inventory row for this site + material",IF($G347="","⚠ Status missing",IF(AND($G347="Scheduled",$A347&lt;=AsOfDate),"⚠ Scheduled date reached – mark Received or re-date",IF(AND($G347="Received",$A347&gt;AsOfDate),"Future-dated – added on its date",IF(AND($G347="Received",$A347&lt;SUMIFS(CI_Count,CI_Site,$B347,CI_Mat,$C347)),"Before count date – already in the count","OK"))))))))</f>
        <v/>
      </c>
    </row>
    <row r="348" customFormat="false" ht="15" hidden="false" customHeight="false" outlineLevel="0" collapsed="false">
      <c r="A348" s="65"/>
      <c r="B348" s="63"/>
      <c r="C348" s="70"/>
      <c r="D348" s="16" t="str">
        <f aca="false">IF($C348="","",IFERROR(INDEX(Mat_Short,MATCH($C348,Mat_Code,0)),"⚠ Unknown code"))</f>
        <v/>
      </c>
      <c r="E348" s="66"/>
      <c r="F348" s="64" t="str">
        <f aca="false">IF($C348="","",IFERROR(INDEX(Mat_Unit,MATCH($C348,Mat_Code,0)),""))</f>
        <v/>
      </c>
      <c r="G348" s="70"/>
      <c r="H348" s="63"/>
      <c r="I348" s="63"/>
      <c r="J348" s="63"/>
      <c r="K348" s="16" t="str">
        <f aca="false">IF(AND($A348="",$B348="",$C348="",$E348=""),"",IF($A348="","⚠ Date missing",IF(OR($B348="",$C348=""),"⚠ Site / material missing",IF(COUNTIFS(CI_Site,$B348,CI_Mat,$C348)=0,"⚠ No Current Inventory row for this site + material",IF($G348="","⚠ Status missing",IF(AND($G348="Scheduled",$A348&lt;=AsOfDate),"⚠ Scheduled date reached – mark Received or re-date",IF(AND($G348="Received",$A348&gt;AsOfDate),"Future-dated – added on its date",IF(AND($G348="Received",$A348&lt;SUMIFS(CI_Count,CI_Site,$B348,CI_Mat,$C348)),"Before count date – already in the count","OK"))))))))</f>
        <v/>
      </c>
    </row>
    <row r="349" customFormat="false" ht="15" hidden="false" customHeight="false" outlineLevel="0" collapsed="false">
      <c r="A349" s="65"/>
      <c r="B349" s="63"/>
      <c r="C349" s="70"/>
      <c r="D349" s="16" t="str">
        <f aca="false">IF($C349="","",IFERROR(INDEX(Mat_Short,MATCH($C349,Mat_Code,0)),"⚠ Unknown code"))</f>
        <v/>
      </c>
      <c r="E349" s="66"/>
      <c r="F349" s="64" t="str">
        <f aca="false">IF($C349="","",IFERROR(INDEX(Mat_Unit,MATCH($C349,Mat_Code,0)),""))</f>
        <v/>
      </c>
      <c r="G349" s="70"/>
      <c r="H349" s="63"/>
      <c r="I349" s="63"/>
      <c r="J349" s="63"/>
      <c r="K349" s="16" t="str">
        <f aca="false">IF(AND($A349="",$B349="",$C349="",$E349=""),"",IF($A349="","⚠ Date missing",IF(OR($B349="",$C349=""),"⚠ Site / material missing",IF(COUNTIFS(CI_Site,$B349,CI_Mat,$C349)=0,"⚠ No Current Inventory row for this site + material",IF($G349="","⚠ Status missing",IF(AND($G349="Scheduled",$A349&lt;=AsOfDate),"⚠ Scheduled date reached – mark Received or re-date",IF(AND($G349="Received",$A349&gt;AsOfDate),"Future-dated – added on its date",IF(AND($G349="Received",$A349&lt;SUMIFS(CI_Count,CI_Site,$B349,CI_Mat,$C349)),"Before count date – already in the count","OK"))))))))</f>
        <v/>
      </c>
    </row>
    <row r="350" customFormat="false" ht="15" hidden="false" customHeight="false" outlineLevel="0" collapsed="false">
      <c r="A350" s="65"/>
      <c r="B350" s="63"/>
      <c r="C350" s="70"/>
      <c r="D350" s="16" t="str">
        <f aca="false">IF($C350="","",IFERROR(INDEX(Mat_Short,MATCH($C350,Mat_Code,0)),"⚠ Unknown code"))</f>
        <v/>
      </c>
      <c r="E350" s="66"/>
      <c r="F350" s="64" t="str">
        <f aca="false">IF($C350="","",IFERROR(INDEX(Mat_Unit,MATCH($C350,Mat_Code,0)),""))</f>
        <v/>
      </c>
      <c r="G350" s="70"/>
      <c r="H350" s="63"/>
      <c r="I350" s="63"/>
      <c r="J350" s="63"/>
      <c r="K350" s="16" t="str">
        <f aca="false">IF(AND($A350="",$B350="",$C350="",$E350=""),"",IF($A350="","⚠ Date missing",IF(OR($B350="",$C350=""),"⚠ Site / material missing",IF(COUNTIFS(CI_Site,$B350,CI_Mat,$C350)=0,"⚠ No Current Inventory row for this site + material",IF($G350="","⚠ Status missing",IF(AND($G350="Scheduled",$A350&lt;=AsOfDate),"⚠ Scheduled date reached – mark Received or re-date",IF(AND($G350="Received",$A350&gt;AsOfDate),"Future-dated – added on its date",IF(AND($G350="Received",$A350&lt;SUMIFS(CI_Count,CI_Site,$B350,CI_Mat,$C350)),"Before count date – already in the count","OK"))))))))</f>
        <v/>
      </c>
    </row>
    <row r="351" customFormat="false" ht="15" hidden="false" customHeight="false" outlineLevel="0" collapsed="false">
      <c r="A351" s="65"/>
      <c r="B351" s="63"/>
      <c r="C351" s="70"/>
      <c r="D351" s="16" t="str">
        <f aca="false">IF($C351="","",IFERROR(INDEX(Mat_Short,MATCH($C351,Mat_Code,0)),"⚠ Unknown code"))</f>
        <v/>
      </c>
      <c r="E351" s="66"/>
      <c r="F351" s="64" t="str">
        <f aca="false">IF($C351="","",IFERROR(INDEX(Mat_Unit,MATCH($C351,Mat_Code,0)),""))</f>
        <v/>
      </c>
      <c r="G351" s="70"/>
      <c r="H351" s="63"/>
      <c r="I351" s="63"/>
      <c r="J351" s="63"/>
      <c r="K351" s="16" t="str">
        <f aca="false">IF(AND($A351="",$B351="",$C351="",$E351=""),"",IF($A351="","⚠ Date missing",IF(OR($B351="",$C351=""),"⚠ Site / material missing",IF(COUNTIFS(CI_Site,$B351,CI_Mat,$C351)=0,"⚠ No Current Inventory row for this site + material",IF($G351="","⚠ Status missing",IF(AND($G351="Scheduled",$A351&lt;=AsOfDate),"⚠ Scheduled date reached – mark Received or re-date",IF(AND($G351="Received",$A351&gt;AsOfDate),"Future-dated – added on its date",IF(AND($G351="Received",$A351&lt;SUMIFS(CI_Count,CI_Site,$B351,CI_Mat,$C351)),"Before count date – already in the count","OK"))))))))</f>
        <v/>
      </c>
    </row>
    <row r="352" customFormat="false" ht="15" hidden="false" customHeight="false" outlineLevel="0" collapsed="false">
      <c r="A352" s="65"/>
      <c r="B352" s="63"/>
      <c r="C352" s="70"/>
      <c r="D352" s="16" t="str">
        <f aca="false">IF($C352="","",IFERROR(INDEX(Mat_Short,MATCH($C352,Mat_Code,0)),"⚠ Unknown code"))</f>
        <v/>
      </c>
      <c r="E352" s="66"/>
      <c r="F352" s="64" t="str">
        <f aca="false">IF($C352="","",IFERROR(INDEX(Mat_Unit,MATCH($C352,Mat_Code,0)),""))</f>
        <v/>
      </c>
      <c r="G352" s="70"/>
      <c r="H352" s="63"/>
      <c r="I352" s="63"/>
      <c r="J352" s="63"/>
      <c r="K352" s="16" t="str">
        <f aca="false">IF(AND($A352="",$B352="",$C352="",$E352=""),"",IF($A352="","⚠ Date missing",IF(OR($B352="",$C352=""),"⚠ Site / material missing",IF(COUNTIFS(CI_Site,$B352,CI_Mat,$C352)=0,"⚠ No Current Inventory row for this site + material",IF($G352="","⚠ Status missing",IF(AND($G352="Scheduled",$A352&lt;=AsOfDate),"⚠ Scheduled date reached – mark Received or re-date",IF(AND($G352="Received",$A352&gt;AsOfDate),"Future-dated – added on its date",IF(AND($G352="Received",$A352&lt;SUMIFS(CI_Count,CI_Site,$B352,CI_Mat,$C352)),"Before count date – already in the count","OK"))))))))</f>
        <v/>
      </c>
    </row>
    <row r="353" customFormat="false" ht="15" hidden="false" customHeight="false" outlineLevel="0" collapsed="false">
      <c r="A353" s="65"/>
      <c r="B353" s="63"/>
      <c r="C353" s="70"/>
      <c r="D353" s="16" t="str">
        <f aca="false">IF($C353="","",IFERROR(INDEX(Mat_Short,MATCH($C353,Mat_Code,0)),"⚠ Unknown code"))</f>
        <v/>
      </c>
      <c r="E353" s="66"/>
      <c r="F353" s="64" t="str">
        <f aca="false">IF($C353="","",IFERROR(INDEX(Mat_Unit,MATCH($C353,Mat_Code,0)),""))</f>
        <v/>
      </c>
      <c r="G353" s="70"/>
      <c r="H353" s="63"/>
      <c r="I353" s="63"/>
      <c r="J353" s="63"/>
      <c r="K353" s="16" t="str">
        <f aca="false">IF(AND($A353="",$B353="",$C353="",$E353=""),"",IF($A353="","⚠ Date missing",IF(OR($B353="",$C353=""),"⚠ Site / material missing",IF(COUNTIFS(CI_Site,$B353,CI_Mat,$C353)=0,"⚠ No Current Inventory row for this site + material",IF($G353="","⚠ Status missing",IF(AND($G353="Scheduled",$A353&lt;=AsOfDate),"⚠ Scheduled date reached – mark Received or re-date",IF(AND($G353="Received",$A353&gt;AsOfDate),"Future-dated – added on its date",IF(AND($G353="Received",$A353&lt;SUMIFS(CI_Count,CI_Site,$B353,CI_Mat,$C353)),"Before count date – already in the count","OK"))))))))</f>
        <v/>
      </c>
    </row>
    <row r="354" customFormat="false" ht="15" hidden="false" customHeight="false" outlineLevel="0" collapsed="false">
      <c r="A354" s="65"/>
      <c r="B354" s="63"/>
      <c r="C354" s="70"/>
      <c r="D354" s="16" t="str">
        <f aca="false">IF($C354="","",IFERROR(INDEX(Mat_Short,MATCH($C354,Mat_Code,0)),"⚠ Unknown code"))</f>
        <v/>
      </c>
      <c r="E354" s="66"/>
      <c r="F354" s="64" t="str">
        <f aca="false">IF($C354="","",IFERROR(INDEX(Mat_Unit,MATCH($C354,Mat_Code,0)),""))</f>
        <v/>
      </c>
      <c r="G354" s="70"/>
      <c r="H354" s="63"/>
      <c r="I354" s="63"/>
      <c r="J354" s="63"/>
      <c r="K354" s="16" t="str">
        <f aca="false">IF(AND($A354="",$B354="",$C354="",$E354=""),"",IF($A354="","⚠ Date missing",IF(OR($B354="",$C354=""),"⚠ Site / material missing",IF(COUNTIFS(CI_Site,$B354,CI_Mat,$C354)=0,"⚠ No Current Inventory row for this site + material",IF($G354="","⚠ Status missing",IF(AND($G354="Scheduled",$A354&lt;=AsOfDate),"⚠ Scheduled date reached – mark Received or re-date",IF(AND($G354="Received",$A354&gt;AsOfDate),"Future-dated – added on its date",IF(AND($G354="Received",$A354&lt;SUMIFS(CI_Count,CI_Site,$B354,CI_Mat,$C354)),"Before count date – already in the count","OK"))))))))</f>
        <v/>
      </c>
    </row>
    <row r="355" customFormat="false" ht="15" hidden="false" customHeight="false" outlineLevel="0" collapsed="false">
      <c r="A355" s="65"/>
      <c r="B355" s="63"/>
      <c r="C355" s="70"/>
      <c r="D355" s="16" t="str">
        <f aca="false">IF($C355="","",IFERROR(INDEX(Mat_Short,MATCH($C355,Mat_Code,0)),"⚠ Unknown code"))</f>
        <v/>
      </c>
      <c r="E355" s="66"/>
      <c r="F355" s="64" t="str">
        <f aca="false">IF($C355="","",IFERROR(INDEX(Mat_Unit,MATCH($C355,Mat_Code,0)),""))</f>
        <v/>
      </c>
      <c r="G355" s="70"/>
      <c r="H355" s="63"/>
      <c r="I355" s="63"/>
      <c r="J355" s="63"/>
      <c r="K355" s="16" t="str">
        <f aca="false">IF(AND($A355="",$B355="",$C355="",$E355=""),"",IF($A355="","⚠ Date missing",IF(OR($B355="",$C355=""),"⚠ Site / material missing",IF(COUNTIFS(CI_Site,$B355,CI_Mat,$C355)=0,"⚠ No Current Inventory row for this site + material",IF($G355="","⚠ Status missing",IF(AND($G355="Scheduled",$A355&lt;=AsOfDate),"⚠ Scheduled date reached – mark Received or re-date",IF(AND($G355="Received",$A355&gt;AsOfDate),"Future-dated – added on its date",IF(AND($G355="Received",$A355&lt;SUMIFS(CI_Count,CI_Site,$B355,CI_Mat,$C355)),"Before count date – already in the count","OK"))))))))</f>
        <v/>
      </c>
    </row>
    <row r="356" customFormat="false" ht="15" hidden="false" customHeight="false" outlineLevel="0" collapsed="false">
      <c r="A356" s="65"/>
      <c r="B356" s="63"/>
      <c r="C356" s="70"/>
      <c r="D356" s="16" t="str">
        <f aca="false">IF($C356="","",IFERROR(INDEX(Mat_Short,MATCH($C356,Mat_Code,0)),"⚠ Unknown code"))</f>
        <v/>
      </c>
      <c r="E356" s="66"/>
      <c r="F356" s="64" t="str">
        <f aca="false">IF($C356="","",IFERROR(INDEX(Mat_Unit,MATCH($C356,Mat_Code,0)),""))</f>
        <v/>
      </c>
      <c r="G356" s="70"/>
      <c r="H356" s="63"/>
      <c r="I356" s="63"/>
      <c r="J356" s="63"/>
      <c r="K356" s="16" t="str">
        <f aca="false">IF(AND($A356="",$B356="",$C356="",$E356=""),"",IF($A356="","⚠ Date missing",IF(OR($B356="",$C356=""),"⚠ Site / material missing",IF(COUNTIFS(CI_Site,$B356,CI_Mat,$C356)=0,"⚠ No Current Inventory row for this site + material",IF($G356="","⚠ Status missing",IF(AND($G356="Scheduled",$A356&lt;=AsOfDate),"⚠ Scheduled date reached – mark Received or re-date",IF(AND($G356="Received",$A356&gt;AsOfDate),"Future-dated – added on its date",IF(AND($G356="Received",$A356&lt;SUMIFS(CI_Count,CI_Site,$B356,CI_Mat,$C356)),"Before count date – already in the count","OK"))))))))</f>
        <v/>
      </c>
    </row>
    <row r="357" customFormat="false" ht="15" hidden="false" customHeight="false" outlineLevel="0" collapsed="false">
      <c r="A357" s="65"/>
      <c r="B357" s="63"/>
      <c r="C357" s="70"/>
      <c r="D357" s="16" t="str">
        <f aca="false">IF($C357="","",IFERROR(INDEX(Mat_Short,MATCH($C357,Mat_Code,0)),"⚠ Unknown code"))</f>
        <v/>
      </c>
      <c r="E357" s="66"/>
      <c r="F357" s="64" t="str">
        <f aca="false">IF($C357="","",IFERROR(INDEX(Mat_Unit,MATCH($C357,Mat_Code,0)),""))</f>
        <v/>
      </c>
      <c r="G357" s="70"/>
      <c r="H357" s="63"/>
      <c r="I357" s="63"/>
      <c r="J357" s="63"/>
      <c r="K357" s="16" t="str">
        <f aca="false">IF(AND($A357="",$B357="",$C357="",$E357=""),"",IF($A357="","⚠ Date missing",IF(OR($B357="",$C357=""),"⚠ Site / material missing",IF(COUNTIFS(CI_Site,$B357,CI_Mat,$C357)=0,"⚠ No Current Inventory row for this site + material",IF($G357="","⚠ Status missing",IF(AND($G357="Scheduled",$A357&lt;=AsOfDate),"⚠ Scheduled date reached – mark Received or re-date",IF(AND($G357="Received",$A357&gt;AsOfDate),"Future-dated – added on its date",IF(AND($G357="Received",$A357&lt;SUMIFS(CI_Count,CI_Site,$B357,CI_Mat,$C357)),"Before count date – already in the count","OK"))))))))</f>
        <v/>
      </c>
    </row>
    <row r="358" customFormat="false" ht="15" hidden="false" customHeight="false" outlineLevel="0" collapsed="false">
      <c r="A358" s="65"/>
      <c r="B358" s="63"/>
      <c r="C358" s="70"/>
      <c r="D358" s="16" t="str">
        <f aca="false">IF($C358="","",IFERROR(INDEX(Mat_Short,MATCH($C358,Mat_Code,0)),"⚠ Unknown code"))</f>
        <v/>
      </c>
      <c r="E358" s="66"/>
      <c r="F358" s="64" t="str">
        <f aca="false">IF($C358="","",IFERROR(INDEX(Mat_Unit,MATCH($C358,Mat_Code,0)),""))</f>
        <v/>
      </c>
      <c r="G358" s="70"/>
      <c r="H358" s="63"/>
      <c r="I358" s="63"/>
      <c r="J358" s="63"/>
      <c r="K358" s="16" t="str">
        <f aca="false">IF(AND($A358="",$B358="",$C358="",$E358=""),"",IF($A358="","⚠ Date missing",IF(OR($B358="",$C358=""),"⚠ Site / material missing",IF(COUNTIFS(CI_Site,$B358,CI_Mat,$C358)=0,"⚠ No Current Inventory row for this site + material",IF($G358="","⚠ Status missing",IF(AND($G358="Scheduled",$A358&lt;=AsOfDate),"⚠ Scheduled date reached – mark Received or re-date",IF(AND($G358="Received",$A358&gt;AsOfDate),"Future-dated – added on its date",IF(AND($G358="Received",$A358&lt;SUMIFS(CI_Count,CI_Site,$B358,CI_Mat,$C358)),"Before count date – already in the count","OK"))))))))</f>
        <v/>
      </c>
    </row>
    <row r="359" customFormat="false" ht="15" hidden="false" customHeight="false" outlineLevel="0" collapsed="false">
      <c r="A359" s="65"/>
      <c r="B359" s="63"/>
      <c r="C359" s="70"/>
      <c r="D359" s="16" t="str">
        <f aca="false">IF($C359="","",IFERROR(INDEX(Mat_Short,MATCH($C359,Mat_Code,0)),"⚠ Unknown code"))</f>
        <v/>
      </c>
      <c r="E359" s="66"/>
      <c r="F359" s="64" t="str">
        <f aca="false">IF($C359="","",IFERROR(INDEX(Mat_Unit,MATCH($C359,Mat_Code,0)),""))</f>
        <v/>
      </c>
      <c r="G359" s="70"/>
      <c r="H359" s="63"/>
      <c r="I359" s="63"/>
      <c r="J359" s="63"/>
      <c r="K359" s="16" t="str">
        <f aca="false">IF(AND($A359="",$B359="",$C359="",$E359=""),"",IF($A359="","⚠ Date missing",IF(OR($B359="",$C359=""),"⚠ Site / material missing",IF(COUNTIFS(CI_Site,$B359,CI_Mat,$C359)=0,"⚠ No Current Inventory row for this site + material",IF($G359="","⚠ Status missing",IF(AND($G359="Scheduled",$A359&lt;=AsOfDate),"⚠ Scheduled date reached – mark Received or re-date",IF(AND($G359="Received",$A359&gt;AsOfDate),"Future-dated – added on its date",IF(AND($G359="Received",$A359&lt;SUMIFS(CI_Count,CI_Site,$B359,CI_Mat,$C359)),"Before count date – already in the count","OK"))))))))</f>
        <v/>
      </c>
    </row>
    <row r="360" customFormat="false" ht="15" hidden="false" customHeight="false" outlineLevel="0" collapsed="false">
      <c r="A360" s="65"/>
      <c r="B360" s="63"/>
      <c r="C360" s="70"/>
      <c r="D360" s="16" t="str">
        <f aca="false">IF($C360="","",IFERROR(INDEX(Mat_Short,MATCH($C360,Mat_Code,0)),"⚠ Unknown code"))</f>
        <v/>
      </c>
      <c r="E360" s="66"/>
      <c r="F360" s="64" t="str">
        <f aca="false">IF($C360="","",IFERROR(INDEX(Mat_Unit,MATCH($C360,Mat_Code,0)),""))</f>
        <v/>
      </c>
      <c r="G360" s="70"/>
      <c r="H360" s="63"/>
      <c r="I360" s="63"/>
      <c r="J360" s="63"/>
      <c r="K360" s="16" t="str">
        <f aca="false">IF(AND($A360="",$B360="",$C360="",$E360=""),"",IF($A360="","⚠ Date missing",IF(OR($B360="",$C360=""),"⚠ Site / material missing",IF(COUNTIFS(CI_Site,$B360,CI_Mat,$C360)=0,"⚠ No Current Inventory row for this site + material",IF($G360="","⚠ Status missing",IF(AND($G360="Scheduled",$A360&lt;=AsOfDate),"⚠ Scheduled date reached – mark Received or re-date",IF(AND($G360="Received",$A360&gt;AsOfDate),"Future-dated – added on its date",IF(AND($G360="Received",$A360&lt;SUMIFS(CI_Count,CI_Site,$B360,CI_Mat,$C360)),"Before count date – already in the count","OK"))))))))</f>
        <v/>
      </c>
    </row>
    <row r="361" customFormat="false" ht="15" hidden="false" customHeight="false" outlineLevel="0" collapsed="false">
      <c r="A361" s="65"/>
      <c r="B361" s="63"/>
      <c r="C361" s="70"/>
      <c r="D361" s="16" t="str">
        <f aca="false">IF($C361="","",IFERROR(INDEX(Mat_Short,MATCH($C361,Mat_Code,0)),"⚠ Unknown code"))</f>
        <v/>
      </c>
      <c r="E361" s="66"/>
      <c r="F361" s="64" t="str">
        <f aca="false">IF($C361="","",IFERROR(INDEX(Mat_Unit,MATCH($C361,Mat_Code,0)),""))</f>
        <v/>
      </c>
      <c r="G361" s="70"/>
      <c r="H361" s="63"/>
      <c r="I361" s="63"/>
      <c r="J361" s="63"/>
      <c r="K361" s="16" t="str">
        <f aca="false">IF(AND($A361="",$B361="",$C361="",$E361=""),"",IF($A361="","⚠ Date missing",IF(OR($B361="",$C361=""),"⚠ Site / material missing",IF(COUNTIFS(CI_Site,$B361,CI_Mat,$C361)=0,"⚠ No Current Inventory row for this site + material",IF($G361="","⚠ Status missing",IF(AND($G361="Scheduled",$A361&lt;=AsOfDate),"⚠ Scheduled date reached – mark Received or re-date",IF(AND($G361="Received",$A361&gt;AsOfDate),"Future-dated – added on its date",IF(AND($G361="Received",$A361&lt;SUMIFS(CI_Count,CI_Site,$B361,CI_Mat,$C361)),"Before count date – already in the count","OK"))))))))</f>
        <v/>
      </c>
    </row>
    <row r="362" customFormat="false" ht="15" hidden="false" customHeight="false" outlineLevel="0" collapsed="false">
      <c r="A362" s="65"/>
      <c r="B362" s="63"/>
      <c r="C362" s="70"/>
      <c r="D362" s="16" t="str">
        <f aca="false">IF($C362="","",IFERROR(INDEX(Mat_Short,MATCH($C362,Mat_Code,0)),"⚠ Unknown code"))</f>
        <v/>
      </c>
      <c r="E362" s="66"/>
      <c r="F362" s="64" t="str">
        <f aca="false">IF($C362="","",IFERROR(INDEX(Mat_Unit,MATCH($C362,Mat_Code,0)),""))</f>
        <v/>
      </c>
      <c r="G362" s="70"/>
      <c r="H362" s="63"/>
      <c r="I362" s="63"/>
      <c r="J362" s="63"/>
      <c r="K362" s="16" t="str">
        <f aca="false">IF(AND($A362="",$B362="",$C362="",$E362=""),"",IF($A362="","⚠ Date missing",IF(OR($B362="",$C362=""),"⚠ Site / material missing",IF(COUNTIFS(CI_Site,$B362,CI_Mat,$C362)=0,"⚠ No Current Inventory row for this site + material",IF($G362="","⚠ Status missing",IF(AND($G362="Scheduled",$A362&lt;=AsOfDate),"⚠ Scheduled date reached – mark Received or re-date",IF(AND($G362="Received",$A362&gt;AsOfDate),"Future-dated – added on its date",IF(AND($G362="Received",$A362&lt;SUMIFS(CI_Count,CI_Site,$B362,CI_Mat,$C362)),"Before count date – already in the count","OK"))))))))</f>
        <v/>
      </c>
    </row>
    <row r="363" customFormat="false" ht="15" hidden="false" customHeight="false" outlineLevel="0" collapsed="false">
      <c r="A363" s="65"/>
      <c r="B363" s="63"/>
      <c r="C363" s="70"/>
      <c r="D363" s="16" t="str">
        <f aca="false">IF($C363="","",IFERROR(INDEX(Mat_Short,MATCH($C363,Mat_Code,0)),"⚠ Unknown code"))</f>
        <v/>
      </c>
      <c r="E363" s="66"/>
      <c r="F363" s="64" t="str">
        <f aca="false">IF($C363="","",IFERROR(INDEX(Mat_Unit,MATCH($C363,Mat_Code,0)),""))</f>
        <v/>
      </c>
      <c r="G363" s="70"/>
      <c r="H363" s="63"/>
      <c r="I363" s="63"/>
      <c r="J363" s="63"/>
      <c r="K363" s="16" t="str">
        <f aca="false">IF(AND($A363="",$B363="",$C363="",$E363=""),"",IF($A363="","⚠ Date missing",IF(OR($B363="",$C363=""),"⚠ Site / material missing",IF(COUNTIFS(CI_Site,$B363,CI_Mat,$C363)=0,"⚠ No Current Inventory row for this site + material",IF($G363="","⚠ Status missing",IF(AND($G363="Scheduled",$A363&lt;=AsOfDate),"⚠ Scheduled date reached – mark Received or re-date",IF(AND($G363="Received",$A363&gt;AsOfDate),"Future-dated – added on its date",IF(AND($G363="Received",$A363&lt;SUMIFS(CI_Count,CI_Site,$B363,CI_Mat,$C363)),"Before count date – already in the count","OK"))))))))</f>
        <v/>
      </c>
    </row>
    <row r="364" customFormat="false" ht="15" hidden="false" customHeight="false" outlineLevel="0" collapsed="false">
      <c r="A364" s="65"/>
      <c r="B364" s="63"/>
      <c r="C364" s="70"/>
      <c r="D364" s="16" t="str">
        <f aca="false">IF($C364="","",IFERROR(INDEX(Mat_Short,MATCH($C364,Mat_Code,0)),"⚠ Unknown code"))</f>
        <v/>
      </c>
      <c r="E364" s="66"/>
      <c r="F364" s="64" t="str">
        <f aca="false">IF($C364="","",IFERROR(INDEX(Mat_Unit,MATCH($C364,Mat_Code,0)),""))</f>
        <v/>
      </c>
      <c r="G364" s="70"/>
      <c r="H364" s="63"/>
      <c r="I364" s="63"/>
      <c r="J364" s="63"/>
      <c r="K364" s="16" t="str">
        <f aca="false">IF(AND($A364="",$B364="",$C364="",$E364=""),"",IF($A364="","⚠ Date missing",IF(OR($B364="",$C364=""),"⚠ Site / material missing",IF(COUNTIFS(CI_Site,$B364,CI_Mat,$C364)=0,"⚠ No Current Inventory row for this site + material",IF($G364="","⚠ Status missing",IF(AND($G364="Scheduled",$A364&lt;=AsOfDate),"⚠ Scheduled date reached – mark Received or re-date",IF(AND($G364="Received",$A364&gt;AsOfDate),"Future-dated – added on its date",IF(AND($G364="Received",$A364&lt;SUMIFS(CI_Count,CI_Site,$B364,CI_Mat,$C364)),"Before count date – already in the count","OK"))))))))</f>
        <v/>
      </c>
    </row>
    <row r="365" customFormat="false" ht="15" hidden="false" customHeight="false" outlineLevel="0" collapsed="false">
      <c r="A365" s="65"/>
      <c r="B365" s="63"/>
      <c r="C365" s="70"/>
      <c r="D365" s="16" t="str">
        <f aca="false">IF($C365="","",IFERROR(INDEX(Mat_Short,MATCH($C365,Mat_Code,0)),"⚠ Unknown code"))</f>
        <v/>
      </c>
      <c r="E365" s="66"/>
      <c r="F365" s="64" t="str">
        <f aca="false">IF($C365="","",IFERROR(INDEX(Mat_Unit,MATCH($C365,Mat_Code,0)),""))</f>
        <v/>
      </c>
      <c r="G365" s="70"/>
      <c r="H365" s="63"/>
      <c r="I365" s="63"/>
      <c r="J365" s="63"/>
      <c r="K365" s="16" t="str">
        <f aca="false">IF(AND($A365="",$B365="",$C365="",$E365=""),"",IF($A365="","⚠ Date missing",IF(OR($B365="",$C365=""),"⚠ Site / material missing",IF(COUNTIFS(CI_Site,$B365,CI_Mat,$C365)=0,"⚠ No Current Inventory row for this site + material",IF($G365="","⚠ Status missing",IF(AND($G365="Scheduled",$A365&lt;=AsOfDate),"⚠ Scheduled date reached – mark Received or re-date",IF(AND($G365="Received",$A365&gt;AsOfDate),"Future-dated – added on its date",IF(AND($G365="Received",$A365&lt;SUMIFS(CI_Count,CI_Site,$B365,CI_Mat,$C365)),"Before count date – already in the count","OK"))))))))</f>
        <v/>
      </c>
    </row>
    <row r="366" customFormat="false" ht="15" hidden="false" customHeight="false" outlineLevel="0" collapsed="false">
      <c r="A366" s="65"/>
      <c r="B366" s="63"/>
      <c r="C366" s="70"/>
      <c r="D366" s="16" t="str">
        <f aca="false">IF($C366="","",IFERROR(INDEX(Mat_Short,MATCH($C366,Mat_Code,0)),"⚠ Unknown code"))</f>
        <v/>
      </c>
      <c r="E366" s="66"/>
      <c r="F366" s="64" t="str">
        <f aca="false">IF($C366="","",IFERROR(INDEX(Mat_Unit,MATCH($C366,Mat_Code,0)),""))</f>
        <v/>
      </c>
      <c r="G366" s="70"/>
      <c r="H366" s="63"/>
      <c r="I366" s="63"/>
      <c r="J366" s="63"/>
      <c r="K366" s="16" t="str">
        <f aca="false">IF(AND($A366="",$B366="",$C366="",$E366=""),"",IF($A366="","⚠ Date missing",IF(OR($B366="",$C366=""),"⚠ Site / material missing",IF(COUNTIFS(CI_Site,$B366,CI_Mat,$C366)=0,"⚠ No Current Inventory row for this site + material",IF($G366="","⚠ Status missing",IF(AND($G366="Scheduled",$A366&lt;=AsOfDate),"⚠ Scheduled date reached – mark Received or re-date",IF(AND($G366="Received",$A366&gt;AsOfDate),"Future-dated – added on its date",IF(AND($G366="Received",$A366&lt;SUMIFS(CI_Count,CI_Site,$B366,CI_Mat,$C366)),"Before count date – already in the count","OK"))))))))</f>
        <v/>
      </c>
    </row>
    <row r="367" customFormat="false" ht="15" hidden="false" customHeight="false" outlineLevel="0" collapsed="false">
      <c r="A367" s="65"/>
      <c r="B367" s="63"/>
      <c r="C367" s="70"/>
      <c r="D367" s="16" t="str">
        <f aca="false">IF($C367="","",IFERROR(INDEX(Mat_Short,MATCH($C367,Mat_Code,0)),"⚠ Unknown code"))</f>
        <v/>
      </c>
      <c r="E367" s="66"/>
      <c r="F367" s="64" t="str">
        <f aca="false">IF($C367="","",IFERROR(INDEX(Mat_Unit,MATCH($C367,Mat_Code,0)),""))</f>
        <v/>
      </c>
      <c r="G367" s="70"/>
      <c r="H367" s="63"/>
      <c r="I367" s="63"/>
      <c r="J367" s="63"/>
      <c r="K367" s="16" t="str">
        <f aca="false">IF(AND($A367="",$B367="",$C367="",$E367=""),"",IF($A367="","⚠ Date missing",IF(OR($B367="",$C367=""),"⚠ Site / material missing",IF(COUNTIFS(CI_Site,$B367,CI_Mat,$C367)=0,"⚠ No Current Inventory row for this site + material",IF($G367="","⚠ Status missing",IF(AND($G367="Scheduled",$A367&lt;=AsOfDate),"⚠ Scheduled date reached – mark Received or re-date",IF(AND($G367="Received",$A367&gt;AsOfDate),"Future-dated – added on its date",IF(AND($G367="Received",$A367&lt;SUMIFS(CI_Count,CI_Site,$B367,CI_Mat,$C367)),"Before count date – already in the count","OK"))))))))</f>
        <v/>
      </c>
    </row>
    <row r="368" customFormat="false" ht="15" hidden="false" customHeight="false" outlineLevel="0" collapsed="false">
      <c r="A368" s="65"/>
      <c r="B368" s="63"/>
      <c r="C368" s="70"/>
      <c r="D368" s="16" t="str">
        <f aca="false">IF($C368="","",IFERROR(INDEX(Mat_Short,MATCH($C368,Mat_Code,0)),"⚠ Unknown code"))</f>
        <v/>
      </c>
      <c r="E368" s="66"/>
      <c r="F368" s="64" t="str">
        <f aca="false">IF($C368="","",IFERROR(INDEX(Mat_Unit,MATCH($C368,Mat_Code,0)),""))</f>
        <v/>
      </c>
      <c r="G368" s="70"/>
      <c r="H368" s="63"/>
      <c r="I368" s="63"/>
      <c r="J368" s="63"/>
      <c r="K368" s="16" t="str">
        <f aca="false">IF(AND($A368="",$B368="",$C368="",$E368=""),"",IF($A368="","⚠ Date missing",IF(OR($B368="",$C368=""),"⚠ Site / material missing",IF(COUNTIFS(CI_Site,$B368,CI_Mat,$C368)=0,"⚠ No Current Inventory row for this site + material",IF($G368="","⚠ Status missing",IF(AND($G368="Scheduled",$A368&lt;=AsOfDate),"⚠ Scheduled date reached – mark Received or re-date",IF(AND($G368="Received",$A368&gt;AsOfDate),"Future-dated – added on its date",IF(AND($G368="Received",$A368&lt;SUMIFS(CI_Count,CI_Site,$B368,CI_Mat,$C368)),"Before count date – already in the count","OK"))))))))</f>
        <v/>
      </c>
    </row>
    <row r="369" customFormat="false" ht="15" hidden="false" customHeight="false" outlineLevel="0" collapsed="false">
      <c r="A369" s="65"/>
      <c r="B369" s="63"/>
      <c r="C369" s="70"/>
      <c r="D369" s="16" t="str">
        <f aca="false">IF($C369="","",IFERROR(INDEX(Mat_Short,MATCH($C369,Mat_Code,0)),"⚠ Unknown code"))</f>
        <v/>
      </c>
      <c r="E369" s="66"/>
      <c r="F369" s="64" t="str">
        <f aca="false">IF($C369="","",IFERROR(INDEX(Mat_Unit,MATCH($C369,Mat_Code,0)),""))</f>
        <v/>
      </c>
      <c r="G369" s="70"/>
      <c r="H369" s="63"/>
      <c r="I369" s="63"/>
      <c r="J369" s="63"/>
      <c r="K369" s="16" t="str">
        <f aca="false">IF(AND($A369="",$B369="",$C369="",$E369=""),"",IF($A369="","⚠ Date missing",IF(OR($B369="",$C369=""),"⚠ Site / material missing",IF(COUNTIFS(CI_Site,$B369,CI_Mat,$C369)=0,"⚠ No Current Inventory row for this site + material",IF($G369="","⚠ Status missing",IF(AND($G369="Scheduled",$A369&lt;=AsOfDate),"⚠ Scheduled date reached – mark Received or re-date",IF(AND($G369="Received",$A369&gt;AsOfDate),"Future-dated – added on its date",IF(AND($G369="Received",$A369&lt;SUMIFS(CI_Count,CI_Site,$B369,CI_Mat,$C369)),"Before count date – already in the count","OK"))))))))</f>
        <v/>
      </c>
    </row>
    <row r="370" customFormat="false" ht="15" hidden="false" customHeight="false" outlineLevel="0" collapsed="false">
      <c r="A370" s="65"/>
      <c r="B370" s="63"/>
      <c r="C370" s="70"/>
      <c r="D370" s="16" t="str">
        <f aca="false">IF($C370="","",IFERROR(INDEX(Mat_Short,MATCH($C370,Mat_Code,0)),"⚠ Unknown code"))</f>
        <v/>
      </c>
      <c r="E370" s="66"/>
      <c r="F370" s="64" t="str">
        <f aca="false">IF($C370="","",IFERROR(INDEX(Mat_Unit,MATCH($C370,Mat_Code,0)),""))</f>
        <v/>
      </c>
      <c r="G370" s="70"/>
      <c r="H370" s="63"/>
      <c r="I370" s="63"/>
      <c r="J370" s="63"/>
      <c r="K370" s="16" t="str">
        <f aca="false">IF(AND($A370="",$B370="",$C370="",$E370=""),"",IF($A370="","⚠ Date missing",IF(OR($B370="",$C370=""),"⚠ Site / material missing",IF(COUNTIFS(CI_Site,$B370,CI_Mat,$C370)=0,"⚠ No Current Inventory row for this site + material",IF($G370="","⚠ Status missing",IF(AND($G370="Scheduled",$A370&lt;=AsOfDate),"⚠ Scheduled date reached – mark Received or re-date",IF(AND($G370="Received",$A370&gt;AsOfDate),"Future-dated – added on its date",IF(AND($G370="Received",$A370&lt;SUMIFS(CI_Count,CI_Site,$B370,CI_Mat,$C370)),"Before count date – already in the count","OK"))))))))</f>
        <v/>
      </c>
    </row>
    <row r="371" customFormat="false" ht="15" hidden="false" customHeight="false" outlineLevel="0" collapsed="false">
      <c r="A371" s="65"/>
      <c r="B371" s="63"/>
      <c r="C371" s="70"/>
      <c r="D371" s="16" t="str">
        <f aca="false">IF($C371="","",IFERROR(INDEX(Mat_Short,MATCH($C371,Mat_Code,0)),"⚠ Unknown code"))</f>
        <v/>
      </c>
      <c r="E371" s="66"/>
      <c r="F371" s="64" t="str">
        <f aca="false">IF($C371="","",IFERROR(INDEX(Mat_Unit,MATCH($C371,Mat_Code,0)),""))</f>
        <v/>
      </c>
      <c r="G371" s="70"/>
      <c r="H371" s="63"/>
      <c r="I371" s="63"/>
      <c r="J371" s="63"/>
      <c r="K371" s="16" t="str">
        <f aca="false">IF(AND($A371="",$B371="",$C371="",$E371=""),"",IF($A371="","⚠ Date missing",IF(OR($B371="",$C371=""),"⚠ Site / material missing",IF(COUNTIFS(CI_Site,$B371,CI_Mat,$C371)=0,"⚠ No Current Inventory row for this site + material",IF($G371="","⚠ Status missing",IF(AND($G371="Scheduled",$A371&lt;=AsOfDate),"⚠ Scheduled date reached – mark Received or re-date",IF(AND($G371="Received",$A371&gt;AsOfDate),"Future-dated – added on its date",IF(AND($G371="Received",$A371&lt;SUMIFS(CI_Count,CI_Site,$B371,CI_Mat,$C371)),"Before count date – already in the count","OK"))))))))</f>
        <v/>
      </c>
    </row>
    <row r="372" customFormat="false" ht="15" hidden="false" customHeight="false" outlineLevel="0" collapsed="false">
      <c r="A372" s="65"/>
      <c r="B372" s="63"/>
      <c r="C372" s="70"/>
      <c r="D372" s="16" t="str">
        <f aca="false">IF($C372="","",IFERROR(INDEX(Mat_Short,MATCH($C372,Mat_Code,0)),"⚠ Unknown code"))</f>
        <v/>
      </c>
      <c r="E372" s="66"/>
      <c r="F372" s="64" t="str">
        <f aca="false">IF($C372="","",IFERROR(INDEX(Mat_Unit,MATCH($C372,Mat_Code,0)),""))</f>
        <v/>
      </c>
      <c r="G372" s="70"/>
      <c r="H372" s="63"/>
      <c r="I372" s="63"/>
      <c r="J372" s="63"/>
      <c r="K372" s="16" t="str">
        <f aca="false">IF(AND($A372="",$B372="",$C372="",$E372=""),"",IF($A372="","⚠ Date missing",IF(OR($B372="",$C372=""),"⚠ Site / material missing",IF(COUNTIFS(CI_Site,$B372,CI_Mat,$C372)=0,"⚠ No Current Inventory row for this site + material",IF($G372="","⚠ Status missing",IF(AND($G372="Scheduled",$A372&lt;=AsOfDate),"⚠ Scheduled date reached – mark Received or re-date",IF(AND($G372="Received",$A372&gt;AsOfDate),"Future-dated – added on its date",IF(AND($G372="Received",$A372&lt;SUMIFS(CI_Count,CI_Site,$B372,CI_Mat,$C372)),"Before count date – already in the count","OK"))))))))</f>
        <v/>
      </c>
    </row>
    <row r="373" customFormat="false" ht="15" hidden="false" customHeight="false" outlineLevel="0" collapsed="false">
      <c r="A373" s="65"/>
      <c r="B373" s="63"/>
      <c r="C373" s="70"/>
      <c r="D373" s="16" t="str">
        <f aca="false">IF($C373="","",IFERROR(INDEX(Mat_Short,MATCH($C373,Mat_Code,0)),"⚠ Unknown code"))</f>
        <v/>
      </c>
      <c r="E373" s="66"/>
      <c r="F373" s="64" t="str">
        <f aca="false">IF($C373="","",IFERROR(INDEX(Mat_Unit,MATCH($C373,Mat_Code,0)),""))</f>
        <v/>
      </c>
      <c r="G373" s="70"/>
      <c r="H373" s="63"/>
      <c r="I373" s="63"/>
      <c r="J373" s="63"/>
      <c r="K373" s="16" t="str">
        <f aca="false">IF(AND($A373="",$B373="",$C373="",$E373=""),"",IF($A373="","⚠ Date missing",IF(OR($B373="",$C373=""),"⚠ Site / material missing",IF(COUNTIFS(CI_Site,$B373,CI_Mat,$C373)=0,"⚠ No Current Inventory row for this site + material",IF($G373="","⚠ Status missing",IF(AND($G373="Scheduled",$A373&lt;=AsOfDate),"⚠ Scheduled date reached – mark Received or re-date",IF(AND($G373="Received",$A373&gt;AsOfDate),"Future-dated – added on its date",IF(AND($G373="Received",$A373&lt;SUMIFS(CI_Count,CI_Site,$B373,CI_Mat,$C373)),"Before count date – already in the count","OK"))))))))</f>
        <v/>
      </c>
    </row>
    <row r="374" customFormat="false" ht="15" hidden="false" customHeight="false" outlineLevel="0" collapsed="false">
      <c r="A374" s="65"/>
      <c r="B374" s="63"/>
      <c r="C374" s="70"/>
      <c r="D374" s="16" t="str">
        <f aca="false">IF($C374="","",IFERROR(INDEX(Mat_Short,MATCH($C374,Mat_Code,0)),"⚠ Unknown code"))</f>
        <v/>
      </c>
      <c r="E374" s="66"/>
      <c r="F374" s="64" t="str">
        <f aca="false">IF($C374="","",IFERROR(INDEX(Mat_Unit,MATCH($C374,Mat_Code,0)),""))</f>
        <v/>
      </c>
      <c r="G374" s="70"/>
      <c r="H374" s="63"/>
      <c r="I374" s="63"/>
      <c r="J374" s="63"/>
      <c r="K374" s="16" t="str">
        <f aca="false">IF(AND($A374="",$B374="",$C374="",$E374=""),"",IF($A374="","⚠ Date missing",IF(OR($B374="",$C374=""),"⚠ Site / material missing",IF(COUNTIFS(CI_Site,$B374,CI_Mat,$C374)=0,"⚠ No Current Inventory row for this site + material",IF($G374="","⚠ Status missing",IF(AND($G374="Scheduled",$A374&lt;=AsOfDate),"⚠ Scheduled date reached – mark Received or re-date",IF(AND($G374="Received",$A374&gt;AsOfDate),"Future-dated – added on its date",IF(AND($G374="Received",$A374&lt;SUMIFS(CI_Count,CI_Site,$B374,CI_Mat,$C374)),"Before count date – already in the count","OK"))))))))</f>
        <v/>
      </c>
    </row>
    <row r="375" customFormat="false" ht="15" hidden="false" customHeight="false" outlineLevel="0" collapsed="false">
      <c r="A375" s="65"/>
      <c r="B375" s="63"/>
      <c r="C375" s="70"/>
      <c r="D375" s="16" t="str">
        <f aca="false">IF($C375="","",IFERROR(INDEX(Mat_Short,MATCH($C375,Mat_Code,0)),"⚠ Unknown code"))</f>
        <v/>
      </c>
      <c r="E375" s="66"/>
      <c r="F375" s="64" t="str">
        <f aca="false">IF($C375="","",IFERROR(INDEX(Mat_Unit,MATCH($C375,Mat_Code,0)),""))</f>
        <v/>
      </c>
      <c r="G375" s="70"/>
      <c r="H375" s="63"/>
      <c r="I375" s="63"/>
      <c r="J375" s="63"/>
      <c r="K375" s="16" t="str">
        <f aca="false">IF(AND($A375="",$B375="",$C375="",$E375=""),"",IF($A375="","⚠ Date missing",IF(OR($B375="",$C375=""),"⚠ Site / material missing",IF(COUNTIFS(CI_Site,$B375,CI_Mat,$C375)=0,"⚠ No Current Inventory row for this site + material",IF($G375="","⚠ Status missing",IF(AND($G375="Scheduled",$A375&lt;=AsOfDate),"⚠ Scheduled date reached – mark Received or re-date",IF(AND($G375="Received",$A375&gt;AsOfDate),"Future-dated – added on its date",IF(AND($G375="Received",$A375&lt;SUMIFS(CI_Count,CI_Site,$B375,CI_Mat,$C375)),"Before count date – already in the count","OK"))))))))</f>
        <v/>
      </c>
    </row>
    <row r="376" customFormat="false" ht="15" hidden="false" customHeight="false" outlineLevel="0" collapsed="false">
      <c r="A376" s="65"/>
      <c r="B376" s="63"/>
      <c r="C376" s="70"/>
      <c r="D376" s="16" t="str">
        <f aca="false">IF($C376="","",IFERROR(INDEX(Mat_Short,MATCH($C376,Mat_Code,0)),"⚠ Unknown code"))</f>
        <v/>
      </c>
      <c r="E376" s="66"/>
      <c r="F376" s="64" t="str">
        <f aca="false">IF($C376="","",IFERROR(INDEX(Mat_Unit,MATCH($C376,Mat_Code,0)),""))</f>
        <v/>
      </c>
      <c r="G376" s="70"/>
      <c r="H376" s="63"/>
      <c r="I376" s="63"/>
      <c r="J376" s="63"/>
      <c r="K376" s="16" t="str">
        <f aca="false">IF(AND($A376="",$B376="",$C376="",$E376=""),"",IF($A376="","⚠ Date missing",IF(OR($B376="",$C376=""),"⚠ Site / material missing",IF(COUNTIFS(CI_Site,$B376,CI_Mat,$C376)=0,"⚠ No Current Inventory row for this site + material",IF($G376="","⚠ Status missing",IF(AND($G376="Scheduled",$A376&lt;=AsOfDate),"⚠ Scheduled date reached – mark Received or re-date",IF(AND($G376="Received",$A376&gt;AsOfDate),"Future-dated – added on its date",IF(AND($G376="Received",$A376&lt;SUMIFS(CI_Count,CI_Site,$B376,CI_Mat,$C376)),"Before count date – already in the count","OK"))))))))</f>
        <v/>
      </c>
    </row>
    <row r="377" customFormat="false" ht="15" hidden="false" customHeight="false" outlineLevel="0" collapsed="false">
      <c r="A377" s="65"/>
      <c r="B377" s="63"/>
      <c r="C377" s="70"/>
      <c r="D377" s="16" t="str">
        <f aca="false">IF($C377="","",IFERROR(INDEX(Mat_Short,MATCH($C377,Mat_Code,0)),"⚠ Unknown code"))</f>
        <v/>
      </c>
      <c r="E377" s="66"/>
      <c r="F377" s="64" t="str">
        <f aca="false">IF($C377="","",IFERROR(INDEX(Mat_Unit,MATCH($C377,Mat_Code,0)),""))</f>
        <v/>
      </c>
      <c r="G377" s="70"/>
      <c r="H377" s="63"/>
      <c r="I377" s="63"/>
      <c r="J377" s="63"/>
      <c r="K377" s="16" t="str">
        <f aca="false">IF(AND($A377="",$B377="",$C377="",$E377=""),"",IF($A377="","⚠ Date missing",IF(OR($B377="",$C377=""),"⚠ Site / material missing",IF(COUNTIFS(CI_Site,$B377,CI_Mat,$C377)=0,"⚠ No Current Inventory row for this site + material",IF($G377="","⚠ Status missing",IF(AND($G377="Scheduled",$A377&lt;=AsOfDate),"⚠ Scheduled date reached – mark Received or re-date",IF(AND($G377="Received",$A377&gt;AsOfDate),"Future-dated – added on its date",IF(AND($G377="Received",$A377&lt;SUMIFS(CI_Count,CI_Site,$B377,CI_Mat,$C377)),"Before count date – already in the count","OK"))))))))</f>
        <v/>
      </c>
    </row>
    <row r="378" customFormat="false" ht="15" hidden="false" customHeight="false" outlineLevel="0" collapsed="false">
      <c r="A378" s="65"/>
      <c r="B378" s="63"/>
      <c r="C378" s="70"/>
      <c r="D378" s="16" t="str">
        <f aca="false">IF($C378="","",IFERROR(INDEX(Mat_Short,MATCH($C378,Mat_Code,0)),"⚠ Unknown code"))</f>
        <v/>
      </c>
      <c r="E378" s="66"/>
      <c r="F378" s="64" t="str">
        <f aca="false">IF($C378="","",IFERROR(INDEX(Mat_Unit,MATCH($C378,Mat_Code,0)),""))</f>
        <v/>
      </c>
      <c r="G378" s="70"/>
      <c r="H378" s="63"/>
      <c r="I378" s="63"/>
      <c r="J378" s="63"/>
      <c r="K378" s="16" t="str">
        <f aca="false">IF(AND($A378="",$B378="",$C378="",$E378=""),"",IF($A378="","⚠ Date missing",IF(OR($B378="",$C378=""),"⚠ Site / material missing",IF(COUNTIFS(CI_Site,$B378,CI_Mat,$C378)=0,"⚠ No Current Inventory row for this site + material",IF($G378="","⚠ Status missing",IF(AND($G378="Scheduled",$A378&lt;=AsOfDate),"⚠ Scheduled date reached – mark Received or re-date",IF(AND($G378="Received",$A378&gt;AsOfDate),"Future-dated – added on its date",IF(AND($G378="Received",$A378&lt;SUMIFS(CI_Count,CI_Site,$B378,CI_Mat,$C378)),"Before count date – already in the count","OK"))))))))</f>
        <v/>
      </c>
    </row>
    <row r="379" customFormat="false" ht="15" hidden="false" customHeight="false" outlineLevel="0" collapsed="false">
      <c r="A379" s="65"/>
      <c r="B379" s="63"/>
      <c r="C379" s="70"/>
      <c r="D379" s="16" t="str">
        <f aca="false">IF($C379="","",IFERROR(INDEX(Mat_Short,MATCH($C379,Mat_Code,0)),"⚠ Unknown code"))</f>
        <v/>
      </c>
      <c r="E379" s="66"/>
      <c r="F379" s="64" t="str">
        <f aca="false">IF($C379="","",IFERROR(INDEX(Mat_Unit,MATCH($C379,Mat_Code,0)),""))</f>
        <v/>
      </c>
      <c r="G379" s="70"/>
      <c r="H379" s="63"/>
      <c r="I379" s="63"/>
      <c r="J379" s="63"/>
      <c r="K379" s="16" t="str">
        <f aca="false">IF(AND($A379="",$B379="",$C379="",$E379=""),"",IF($A379="","⚠ Date missing",IF(OR($B379="",$C379=""),"⚠ Site / material missing",IF(COUNTIFS(CI_Site,$B379,CI_Mat,$C379)=0,"⚠ No Current Inventory row for this site + material",IF($G379="","⚠ Status missing",IF(AND($G379="Scheduled",$A379&lt;=AsOfDate),"⚠ Scheduled date reached – mark Received or re-date",IF(AND($G379="Received",$A379&gt;AsOfDate),"Future-dated – added on its date",IF(AND($G379="Received",$A379&lt;SUMIFS(CI_Count,CI_Site,$B379,CI_Mat,$C379)),"Before count date – already in the count","OK"))))))))</f>
        <v/>
      </c>
    </row>
    <row r="380" customFormat="false" ht="15" hidden="false" customHeight="false" outlineLevel="0" collapsed="false">
      <c r="A380" s="65"/>
      <c r="B380" s="63"/>
      <c r="C380" s="70"/>
      <c r="D380" s="16" t="str">
        <f aca="false">IF($C380="","",IFERROR(INDEX(Mat_Short,MATCH($C380,Mat_Code,0)),"⚠ Unknown code"))</f>
        <v/>
      </c>
      <c r="E380" s="66"/>
      <c r="F380" s="64" t="str">
        <f aca="false">IF($C380="","",IFERROR(INDEX(Mat_Unit,MATCH($C380,Mat_Code,0)),""))</f>
        <v/>
      </c>
      <c r="G380" s="70"/>
      <c r="H380" s="63"/>
      <c r="I380" s="63"/>
      <c r="J380" s="63"/>
      <c r="K380" s="16" t="str">
        <f aca="false">IF(AND($A380="",$B380="",$C380="",$E380=""),"",IF($A380="","⚠ Date missing",IF(OR($B380="",$C380=""),"⚠ Site / material missing",IF(COUNTIFS(CI_Site,$B380,CI_Mat,$C380)=0,"⚠ No Current Inventory row for this site + material",IF($G380="","⚠ Status missing",IF(AND($G380="Scheduled",$A380&lt;=AsOfDate),"⚠ Scheduled date reached – mark Received or re-date",IF(AND($G380="Received",$A380&gt;AsOfDate),"Future-dated – added on its date",IF(AND($G380="Received",$A380&lt;SUMIFS(CI_Count,CI_Site,$B380,CI_Mat,$C380)),"Before count date – already in the count","OK"))))))))</f>
        <v/>
      </c>
    </row>
    <row r="381" customFormat="false" ht="15" hidden="false" customHeight="false" outlineLevel="0" collapsed="false">
      <c r="A381" s="65"/>
      <c r="B381" s="63"/>
      <c r="C381" s="70"/>
      <c r="D381" s="16" t="str">
        <f aca="false">IF($C381="","",IFERROR(INDEX(Mat_Short,MATCH($C381,Mat_Code,0)),"⚠ Unknown code"))</f>
        <v/>
      </c>
      <c r="E381" s="66"/>
      <c r="F381" s="64" t="str">
        <f aca="false">IF($C381="","",IFERROR(INDEX(Mat_Unit,MATCH($C381,Mat_Code,0)),""))</f>
        <v/>
      </c>
      <c r="G381" s="70"/>
      <c r="H381" s="63"/>
      <c r="I381" s="63"/>
      <c r="J381" s="63"/>
      <c r="K381" s="16" t="str">
        <f aca="false">IF(AND($A381="",$B381="",$C381="",$E381=""),"",IF($A381="","⚠ Date missing",IF(OR($B381="",$C381=""),"⚠ Site / material missing",IF(COUNTIFS(CI_Site,$B381,CI_Mat,$C381)=0,"⚠ No Current Inventory row for this site + material",IF($G381="","⚠ Status missing",IF(AND($G381="Scheduled",$A381&lt;=AsOfDate),"⚠ Scheduled date reached – mark Received or re-date",IF(AND($G381="Received",$A381&gt;AsOfDate),"Future-dated – added on its date",IF(AND($G381="Received",$A381&lt;SUMIFS(CI_Count,CI_Site,$B381,CI_Mat,$C381)),"Before count date – already in the count","OK"))))))))</f>
        <v/>
      </c>
    </row>
    <row r="382" customFormat="false" ht="15" hidden="false" customHeight="false" outlineLevel="0" collapsed="false">
      <c r="A382" s="65"/>
      <c r="B382" s="63"/>
      <c r="C382" s="70"/>
      <c r="D382" s="16" t="str">
        <f aca="false">IF($C382="","",IFERROR(INDEX(Mat_Short,MATCH($C382,Mat_Code,0)),"⚠ Unknown code"))</f>
        <v/>
      </c>
      <c r="E382" s="66"/>
      <c r="F382" s="64" t="str">
        <f aca="false">IF($C382="","",IFERROR(INDEX(Mat_Unit,MATCH($C382,Mat_Code,0)),""))</f>
        <v/>
      </c>
      <c r="G382" s="70"/>
      <c r="H382" s="63"/>
      <c r="I382" s="63"/>
      <c r="J382" s="63"/>
      <c r="K382" s="16" t="str">
        <f aca="false">IF(AND($A382="",$B382="",$C382="",$E382=""),"",IF($A382="","⚠ Date missing",IF(OR($B382="",$C382=""),"⚠ Site / material missing",IF(COUNTIFS(CI_Site,$B382,CI_Mat,$C382)=0,"⚠ No Current Inventory row for this site + material",IF($G382="","⚠ Status missing",IF(AND($G382="Scheduled",$A382&lt;=AsOfDate),"⚠ Scheduled date reached – mark Received or re-date",IF(AND($G382="Received",$A382&gt;AsOfDate),"Future-dated – added on its date",IF(AND($G382="Received",$A382&lt;SUMIFS(CI_Count,CI_Site,$B382,CI_Mat,$C382)),"Before count date – already in the count","OK"))))))))</f>
        <v/>
      </c>
    </row>
    <row r="383" customFormat="false" ht="15" hidden="false" customHeight="false" outlineLevel="0" collapsed="false">
      <c r="A383" s="65"/>
      <c r="B383" s="63"/>
      <c r="C383" s="70"/>
      <c r="D383" s="16" t="str">
        <f aca="false">IF($C383="","",IFERROR(INDEX(Mat_Short,MATCH($C383,Mat_Code,0)),"⚠ Unknown code"))</f>
        <v/>
      </c>
      <c r="E383" s="66"/>
      <c r="F383" s="64" t="str">
        <f aca="false">IF($C383="","",IFERROR(INDEX(Mat_Unit,MATCH($C383,Mat_Code,0)),""))</f>
        <v/>
      </c>
      <c r="G383" s="70"/>
      <c r="H383" s="63"/>
      <c r="I383" s="63"/>
      <c r="J383" s="63"/>
      <c r="K383" s="16" t="str">
        <f aca="false">IF(AND($A383="",$B383="",$C383="",$E383=""),"",IF($A383="","⚠ Date missing",IF(OR($B383="",$C383=""),"⚠ Site / material missing",IF(COUNTIFS(CI_Site,$B383,CI_Mat,$C383)=0,"⚠ No Current Inventory row for this site + material",IF($G383="","⚠ Status missing",IF(AND($G383="Scheduled",$A383&lt;=AsOfDate),"⚠ Scheduled date reached – mark Received or re-date",IF(AND($G383="Received",$A383&gt;AsOfDate),"Future-dated – added on its date",IF(AND($G383="Received",$A383&lt;SUMIFS(CI_Count,CI_Site,$B383,CI_Mat,$C383)),"Before count date – already in the count","OK"))))))))</f>
        <v/>
      </c>
    </row>
    <row r="384" customFormat="false" ht="15" hidden="false" customHeight="false" outlineLevel="0" collapsed="false">
      <c r="A384" s="65"/>
      <c r="B384" s="63"/>
      <c r="C384" s="70"/>
      <c r="D384" s="16" t="str">
        <f aca="false">IF($C384="","",IFERROR(INDEX(Mat_Short,MATCH($C384,Mat_Code,0)),"⚠ Unknown code"))</f>
        <v/>
      </c>
      <c r="E384" s="66"/>
      <c r="F384" s="64" t="str">
        <f aca="false">IF($C384="","",IFERROR(INDEX(Mat_Unit,MATCH($C384,Mat_Code,0)),""))</f>
        <v/>
      </c>
      <c r="G384" s="70"/>
      <c r="H384" s="63"/>
      <c r="I384" s="63"/>
      <c r="J384" s="63"/>
      <c r="K384" s="16" t="str">
        <f aca="false">IF(AND($A384="",$B384="",$C384="",$E384=""),"",IF($A384="","⚠ Date missing",IF(OR($B384="",$C384=""),"⚠ Site / material missing",IF(COUNTIFS(CI_Site,$B384,CI_Mat,$C384)=0,"⚠ No Current Inventory row for this site + material",IF($G384="","⚠ Status missing",IF(AND($G384="Scheduled",$A384&lt;=AsOfDate),"⚠ Scheduled date reached – mark Received or re-date",IF(AND($G384="Received",$A384&gt;AsOfDate),"Future-dated – added on its date",IF(AND($G384="Received",$A384&lt;SUMIFS(CI_Count,CI_Site,$B384,CI_Mat,$C384)),"Before count date – already in the count","OK"))))))))</f>
        <v/>
      </c>
    </row>
    <row r="385" customFormat="false" ht="15" hidden="false" customHeight="false" outlineLevel="0" collapsed="false">
      <c r="A385" s="65"/>
      <c r="B385" s="63"/>
      <c r="C385" s="70"/>
      <c r="D385" s="16" t="str">
        <f aca="false">IF($C385="","",IFERROR(INDEX(Mat_Short,MATCH($C385,Mat_Code,0)),"⚠ Unknown code"))</f>
        <v/>
      </c>
      <c r="E385" s="66"/>
      <c r="F385" s="64" t="str">
        <f aca="false">IF($C385="","",IFERROR(INDEX(Mat_Unit,MATCH($C385,Mat_Code,0)),""))</f>
        <v/>
      </c>
      <c r="G385" s="70"/>
      <c r="H385" s="63"/>
      <c r="I385" s="63"/>
      <c r="J385" s="63"/>
      <c r="K385" s="16" t="str">
        <f aca="false">IF(AND($A385="",$B385="",$C385="",$E385=""),"",IF($A385="","⚠ Date missing",IF(OR($B385="",$C385=""),"⚠ Site / material missing",IF(COUNTIFS(CI_Site,$B385,CI_Mat,$C385)=0,"⚠ No Current Inventory row for this site + material",IF($G385="","⚠ Status missing",IF(AND($G385="Scheduled",$A385&lt;=AsOfDate),"⚠ Scheduled date reached – mark Received or re-date",IF(AND($G385="Received",$A385&gt;AsOfDate),"Future-dated – added on its date",IF(AND($G385="Received",$A385&lt;SUMIFS(CI_Count,CI_Site,$B385,CI_Mat,$C385)),"Before count date – already in the count","OK"))))))))</f>
        <v/>
      </c>
    </row>
    <row r="386" customFormat="false" ht="15" hidden="false" customHeight="false" outlineLevel="0" collapsed="false">
      <c r="A386" s="65"/>
      <c r="B386" s="63"/>
      <c r="C386" s="70"/>
      <c r="D386" s="16" t="str">
        <f aca="false">IF($C386="","",IFERROR(INDEX(Mat_Short,MATCH($C386,Mat_Code,0)),"⚠ Unknown code"))</f>
        <v/>
      </c>
      <c r="E386" s="66"/>
      <c r="F386" s="64" t="str">
        <f aca="false">IF($C386="","",IFERROR(INDEX(Mat_Unit,MATCH($C386,Mat_Code,0)),""))</f>
        <v/>
      </c>
      <c r="G386" s="70"/>
      <c r="H386" s="63"/>
      <c r="I386" s="63"/>
      <c r="J386" s="63"/>
      <c r="K386" s="16" t="str">
        <f aca="false">IF(AND($A386="",$B386="",$C386="",$E386=""),"",IF($A386="","⚠ Date missing",IF(OR($B386="",$C386=""),"⚠ Site / material missing",IF(COUNTIFS(CI_Site,$B386,CI_Mat,$C386)=0,"⚠ No Current Inventory row for this site + material",IF($G386="","⚠ Status missing",IF(AND($G386="Scheduled",$A386&lt;=AsOfDate),"⚠ Scheduled date reached – mark Received or re-date",IF(AND($G386="Received",$A386&gt;AsOfDate),"Future-dated – added on its date",IF(AND($G386="Received",$A386&lt;SUMIFS(CI_Count,CI_Site,$B386,CI_Mat,$C386)),"Before count date – already in the count","OK"))))))))</f>
        <v/>
      </c>
    </row>
    <row r="387" customFormat="false" ht="15" hidden="false" customHeight="false" outlineLevel="0" collapsed="false">
      <c r="A387" s="65"/>
      <c r="B387" s="63"/>
      <c r="C387" s="70"/>
      <c r="D387" s="16" t="str">
        <f aca="false">IF($C387="","",IFERROR(INDEX(Mat_Short,MATCH($C387,Mat_Code,0)),"⚠ Unknown code"))</f>
        <v/>
      </c>
      <c r="E387" s="66"/>
      <c r="F387" s="64" t="str">
        <f aca="false">IF($C387="","",IFERROR(INDEX(Mat_Unit,MATCH($C387,Mat_Code,0)),""))</f>
        <v/>
      </c>
      <c r="G387" s="70"/>
      <c r="H387" s="63"/>
      <c r="I387" s="63"/>
      <c r="J387" s="63"/>
      <c r="K387" s="16" t="str">
        <f aca="false">IF(AND($A387="",$B387="",$C387="",$E387=""),"",IF($A387="","⚠ Date missing",IF(OR($B387="",$C387=""),"⚠ Site / material missing",IF(COUNTIFS(CI_Site,$B387,CI_Mat,$C387)=0,"⚠ No Current Inventory row for this site + material",IF($G387="","⚠ Status missing",IF(AND($G387="Scheduled",$A387&lt;=AsOfDate),"⚠ Scheduled date reached – mark Received or re-date",IF(AND($G387="Received",$A387&gt;AsOfDate),"Future-dated – added on its date",IF(AND($G387="Received",$A387&lt;SUMIFS(CI_Count,CI_Site,$B387,CI_Mat,$C387)),"Before count date – already in the count","OK"))))))))</f>
        <v/>
      </c>
    </row>
    <row r="388" customFormat="false" ht="15" hidden="false" customHeight="false" outlineLevel="0" collapsed="false">
      <c r="A388" s="65"/>
      <c r="B388" s="63"/>
      <c r="C388" s="70"/>
      <c r="D388" s="16" t="str">
        <f aca="false">IF($C388="","",IFERROR(INDEX(Mat_Short,MATCH($C388,Mat_Code,0)),"⚠ Unknown code"))</f>
        <v/>
      </c>
      <c r="E388" s="66"/>
      <c r="F388" s="64" t="str">
        <f aca="false">IF($C388="","",IFERROR(INDEX(Mat_Unit,MATCH($C388,Mat_Code,0)),""))</f>
        <v/>
      </c>
      <c r="G388" s="70"/>
      <c r="H388" s="63"/>
      <c r="I388" s="63"/>
      <c r="J388" s="63"/>
      <c r="K388" s="16" t="str">
        <f aca="false">IF(AND($A388="",$B388="",$C388="",$E388=""),"",IF($A388="","⚠ Date missing",IF(OR($B388="",$C388=""),"⚠ Site / material missing",IF(COUNTIFS(CI_Site,$B388,CI_Mat,$C388)=0,"⚠ No Current Inventory row for this site + material",IF($G388="","⚠ Status missing",IF(AND($G388="Scheduled",$A388&lt;=AsOfDate),"⚠ Scheduled date reached – mark Received or re-date",IF(AND($G388="Received",$A388&gt;AsOfDate),"Future-dated – added on its date",IF(AND($G388="Received",$A388&lt;SUMIFS(CI_Count,CI_Site,$B388,CI_Mat,$C388)),"Before count date – already in the count","OK"))))))))</f>
        <v/>
      </c>
    </row>
    <row r="389" customFormat="false" ht="15" hidden="false" customHeight="false" outlineLevel="0" collapsed="false">
      <c r="A389" s="65"/>
      <c r="B389" s="63"/>
      <c r="C389" s="70"/>
      <c r="D389" s="16" t="str">
        <f aca="false">IF($C389="","",IFERROR(INDEX(Mat_Short,MATCH($C389,Mat_Code,0)),"⚠ Unknown code"))</f>
        <v/>
      </c>
      <c r="E389" s="66"/>
      <c r="F389" s="64" t="str">
        <f aca="false">IF($C389="","",IFERROR(INDEX(Mat_Unit,MATCH($C389,Mat_Code,0)),""))</f>
        <v/>
      </c>
      <c r="G389" s="70"/>
      <c r="H389" s="63"/>
      <c r="I389" s="63"/>
      <c r="J389" s="63"/>
      <c r="K389" s="16" t="str">
        <f aca="false">IF(AND($A389="",$B389="",$C389="",$E389=""),"",IF($A389="","⚠ Date missing",IF(OR($B389="",$C389=""),"⚠ Site / material missing",IF(COUNTIFS(CI_Site,$B389,CI_Mat,$C389)=0,"⚠ No Current Inventory row for this site + material",IF($G389="","⚠ Status missing",IF(AND($G389="Scheduled",$A389&lt;=AsOfDate),"⚠ Scheduled date reached – mark Received or re-date",IF(AND($G389="Received",$A389&gt;AsOfDate),"Future-dated – added on its date",IF(AND($G389="Received",$A389&lt;SUMIFS(CI_Count,CI_Site,$B389,CI_Mat,$C389)),"Before count date – already in the count","OK"))))))))</f>
        <v/>
      </c>
    </row>
    <row r="390" customFormat="false" ht="15" hidden="false" customHeight="false" outlineLevel="0" collapsed="false">
      <c r="A390" s="65"/>
      <c r="B390" s="63"/>
      <c r="C390" s="70"/>
      <c r="D390" s="16" t="str">
        <f aca="false">IF($C390="","",IFERROR(INDEX(Mat_Short,MATCH($C390,Mat_Code,0)),"⚠ Unknown code"))</f>
        <v/>
      </c>
      <c r="E390" s="66"/>
      <c r="F390" s="64" t="str">
        <f aca="false">IF($C390="","",IFERROR(INDEX(Mat_Unit,MATCH($C390,Mat_Code,0)),""))</f>
        <v/>
      </c>
      <c r="G390" s="70"/>
      <c r="H390" s="63"/>
      <c r="I390" s="63"/>
      <c r="J390" s="63"/>
      <c r="K390" s="16" t="str">
        <f aca="false">IF(AND($A390="",$B390="",$C390="",$E390=""),"",IF($A390="","⚠ Date missing",IF(OR($B390="",$C390=""),"⚠ Site / material missing",IF(COUNTIFS(CI_Site,$B390,CI_Mat,$C390)=0,"⚠ No Current Inventory row for this site + material",IF($G390="","⚠ Status missing",IF(AND($G390="Scheduled",$A390&lt;=AsOfDate),"⚠ Scheduled date reached – mark Received or re-date",IF(AND($G390="Received",$A390&gt;AsOfDate),"Future-dated – added on its date",IF(AND($G390="Received",$A390&lt;SUMIFS(CI_Count,CI_Site,$B390,CI_Mat,$C390)),"Before count date – already in the count","OK"))))))))</f>
        <v/>
      </c>
    </row>
    <row r="391" customFormat="false" ht="15" hidden="false" customHeight="false" outlineLevel="0" collapsed="false">
      <c r="A391" s="65"/>
      <c r="B391" s="63"/>
      <c r="C391" s="70"/>
      <c r="D391" s="16" t="str">
        <f aca="false">IF($C391="","",IFERROR(INDEX(Mat_Short,MATCH($C391,Mat_Code,0)),"⚠ Unknown code"))</f>
        <v/>
      </c>
      <c r="E391" s="66"/>
      <c r="F391" s="64" t="str">
        <f aca="false">IF($C391="","",IFERROR(INDEX(Mat_Unit,MATCH($C391,Mat_Code,0)),""))</f>
        <v/>
      </c>
      <c r="G391" s="70"/>
      <c r="H391" s="63"/>
      <c r="I391" s="63"/>
      <c r="J391" s="63"/>
      <c r="K391" s="16" t="str">
        <f aca="false">IF(AND($A391="",$B391="",$C391="",$E391=""),"",IF($A391="","⚠ Date missing",IF(OR($B391="",$C391=""),"⚠ Site / material missing",IF(COUNTIFS(CI_Site,$B391,CI_Mat,$C391)=0,"⚠ No Current Inventory row for this site + material",IF($G391="","⚠ Status missing",IF(AND($G391="Scheduled",$A391&lt;=AsOfDate),"⚠ Scheduled date reached – mark Received or re-date",IF(AND($G391="Received",$A391&gt;AsOfDate),"Future-dated – added on its date",IF(AND($G391="Received",$A391&lt;SUMIFS(CI_Count,CI_Site,$B391,CI_Mat,$C391)),"Before count date – already in the count","OK"))))))))</f>
        <v/>
      </c>
    </row>
    <row r="392" customFormat="false" ht="15" hidden="false" customHeight="false" outlineLevel="0" collapsed="false">
      <c r="A392" s="65"/>
      <c r="B392" s="63"/>
      <c r="C392" s="70"/>
      <c r="D392" s="16" t="str">
        <f aca="false">IF($C392="","",IFERROR(INDEX(Mat_Short,MATCH($C392,Mat_Code,0)),"⚠ Unknown code"))</f>
        <v/>
      </c>
      <c r="E392" s="66"/>
      <c r="F392" s="64" t="str">
        <f aca="false">IF($C392="","",IFERROR(INDEX(Mat_Unit,MATCH($C392,Mat_Code,0)),""))</f>
        <v/>
      </c>
      <c r="G392" s="70"/>
      <c r="H392" s="63"/>
      <c r="I392" s="63"/>
      <c r="J392" s="63"/>
      <c r="K392" s="16" t="str">
        <f aca="false">IF(AND($A392="",$B392="",$C392="",$E392=""),"",IF($A392="","⚠ Date missing",IF(OR($B392="",$C392=""),"⚠ Site / material missing",IF(COUNTIFS(CI_Site,$B392,CI_Mat,$C392)=0,"⚠ No Current Inventory row for this site + material",IF($G392="","⚠ Status missing",IF(AND($G392="Scheduled",$A392&lt;=AsOfDate),"⚠ Scheduled date reached – mark Received or re-date",IF(AND($G392="Received",$A392&gt;AsOfDate),"Future-dated – added on its date",IF(AND($G392="Received",$A392&lt;SUMIFS(CI_Count,CI_Site,$B392,CI_Mat,$C392)),"Before count date – already in the count","OK"))))))))</f>
        <v/>
      </c>
    </row>
    <row r="393" customFormat="false" ht="15" hidden="false" customHeight="false" outlineLevel="0" collapsed="false">
      <c r="A393" s="65"/>
      <c r="B393" s="63"/>
      <c r="C393" s="70"/>
      <c r="D393" s="16" t="str">
        <f aca="false">IF($C393="","",IFERROR(INDEX(Mat_Short,MATCH($C393,Mat_Code,0)),"⚠ Unknown code"))</f>
        <v/>
      </c>
      <c r="E393" s="66"/>
      <c r="F393" s="64" t="str">
        <f aca="false">IF($C393="","",IFERROR(INDEX(Mat_Unit,MATCH($C393,Mat_Code,0)),""))</f>
        <v/>
      </c>
      <c r="G393" s="70"/>
      <c r="H393" s="63"/>
      <c r="I393" s="63"/>
      <c r="J393" s="63"/>
      <c r="K393" s="16" t="str">
        <f aca="false">IF(AND($A393="",$B393="",$C393="",$E393=""),"",IF($A393="","⚠ Date missing",IF(OR($B393="",$C393=""),"⚠ Site / material missing",IF(COUNTIFS(CI_Site,$B393,CI_Mat,$C393)=0,"⚠ No Current Inventory row for this site + material",IF($G393="","⚠ Status missing",IF(AND($G393="Scheduled",$A393&lt;=AsOfDate),"⚠ Scheduled date reached – mark Received or re-date",IF(AND($G393="Received",$A393&gt;AsOfDate),"Future-dated – added on its date",IF(AND($G393="Received",$A393&lt;SUMIFS(CI_Count,CI_Site,$B393,CI_Mat,$C393)),"Before count date – already in the count","OK"))))))))</f>
        <v/>
      </c>
    </row>
    <row r="394" customFormat="false" ht="15" hidden="false" customHeight="false" outlineLevel="0" collapsed="false">
      <c r="A394" s="65"/>
      <c r="B394" s="63"/>
      <c r="C394" s="70"/>
      <c r="D394" s="16" t="str">
        <f aca="false">IF($C394="","",IFERROR(INDEX(Mat_Short,MATCH($C394,Mat_Code,0)),"⚠ Unknown code"))</f>
        <v/>
      </c>
      <c r="E394" s="66"/>
      <c r="F394" s="64" t="str">
        <f aca="false">IF($C394="","",IFERROR(INDEX(Mat_Unit,MATCH($C394,Mat_Code,0)),""))</f>
        <v/>
      </c>
      <c r="G394" s="70"/>
      <c r="H394" s="63"/>
      <c r="I394" s="63"/>
      <c r="J394" s="63"/>
      <c r="K394" s="16" t="str">
        <f aca="false">IF(AND($A394="",$B394="",$C394="",$E394=""),"",IF($A394="","⚠ Date missing",IF(OR($B394="",$C394=""),"⚠ Site / material missing",IF(COUNTIFS(CI_Site,$B394,CI_Mat,$C394)=0,"⚠ No Current Inventory row for this site + material",IF($G394="","⚠ Status missing",IF(AND($G394="Scheduled",$A394&lt;=AsOfDate),"⚠ Scheduled date reached – mark Received or re-date",IF(AND($G394="Received",$A394&gt;AsOfDate),"Future-dated – added on its date",IF(AND($G394="Received",$A394&lt;SUMIFS(CI_Count,CI_Site,$B394,CI_Mat,$C394)),"Before count date – already in the count","OK"))))))))</f>
        <v/>
      </c>
    </row>
    <row r="395" customFormat="false" ht="15" hidden="false" customHeight="false" outlineLevel="0" collapsed="false">
      <c r="A395" s="65"/>
      <c r="B395" s="63"/>
      <c r="C395" s="70"/>
      <c r="D395" s="16" t="str">
        <f aca="false">IF($C395="","",IFERROR(INDEX(Mat_Short,MATCH($C395,Mat_Code,0)),"⚠ Unknown code"))</f>
        <v/>
      </c>
      <c r="E395" s="66"/>
      <c r="F395" s="64" t="str">
        <f aca="false">IF($C395="","",IFERROR(INDEX(Mat_Unit,MATCH($C395,Mat_Code,0)),""))</f>
        <v/>
      </c>
      <c r="G395" s="70"/>
      <c r="H395" s="63"/>
      <c r="I395" s="63"/>
      <c r="J395" s="63"/>
      <c r="K395" s="16" t="str">
        <f aca="false">IF(AND($A395="",$B395="",$C395="",$E395=""),"",IF($A395="","⚠ Date missing",IF(OR($B395="",$C395=""),"⚠ Site / material missing",IF(COUNTIFS(CI_Site,$B395,CI_Mat,$C395)=0,"⚠ No Current Inventory row for this site + material",IF($G395="","⚠ Status missing",IF(AND($G395="Scheduled",$A395&lt;=AsOfDate),"⚠ Scheduled date reached – mark Received or re-date",IF(AND($G395="Received",$A395&gt;AsOfDate),"Future-dated – added on its date",IF(AND($G395="Received",$A395&lt;SUMIFS(CI_Count,CI_Site,$B395,CI_Mat,$C395)),"Before count date – already in the count","OK"))))))))</f>
        <v/>
      </c>
    </row>
    <row r="396" customFormat="false" ht="15" hidden="false" customHeight="false" outlineLevel="0" collapsed="false">
      <c r="A396" s="65"/>
      <c r="B396" s="63"/>
      <c r="C396" s="70"/>
      <c r="D396" s="16" t="str">
        <f aca="false">IF($C396="","",IFERROR(INDEX(Mat_Short,MATCH($C396,Mat_Code,0)),"⚠ Unknown code"))</f>
        <v/>
      </c>
      <c r="E396" s="66"/>
      <c r="F396" s="64" t="str">
        <f aca="false">IF($C396="","",IFERROR(INDEX(Mat_Unit,MATCH($C396,Mat_Code,0)),""))</f>
        <v/>
      </c>
      <c r="G396" s="70"/>
      <c r="H396" s="63"/>
      <c r="I396" s="63"/>
      <c r="J396" s="63"/>
      <c r="K396" s="16" t="str">
        <f aca="false">IF(AND($A396="",$B396="",$C396="",$E396=""),"",IF($A396="","⚠ Date missing",IF(OR($B396="",$C396=""),"⚠ Site / material missing",IF(COUNTIFS(CI_Site,$B396,CI_Mat,$C396)=0,"⚠ No Current Inventory row for this site + material",IF($G396="","⚠ Status missing",IF(AND($G396="Scheduled",$A396&lt;=AsOfDate),"⚠ Scheduled date reached – mark Received or re-date",IF(AND($G396="Received",$A396&gt;AsOfDate),"Future-dated – added on its date",IF(AND($G396="Received",$A396&lt;SUMIFS(CI_Count,CI_Site,$B396,CI_Mat,$C396)),"Before count date – already in the count","OK"))))))))</f>
        <v/>
      </c>
    </row>
    <row r="397" customFormat="false" ht="15" hidden="false" customHeight="false" outlineLevel="0" collapsed="false">
      <c r="A397" s="65"/>
      <c r="B397" s="63"/>
      <c r="C397" s="70"/>
      <c r="D397" s="16" t="str">
        <f aca="false">IF($C397="","",IFERROR(INDEX(Mat_Short,MATCH($C397,Mat_Code,0)),"⚠ Unknown code"))</f>
        <v/>
      </c>
      <c r="E397" s="66"/>
      <c r="F397" s="64" t="str">
        <f aca="false">IF($C397="","",IFERROR(INDEX(Mat_Unit,MATCH($C397,Mat_Code,0)),""))</f>
        <v/>
      </c>
      <c r="G397" s="70"/>
      <c r="H397" s="63"/>
      <c r="I397" s="63"/>
      <c r="J397" s="63"/>
      <c r="K397" s="16" t="str">
        <f aca="false">IF(AND($A397="",$B397="",$C397="",$E397=""),"",IF($A397="","⚠ Date missing",IF(OR($B397="",$C397=""),"⚠ Site / material missing",IF(COUNTIFS(CI_Site,$B397,CI_Mat,$C397)=0,"⚠ No Current Inventory row for this site + material",IF($G397="","⚠ Status missing",IF(AND($G397="Scheduled",$A397&lt;=AsOfDate),"⚠ Scheduled date reached – mark Received or re-date",IF(AND($G397="Received",$A397&gt;AsOfDate),"Future-dated – added on its date",IF(AND($G397="Received",$A397&lt;SUMIFS(CI_Count,CI_Site,$B397,CI_Mat,$C397)),"Before count date – already in the count","OK"))))))))</f>
        <v/>
      </c>
    </row>
    <row r="398" customFormat="false" ht="15" hidden="false" customHeight="false" outlineLevel="0" collapsed="false">
      <c r="A398" s="65"/>
      <c r="B398" s="63"/>
      <c r="C398" s="70"/>
      <c r="D398" s="16" t="str">
        <f aca="false">IF($C398="","",IFERROR(INDEX(Mat_Short,MATCH($C398,Mat_Code,0)),"⚠ Unknown code"))</f>
        <v/>
      </c>
      <c r="E398" s="66"/>
      <c r="F398" s="64" t="str">
        <f aca="false">IF($C398="","",IFERROR(INDEX(Mat_Unit,MATCH($C398,Mat_Code,0)),""))</f>
        <v/>
      </c>
      <c r="G398" s="70"/>
      <c r="H398" s="63"/>
      <c r="I398" s="63"/>
      <c r="J398" s="63"/>
      <c r="K398" s="16" t="str">
        <f aca="false">IF(AND($A398="",$B398="",$C398="",$E398=""),"",IF($A398="","⚠ Date missing",IF(OR($B398="",$C398=""),"⚠ Site / material missing",IF(COUNTIFS(CI_Site,$B398,CI_Mat,$C398)=0,"⚠ No Current Inventory row for this site + material",IF($G398="","⚠ Status missing",IF(AND($G398="Scheduled",$A398&lt;=AsOfDate),"⚠ Scheduled date reached – mark Received or re-date",IF(AND($G398="Received",$A398&gt;AsOfDate),"Future-dated – added on its date",IF(AND($G398="Received",$A398&lt;SUMIFS(CI_Count,CI_Site,$B398,CI_Mat,$C398)),"Before count date – already in the count","OK"))))))))</f>
        <v/>
      </c>
    </row>
    <row r="399" customFormat="false" ht="15" hidden="false" customHeight="false" outlineLevel="0" collapsed="false">
      <c r="A399" s="65"/>
      <c r="B399" s="63"/>
      <c r="C399" s="70"/>
      <c r="D399" s="16" t="str">
        <f aca="false">IF($C399="","",IFERROR(INDEX(Mat_Short,MATCH($C399,Mat_Code,0)),"⚠ Unknown code"))</f>
        <v/>
      </c>
      <c r="E399" s="66"/>
      <c r="F399" s="64" t="str">
        <f aca="false">IF($C399="","",IFERROR(INDEX(Mat_Unit,MATCH($C399,Mat_Code,0)),""))</f>
        <v/>
      </c>
      <c r="G399" s="70"/>
      <c r="H399" s="63"/>
      <c r="I399" s="63"/>
      <c r="J399" s="63"/>
      <c r="K399" s="16" t="str">
        <f aca="false">IF(AND($A399="",$B399="",$C399="",$E399=""),"",IF($A399="","⚠ Date missing",IF(OR($B399="",$C399=""),"⚠ Site / material missing",IF(COUNTIFS(CI_Site,$B399,CI_Mat,$C399)=0,"⚠ No Current Inventory row for this site + material",IF($G399="","⚠ Status missing",IF(AND($G399="Scheduled",$A399&lt;=AsOfDate),"⚠ Scheduled date reached – mark Received or re-date",IF(AND($G399="Received",$A399&gt;AsOfDate),"Future-dated – added on its date",IF(AND($G399="Received",$A399&lt;SUMIFS(CI_Count,CI_Site,$B399,CI_Mat,$C399)),"Before count date – already in the count","OK"))))))))</f>
        <v/>
      </c>
    </row>
    <row r="400" customFormat="false" ht="15" hidden="false" customHeight="false" outlineLevel="0" collapsed="false">
      <c r="A400" s="65"/>
      <c r="B400" s="63"/>
      <c r="C400" s="70"/>
      <c r="D400" s="16" t="str">
        <f aca="false">IF($C400="","",IFERROR(INDEX(Mat_Short,MATCH($C400,Mat_Code,0)),"⚠ Unknown code"))</f>
        <v/>
      </c>
      <c r="E400" s="66"/>
      <c r="F400" s="64" t="str">
        <f aca="false">IF($C400="","",IFERROR(INDEX(Mat_Unit,MATCH($C400,Mat_Code,0)),""))</f>
        <v/>
      </c>
      <c r="G400" s="70"/>
      <c r="H400" s="63"/>
      <c r="I400" s="63"/>
      <c r="J400" s="63"/>
      <c r="K400" s="16" t="str">
        <f aca="false">IF(AND($A400="",$B400="",$C400="",$E400=""),"",IF($A400="","⚠ Date missing",IF(OR($B400="",$C400=""),"⚠ Site / material missing",IF(COUNTIFS(CI_Site,$B400,CI_Mat,$C400)=0,"⚠ No Current Inventory row for this site + material",IF($G400="","⚠ Status missing",IF(AND($G400="Scheduled",$A400&lt;=AsOfDate),"⚠ Scheduled date reached – mark Received or re-date",IF(AND($G400="Received",$A400&gt;AsOfDate),"Future-dated – added on its date",IF(AND($G400="Received",$A400&lt;SUMIFS(CI_Count,CI_Site,$B400,CI_Mat,$C400)),"Before count date – already in the count","OK"))))))))</f>
        <v/>
      </c>
    </row>
    <row r="401" customFormat="false" ht="15" hidden="false" customHeight="false" outlineLevel="0" collapsed="false">
      <c r="A401" s="65"/>
      <c r="B401" s="63"/>
      <c r="C401" s="70"/>
      <c r="D401" s="16" t="str">
        <f aca="false">IF($C401="","",IFERROR(INDEX(Mat_Short,MATCH($C401,Mat_Code,0)),"⚠ Unknown code"))</f>
        <v/>
      </c>
      <c r="E401" s="66"/>
      <c r="F401" s="64" t="str">
        <f aca="false">IF($C401="","",IFERROR(INDEX(Mat_Unit,MATCH($C401,Mat_Code,0)),""))</f>
        <v/>
      </c>
      <c r="G401" s="70"/>
      <c r="H401" s="63"/>
      <c r="I401" s="63"/>
      <c r="J401" s="63"/>
      <c r="K401" s="16" t="str">
        <f aca="false">IF(AND($A401="",$B401="",$C401="",$E401=""),"",IF($A401="","⚠ Date missing",IF(OR($B401="",$C401=""),"⚠ Site / material missing",IF(COUNTIFS(CI_Site,$B401,CI_Mat,$C401)=0,"⚠ No Current Inventory row for this site + material",IF($G401="","⚠ Status missing",IF(AND($G401="Scheduled",$A401&lt;=AsOfDate),"⚠ Scheduled date reached – mark Received or re-date",IF(AND($G401="Received",$A401&gt;AsOfDate),"Future-dated – added on its date",IF(AND($G401="Received",$A401&lt;SUMIFS(CI_Count,CI_Site,$B401,CI_Mat,$C401)),"Before count date – already in the count","OK"))))))))</f>
        <v/>
      </c>
    </row>
    <row r="402" customFormat="false" ht="15" hidden="false" customHeight="false" outlineLevel="0" collapsed="false">
      <c r="A402" s="65"/>
      <c r="B402" s="63"/>
      <c r="C402" s="70"/>
      <c r="D402" s="16" t="str">
        <f aca="false">IF($C402="","",IFERROR(INDEX(Mat_Short,MATCH($C402,Mat_Code,0)),"⚠ Unknown code"))</f>
        <v/>
      </c>
      <c r="E402" s="66"/>
      <c r="F402" s="64" t="str">
        <f aca="false">IF($C402="","",IFERROR(INDEX(Mat_Unit,MATCH($C402,Mat_Code,0)),""))</f>
        <v/>
      </c>
      <c r="G402" s="70"/>
      <c r="H402" s="63"/>
      <c r="I402" s="63"/>
      <c r="J402" s="63"/>
      <c r="K402" s="16" t="str">
        <f aca="false">IF(AND($A402="",$B402="",$C402="",$E402=""),"",IF($A402="","⚠ Date missing",IF(OR($B402="",$C402=""),"⚠ Site / material missing",IF(COUNTIFS(CI_Site,$B402,CI_Mat,$C402)=0,"⚠ No Current Inventory row for this site + material",IF($G402="","⚠ Status missing",IF(AND($G402="Scheduled",$A402&lt;=AsOfDate),"⚠ Scheduled date reached – mark Received or re-date",IF(AND($G402="Received",$A402&gt;AsOfDate),"Future-dated – added on its date",IF(AND($G402="Received",$A402&lt;SUMIFS(CI_Count,CI_Site,$B402,CI_Mat,$C402)),"Before count date – already in the count","OK"))))))))</f>
        <v/>
      </c>
    </row>
    <row r="403" customFormat="false" ht="15" hidden="false" customHeight="false" outlineLevel="0" collapsed="false">
      <c r="A403" s="65"/>
      <c r="B403" s="63"/>
      <c r="C403" s="70"/>
      <c r="D403" s="16" t="str">
        <f aca="false">IF($C403="","",IFERROR(INDEX(Mat_Short,MATCH($C403,Mat_Code,0)),"⚠ Unknown code"))</f>
        <v/>
      </c>
      <c r="E403" s="66"/>
      <c r="F403" s="64" t="str">
        <f aca="false">IF($C403="","",IFERROR(INDEX(Mat_Unit,MATCH($C403,Mat_Code,0)),""))</f>
        <v/>
      </c>
      <c r="G403" s="70"/>
      <c r="H403" s="63"/>
      <c r="I403" s="63"/>
      <c r="J403" s="63"/>
      <c r="K403" s="16" t="str">
        <f aca="false">IF(AND($A403="",$B403="",$C403="",$E403=""),"",IF($A403="","⚠ Date missing",IF(OR($B403="",$C403=""),"⚠ Site / material missing",IF(COUNTIFS(CI_Site,$B403,CI_Mat,$C403)=0,"⚠ No Current Inventory row for this site + material",IF($G403="","⚠ Status missing",IF(AND($G403="Scheduled",$A403&lt;=AsOfDate),"⚠ Scheduled date reached – mark Received or re-date",IF(AND($G403="Received",$A403&gt;AsOfDate),"Future-dated – added on its date",IF(AND($G403="Received",$A403&lt;SUMIFS(CI_Count,CI_Site,$B403,CI_Mat,$C403)),"Before count date – already in the count","OK"))))))))</f>
        <v/>
      </c>
    </row>
    <row r="404" customFormat="false" ht="15" hidden="false" customHeight="false" outlineLevel="0" collapsed="false">
      <c r="A404" s="65"/>
      <c r="B404" s="63"/>
      <c r="C404" s="70"/>
      <c r="D404" s="16" t="str">
        <f aca="false">IF($C404="","",IFERROR(INDEX(Mat_Short,MATCH($C404,Mat_Code,0)),"⚠ Unknown code"))</f>
        <v/>
      </c>
      <c r="E404" s="66"/>
      <c r="F404" s="64" t="str">
        <f aca="false">IF($C404="","",IFERROR(INDEX(Mat_Unit,MATCH($C404,Mat_Code,0)),""))</f>
        <v/>
      </c>
      <c r="G404" s="70"/>
      <c r="H404" s="63"/>
      <c r="I404" s="63"/>
      <c r="J404" s="63"/>
      <c r="K404" s="16" t="str">
        <f aca="false">IF(AND($A404="",$B404="",$C404="",$E404=""),"",IF($A404="","⚠ Date missing",IF(OR($B404="",$C404=""),"⚠ Site / material missing",IF(COUNTIFS(CI_Site,$B404,CI_Mat,$C404)=0,"⚠ No Current Inventory row for this site + material",IF($G404="","⚠ Status missing",IF(AND($G404="Scheduled",$A404&lt;=AsOfDate),"⚠ Scheduled date reached – mark Received or re-date",IF(AND($G404="Received",$A404&gt;AsOfDate),"Future-dated – added on its date",IF(AND($G404="Received",$A404&lt;SUMIFS(CI_Count,CI_Site,$B404,CI_Mat,$C404)),"Before count date – already in the count","OK"))))))))</f>
        <v/>
      </c>
    </row>
    <row r="405" customFormat="false" ht="15" hidden="false" customHeight="false" outlineLevel="0" collapsed="false">
      <c r="A405" s="65"/>
      <c r="B405" s="63"/>
      <c r="C405" s="70"/>
      <c r="D405" s="16" t="str">
        <f aca="false">IF($C405="","",IFERROR(INDEX(Mat_Short,MATCH($C405,Mat_Code,0)),"⚠ Unknown code"))</f>
        <v/>
      </c>
      <c r="E405" s="66"/>
      <c r="F405" s="64" t="str">
        <f aca="false">IF($C405="","",IFERROR(INDEX(Mat_Unit,MATCH($C405,Mat_Code,0)),""))</f>
        <v/>
      </c>
      <c r="G405" s="70"/>
      <c r="H405" s="63"/>
      <c r="I405" s="63"/>
      <c r="J405" s="63"/>
      <c r="K405" s="16" t="str">
        <f aca="false">IF(AND($A405="",$B405="",$C405="",$E405=""),"",IF($A405="","⚠ Date missing",IF(OR($B405="",$C405=""),"⚠ Site / material missing",IF(COUNTIFS(CI_Site,$B405,CI_Mat,$C405)=0,"⚠ No Current Inventory row for this site + material",IF($G405="","⚠ Status missing",IF(AND($G405="Scheduled",$A405&lt;=AsOfDate),"⚠ Scheduled date reached – mark Received or re-date",IF(AND($G405="Received",$A405&gt;AsOfDate),"Future-dated – added on its date",IF(AND($G405="Received",$A405&lt;SUMIFS(CI_Count,CI_Site,$B405,CI_Mat,$C405)),"Before count date – already in the count","OK"))))))))</f>
        <v/>
      </c>
    </row>
    <row r="406" customFormat="false" ht="15" hidden="false" customHeight="false" outlineLevel="0" collapsed="false">
      <c r="A406" s="65"/>
      <c r="B406" s="63"/>
      <c r="C406" s="70"/>
      <c r="D406" s="16" t="str">
        <f aca="false">IF($C406="","",IFERROR(INDEX(Mat_Short,MATCH($C406,Mat_Code,0)),"⚠ Unknown code"))</f>
        <v/>
      </c>
      <c r="E406" s="66"/>
      <c r="F406" s="64" t="str">
        <f aca="false">IF($C406="","",IFERROR(INDEX(Mat_Unit,MATCH($C406,Mat_Code,0)),""))</f>
        <v/>
      </c>
      <c r="G406" s="70"/>
      <c r="H406" s="63"/>
      <c r="I406" s="63"/>
      <c r="J406" s="63"/>
      <c r="K406" s="16" t="str">
        <f aca="false">IF(AND($A406="",$B406="",$C406="",$E406=""),"",IF($A406="","⚠ Date missing",IF(OR($B406="",$C406=""),"⚠ Site / material missing",IF(COUNTIFS(CI_Site,$B406,CI_Mat,$C406)=0,"⚠ No Current Inventory row for this site + material",IF($G406="","⚠ Status missing",IF(AND($G406="Scheduled",$A406&lt;=AsOfDate),"⚠ Scheduled date reached – mark Received or re-date",IF(AND($G406="Received",$A406&gt;AsOfDate),"Future-dated – added on its date",IF(AND($G406="Received",$A406&lt;SUMIFS(CI_Count,CI_Site,$B406,CI_Mat,$C406)),"Before count date – already in the count","OK"))))))))</f>
        <v/>
      </c>
    </row>
    <row r="407" customFormat="false" ht="15" hidden="false" customHeight="false" outlineLevel="0" collapsed="false">
      <c r="A407" s="65"/>
      <c r="B407" s="63"/>
      <c r="C407" s="70"/>
      <c r="D407" s="16" t="str">
        <f aca="false">IF($C407="","",IFERROR(INDEX(Mat_Short,MATCH($C407,Mat_Code,0)),"⚠ Unknown code"))</f>
        <v/>
      </c>
      <c r="E407" s="66"/>
      <c r="F407" s="64" t="str">
        <f aca="false">IF($C407="","",IFERROR(INDEX(Mat_Unit,MATCH($C407,Mat_Code,0)),""))</f>
        <v/>
      </c>
      <c r="G407" s="70"/>
      <c r="H407" s="63"/>
      <c r="I407" s="63"/>
      <c r="J407" s="63"/>
      <c r="K407" s="16" t="str">
        <f aca="false">IF(AND($A407="",$B407="",$C407="",$E407=""),"",IF($A407="","⚠ Date missing",IF(OR($B407="",$C407=""),"⚠ Site / material missing",IF(COUNTIFS(CI_Site,$B407,CI_Mat,$C407)=0,"⚠ No Current Inventory row for this site + material",IF($G407="","⚠ Status missing",IF(AND($G407="Scheduled",$A407&lt;=AsOfDate),"⚠ Scheduled date reached – mark Received or re-date",IF(AND($G407="Received",$A407&gt;AsOfDate),"Future-dated – added on its date",IF(AND($G407="Received",$A407&lt;SUMIFS(CI_Count,CI_Site,$B407,CI_Mat,$C407)),"Before count date – already in the count","OK"))))))))</f>
        <v/>
      </c>
    </row>
    <row r="408" customFormat="false" ht="15" hidden="false" customHeight="false" outlineLevel="0" collapsed="false">
      <c r="A408" s="65"/>
      <c r="B408" s="63"/>
      <c r="C408" s="70"/>
      <c r="D408" s="16" t="str">
        <f aca="false">IF($C408="","",IFERROR(INDEX(Mat_Short,MATCH($C408,Mat_Code,0)),"⚠ Unknown code"))</f>
        <v/>
      </c>
      <c r="E408" s="66"/>
      <c r="F408" s="64" t="str">
        <f aca="false">IF($C408="","",IFERROR(INDEX(Mat_Unit,MATCH($C408,Mat_Code,0)),""))</f>
        <v/>
      </c>
      <c r="G408" s="70"/>
      <c r="H408" s="63"/>
      <c r="I408" s="63"/>
      <c r="J408" s="63"/>
      <c r="K408" s="16" t="str">
        <f aca="false">IF(AND($A408="",$B408="",$C408="",$E408=""),"",IF($A408="","⚠ Date missing",IF(OR($B408="",$C408=""),"⚠ Site / material missing",IF(COUNTIFS(CI_Site,$B408,CI_Mat,$C408)=0,"⚠ No Current Inventory row for this site + material",IF($G408="","⚠ Status missing",IF(AND($G408="Scheduled",$A408&lt;=AsOfDate),"⚠ Scheduled date reached – mark Received or re-date",IF(AND($G408="Received",$A408&gt;AsOfDate),"Future-dated – added on its date",IF(AND($G408="Received",$A408&lt;SUMIFS(CI_Count,CI_Site,$B408,CI_Mat,$C408)),"Before count date – already in the count","OK"))))))))</f>
        <v/>
      </c>
    </row>
    <row r="409" customFormat="false" ht="15" hidden="false" customHeight="false" outlineLevel="0" collapsed="false">
      <c r="A409" s="65"/>
      <c r="B409" s="63"/>
      <c r="C409" s="70"/>
      <c r="D409" s="16" t="str">
        <f aca="false">IF($C409="","",IFERROR(INDEX(Mat_Short,MATCH($C409,Mat_Code,0)),"⚠ Unknown code"))</f>
        <v/>
      </c>
      <c r="E409" s="66"/>
      <c r="F409" s="64" t="str">
        <f aca="false">IF($C409="","",IFERROR(INDEX(Mat_Unit,MATCH($C409,Mat_Code,0)),""))</f>
        <v/>
      </c>
      <c r="G409" s="70"/>
      <c r="H409" s="63"/>
      <c r="I409" s="63"/>
      <c r="J409" s="63"/>
      <c r="K409" s="16" t="str">
        <f aca="false">IF(AND($A409="",$B409="",$C409="",$E409=""),"",IF($A409="","⚠ Date missing",IF(OR($B409="",$C409=""),"⚠ Site / material missing",IF(COUNTIFS(CI_Site,$B409,CI_Mat,$C409)=0,"⚠ No Current Inventory row for this site + material",IF($G409="","⚠ Status missing",IF(AND($G409="Scheduled",$A409&lt;=AsOfDate),"⚠ Scheduled date reached – mark Received or re-date",IF(AND($G409="Received",$A409&gt;AsOfDate),"Future-dated – added on its date",IF(AND($G409="Received",$A409&lt;SUMIFS(CI_Count,CI_Site,$B409,CI_Mat,$C409)),"Before count date – already in the count","OK"))))))))</f>
        <v/>
      </c>
    </row>
    <row r="410" customFormat="false" ht="15" hidden="false" customHeight="false" outlineLevel="0" collapsed="false">
      <c r="A410" s="65"/>
      <c r="B410" s="63"/>
      <c r="C410" s="70"/>
      <c r="D410" s="16" t="str">
        <f aca="false">IF($C410="","",IFERROR(INDEX(Mat_Short,MATCH($C410,Mat_Code,0)),"⚠ Unknown code"))</f>
        <v/>
      </c>
      <c r="E410" s="66"/>
      <c r="F410" s="64" t="str">
        <f aca="false">IF($C410="","",IFERROR(INDEX(Mat_Unit,MATCH($C410,Mat_Code,0)),""))</f>
        <v/>
      </c>
      <c r="G410" s="70"/>
      <c r="H410" s="63"/>
      <c r="I410" s="63"/>
      <c r="J410" s="63"/>
      <c r="K410" s="16" t="str">
        <f aca="false">IF(AND($A410="",$B410="",$C410="",$E410=""),"",IF($A410="","⚠ Date missing",IF(OR($B410="",$C410=""),"⚠ Site / material missing",IF(COUNTIFS(CI_Site,$B410,CI_Mat,$C410)=0,"⚠ No Current Inventory row for this site + material",IF($G410="","⚠ Status missing",IF(AND($G410="Scheduled",$A410&lt;=AsOfDate),"⚠ Scheduled date reached – mark Received or re-date",IF(AND($G410="Received",$A410&gt;AsOfDate),"Future-dated – added on its date",IF(AND($G410="Received",$A410&lt;SUMIFS(CI_Count,CI_Site,$B410,CI_Mat,$C410)),"Before count date – already in the count","OK"))))))))</f>
        <v/>
      </c>
    </row>
    <row r="411" customFormat="false" ht="15" hidden="false" customHeight="false" outlineLevel="0" collapsed="false">
      <c r="A411" s="65"/>
      <c r="B411" s="63"/>
      <c r="C411" s="70"/>
      <c r="D411" s="16" t="str">
        <f aca="false">IF($C411="","",IFERROR(INDEX(Mat_Short,MATCH($C411,Mat_Code,0)),"⚠ Unknown code"))</f>
        <v/>
      </c>
      <c r="E411" s="66"/>
      <c r="F411" s="64" t="str">
        <f aca="false">IF($C411="","",IFERROR(INDEX(Mat_Unit,MATCH($C411,Mat_Code,0)),""))</f>
        <v/>
      </c>
      <c r="G411" s="70"/>
      <c r="H411" s="63"/>
      <c r="I411" s="63"/>
      <c r="J411" s="63"/>
      <c r="K411" s="16" t="str">
        <f aca="false">IF(AND($A411="",$B411="",$C411="",$E411=""),"",IF($A411="","⚠ Date missing",IF(OR($B411="",$C411=""),"⚠ Site / material missing",IF(COUNTIFS(CI_Site,$B411,CI_Mat,$C411)=0,"⚠ No Current Inventory row for this site + material",IF($G411="","⚠ Status missing",IF(AND($G411="Scheduled",$A411&lt;=AsOfDate),"⚠ Scheduled date reached – mark Received or re-date",IF(AND($G411="Received",$A411&gt;AsOfDate),"Future-dated – added on its date",IF(AND($G411="Received",$A411&lt;SUMIFS(CI_Count,CI_Site,$B411,CI_Mat,$C411)),"Before count date – already in the count","OK"))))))))</f>
        <v/>
      </c>
    </row>
    <row r="412" customFormat="false" ht="15" hidden="false" customHeight="false" outlineLevel="0" collapsed="false">
      <c r="A412" s="65"/>
      <c r="B412" s="63"/>
      <c r="C412" s="70"/>
      <c r="D412" s="16" t="str">
        <f aca="false">IF($C412="","",IFERROR(INDEX(Mat_Short,MATCH($C412,Mat_Code,0)),"⚠ Unknown code"))</f>
        <v/>
      </c>
      <c r="E412" s="66"/>
      <c r="F412" s="64" t="str">
        <f aca="false">IF($C412="","",IFERROR(INDEX(Mat_Unit,MATCH($C412,Mat_Code,0)),""))</f>
        <v/>
      </c>
      <c r="G412" s="70"/>
      <c r="H412" s="63"/>
      <c r="I412" s="63"/>
      <c r="J412" s="63"/>
      <c r="K412" s="16" t="str">
        <f aca="false">IF(AND($A412="",$B412="",$C412="",$E412=""),"",IF($A412="","⚠ Date missing",IF(OR($B412="",$C412=""),"⚠ Site / material missing",IF(COUNTIFS(CI_Site,$B412,CI_Mat,$C412)=0,"⚠ No Current Inventory row for this site + material",IF($G412="","⚠ Status missing",IF(AND($G412="Scheduled",$A412&lt;=AsOfDate),"⚠ Scheduled date reached – mark Received or re-date",IF(AND($G412="Received",$A412&gt;AsOfDate),"Future-dated – added on its date",IF(AND($G412="Received",$A412&lt;SUMIFS(CI_Count,CI_Site,$B412,CI_Mat,$C412)),"Before count date – already in the count","OK"))))))))</f>
        <v/>
      </c>
    </row>
    <row r="413" customFormat="false" ht="15" hidden="false" customHeight="false" outlineLevel="0" collapsed="false">
      <c r="A413" s="65"/>
      <c r="B413" s="63"/>
      <c r="C413" s="70"/>
      <c r="D413" s="16" t="str">
        <f aca="false">IF($C413="","",IFERROR(INDEX(Mat_Short,MATCH($C413,Mat_Code,0)),"⚠ Unknown code"))</f>
        <v/>
      </c>
      <c r="E413" s="66"/>
      <c r="F413" s="64" t="str">
        <f aca="false">IF($C413="","",IFERROR(INDEX(Mat_Unit,MATCH($C413,Mat_Code,0)),""))</f>
        <v/>
      </c>
      <c r="G413" s="70"/>
      <c r="H413" s="63"/>
      <c r="I413" s="63"/>
      <c r="J413" s="63"/>
      <c r="K413" s="16" t="str">
        <f aca="false">IF(AND($A413="",$B413="",$C413="",$E413=""),"",IF($A413="","⚠ Date missing",IF(OR($B413="",$C413=""),"⚠ Site / material missing",IF(COUNTIFS(CI_Site,$B413,CI_Mat,$C413)=0,"⚠ No Current Inventory row for this site + material",IF($G413="","⚠ Status missing",IF(AND($G413="Scheduled",$A413&lt;=AsOfDate),"⚠ Scheduled date reached – mark Received or re-date",IF(AND($G413="Received",$A413&gt;AsOfDate),"Future-dated – added on its date",IF(AND($G413="Received",$A413&lt;SUMIFS(CI_Count,CI_Site,$B413,CI_Mat,$C413)),"Before count date – already in the count","OK"))))))))</f>
        <v/>
      </c>
    </row>
    <row r="414" customFormat="false" ht="15" hidden="false" customHeight="false" outlineLevel="0" collapsed="false">
      <c r="A414" s="65"/>
      <c r="B414" s="63"/>
      <c r="C414" s="70"/>
      <c r="D414" s="16" t="str">
        <f aca="false">IF($C414="","",IFERROR(INDEX(Mat_Short,MATCH($C414,Mat_Code,0)),"⚠ Unknown code"))</f>
        <v/>
      </c>
      <c r="E414" s="66"/>
      <c r="F414" s="64" t="str">
        <f aca="false">IF($C414="","",IFERROR(INDEX(Mat_Unit,MATCH($C414,Mat_Code,0)),""))</f>
        <v/>
      </c>
      <c r="G414" s="70"/>
      <c r="H414" s="63"/>
      <c r="I414" s="63"/>
      <c r="J414" s="63"/>
      <c r="K414" s="16" t="str">
        <f aca="false">IF(AND($A414="",$B414="",$C414="",$E414=""),"",IF($A414="","⚠ Date missing",IF(OR($B414="",$C414=""),"⚠ Site / material missing",IF(COUNTIFS(CI_Site,$B414,CI_Mat,$C414)=0,"⚠ No Current Inventory row for this site + material",IF($G414="","⚠ Status missing",IF(AND($G414="Scheduled",$A414&lt;=AsOfDate),"⚠ Scheduled date reached – mark Received or re-date",IF(AND($G414="Received",$A414&gt;AsOfDate),"Future-dated – added on its date",IF(AND($G414="Received",$A414&lt;SUMIFS(CI_Count,CI_Site,$B414,CI_Mat,$C414)),"Before count date – already in the count","OK"))))))))</f>
        <v/>
      </c>
    </row>
    <row r="415" customFormat="false" ht="15" hidden="false" customHeight="false" outlineLevel="0" collapsed="false">
      <c r="A415" s="65"/>
      <c r="B415" s="63"/>
      <c r="C415" s="70"/>
      <c r="D415" s="16" t="str">
        <f aca="false">IF($C415="","",IFERROR(INDEX(Mat_Short,MATCH($C415,Mat_Code,0)),"⚠ Unknown code"))</f>
        <v/>
      </c>
      <c r="E415" s="66"/>
      <c r="F415" s="64" t="str">
        <f aca="false">IF($C415="","",IFERROR(INDEX(Mat_Unit,MATCH($C415,Mat_Code,0)),""))</f>
        <v/>
      </c>
      <c r="G415" s="70"/>
      <c r="H415" s="63"/>
      <c r="I415" s="63"/>
      <c r="J415" s="63"/>
      <c r="K415" s="16" t="str">
        <f aca="false">IF(AND($A415="",$B415="",$C415="",$E415=""),"",IF($A415="","⚠ Date missing",IF(OR($B415="",$C415=""),"⚠ Site / material missing",IF(COUNTIFS(CI_Site,$B415,CI_Mat,$C415)=0,"⚠ No Current Inventory row for this site + material",IF($G415="","⚠ Status missing",IF(AND($G415="Scheduled",$A415&lt;=AsOfDate),"⚠ Scheduled date reached – mark Received or re-date",IF(AND($G415="Received",$A415&gt;AsOfDate),"Future-dated – added on its date",IF(AND($G415="Received",$A415&lt;SUMIFS(CI_Count,CI_Site,$B415,CI_Mat,$C415)),"Before count date – already in the count","OK"))))))))</f>
        <v/>
      </c>
    </row>
    <row r="416" customFormat="false" ht="15" hidden="false" customHeight="false" outlineLevel="0" collapsed="false">
      <c r="A416" s="65"/>
      <c r="B416" s="63"/>
      <c r="C416" s="70"/>
      <c r="D416" s="16" t="str">
        <f aca="false">IF($C416="","",IFERROR(INDEX(Mat_Short,MATCH($C416,Mat_Code,0)),"⚠ Unknown code"))</f>
        <v/>
      </c>
      <c r="E416" s="66"/>
      <c r="F416" s="64" t="str">
        <f aca="false">IF($C416="","",IFERROR(INDEX(Mat_Unit,MATCH($C416,Mat_Code,0)),""))</f>
        <v/>
      </c>
      <c r="G416" s="70"/>
      <c r="H416" s="63"/>
      <c r="I416" s="63"/>
      <c r="J416" s="63"/>
      <c r="K416" s="16" t="str">
        <f aca="false">IF(AND($A416="",$B416="",$C416="",$E416=""),"",IF($A416="","⚠ Date missing",IF(OR($B416="",$C416=""),"⚠ Site / material missing",IF(COUNTIFS(CI_Site,$B416,CI_Mat,$C416)=0,"⚠ No Current Inventory row for this site + material",IF($G416="","⚠ Status missing",IF(AND($G416="Scheduled",$A416&lt;=AsOfDate),"⚠ Scheduled date reached – mark Received or re-date",IF(AND($G416="Received",$A416&gt;AsOfDate),"Future-dated – added on its date",IF(AND($G416="Received",$A416&lt;SUMIFS(CI_Count,CI_Site,$B416,CI_Mat,$C416)),"Before count date – already in the count","OK"))))))))</f>
        <v/>
      </c>
    </row>
    <row r="417" customFormat="false" ht="15" hidden="false" customHeight="false" outlineLevel="0" collapsed="false">
      <c r="A417" s="65"/>
      <c r="B417" s="63"/>
      <c r="C417" s="70"/>
      <c r="D417" s="16" t="str">
        <f aca="false">IF($C417="","",IFERROR(INDEX(Mat_Short,MATCH($C417,Mat_Code,0)),"⚠ Unknown code"))</f>
        <v/>
      </c>
      <c r="E417" s="66"/>
      <c r="F417" s="64" t="str">
        <f aca="false">IF($C417="","",IFERROR(INDEX(Mat_Unit,MATCH($C417,Mat_Code,0)),""))</f>
        <v/>
      </c>
      <c r="G417" s="70"/>
      <c r="H417" s="63"/>
      <c r="I417" s="63"/>
      <c r="J417" s="63"/>
      <c r="K417" s="16" t="str">
        <f aca="false">IF(AND($A417="",$B417="",$C417="",$E417=""),"",IF($A417="","⚠ Date missing",IF(OR($B417="",$C417=""),"⚠ Site / material missing",IF(COUNTIFS(CI_Site,$B417,CI_Mat,$C417)=0,"⚠ No Current Inventory row for this site + material",IF($G417="","⚠ Status missing",IF(AND($G417="Scheduled",$A417&lt;=AsOfDate),"⚠ Scheduled date reached – mark Received or re-date",IF(AND($G417="Received",$A417&gt;AsOfDate),"Future-dated – added on its date",IF(AND($G417="Received",$A417&lt;SUMIFS(CI_Count,CI_Site,$B417,CI_Mat,$C417)),"Before count date – already in the count","OK"))))))))</f>
        <v/>
      </c>
    </row>
    <row r="418" customFormat="false" ht="15" hidden="false" customHeight="false" outlineLevel="0" collapsed="false">
      <c r="A418" s="65"/>
      <c r="B418" s="63"/>
      <c r="C418" s="70"/>
      <c r="D418" s="16" t="str">
        <f aca="false">IF($C418="","",IFERROR(INDEX(Mat_Short,MATCH($C418,Mat_Code,0)),"⚠ Unknown code"))</f>
        <v/>
      </c>
      <c r="E418" s="66"/>
      <c r="F418" s="64" t="str">
        <f aca="false">IF($C418="","",IFERROR(INDEX(Mat_Unit,MATCH($C418,Mat_Code,0)),""))</f>
        <v/>
      </c>
      <c r="G418" s="70"/>
      <c r="H418" s="63"/>
      <c r="I418" s="63"/>
      <c r="J418" s="63"/>
      <c r="K418" s="16" t="str">
        <f aca="false">IF(AND($A418="",$B418="",$C418="",$E418=""),"",IF($A418="","⚠ Date missing",IF(OR($B418="",$C418=""),"⚠ Site / material missing",IF(COUNTIFS(CI_Site,$B418,CI_Mat,$C418)=0,"⚠ No Current Inventory row for this site + material",IF($G418="","⚠ Status missing",IF(AND($G418="Scheduled",$A418&lt;=AsOfDate),"⚠ Scheduled date reached – mark Received or re-date",IF(AND($G418="Received",$A418&gt;AsOfDate),"Future-dated – added on its date",IF(AND($G418="Received",$A418&lt;SUMIFS(CI_Count,CI_Site,$B418,CI_Mat,$C418)),"Before count date – already in the count","OK"))))))))</f>
        <v/>
      </c>
    </row>
    <row r="419" customFormat="false" ht="15" hidden="false" customHeight="false" outlineLevel="0" collapsed="false">
      <c r="A419" s="65"/>
      <c r="B419" s="63"/>
      <c r="C419" s="70"/>
      <c r="D419" s="16" t="str">
        <f aca="false">IF($C419="","",IFERROR(INDEX(Mat_Short,MATCH($C419,Mat_Code,0)),"⚠ Unknown code"))</f>
        <v/>
      </c>
      <c r="E419" s="66"/>
      <c r="F419" s="64" t="str">
        <f aca="false">IF($C419="","",IFERROR(INDEX(Mat_Unit,MATCH($C419,Mat_Code,0)),""))</f>
        <v/>
      </c>
      <c r="G419" s="70"/>
      <c r="H419" s="63"/>
      <c r="I419" s="63"/>
      <c r="J419" s="63"/>
      <c r="K419" s="16" t="str">
        <f aca="false">IF(AND($A419="",$B419="",$C419="",$E419=""),"",IF($A419="","⚠ Date missing",IF(OR($B419="",$C419=""),"⚠ Site / material missing",IF(COUNTIFS(CI_Site,$B419,CI_Mat,$C419)=0,"⚠ No Current Inventory row for this site + material",IF($G419="","⚠ Status missing",IF(AND($G419="Scheduled",$A419&lt;=AsOfDate),"⚠ Scheduled date reached – mark Received or re-date",IF(AND($G419="Received",$A419&gt;AsOfDate),"Future-dated – added on its date",IF(AND($G419="Received",$A419&lt;SUMIFS(CI_Count,CI_Site,$B419,CI_Mat,$C419)),"Before count date – already in the count","OK"))))))))</f>
        <v/>
      </c>
    </row>
    <row r="420" customFormat="false" ht="15" hidden="false" customHeight="false" outlineLevel="0" collapsed="false">
      <c r="A420" s="65"/>
      <c r="B420" s="63"/>
      <c r="C420" s="70"/>
      <c r="D420" s="16" t="str">
        <f aca="false">IF($C420="","",IFERROR(INDEX(Mat_Short,MATCH($C420,Mat_Code,0)),"⚠ Unknown code"))</f>
        <v/>
      </c>
      <c r="E420" s="66"/>
      <c r="F420" s="64" t="str">
        <f aca="false">IF($C420="","",IFERROR(INDEX(Mat_Unit,MATCH($C420,Mat_Code,0)),""))</f>
        <v/>
      </c>
      <c r="G420" s="70"/>
      <c r="H420" s="63"/>
      <c r="I420" s="63"/>
      <c r="J420" s="63"/>
      <c r="K420" s="16" t="str">
        <f aca="false">IF(AND($A420="",$B420="",$C420="",$E420=""),"",IF($A420="","⚠ Date missing",IF(OR($B420="",$C420=""),"⚠ Site / material missing",IF(COUNTIFS(CI_Site,$B420,CI_Mat,$C420)=0,"⚠ No Current Inventory row for this site + material",IF($G420="","⚠ Status missing",IF(AND($G420="Scheduled",$A420&lt;=AsOfDate),"⚠ Scheduled date reached – mark Received or re-date",IF(AND($G420="Received",$A420&gt;AsOfDate),"Future-dated – added on its date",IF(AND($G420="Received",$A420&lt;SUMIFS(CI_Count,CI_Site,$B420,CI_Mat,$C420)),"Before count date – already in the count","OK"))))))))</f>
        <v/>
      </c>
    </row>
    <row r="421" customFormat="false" ht="15" hidden="false" customHeight="false" outlineLevel="0" collapsed="false">
      <c r="A421" s="65"/>
      <c r="B421" s="63"/>
      <c r="C421" s="70"/>
      <c r="D421" s="16" t="str">
        <f aca="false">IF($C421="","",IFERROR(INDEX(Mat_Short,MATCH($C421,Mat_Code,0)),"⚠ Unknown code"))</f>
        <v/>
      </c>
      <c r="E421" s="66"/>
      <c r="F421" s="64" t="str">
        <f aca="false">IF($C421="","",IFERROR(INDEX(Mat_Unit,MATCH($C421,Mat_Code,0)),""))</f>
        <v/>
      </c>
      <c r="G421" s="70"/>
      <c r="H421" s="63"/>
      <c r="I421" s="63"/>
      <c r="J421" s="63"/>
      <c r="K421" s="16" t="str">
        <f aca="false">IF(AND($A421="",$B421="",$C421="",$E421=""),"",IF($A421="","⚠ Date missing",IF(OR($B421="",$C421=""),"⚠ Site / material missing",IF(COUNTIFS(CI_Site,$B421,CI_Mat,$C421)=0,"⚠ No Current Inventory row for this site + material",IF($G421="","⚠ Status missing",IF(AND($G421="Scheduled",$A421&lt;=AsOfDate),"⚠ Scheduled date reached – mark Received or re-date",IF(AND($G421="Received",$A421&gt;AsOfDate),"Future-dated – added on its date",IF(AND($G421="Received",$A421&lt;SUMIFS(CI_Count,CI_Site,$B421,CI_Mat,$C421)),"Before count date – already in the count","OK"))))))))</f>
        <v/>
      </c>
    </row>
    <row r="422" customFormat="false" ht="15" hidden="false" customHeight="false" outlineLevel="0" collapsed="false">
      <c r="A422" s="65"/>
      <c r="B422" s="63"/>
      <c r="C422" s="70"/>
      <c r="D422" s="16" t="str">
        <f aca="false">IF($C422="","",IFERROR(INDEX(Mat_Short,MATCH($C422,Mat_Code,0)),"⚠ Unknown code"))</f>
        <v/>
      </c>
      <c r="E422" s="66"/>
      <c r="F422" s="64" t="str">
        <f aca="false">IF($C422="","",IFERROR(INDEX(Mat_Unit,MATCH($C422,Mat_Code,0)),""))</f>
        <v/>
      </c>
      <c r="G422" s="70"/>
      <c r="H422" s="63"/>
      <c r="I422" s="63"/>
      <c r="J422" s="63"/>
      <c r="K422" s="16" t="str">
        <f aca="false">IF(AND($A422="",$B422="",$C422="",$E422=""),"",IF($A422="","⚠ Date missing",IF(OR($B422="",$C422=""),"⚠ Site / material missing",IF(COUNTIFS(CI_Site,$B422,CI_Mat,$C422)=0,"⚠ No Current Inventory row for this site + material",IF($G422="","⚠ Status missing",IF(AND($G422="Scheduled",$A422&lt;=AsOfDate),"⚠ Scheduled date reached – mark Received or re-date",IF(AND($G422="Received",$A422&gt;AsOfDate),"Future-dated – added on its date",IF(AND($G422="Received",$A422&lt;SUMIFS(CI_Count,CI_Site,$B422,CI_Mat,$C422)),"Before count date – already in the count","OK"))))))))</f>
        <v/>
      </c>
    </row>
    <row r="423" customFormat="false" ht="15" hidden="false" customHeight="false" outlineLevel="0" collapsed="false">
      <c r="A423" s="65"/>
      <c r="B423" s="63"/>
      <c r="C423" s="70"/>
      <c r="D423" s="16" t="str">
        <f aca="false">IF($C423="","",IFERROR(INDEX(Mat_Short,MATCH($C423,Mat_Code,0)),"⚠ Unknown code"))</f>
        <v/>
      </c>
      <c r="E423" s="66"/>
      <c r="F423" s="64" t="str">
        <f aca="false">IF($C423="","",IFERROR(INDEX(Mat_Unit,MATCH($C423,Mat_Code,0)),""))</f>
        <v/>
      </c>
      <c r="G423" s="70"/>
      <c r="H423" s="63"/>
      <c r="I423" s="63"/>
      <c r="J423" s="63"/>
      <c r="K423" s="16" t="str">
        <f aca="false">IF(AND($A423="",$B423="",$C423="",$E423=""),"",IF($A423="","⚠ Date missing",IF(OR($B423="",$C423=""),"⚠ Site / material missing",IF(COUNTIFS(CI_Site,$B423,CI_Mat,$C423)=0,"⚠ No Current Inventory row for this site + material",IF($G423="","⚠ Status missing",IF(AND($G423="Scheduled",$A423&lt;=AsOfDate),"⚠ Scheduled date reached – mark Received or re-date",IF(AND($G423="Received",$A423&gt;AsOfDate),"Future-dated – added on its date",IF(AND($G423="Received",$A423&lt;SUMIFS(CI_Count,CI_Site,$B423,CI_Mat,$C423)),"Before count date – already in the count","OK"))))))))</f>
        <v/>
      </c>
    </row>
    <row r="424" customFormat="false" ht="15" hidden="false" customHeight="false" outlineLevel="0" collapsed="false">
      <c r="A424" s="65"/>
      <c r="B424" s="63"/>
      <c r="C424" s="70"/>
      <c r="D424" s="16" t="str">
        <f aca="false">IF($C424="","",IFERROR(INDEX(Mat_Short,MATCH($C424,Mat_Code,0)),"⚠ Unknown code"))</f>
        <v/>
      </c>
      <c r="E424" s="66"/>
      <c r="F424" s="64" t="str">
        <f aca="false">IF($C424="","",IFERROR(INDEX(Mat_Unit,MATCH($C424,Mat_Code,0)),""))</f>
        <v/>
      </c>
      <c r="G424" s="70"/>
      <c r="H424" s="63"/>
      <c r="I424" s="63"/>
      <c r="J424" s="63"/>
      <c r="K424" s="16" t="str">
        <f aca="false">IF(AND($A424="",$B424="",$C424="",$E424=""),"",IF($A424="","⚠ Date missing",IF(OR($B424="",$C424=""),"⚠ Site / material missing",IF(COUNTIFS(CI_Site,$B424,CI_Mat,$C424)=0,"⚠ No Current Inventory row for this site + material",IF($G424="","⚠ Status missing",IF(AND($G424="Scheduled",$A424&lt;=AsOfDate),"⚠ Scheduled date reached – mark Received or re-date",IF(AND($G424="Received",$A424&gt;AsOfDate),"Future-dated – added on its date",IF(AND($G424="Received",$A424&lt;SUMIFS(CI_Count,CI_Site,$B424,CI_Mat,$C424)),"Before count date – already in the count","OK"))))))))</f>
        <v/>
      </c>
    </row>
    <row r="425" customFormat="false" ht="15" hidden="false" customHeight="false" outlineLevel="0" collapsed="false">
      <c r="A425" s="65"/>
      <c r="B425" s="63"/>
      <c r="C425" s="70"/>
      <c r="D425" s="16" t="str">
        <f aca="false">IF($C425="","",IFERROR(INDEX(Mat_Short,MATCH($C425,Mat_Code,0)),"⚠ Unknown code"))</f>
        <v/>
      </c>
      <c r="E425" s="66"/>
      <c r="F425" s="64" t="str">
        <f aca="false">IF($C425="","",IFERROR(INDEX(Mat_Unit,MATCH($C425,Mat_Code,0)),""))</f>
        <v/>
      </c>
      <c r="G425" s="70"/>
      <c r="H425" s="63"/>
      <c r="I425" s="63"/>
      <c r="J425" s="63"/>
      <c r="K425" s="16" t="str">
        <f aca="false">IF(AND($A425="",$B425="",$C425="",$E425=""),"",IF($A425="","⚠ Date missing",IF(OR($B425="",$C425=""),"⚠ Site / material missing",IF(COUNTIFS(CI_Site,$B425,CI_Mat,$C425)=0,"⚠ No Current Inventory row for this site + material",IF($G425="","⚠ Status missing",IF(AND($G425="Scheduled",$A425&lt;=AsOfDate),"⚠ Scheduled date reached – mark Received or re-date",IF(AND($G425="Received",$A425&gt;AsOfDate),"Future-dated – added on its date",IF(AND($G425="Received",$A425&lt;SUMIFS(CI_Count,CI_Site,$B425,CI_Mat,$C425)),"Before count date – already in the count","OK"))))))))</f>
        <v/>
      </c>
    </row>
    <row r="426" customFormat="false" ht="15" hidden="false" customHeight="false" outlineLevel="0" collapsed="false">
      <c r="A426" s="65"/>
      <c r="B426" s="63"/>
      <c r="C426" s="70"/>
      <c r="D426" s="16" t="str">
        <f aca="false">IF($C426="","",IFERROR(INDEX(Mat_Short,MATCH($C426,Mat_Code,0)),"⚠ Unknown code"))</f>
        <v/>
      </c>
      <c r="E426" s="66"/>
      <c r="F426" s="64" t="str">
        <f aca="false">IF($C426="","",IFERROR(INDEX(Mat_Unit,MATCH($C426,Mat_Code,0)),""))</f>
        <v/>
      </c>
      <c r="G426" s="70"/>
      <c r="H426" s="63"/>
      <c r="I426" s="63"/>
      <c r="J426" s="63"/>
      <c r="K426" s="16" t="str">
        <f aca="false">IF(AND($A426="",$B426="",$C426="",$E426=""),"",IF($A426="","⚠ Date missing",IF(OR($B426="",$C426=""),"⚠ Site / material missing",IF(COUNTIFS(CI_Site,$B426,CI_Mat,$C426)=0,"⚠ No Current Inventory row for this site + material",IF($G426="","⚠ Status missing",IF(AND($G426="Scheduled",$A426&lt;=AsOfDate),"⚠ Scheduled date reached – mark Received or re-date",IF(AND($G426="Received",$A426&gt;AsOfDate),"Future-dated – added on its date",IF(AND($G426="Received",$A426&lt;SUMIFS(CI_Count,CI_Site,$B426,CI_Mat,$C426)),"Before count date – already in the count","OK"))))))))</f>
        <v/>
      </c>
    </row>
    <row r="427" customFormat="false" ht="15" hidden="false" customHeight="false" outlineLevel="0" collapsed="false">
      <c r="A427" s="65"/>
      <c r="B427" s="63"/>
      <c r="C427" s="70"/>
      <c r="D427" s="16" t="str">
        <f aca="false">IF($C427="","",IFERROR(INDEX(Mat_Short,MATCH($C427,Mat_Code,0)),"⚠ Unknown code"))</f>
        <v/>
      </c>
      <c r="E427" s="66"/>
      <c r="F427" s="64" t="str">
        <f aca="false">IF($C427="","",IFERROR(INDEX(Mat_Unit,MATCH($C427,Mat_Code,0)),""))</f>
        <v/>
      </c>
      <c r="G427" s="70"/>
      <c r="H427" s="63"/>
      <c r="I427" s="63"/>
      <c r="J427" s="63"/>
      <c r="K427" s="16" t="str">
        <f aca="false">IF(AND($A427="",$B427="",$C427="",$E427=""),"",IF($A427="","⚠ Date missing",IF(OR($B427="",$C427=""),"⚠ Site / material missing",IF(COUNTIFS(CI_Site,$B427,CI_Mat,$C427)=0,"⚠ No Current Inventory row for this site + material",IF($G427="","⚠ Status missing",IF(AND($G427="Scheduled",$A427&lt;=AsOfDate),"⚠ Scheduled date reached – mark Received or re-date",IF(AND($G427="Received",$A427&gt;AsOfDate),"Future-dated – added on its date",IF(AND($G427="Received",$A427&lt;SUMIFS(CI_Count,CI_Site,$B427,CI_Mat,$C427)),"Before count date – already in the count","OK"))))))))</f>
        <v/>
      </c>
    </row>
    <row r="428" customFormat="false" ht="15" hidden="false" customHeight="false" outlineLevel="0" collapsed="false">
      <c r="A428" s="65"/>
      <c r="B428" s="63"/>
      <c r="C428" s="70"/>
      <c r="D428" s="16" t="str">
        <f aca="false">IF($C428="","",IFERROR(INDEX(Mat_Short,MATCH($C428,Mat_Code,0)),"⚠ Unknown code"))</f>
        <v/>
      </c>
      <c r="E428" s="66"/>
      <c r="F428" s="64" t="str">
        <f aca="false">IF($C428="","",IFERROR(INDEX(Mat_Unit,MATCH($C428,Mat_Code,0)),""))</f>
        <v/>
      </c>
      <c r="G428" s="70"/>
      <c r="H428" s="63"/>
      <c r="I428" s="63"/>
      <c r="J428" s="63"/>
      <c r="K428" s="16" t="str">
        <f aca="false">IF(AND($A428="",$B428="",$C428="",$E428=""),"",IF($A428="","⚠ Date missing",IF(OR($B428="",$C428=""),"⚠ Site / material missing",IF(COUNTIFS(CI_Site,$B428,CI_Mat,$C428)=0,"⚠ No Current Inventory row for this site + material",IF($G428="","⚠ Status missing",IF(AND($G428="Scheduled",$A428&lt;=AsOfDate),"⚠ Scheduled date reached – mark Received or re-date",IF(AND($G428="Received",$A428&gt;AsOfDate),"Future-dated – added on its date",IF(AND($G428="Received",$A428&lt;SUMIFS(CI_Count,CI_Site,$B428,CI_Mat,$C428)),"Before count date – already in the count","OK"))))))))</f>
        <v/>
      </c>
    </row>
    <row r="429" customFormat="false" ht="15" hidden="false" customHeight="false" outlineLevel="0" collapsed="false">
      <c r="A429" s="65"/>
      <c r="B429" s="63"/>
      <c r="C429" s="70"/>
      <c r="D429" s="16" t="str">
        <f aca="false">IF($C429="","",IFERROR(INDEX(Mat_Short,MATCH($C429,Mat_Code,0)),"⚠ Unknown code"))</f>
        <v/>
      </c>
      <c r="E429" s="66"/>
      <c r="F429" s="64" t="str">
        <f aca="false">IF($C429="","",IFERROR(INDEX(Mat_Unit,MATCH($C429,Mat_Code,0)),""))</f>
        <v/>
      </c>
      <c r="G429" s="70"/>
      <c r="H429" s="63"/>
      <c r="I429" s="63"/>
      <c r="J429" s="63"/>
      <c r="K429" s="16" t="str">
        <f aca="false">IF(AND($A429="",$B429="",$C429="",$E429=""),"",IF($A429="","⚠ Date missing",IF(OR($B429="",$C429=""),"⚠ Site / material missing",IF(COUNTIFS(CI_Site,$B429,CI_Mat,$C429)=0,"⚠ No Current Inventory row for this site + material",IF($G429="","⚠ Status missing",IF(AND($G429="Scheduled",$A429&lt;=AsOfDate),"⚠ Scheduled date reached – mark Received or re-date",IF(AND($G429="Received",$A429&gt;AsOfDate),"Future-dated – added on its date",IF(AND($G429="Received",$A429&lt;SUMIFS(CI_Count,CI_Site,$B429,CI_Mat,$C429)),"Before count date – already in the count","OK"))))))))</f>
        <v/>
      </c>
    </row>
    <row r="430" customFormat="false" ht="15" hidden="false" customHeight="false" outlineLevel="0" collapsed="false">
      <c r="A430" s="65"/>
      <c r="B430" s="63"/>
      <c r="C430" s="70"/>
      <c r="D430" s="16" t="str">
        <f aca="false">IF($C430="","",IFERROR(INDEX(Mat_Short,MATCH($C430,Mat_Code,0)),"⚠ Unknown code"))</f>
        <v/>
      </c>
      <c r="E430" s="66"/>
      <c r="F430" s="64" t="str">
        <f aca="false">IF($C430="","",IFERROR(INDEX(Mat_Unit,MATCH($C430,Mat_Code,0)),""))</f>
        <v/>
      </c>
      <c r="G430" s="70"/>
      <c r="H430" s="63"/>
      <c r="I430" s="63"/>
      <c r="J430" s="63"/>
      <c r="K430" s="16" t="str">
        <f aca="false">IF(AND($A430="",$B430="",$C430="",$E430=""),"",IF($A430="","⚠ Date missing",IF(OR($B430="",$C430=""),"⚠ Site / material missing",IF(COUNTIFS(CI_Site,$B430,CI_Mat,$C430)=0,"⚠ No Current Inventory row for this site + material",IF($G430="","⚠ Status missing",IF(AND($G430="Scheduled",$A430&lt;=AsOfDate),"⚠ Scheduled date reached – mark Received or re-date",IF(AND($G430="Received",$A430&gt;AsOfDate),"Future-dated – added on its date",IF(AND($G430="Received",$A430&lt;SUMIFS(CI_Count,CI_Site,$B430,CI_Mat,$C430)),"Before count date – already in the count","OK"))))))))</f>
        <v/>
      </c>
    </row>
    <row r="431" customFormat="false" ht="15" hidden="false" customHeight="false" outlineLevel="0" collapsed="false">
      <c r="A431" s="65"/>
      <c r="B431" s="63"/>
      <c r="C431" s="70"/>
      <c r="D431" s="16" t="str">
        <f aca="false">IF($C431="","",IFERROR(INDEX(Mat_Short,MATCH($C431,Mat_Code,0)),"⚠ Unknown code"))</f>
        <v/>
      </c>
      <c r="E431" s="66"/>
      <c r="F431" s="64" t="str">
        <f aca="false">IF($C431="","",IFERROR(INDEX(Mat_Unit,MATCH($C431,Mat_Code,0)),""))</f>
        <v/>
      </c>
      <c r="G431" s="70"/>
      <c r="H431" s="63"/>
      <c r="I431" s="63"/>
      <c r="J431" s="63"/>
      <c r="K431" s="16" t="str">
        <f aca="false">IF(AND($A431="",$B431="",$C431="",$E431=""),"",IF($A431="","⚠ Date missing",IF(OR($B431="",$C431=""),"⚠ Site / material missing",IF(COUNTIFS(CI_Site,$B431,CI_Mat,$C431)=0,"⚠ No Current Inventory row for this site + material",IF($G431="","⚠ Status missing",IF(AND($G431="Scheduled",$A431&lt;=AsOfDate),"⚠ Scheduled date reached – mark Received or re-date",IF(AND($G431="Received",$A431&gt;AsOfDate),"Future-dated – added on its date",IF(AND($G431="Received",$A431&lt;SUMIFS(CI_Count,CI_Site,$B431,CI_Mat,$C431)),"Before count date – already in the count","OK"))))))))</f>
        <v/>
      </c>
    </row>
    <row r="432" customFormat="false" ht="15" hidden="false" customHeight="false" outlineLevel="0" collapsed="false">
      <c r="A432" s="65"/>
      <c r="B432" s="63"/>
      <c r="C432" s="70"/>
      <c r="D432" s="16" t="str">
        <f aca="false">IF($C432="","",IFERROR(INDEX(Mat_Short,MATCH($C432,Mat_Code,0)),"⚠ Unknown code"))</f>
        <v/>
      </c>
      <c r="E432" s="66"/>
      <c r="F432" s="64" t="str">
        <f aca="false">IF($C432="","",IFERROR(INDEX(Mat_Unit,MATCH($C432,Mat_Code,0)),""))</f>
        <v/>
      </c>
      <c r="G432" s="70"/>
      <c r="H432" s="63"/>
      <c r="I432" s="63"/>
      <c r="J432" s="63"/>
      <c r="K432" s="16" t="str">
        <f aca="false">IF(AND($A432="",$B432="",$C432="",$E432=""),"",IF($A432="","⚠ Date missing",IF(OR($B432="",$C432=""),"⚠ Site / material missing",IF(COUNTIFS(CI_Site,$B432,CI_Mat,$C432)=0,"⚠ No Current Inventory row for this site + material",IF($G432="","⚠ Status missing",IF(AND($G432="Scheduled",$A432&lt;=AsOfDate),"⚠ Scheduled date reached – mark Received or re-date",IF(AND($G432="Received",$A432&gt;AsOfDate),"Future-dated – added on its date",IF(AND($G432="Received",$A432&lt;SUMIFS(CI_Count,CI_Site,$B432,CI_Mat,$C432)),"Before count date – already in the count","OK"))))))))</f>
        <v/>
      </c>
    </row>
    <row r="433" customFormat="false" ht="15" hidden="false" customHeight="false" outlineLevel="0" collapsed="false">
      <c r="A433" s="65"/>
      <c r="B433" s="63"/>
      <c r="C433" s="70"/>
      <c r="D433" s="16" t="str">
        <f aca="false">IF($C433="","",IFERROR(INDEX(Mat_Short,MATCH($C433,Mat_Code,0)),"⚠ Unknown code"))</f>
        <v/>
      </c>
      <c r="E433" s="66"/>
      <c r="F433" s="64" t="str">
        <f aca="false">IF($C433="","",IFERROR(INDEX(Mat_Unit,MATCH($C433,Mat_Code,0)),""))</f>
        <v/>
      </c>
      <c r="G433" s="70"/>
      <c r="H433" s="63"/>
      <c r="I433" s="63"/>
      <c r="J433" s="63"/>
      <c r="K433" s="16" t="str">
        <f aca="false">IF(AND($A433="",$B433="",$C433="",$E433=""),"",IF($A433="","⚠ Date missing",IF(OR($B433="",$C433=""),"⚠ Site / material missing",IF(COUNTIFS(CI_Site,$B433,CI_Mat,$C433)=0,"⚠ No Current Inventory row for this site + material",IF($G433="","⚠ Status missing",IF(AND($G433="Scheduled",$A433&lt;=AsOfDate),"⚠ Scheduled date reached – mark Received or re-date",IF(AND($G433="Received",$A433&gt;AsOfDate),"Future-dated – added on its date",IF(AND($G433="Received",$A433&lt;SUMIFS(CI_Count,CI_Site,$B433,CI_Mat,$C433)),"Before count date – already in the count","OK"))))))))</f>
        <v/>
      </c>
    </row>
    <row r="434" customFormat="false" ht="15" hidden="false" customHeight="false" outlineLevel="0" collapsed="false">
      <c r="A434" s="65"/>
      <c r="B434" s="63"/>
      <c r="C434" s="70"/>
      <c r="D434" s="16" t="str">
        <f aca="false">IF($C434="","",IFERROR(INDEX(Mat_Short,MATCH($C434,Mat_Code,0)),"⚠ Unknown code"))</f>
        <v/>
      </c>
      <c r="E434" s="66"/>
      <c r="F434" s="64" t="str">
        <f aca="false">IF($C434="","",IFERROR(INDEX(Mat_Unit,MATCH($C434,Mat_Code,0)),""))</f>
        <v/>
      </c>
      <c r="G434" s="70"/>
      <c r="H434" s="63"/>
      <c r="I434" s="63"/>
      <c r="J434" s="63"/>
      <c r="K434" s="16" t="str">
        <f aca="false">IF(AND($A434="",$B434="",$C434="",$E434=""),"",IF($A434="","⚠ Date missing",IF(OR($B434="",$C434=""),"⚠ Site / material missing",IF(COUNTIFS(CI_Site,$B434,CI_Mat,$C434)=0,"⚠ No Current Inventory row for this site + material",IF($G434="","⚠ Status missing",IF(AND($G434="Scheduled",$A434&lt;=AsOfDate),"⚠ Scheduled date reached – mark Received or re-date",IF(AND($G434="Received",$A434&gt;AsOfDate),"Future-dated – added on its date",IF(AND($G434="Received",$A434&lt;SUMIFS(CI_Count,CI_Site,$B434,CI_Mat,$C434)),"Before count date – already in the count","OK"))))))))</f>
        <v/>
      </c>
    </row>
    <row r="435" customFormat="false" ht="15" hidden="false" customHeight="false" outlineLevel="0" collapsed="false">
      <c r="A435" s="65"/>
      <c r="B435" s="63"/>
      <c r="C435" s="70"/>
      <c r="D435" s="16" t="str">
        <f aca="false">IF($C435="","",IFERROR(INDEX(Mat_Short,MATCH($C435,Mat_Code,0)),"⚠ Unknown code"))</f>
        <v/>
      </c>
      <c r="E435" s="66"/>
      <c r="F435" s="64" t="str">
        <f aca="false">IF($C435="","",IFERROR(INDEX(Mat_Unit,MATCH($C435,Mat_Code,0)),""))</f>
        <v/>
      </c>
      <c r="G435" s="70"/>
      <c r="H435" s="63"/>
      <c r="I435" s="63"/>
      <c r="J435" s="63"/>
      <c r="K435" s="16" t="str">
        <f aca="false">IF(AND($A435="",$B435="",$C435="",$E435=""),"",IF($A435="","⚠ Date missing",IF(OR($B435="",$C435=""),"⚠ Site / material missing",IF(COUNTIFS(CI_Site,$B435,CI_Mat,$C435)=0,"⚠ No Current Inventory row for this site + material",IF($G435="","⚠ Status missing",IF(AND($G435="Scheduled",$A435&lt;=AsOfDate),"⚠ Scheduled date reached – mark Received or re-date",IF(AND($G435="Received",$A435&gt;AsOfDate),"Future-dated – added on its date",IF(AND($G435="Received",$A435&lt;SUMIFS(CI_Count,CI_Site,$B435,CI_Mat,$C435)),"Before count date – already in the count","OK"))))))))</f>
        <v/>
      </c>
    </row>
    <row r="436" customFormat="false" ht="15" hidden="false" customHeight="false" outlineLevel="0" collapsed="false">
      <c r="A436" s="65"/>
      <c r="B436" s="63"/>
      <c r="C436" s="70"/>
      <c r="D436" s="16" t="str">
        <f aca="false">IF($C436="","",IFERROR(INDEX(Mat_Short,MATCH($C436,Mat_Code,0)),"⚠ Unknown code"))</f>
        <v/>
      </c>
      <c r="E436" s="66"/>
      <c r="F436" s="64" t="str">
        <f aca="false">IF($C436="","",IFERROR(INDEX(Mat_Unit,MATCH($C436,Mat_Code,0)),""))</f>
        <v/>
      </c>
      <c r="G436" s="70"/>
      <c r="H436" s="63"/>
      <c r="I436" s="63"/>
      <c r="J436" s="63"/>
      <c r="K436" s="16" t="str">
        <f aca="false">IF(AND($A436="",$B436="",$C436="",$E436=""),"",IF($A436="","⚠ Date missing",IF(OR($B436="",$C436=""),"⚠ Site / material missing",IF(COUNTIFS(CI_Site,$B436,CI_Mat,$C436)=0,"⚠ No Current Inventory row for this site + material",IF($G436="","⚠ Status missing",IF(AND($G436="Scheduled",$A436&lt;=AsOfDate),"⚠ Scheduled date reached – mark Received or re-date",IF(AND($G436="Received",$A436&gt;AsOfDate),"Future-dated – added on its date",IF(AND($G436="Received",$A436&lt;SUMIFS(CI_Count,CI_Site,$B436,CI_Mat,$C436)),"Before count date – already in the count","OK"))))))))</f>
        <v/>
      </c>
    </row>
    <row r="437" customFormat="false" ht="15" hidden="false" customHeight="false" outlineLevel="0" collapsed="false">
      <c r="A437" s="65"/>
      <c r="B437" s="63"/>
      <c r="C437" s="70"/>
      <c r="D437" s="16" t="str">
        <f aca="false">IF($C437="","",IFERROR(INDEX(Mat_Short,MATCH($C437,Mat_Code,0)),"⚠ Unknown code"))</f>
        <v/>
      </c>
      <c r="E437" s="66"/>
      <c r="F437" s="64" t="str">
        <f aca="false">IF($C437="","",IFERROR(INDEX(Mat_Unit,MATCH($C437,Mat_Code,0)),""))</f>
        <v/>
      </c>
      <c r="G437" s="70"/>
      <c r="H437" s="63"/>
      <c r="I437" s="63"/>
      <c r="J437" s="63"/>
      <c r="K437" s="16" t="str">
        <f aca="false">IF(AND($A437="",$B437="",$C437="",$E437=""),"",IF($A437="","⚠ Date missing",IF(OR($B437="",$C437=""),"⚠ Site / material missing",IF(COUNTIFS(CI_Site,$B437,CI_Mat,$C437)=0,"⚠ No Current Inventory row for this site + material",IF($G437="","⚠ Status missing",IF(AND($G437="Scheduled",$A437&lt;=AsOfDate),"⚠ Scheduled date reached – mark Received or re-date",IF(AND($G437="Received",$A437&gt;AsOfDate),"Future-dated – added on its date",IF(AND($G437="Received",$A437&lt;SUMIFS(CI_Count,CI_Site,$B437,CI_Mat,$C437)),"Before count date – already in the count","OK"))))))))</f>
        <v/>
      </c>
    </row>
    <row r="438" customFormat="false" ht="15" hidden="false" customHeight="false" outlineLevel="0" collapsed="false">
      <c r="A438" s="65"/>
      <c r="B438" s="63"/>
      <c r="C438" s="70"/>
      <c r="D438" s="16" t="str">
        <f aca="false">IF($C438="","",IFERROR(INDEX(Mat_Short,MATCH($C438,Mat_Code,0)),"⚠ Unknown code"))</f>
        <v/>
      </c>
      <c r="E438" s="66"/>
      <c r="F438" s="64" t="str">
        <f aca="false">IF($C438="","",IFERROR(INDEX(Mat_Unit,MATCH($C438,Mat_Code,0)),""))</f>
        <v/>
      </c>
      <c r="G438" s="70"/>
      <c r="H438" s="63"/>
      <c r="I438" s="63"/>
      <c r="J438" s="63"/>
      <c r="K438" s="16" t="str">
        <f aca="false">IF(AND($A438="",$B438="",$C438="",$E438=""),"",IF($A438="","⚠ Date missing",IF(OR($B438="",$C438=""),"⚠ Site / material missing",IF(COUNTIFS(CI_Site,$B438,CI_Mat,$C438)=0,"⚠ No Current Inventory row for this site + material",IF($G438="","⚠ Status missing",IF(AND($G438="Scheduled",$A438&lt;=AsOfDate),"⚠ Scheduled date reached – mark Received or re-date",IF(AND($G438="Received",$A438&gt;AsOfDate),"Future-dated – added on its date",IF(AND($G438="Received",$A438&lt;SUMIFS(CI_Count,CI_Site,$B438,CI_Mat,$C438)),"Before count date – already in the count","OK"))))))))</f>
        <v/>
      </c>
    </row>
    <row r="439" customFormat="false" ht="15" hidden="false" customHeight="false" outlineLevel="0" collapsed="false">
      <c r="A439" s="65"/>
      <c r="B439" s="63"/>
      <c r="C439" s="70"/>
      <c r="D439" s="16" t="str">
        <f aca="false">IF($C439="","",IFERROR(INDEX(Mat_Short,MATCH($C439,Mat_Code,0)),"⚠ Unknown code"))</f>
        <v/>
      </c>
      <c r="E439" s="66"/>
      <c r="F439" s="64" t="str">
        <f aca="false">IF($C439="","",IFERROR(INDEX(Mat_Unit,MATCH($C439,Mat_Code,0)),""))</f>
        <v/>
      </c>
      <c r="G439" s="70"/>
      <c r="H439" s="63"/>
      <c r="I439" s="63"/>
      <c r="J439" s="63"/>
      <c r="K439" s="16" t="str">
        <f aca="false">IF(AND($A439="",$B439="",$C439="",$E439=""),"",IF($A439="","⚠ Date missing",IF(OR($B439="",$C439=""),"⚠ Site / material missing",IF(COUNTIFS(CI_Site,$B439,CI_Mat,$C439)=0,"⚠ No Current Inventory row for this site + material",IF($G439="","⚠ Status missing",IF(AND($G439="Scheduled",$A439&lt;=AsOfDate),"⚠ Scheduled date reached – mark Received or re-date",IF(AND($G439="Received",$A439&gt;AsOfDate),"Future-dated – added on its date",IF(AND($G439="Received",$A439&lt;SUMIFS(CI_Count,CI_Site,$B439,CI_Mat,$C439)),"Before count date – already in the count","OK"))))))))</f>
        <v/>
      </c>
    </row>
    <row r="440" customFormat="false" ht="15" hidden="false" customHeight="false" outlineLevel="0" collapsed="false">
      <c r="A440" s="65"/>
      <c r="B440" s="63"/>
      <c r="C440" s="70"/>
      <c r="D440" s="16" t="str">
        <f aca="false">IF($C440="","",IFERROR(INDEX(Mat_Short,MATCH($C440,Mat_Code,0)),"⚠ Unknown code"))</f>
        <v/>
      </c>
      <c r="E440" s="66"/>
      <c r="F440" s="64" t="str">
        <f aca="false">IF($C440="","",IFERROR(INDEX(Mat_Unit,MATCH($C440,Mat_Code,0)),""))</f>
        <v/>
      </c>
      <c r="G440" s="70"/>
      <c r="H440" s="63"/>
      <c r="I440" s="63"/>
      <c r="J440" s="63"/>
      <c r="K440" s="16" t="str">
        <f aca="false">IF(AND($A440="",$B440="",$C440="",$E440=""),"",IF($A440="","⚠ Date missing",IF(OR($B440="",$C440=""),"⚠ Site / material missing",IF(COUNTIFS(CI_Site,$B440,CI_Mat,$C440)=0,"⚠ No Current Inventory row for this site + material",IF($G440="","⚠ Status missing",IF(AND($G440="Scheduled",$A440&lt;=AsOfDate),"⚠ Scheduled date reached – mark Received or re-date",IF(AND($G440="Received",$A440&gt;AsOfDate),"Future-dated – added on its date",IF(AND($G440="Received",$A440&lt;SUMIFS(CI_Count,CI_Site,$B440,CI_Mat,$C440)),"Before count date – already in the count","OK"))))))))</f>
        <v/>
      </c>
    </row>
    <row r="441" customFormat="false" ht="15" hidden="false" customHeight="false" outlineLevel="0" collapsed="false">
      <c r="A441" s="65"/>
      <c r="B441" s="63"/>
      <c r="C441" s="70"/>
      <c r="D441" s="16" t="str">
        <f aca="false">IF($C441="","",IFERROR(INDEX(Mat_Short,MATCH($C441,Mat_Code,0)),"⚠ Unknown code"))</f>
        <v/>
      </c>
      <c r="E441" s="66"/>
      <c r="F441" s="64" t="str">
        <f aca="false">IF($C441="","",IFERROR(INDEX(Mat_Unit,MATCH($C441,Mat_Code,0)),""))</f>
        <v/>
      </c>
      <c r="G441" s="70"/>
      <c r="H441" s="63"/>
      <c r="I441" s="63"/>
      <c r="J441" s="63"/>
      <c r="K441" s="16" t="str">
        <f aca="false">IF(AND($A441="",$B441="",$C441="",$E441=""),"",IF($A441="","⚠ Date missing",IF(OR($B441="",$C441=""),"⚠ Site / material missing",IF(COUNTIFS(CI_Site,$B441,CI_Mat,$C441)=0,"⚠ No Current Inventory row for this site + material",IF($G441="","⚠ Status missing",IF(AND($G441="Scheduled",$A441&lt;=AsOfDate),"⚠ Scheduled date reached – mark Received or re-date",IF(AND($G441="Received",$A441&gt;AsOfDate),"Future-dated – added on its date",IF(AND($G441="Received",$A441&lt;SUMIFS(CI_Count,CI_Site,$B441,CI_Mat,$C441)),"Before count date – already in the count","OK"))))))))</f>
        <v/>
      </c>
    </row>
    <row r="442" customFormat="false" ht="15" hidden="false" customHeight="false" outlineLevel="0" collapsed="false">
      <c r="A442" s="65"/>
      <c r="B442" s="63"/>
      <c r="C442" s="70"/>
      <c r="D442" s="16" t="str">
        <f aca="false">IF($C442="","",IFERROR(INDEX(Mat_Short,MATCH($C442,Mat_Code,0)),"⚠ Unknown code"))</f>
        <v/>
      </c>
      <c r="E442" s="66"/>
      <c r="F442" s="64" t="str">
        <f aca="false">IF($C442="","",IFERROR(INDEX(Mat_Unit,MATCH($C442,Mat_Code,0)),""))</f>
        <v/>
      </c>
      <c r="G442" s="70"/>
      <c r="H442" s="63"/>
      <c r="I442" s="63"/>
      <c r="J442" s="63"/>
      <c r="K442" s="16" t="str">
        <f aca="false">IF(AND($A442="",$B442="",$C442="",$E442=""),"",IF($A442="","⚠ Date missing",IF(OR($B442="",$C442=""),"⚠ Site / material missing",IF(COUNTIFS(CI_Site,$B442,CI_Mat,$C442)=0,"⚠ No Current Inventory row for this site + material",IF($G442="","⚠ Status missing",IF(AND($G442="Scheduled",$A442&lt;=AsOfDate),"⚠ Scheduled date reached – mark Received or re-date",IF(AND($G442="Received",$A442&gt;AsOfDate),"Future-dated – added on its date",IF(AND($G442="Received",$A442&lt;SUMIFS(CI_Count,CI_Site,$B442,CI_Mat,$C442)),"Before count date – already in the count","OK"))))))))</f>
        <v/>
      </c>
    </row>
    <row r="443" customFormat="false" ht="15" hidden="false" customHeight="false" outlineLevel="0" collapsed="false">
      <c r="A443" s="65"/>
      <c r="B443" s="63"/>
      <c r="C443" s="70"/>
      <c r="D443" s="16" t="str">
        <f aca="false">IF($C443="","",IFERROR(INDEX(Mat_Short,MATCH($C443,Mat_Code,0)),"⚠ Unknown code"))</f>
        <v/>
      </c>
      <c r="E443" s="66"/>
      <c r="F443" s="64" t="str">
        <f aca="false">IF($C443="","",IFERROR(INDEX(Mat_Unit,MATCH($C443,Mat_Code,0)),""))</f>
        <v/>
      </c>
      <c r="G443" s="70"/>
      <c r="H443" s="63"/>
      <c r="I443" s="63"/>
      <c r="J443" s="63"/>
      <c r="K443" s="16" t="str">
        <f aca="false">IF(AND($A443="",$B443="",$C443="",$E443=""),"",IF($A443="","⚠ Date missing",IF(OR($B443="",$C443=""),"⚠ Site / material missing",IF(COUNTIFS(CI_Site,$B443,CI_Mat,$C443)=0,"⚠ No Current Inventory row for this site + material",IF($G443="","⚠ Status missing",IF(AND($G443="Scheduled",$A443&lt;=AsOfDate),"⚠ Scheduled date reached – mark Received or re-date",IF(AND($G443="Received",$A443&gt;AsOfDate),"Future-dated – added on its date",IF(AND($G443="Received",$A443&lt;SUMIFS(CI_Count,CI_Site,$B443,CI_Mat,$C443)),"Before count date – already in the count","OK"))))))))</f>
        <v/>
      </c>
    </row>
    <row r="444" customFormat="false" ht="15" hidden="false" customHeight="false" outlineLevel="0" collapsed="false">
      <c r="A444" s="65"/>
      <c r="B444" s="63"/>
      <c r="C444" s="70"/>
      <c r="D444" s="16" t="str">
        <f aca="false">IF($C444="","",IFERROR(INDEX(Mat_Short,MATCH($C444,Mat_Code,0)),"⚠ Unknown code"))</f>
        <v/>
      </c>
      <c r="E444" s="66"/>
      <c r="F444" s="64" t="str">
        <f aca="false">IF($C444="","",IFERROR(INDEX(Mat_Unit,MATCH($C444,Mat_Code,0)),""))</f>
        <v/>
      </c>
      <c r="G444" s="70"/>
      <c r="H444" s="63"/>
      <c r="I444" s="63"/>
      <c r="J444" s="63"/>
      <c r="K444" s="16" t="str">
        <f aca="false">IF(AND($A444="",$B444="",$C444="",$E444=""),"",IF($A444="","⚠ Date missing",IF(OR($B444="",$C444=""),"⚠ Site / material missing",IF(COUNTIFS(CI_Site,$B444,CI_Mat,$C444)=0,"⚠ No Current Inventory row for this site + material",IF($G444="","⚠ Status missing",IF(AND($G444="Scheduled",$A444&lt;=AsOfDate),"⚠ Scheduled date reached – mark Received or re-date",IF(AND($G444="Received",$A444&gt;AsOfDate),"Future-dated – added on its date",IF(AND($G444="Received",$A444&lt;SUMIFS(CI_Count,CI_Site,$B444,CI_Mat,$C444)),"Before count date – already in the count","OK"))))))))</f>
        <v/>
      </c>
    </row>
    <row r="445" customFormat="false" ht="15" hidden="false" customHeight="false" outlineLevel="0" collapsed="false">
      <c r="A445" s="65"/>
      <c r="B445" s="63"/>
      <c r="C445" s="70"/>
      <c r="D445" s="16" t="str">
        <f aca="false">IF($C445="","",IFERROR(INDEX(Mat_Short,MATCH($C445,Mat_Code,0)),"⚠ Unknown code"))</f>
        <v/>
      </c>
      <c r="E445" s="66"/>
      <c r="F445" s="64" t="str">
        <f aca="false">IF($C445="","",IFERROR(INDEX(Mat_Unit,MATCH($C445,Mat_Code,0)),""))</f>
        <v/>
      </c>
      <c r="G445" s="70"/>
      <c r="H445" s="63"/>
      <c r="I445" s="63"/>
      <c r="J445" s="63"/>
      <c r="K445" s="16" t="str">
        <f aca="false">IF(AND($A445="",$B445="",$C445="",$E445=""),"",IF($A445="","⚠ Date missing",IF(OR($B445="",$C445=""),"⚠ Site / material missing",IF(COUNTIFS(CI_Site,$B445,CI_Mat,$C445)=0,"⚠ No Current Inventory row for this site + material",IF($G445="","⚠ Status missing",IF(AND($G445="Scheduled",$A445&lt;=AsOfDate),"⚠ Scheduled date reached – mark Received or re-date",IF(AND($G445="Received",$A445&gt;AsOfDate),"Future-dated – added on its date",IF(AND($G445="Received",$A445&lt;SUMIFS(CI_Count,CI_Site,$B445,CI_Mat,$C445)),"Before count date – already in the count","OK"))))))))</f>
        <v/>
      </c>
    </row>
    <row r="446" customFormat="false" ht="15" hidden="false" customHeight="false" outlineLevel="0" collapsed="false">
      <c r="A446" s="65"/>
      <c r="B446" s="63"/>
      <c r="C446" s="70"/>
      <c r="D446" s="16" t="str">
        <f aca="false">IF($C446="","",IFERROR(INDEX(Mat_Short,MATCH($C446,Mat_Code,0)),"⚠ Unknown code"))</f>
        <v/>
      </c>
      <c r="E446" s="66"/>
      <c r="F446" s="64" t="str">
        <f aca="false">IF($C446="","",IFERROR(INDEX(Mat_Unit,MATCH($C446,Mat_Code,0)),""))</f>
        <v/>
      </c>
      <c r="G446" s="70"/>
      <c r="H446" s="63"/>
      <c r="I446" s="63"/>
      <c r="J446" s="63"/>
      <c r="K446" s="16" t="str">
        <f aca="false">IF(AND($A446="",$B446="",$C446="",$E446=""),"",IF($A446="","⚠ Date missing",IF(OR($B446="",$C446=""),"⚠ Site / material missing",IF(COUNTIFS(CI_Site,$B446,CI_Mat,$C446)=0,"⚠ No Current Inventory row for this site + material",IF($G446="","⚠ Status missing",IF(AND($G446="Scheduled",$A446&lt;=AsOfDate),"⚠ Scheduled date reached – mark Received or re-date",IF(AND($G446="Received",$A446&gt;AsOfDate),"Future-dated – added on its date",IF(AND($G446="Received",$A446&lt;SUMIFS(CI_Count,CI_Site,$B446,CI_Mat,$C446)),"Before count date – already in the count","OK"))))))))</f>
        <v/>
      </c>
    </row>
    <row r="447" customFormat="false" ht="15" hidden="false" customHeight="false" outlineLevel="0" collapsed="false">
      <c r="A447" s="65"/>
      <c r="B447" s="63"/>
      <c r="C447" s="70"/>
      <c r="D447" s="16" t="str">
        <f aca="false">IF($C447="","",IFERROR(INDEX(Mat_Short,MATCH($C447,Mat_Code,0)),"⚠ Unknown code"))</f>
        <v/>
      </c>
      <c r="E447" s="66"/>
      <c r="F447" s="64" t="str">
        <f aca="false">IF($C447="","",IFERROR(INDEX(Mat_Unit,MATCH($C447,Mat_Code,0)),""))</f>
        <v/>
      </c>
      <c r="G447" s="70"/>
      <c r="H447" s="63"/>
      <c r="I447" s="63"/>
      <c r="J447" s="63"/>
      <c r="K447" s="16" t="str">
        <f aca="false">IF(AND($A447="",$B447="",$C447="",$E447=""),"",IF($A447="","⚠ Date missing",IF(OR($B447="",$C447=""),"⚠ Site / material missing",IF(COUNTIFS(CI_Site,$B447,CI_Mat,$C447)=0,"⚠ No Current Inventory row for this site + material",IF($G447="","⚠ Status missing",IF(AND($G447="Scheduled",$A447&lt;=AsOfDate),"⚠ Scheduled date reached – mark Received or re-date",IF(AND($G447="Received",$A447&gt;AsOfDate),"Future-dated – added on its date",IF(AND($G447="Received",$A447&lt;SUMIFS(CI_Count,CI_Site,$B447,CI_Mat,$C447)),"Before count date – already in the count","OK"))))))))</f>
        <v/>
      </c>
    </row>
    <row r="448" customFormat="false" ht="15" hidden="false" customHeight="false" outlineLevel="0" collapsed="false">
      <c r="A448" s="65"/>
      <c r="B448" s="63"/>
      <c r="C448" s="70"/>
      <c r="D448" s="16" t="str">
        <f aca="false">IF($C448="","",IFERROR(INDEX(Mat_Short,MATCH($C448,Mat_Code,0)),"⚠ Unknown code"))</f>
        <v/>
      </c>
      <c r="E448" s="66"/>
      <c r="F448" s="64" t="str">
        <f aca="false">IF($C448="","",IFERROR(INDEX(Mat_Unit,MATCH($C448,Mat_Code,0)),""))</f>
        <v/>
      </c>
      <c r="G448" s="70"/>
      <c r="H448" s="63"/>
      <c r="I448" s="63"/>
      <c r="J448" s="63"/>
      <c r="K448" s="16" t="str">
        <f aca="false">IF(AND($A448="",$B448="",$C448="",$E448=""),"",IF($A448="","⚠ Date missing",IF(OR($B448="",$C448=""),"⚠ Site / material missing",IF(COUNTIFS(CI_Site,$B448,CI_Mat,$C448)=0,"⚠ No Current Inventory row for this site + material",IF($G448="","⚠ Status missing",IF(AND($G448="Scheduled",$A448&lt;=AsOfDate),"⚠ Scheduled date reached – mark Received or re-date",IF(AND($G448="Received",$A448&gt;AsOfDate),"Future-dated – added on its date",IF(AND($G448="Received",$A448&lt;SUMIFS(CI_Count,CI_Site,$B448,CI_Mat,$C448)),"Before count date – already in the count","OK"))))))))</f>
        <v/>
      </c>
    </row>
    <row r="449" customFormat="false" ht="15" hidden="false" customHeight="false" outlineLevel="0" collapsed="false">
      <c r="A449" s="65"/>
      <c r="B449" s="63"/>
      <c r="C449" s="70"/>
      <c r="D449" s="16" t="str">
        <f aca="false">IF($C449="","",IFERROR(INDEX(Mat_Short,MATCH($C449,Mat_Code,0)),"⚠ Unknown code"))</f>
        <v/>
      </c>
      <c r="E449" s="66"/>
      <c r="F449" s="64" t="str">
        <f aca="false">IF($C449="","",IFERROR(INDEX(Mat_Unit,MATCH($C449,Mat_Code,0)),""))</f>
        <v/>
      </c>
      <c r="G449" s="70"/>
      <c r="H449" s="63"/>
      <c r="I449" s="63"/>
      <c r="J449" s="63"/>
      <c r="K449" s="16" t="str">
        <f aca="false">IF(AND($A449="",$B449="",$C449="",$E449=""),"",IF($A449="","⚠ Date missing",IF(OR($B449="",$C449=""),"⚠ Site / material missing",IF(COUNTIFS(CI_Site,$B449,CI_Mat,$C449)=0,"⚠ No Current Inventory row for this site + material",IF($G449="","⚠ Status missing",IF(AND($G449="Scheduled",$A449&lt;=AsOfDate),"⚠ Scheduled date reached – mark Received or re-date",IF(AND($G449="Received",$A449&gt;AsOfDate),"Future-dated – added on its date",IF(AND($G449="Received",$A449&lt;SUMIFS(CI_Count,CI_Site,$B449,CI_Mat,$C449)),"Before count date – already in the count","OK"))))))))</f>
        <v/>
      </c>
    </row>
    <row r="450" customFormat="false" ht="15" hidden="false" customHeight="false" outlineLevel="0" collapsed="false">
      <c r="A450" s="65"/>
      <c r="B450" s="63"/>
      <c r="C450" s="70"/>
      <c r="D450" s="16" t="str">
        <f aca="false">IF($C450="","",IFERROR(INDEX(Mat_Short,MATCH($C450,Mat_Code,0)),"⚠ Unknown code"))</f>
        <v/>
      </c>
      <c r="E450" s="66"/>
      <c r="F450" s="64" t="str">
        <f aca="false">IF($C450="","",IFERROR(INDEX(Mat_Unit,MATCH($C450,Mat_Code,0)),""))</f>
        <v/>
      </c>
      <c r="G450" s="70"/>
      <c r="H450" s="63"/>
      <c r="I450" s="63"/>
      <c r="J450" s="63"/>
      <c r="K450" s="16" t="str">
        <f aca="false">IF(AND($A450="",$B450="",$C450="",$E450=""),"",IF($A450="","⚠ Date missing",IF(OR($B450="",$C450=""),"⚠ Site / material missing",IF(COUNTIFS(CI_Site,$B450,CI_Mat,$C450)=0,"⚠ No Current Inventory row for this site + material",IF($G450="","⚠ Status missing",IF(AND($G450="Scheduled",$A450&lt;=AsOfDate),"⚠ Scheduled date reached – mark Received or re-date",IF(AND($G450="Received",$A450&gt;AsOfDate),"Future-dated – added on its date",IF(AND($G450="Received",$A450&lt;SUMIFS(CI_Count,CI_Site,$B450,CI_Mat,$C450)),"Before count date – already in the count","OK"))))))))</f>
        <v/>
      </c>
    </row>
    <row r="451" customFormat="false" ht="15" hidden="false" customHeight="false" outlineLevel="0" collapsed="false">
      <c r="A451" s="65"/>
      <c r="B451" s="63"/>
      <c r="C451" s="70"/>
      <c r="D451" s="16" t="str">
        <f aca="false">IF($C451="","",IFERROR(INDEX(Mat_Short,MATCH($C451,Mat_Code,0)),"⚠ Unknown code"))</f>
        <v/>
      </c>
      <c r="E451" s="66"/>
      <c r="F451" s="64" t="str">
        <f aca="false">IF($C451="","",IFERROR(INDEX(Mat_Unit,MATCH($C451,Mat_Code,0)),""))</f>
        <v/>
      </c>
      <c r="G451" s="70"/>
      <c r="H451" s="63"/>
      <c r="I451" s="63"/>
      <c r="J451" s="63"/>
      <c r="K451" s="16" t="str">
        <f aca="false">IF(AND($A451="",$B451="",$C451="",$E451=""),"",IF($A451="","⚠ Date missing",IF(OR($B451="",$C451=""),"⚠ Site / material missing",IF(COUNTIFS(CI_Site,$B451,CI_Mat,$C451)=0,"⚠ No Current Inventory row for this site + material",IF($G451="","⚠ Status missing",IF(AND($G451="Scheduled",$A451&lt;=AsOfDate),"⚠ Scheduled date reached – mark Received or re-date",IF(AND($G451="Received",$A451&gt;AsOfDate),"Future-dated – added on its date",IF(AND($G451="Received",$A451&lt;SUMIFS(CI_Count,CI_Site,$B451,CI_Mat,$C451)),"Before count date – already in the count","OK"))))))))</f>
        <v/>
      </c>
    </row>
    <row r="452" customFormat="false" ht="15" hidden="false" customHeight="false" outlineLevel="0" collapsed="false">
      <c r="A452" s="65"/>
      <c r="B452" s="63"/>
      <c r="C452" s="70"/>
      <c r="D452" s="16" t="str">
        <f aca="false">IF($C452="","",IFERROR(INDEX(Mat_Short,MATCH($C452,Mat_Code,0)),"⚠ Unknown code"))</f>
        <v/>
      </c>
      <c r="E452" s="66"/>
      <c r="F452" s="64" t="str">
        <f aca="false">IF($C452="","",IFERROR(INDEX(Mat_Unit,MATCH($C452,Mat_Code,0)),""))</f>
        <v/>
      </c>
      <c r="G452" s="70"/>
      <c r="H452" s="63"/>
      <c r="I452" s="63"/>
      <c r="J452" s="63"/>
      <c r="K452" s="16" t="str">
        <f aca="false">IF(AND($A452="",$B452="",$C452="",$E452=""),"",IF($A452="","⚠ Date missing",IF(OR($B452="",$C452=""),"⚠ Site / material missing",IF(COUNTIFS(CI_Site,$B452,CI_Mat,$C452)=0,"⚠ No Current Inventory row for this site + material",IF($G452="","⚠ Status missing",IF(AND($G452="Scheduled",$A452&lt;=AsOfDate),"⚠ Scheduled date reached – mark Received or re-date",IF(AND($G452="Received",$A452&gt;AsOfDate),"Future-dated – added on its date",IF(AND($G452="Received",$A452&lt;SUMIFS(CI_Count,CI_Site,$B452,CI_Mat,$C452)),"Before count date – already in the count","OK"))))))))</f>
        <v/>
      </c>
    </row>
    <row r="453" customFormat="false" ht="15" hidden="false" customHeight="false" outlineLevel="0" collapsed="false">
      <c r="A453" s="65"/>
      <c r="B453" s="63"/>
      <c r="C453" s="70"/>
      <c r="D453" s="16" t="str">
        <f aca="false">IF($C453="","",IFERROR(INDEX(Mat_Short,MATCH($C453,Mat_Code,0)),"⚠ Unknown code"))</f>
        <v/>
      </c>
      <c r="E453" s="66"/>
      <c r="F453" s="64" t="str">
        <f aca="false">IF($C453="","",IFERROR(INDEX(Mat_Unit,MATCH($C453,Mat_Code,0)),""))</f>
        <v/>
      </c>
      <c r="G453" s="70"/>
      <c r="H453" s="63"/>
      <c r="I453" s="63"/>
      <c r="J453" s="63"/>
      <c r="K453" s="16" t="str">
        <f aca="false">IF(AND($A453="",$B453="",$C453="",$E453=""),"",IF($A453="","⚠ Date missing",IF(OR($B453="",$C453=""),"⚠ Site / material missing",IF(COUNTIFS(CI_Site,$B453,CI_Mat,$C453)=0,"⚠ No Current Inventory row for this site + material",IF($G453="","⚠ Status missing",IF(AND($G453="Scheduled",$A453&lt;=AsOfDate),"⚠ Scheduled date reached – mark Received or re-date",IF(AND($G453="Received",$A453&gt;AsOfDate),"Future-dated – added on its date",IF(AND($G453="Received",$A453&lt;SUMIFS(CI_Count,CI_Site,$B453,CI_Mat,$C453)),"Before count date – already in the count","OK"))))))))</f>
        <v/>
      </c>
    </row>
    <row r="454" customFormat="false" ht="15" hidden="false" customHeight="false" outlineLevel="0" collapsed="false">
      <c r="A454" s="65"/>
      <c r="B454" s="63"/>
      <c r="C454" s="70"/>
      <c r="D454" s="16" t="str">
        <f aca="false">IF($C454="","",IFERROR(INDEX(Mat_Short,MATCH($C454,Mat_Code,0)),"⚠ Unknown code"))</f>
        <v/>
      </c>
      <c r="E454" s="66"/>
      <c r="F454" s="64" t="str">
        <f aca="false">IF($C454="","",IFERROR(INDEX(Mat_Unit,MATCH($C454,Mat_Code,0)),""))</f>
        <v/>
      </c>
      <c r="G454" s="70"/>
      <c r="H454" s="63"/>
      <c r="I454" s="63"/>
      <c r="J454" s="63"/>
      <c r="K454" s="16" t="str">
        <f aca="false">IF(AND($A454="",$B454="",$C454="",$E454=""),"",IF($A454="","⚠ Date missing",IF(OR($B454="",$C454=""),"⚠ Site / material missing",IF(COUNTIFS(CI_Site,$B454,CI_Mat,$C454)=0,"⚠ No Current Inventory row for this site + material",IF($G454="","⚠ Status missing",IF(AND($G454="Scheduled",$A454&lt;=AsOfDate),"⚠ Scheduled date reached – mark Received or re-date",IF(AND($G454="Received",$A454&gt;AsOfDate),"Future-dated – added on its date",IF(AND($G454="Received",$A454&lt;SUMIFS(CI_Count,CI_Site,$B454,CI_Mat,$C454)),"Before count date – already in the count","OK"))))))))</f>
        <v/>
      </c>
    </row>
    <row r="455" customFormat="false" ht="15" hidden="false" customHeight="false" outlineLevel="0" collapsed="false">
      <c r="A455" s="65"/>
      <c r="B455" s="63"/>
      <c r="C455" s="70"/>
      <c r="D455" s="16" t="str">
        <f aca="false">IF($C455="","",IFERROR(INDEX(Mat_Short,MATCH($C455,Mat_Code,0)),"⚠ Unknown code"))</f>
        <v/>
      </c>
      <c r="E455" s="66"/>
      <c r="F455" s="64" t="str">
        <f aca="false">IF($C455="","",IFERROR(INDEX(Mat_Unit,MATCH($C455,Mat_Code,0)),""))</f>
        <v/>
      </c>
      <c r="G455" s="70"/>
      <c r="H455" s="63"/>
      <c r="I455" s="63"/>
      <c r="J455" s="63"/>
      <c r="K455" s="16" t="str">
        <f aca="false">IF(AND($A455="",$B455="",$C455="",$E455=""),"",IF($A455="","⚠ Date missing",IF(OR($B455="",$C455=""),"⚠ Site / material missing",IF(COUNTIFS(CI_Site,$B455,CI_Mat,$C455)=0,"⚠ No Current Inventory row for this site + material",IF($G455="","⚠ Status missing",IF(AND($G455="Scheduled",$A455&lt;=AsOfDate),"⚠ Scheduled date reached – mark Received or re-date",IF(AND($G455="Received",$A455&gt;AsOfDate),"Future-dated – added on its date",IF(AND($G455="Received",$A455&lt;SUMIFS(CI_Count,CI_Site,$B455,CI_Mat,$C455)),"Before count date – already in the count","OK"))))))))</f>
        <v/>
      </c>
    </row>
    <row r="456" customFormat="false" ht="15" hidden="false" customHeight="false" outlineLevel="0" collapsed="false">
      <c r="A456" s="65"/>
      <c r="B456" s="63"/>
      <c r="C456" s="70"/>
      <c r="D456" s="16" t="str">
        <f aca="false">IF($C456="","",IFERROR(INDEX(Mat_Short,MATCH($C456,Mat_Code,0)),"⚠ Unknown code"))</f>
        <v/>
      </c>
      <c r="E456" s="66"/>
      <c r="F456" s="64" t="str">
        <f aca="false">IF($C456="","",IFERROR(INDEX(Mat_Unit,MATCH($C456,Mat_Code,0)),""))</f>
        <v/>
      </c>
      <c r="G456" s="70"/>
      <c r="H456" s="63"/>
      <c r="I456" s="63"/>
      <c r="J456" s="63"/>
      <c r="K456" s="16" t="str">
        <f aca="false">IF(AND($A456="",$B456="",$C456="",$E456=""),"",IF($A456="","⚠ Date missing",IF(OR($B456="",$C456=""),"⚠ Site / material missing",IF(COUNTIFS(CI_Site,$B456,CI_Mat,$C456)=0,"⚠ No Current Inventory row for this site + material",IF($G456="","⚠ Status missing",IF(AND($G456="Scheduled",$A456&lt;=AsOfDate),"⚠ Scheduled date reached – mark Received or re-date",IF(AND($G456="Received",$A456&gt;AsOfDate),"Future-dated – added on its date",IF(AND($G456="Received",$A456&lt;SUMIFS(CI_Count,CI_Site,$B456,CI_Mat,$C456)),"Before count date – already in the count","OK"))))))))</f>
        <v/>
      </c>
    </row>
    <row r="457" customFormat="false" ht="15" hidden="false" customHeight="false" outlineLevel="0" collapsed="false">
      <c r="A457" s="65"/>
      <c r="B457" s="63"/>
      <c r="C457" s="70"/>
      <c r="D457" s="16" t="str">
        <f aca="false">IF($C457="","",IFERROR(INDEX(Mat_Short,MATCH($C457,Mat_Code,0)),"⚠ Unknown code"))</f>
        <v/>
      </c>
      <c r="E457" s="66"/>
      <c r="F457" s="64" t="str">
        <f aca="false">IF($C457="","",IFERROR(INDEX(Mat_Unit,MATCH($C457,Mat_Code,0)),""))</f>
        <v/>
      </c>
      <c r="G457" s="70"/>
      <c r="H457" s="63"/>
      <c r="I457" s="63"/>
      <c r="J457" s="63"/>
      <c r="K457" s="16" t="str">
        <f aca="false">IF(AND($A457="",$B457="",$C457="",$E457=""),"",IF($A457="","⚠ Date missing",IF(OR($B457="",$C457=""),"⚠ Site / material missing",IF(COUNTIFS(CI_Site,$B457,CI_Mat,$C457)=0,"⚠ No Current Inventory row for this site + material",IF($G457="","⚠ Status missing",IF(AND($G457="Scheduled",$A457&lt;=AsOfDate),"⚠ Scheduled date reached – mark Received or re-date",IF(AND($G457="Received",$A457&gt;AsOfDate),"Future-dated – added on its date",IF(AND($G457="Received",$A457&lt;SUMIFS(CI_Count,CI_Site,$B457,CI_Mat,$C457)),"Before count date – already in the count","OK"))))))))</f>
        <v/>
      </c>
    </row>
    <row r="458" customFormat="false" ht="15" hidden="false" customHeight="false" outlineLevel="0" collapsed="false">
      <c r="A458" s="65"/>
      <c r="B458" s="63"/>
      <c r="C458" s="70"/>
      <c r="D458" s="16" t="str">
        <f aca="false">IF($C458="","",IFERROR(INDEX(Mat_Short,MATCH($C458,Mat_Code,0)),"⚠ Unknown code"))</f>
        <v/>
      </c>
      <c r="E458" s="66"/>
      <c r="F458" s="64" t="str">
        <f aca="false">IF($C458="","",IFERROR(INDEX(Mat_Unit,MATCH($C458,Mat_Code,0)),""))</f>
        <v/>
      </c>
      <c r="G458" s="70"/>
      <c r="H458" s="63"/>
      <c r="I458" s="63"/>
      <c r="J458" s="63"/>
      <c r="K458" s="16" t="str">
        <f aca="false">IF(AND($A458="",$B458="",$C458="",$E458=""),"",IF($A458="","⚠ Date missing",IF(OR($B458="",$C458=""),"⚠ Site / material missing",IF(COUNTIFS(CI_Site,$B458,CI_Mat,$C458)=0,"⚠ No Current Inventory row for this site + material",IF($G458="","⚠ Status missing",IF(AND($G458="Scheduled",$A458&lt;=AsOfDate),"⚠ Scheduled date reached – mark Received or re-date",IF(AND($G458="Received",$A458&gt;AsOfDate),"Future-dated – added on its date",IF(AND($G458="Received",$A458&lt;SUMIFS(CI_Count,CI_Site,$B458,CI_Mat,$C458)),"Before count date – already in the count","OK"))))))))</f>
        <v/>
      </c>
    </row>
    <row r="459" customFormat="false" ht="15" hidden="false" customHeight="false" outlineLevel="0" collapsed="false">
      <c r="A459" s="65"/>
      <c r="B459" s="63"/>
      <c r="C459" s="70"/>
      <c r="D459" s="16" t="str">
        <f aca="false">IF($C459="","",IFERROR(INDEX(Mat_Short,MATCH($C459,Mat_Code,0)),"⚠ Unknown code"))</f>
        <v/>
      </c>
      <c r="E459" s="66"/>
      <c r="F459" s="64" t="str">
        <f aca="false">IF($C459="","",IFERROR(INDEX(Mat_Unit,MATCH($C459,Mat_Code,0)),""))</f>
        <v/>
      </c>
      <c r="G459" s="70"/>
      <c r="H459" s="63"/>
      <c r="I459" s="63"/>
      <c r="J459" s="63"/>
      <c r="K459" s="16" t="str">
        <f aca="false">IF(AND($A459="",$B459="",$C459="",$E459=""),"",IF($A459="","⚠ Date missing",IF(OR($B459="",$C459=""),"⚠ Site / material missing",IF(COUNTIFS(CI_Site,$B459,CI_Mat,$C459)=0,"⚠ No Current Inventory row for this site + material",IF($G459="","⚠ Status missing",IF(AND($G459="Scheduled",$A459&lt;=AsOfDate),"⚠ Scheduled date reached – mark Received or re-date",IF(AND($G459="Received",$A459&gt;AsOfDate),"Future-dated – added on its date",IF(AND($G459="Received",$A459&lt;SUMIFS(CI_Count,CI_Site,$B459,CI_Mat,$C459)),"Before count date – already in the count","OK"))))))))</f>
        <v/>
      </c>
    </row>
    <row r="460" customFormat="false" ht="15" hidden="false" customHeight="false" outlineLevel="0" collapsed="false">
      <c r="A460" s="65"/>
      <c r="B460" s="63"/>
      <c r="C460" s="70"/>
      <c r="D460" s="16" t="str">
        <f aca="false">IF($C460="","",IFERROR(INDEX(Mat_Short,MATCH($C460,Mat_Code,0)),"⚠ Unknown code"))</f>
        <v/>
      </c>
      <c r="E460" s="66"/>
      <c r="F460" s="64" t="str">
        <f aca="false">IF($C460="","",IFERROR(INDEX(Mat_Unit,MATCH($C460,Mat_Code,0)),""))</f>
        <v/>
      </c>
      <c r="G460" s="70"/>
      <c r="H460" s="63"/>
      <c r="I460" s="63"/>
      <c r="J460" s="63"/>
      <c r="K460" s="16" t="str">
        <f aca="false">IF(AND($A460="",$B460="",$C460="",$E460=""),"",IF($A460="","⚠ Date missing",IF(OR($B460="",$C460=""),"⚠ Site / material missing",IF(COUNTIFS(CI_Site,$B460,CI_Mat,$C460)=0,"⚠ No Current Inventory row for this site + material",IF($G460="","⚠ Status missing",IF(AND($G460="Scheduled",$A460&lt;=AsOfDate),"⚠ Scheduled date reached – mark Received or re-date",IF(AND($G460="Received",$A460&gt;AsOfDate),"Future-dated – added on its date",IF(AND($G460="Received",$A460&lt;SUMIFS(CI_Count,CI_Site,$B460,CI_Mat,$C460)),"Before count date – already in the count","OK"))))))))</f>
        <v/>
      </c>
    </row>
    <row r="461" customFormat="false" ht="15" hidden="false" customHeight="false" outlineLevel="0" collapsed="false">
      <c r="A461" s="65"/>
      <c r="B461" s="63"/>
      <c r="C461" s="70"/>
      <c r="D461" s="16" t="str">
        <f aca="false">IF($C461="","",IFERROR(INDEX(Mat_Short,MATCH($C461,Mat_Code,0)),"⚠ Unknown code"))</f>
        <v/>
      </c>
      <c r="E461" s="66"/>
      <c r="F461" s="64" t="str">
        <f aca="false">IF($C461="","",IFERROR(INDEX(Mat_Unit,MATCH($C461,Mat_Code,0)),""))</f>
        <v/>
      </c>
      <c r="G461" s="70"/>
      <c r="H461" s="63"/>
      <c r="I461" s="63"/>
      <c r="J461" s="63"/>
      <c r="K461" s="16" t="str">
        <f aca="false">IF(AND($A461="",$B461="",$C461="",$E461=""),"",IF($A461="","⚠ Date missing",IF(OR($B461="",$C461=""),"⚠ Site / material missing",IF(COUNTIFS(CI_Site,$B461,CI_Mat,$C461)=0,"⚠ No Current Inventory row for this site + material",IF($G461="","⚠ Status missing",IF(AND($G461="Scheduled",$A461&lt;=AsOfDate),"⚠ Scheduled date reached – mark Received or re-date",IF(AND($G461="Received",$A461&gt;AsOfDate),"Future-dated – added on its date",IF(AND($G461="Received",$A461&lt;SUMIFS(CI_Count,CI_Site,$B461,CI_Mat,$C461)),"Before count date – already in the count","OK"))))))))</f>
        <v/>
      </c>
    </row>
    <row r="462" customFormat="false" ht="15" hidden="false" customHeight="false" outlineLevel="0" collapsed="false">
      <c r="A462" s="65"/>
      <c r="B462" s="63"/>
      <c r="C462" s="70"/>
      <c r="D462" s="16" t="str">
        <f aca="false">IF($C462="","",IFERROR(INDEX(Mat_Short,MATCH($C462,Mat_Code,0)),"⚠ Unknown code"))</f>
        <v/>
      </c>
      <c r="E462" s="66"/>
      <c r="F462" s="64" t="str">
        <f aca="false">IF($C462="","",IFERROR(INDEX(Mat_Unit,MATCH($C462,Mat_Code,0)),""))</f>
        <v/>
      </c>
      <c r="G462" s="70"/>
      <c r="H462" s="63"/>
      <c r="I462" s="63"/>
      <c r="J462" s="63"/>
      <c r="K462" s="16" t="str">
        <f aca="false">IF(AND($A462="",$B462="",$C462="",$E462=""),"",IF($A462="","⚠ Date missing",IF(OR($B462="",$C462=""),"⚠ Site / material missing",IF(COUNTIFS(CI_Site,$B462,CI_Mat,$C462)=0,"⚠ No Current Inventory row for this site + material",IF($G462="","⚠ Status missing",IF(AND($G462="Scheduled",$A462&lt;=AsOfDate),"⚠ Scheduled date reached – mark Received or re-date",IF(AND($G462="Received",$A462&gt;AsOfDate),"Future-dated – added on its date",IF(AND($G462="Received",$A462&lt;SUMIFS(CI_Count,CI_Site,$B462,CI_Mat,$C462)),"Before count date – already in the count","OK"))))))))</f>
        <v/>
      </c>
    </row>
    <row r="463" customFormat="false" ht="15" hidden="false" customHeight="false" outlineLevel="0" collapsed="false">
      <c r="A463" s="65"/>
      <c r="B463" s="63"/>
      <c r="C463" s="70"/>
      <c r="D463" s="16" t="str">
        <f aca="false">IF($C463="","",IFERROR(INDEX(Mat_Short,MATCH($C463,Mat_Code,0)),"⚠ Unknown code"))</f>
        <v/>
      </c>
      <c r="E463" s="66"/>
      <c r="F463" s="64" t="str">
        <f aca="false">IF($C463="","",IFERROR(INDEX(Mat_Unit,MATCH($C463,Mat_Code,0)),""))</f>
        <v/>
      </c>
      <c r="G463" s="70"/>
      <c r="H463" s="63"/>
      <c r="I463" s="63"/>
      <c r="J463" s="63"/>
      <c r="K463" s="16" t="str">
        <f aca="false">IF(AND($A463="",$B463="",$C463="",$E463=""),"",IF($A463="","⚠ Date missing",IF(OR($B463="",$C463=""),"⚠ Site / material missing",IF(COUNTIFS(CI_Site,$B463,CI_Mat,$C463)=0,"⚠ No Current Inventory row for this site + material",IF($G463="","⚠ Status missing",IF(AND($G463="Scheduled",$A463&lt;=AsOfDate),"⚠ Scheduled date reached – mark Received or re-date",IF(AND($G463="Received",$A463&gt;AsOfDate),"Future-dated – added on its date",IF(AND($G463="Received",$A463&lt;SUMIFS(CI_Count,CI_Site,$B463,CI_Mat,$C463)),"Before count date – already in the count","OK"))))))))</f>
        <v/>
      </c>
    </row>
    <row r="464" customFormat="false" ht="15" hidden="false" customHeight="false" outlineLevel="0" collapsed="false">
      <c r="A464" s="65"/>
      <c r="B464" s="63"/>
      <c r="C464" s="70"/>
      <c r="D464" s="16" t="str">
        <f aca="false">IF($C464="","",IFERROR(INDEX(Mat_Short,MATCH($C464,Mat_Code,0)),"⚠ Unknown code"))</f>
        <v/>
      </c>
      <c r="E464" s="66"/>
      <c r="F464" s="64" t="str">
        <f aca="false">IF($C464="","",IFERROR(INDEX(Mat_Unit,MATCH($C464,Mat_Code,0)),""))</f>
        <v/>
      </c>
      <c r="G464" s="70"/>
      <c r="H464" s="63"/>
      <c r="I464" s="63"/>
      <c r="J464" s="63"/>
      <c r="K464" s="16" t="str">
        <f aca="false">IF(AND($A464="",$B464="",$C464="",$E464=""),"",IF($A464="","⚠ Date missing",IF(OR($B464="",$C464=""),"⚠ Site / material missing",IF(COUNTIFS(CI_Site,$B464,CI_Mat,$C464)=0,"⚠ No Current Inventory row for this site + material",IF($G464="","⚠ Status missing",IF(AND($G464="Scheduled",$A464&lt;=AsOfDate),"⚠ Scheduled date reached – mark Received or re-date",IF(AND($G464="Received",$A464&gt;AsOfDate),"Future-dated – added on its date",IF(AND($G464="Received",$A464&lt;SUMIFS(CI_Count,CI_Site,$B464,CI_Mat,$C464)),"Before count date – already in the count","OK"))))))))</f>
        <v/>
      </c>
    </row>
    <row r="465" customFormat="false" ht="15" hidden="false" customHeight="false" outlineLevel="0" collapsed="false">
      <c r="A465" s="65"/>
      <c r="B465" s="63"/>
      <c r="C465" s="70"/>
      <c r="D465" s="16" t="str">
        <f aca="false">IF($C465="","",IFERROR(INDEX(Mat_Short,MATCH($C465,Mat_Code,0)),"⚠ Unknown code"))</f>
        <v/>
      </c>
      <c r="E465" s="66"/>
      <c r="F465" s="64" t="str">
        <f aca="false">IF($C465="","",IFERROR(INDEX(Mat_Unit,MATCH($C465,Mat_Code,0)),""))</f>
        <v/>
      </c>
      <c r="G465" s="70"/>
      <c r="H465" s="63"/>
      <c r="I465" s="63"/>
      <c r="J465" s="63"/>
      <c r="K465" s="16" t="str">
        <f aca="false">IF(AND($A465="",$B465="",$C465="",$E465=""),"",IF($A465="","⚠ Date missing",IF(OR($B465="",$C465=""),"⚠ Site / material missing",IF(COUNTIFS(CI_Site,$B465,CI_Mat,$C465)=0,"⚠ No Current Inventory row for this site + material",IF($G465="","⚠ Status missing",IF(AND($G465="Scheduled",$A465&lt;=AsOfDate),"⚠ Scheduled date reached – mark Received or re-date",IF(AND($G465="Received",$A465&gt;AsOfDate),"Future-dated – added on its date",IF(AND($G465="Received",$A465&lt;SUMIFS(CI_Count,CI_Site,$B465,CI_Mat,$C465)),"Before count date – already in the count","OK"))))))))</f>
        <v/>
      </c>
    </row>
    <row r="466" customFormat="false" ht="15" hidden="false" customHeight="false" outlineLevel="0" collapsed="false">
      <c r="A466" s="65"/>
      <c r="B466" s="63"/>
      <c r="C466" s="70"/>
      <c r="D466" s="16" t="str">
        <f aca="false">IF($C466="","",IFERROR(INDEX(Mat_Short,MATCH($C466,Mat_Code,0)),"⚠ Unknown code"))</f>
        <v/>
      </c>
      <c r="E466" s="66"/>
      <c r="F466" s="64" t="str">
        <f aca="false">IF($C466="","",IFERROR(INDEX(Mat_Unit,MATCH($C466,Mat_Code,0)),""))</f>
        <v/>
      </c>
      <c r="G466" s="70"/>
      <c r="H466" s="63"/>
      <c r="I466" s="63"/>
      <c r="J466" s="63"/>
      <c r="K466" s="16" t="str">
        <f aca="false">IF(AND($A466="",$B466="",$C466="",$E466=""),"",IF($A466="","⚠ Date missing",IF(OR($B466="",$C466=""),"⚠ Site / material missing",IF(COUNTIFS(CI_Site,$B466,CI_Mat,$C466)=0,"⚠ No Current Inventory row for this site + material",IF($G466="","⚠ Status missing",IF(AND($G466="Scheduled",$A466&lt;=AsOfDate),"⚠ Scheduled date reached – mark Received or re-date",IF(AND($G466="Received",$A466&gt;AsOfDate),"Future-dated – added on its date",IF(AND($G466="Received",$A466&lt;SUMIFS(CI_Count,CI_Site,$B466,CI_Mat,$C466)),"Before count date – already in the count","OK"))))))))</f>
        <v/>
      </c>
    </row>
    <row r="467" customFormat="false" ht="15" hidden="false" customHeight="false" outlineLevel="0" collapsed="false">
      <c r="A467" s="65"/>
      <c r="B467" s="63"/>
      <c r="C467" s="70"/>
      <c r="D467" s="16" t="str">
        <f aca="false">IF($C467="","",IFERROR(INDEX(Mat_Short,MATCH($C467,Mat_Code,0)),"⚠ Unknown code"))</f>
        <v/>
      </c>
      <c r="E467" s="66"/>
      <c r="F467" s="64" t="str">
        <f aca="false">IF($C467="","",IFERROR(INDEX(Mat_Unit,MATCH($C467,Mat_Code,0)),""))</f>
        <v/>
      </c>
      <c r="G467" s="70"/>
      <c r="H467" s="63"/>
      <c r="I467" s="63"/>
      <c r="J467" s="63"/>
      <c r="K467" s="16" t="str">
        <f aca="false">IF(AND($A467="",$B467="",$C467="",$E467=""),"",IF($A467="","⚠ Date missing",IF(OR($B467="",$C467=""),"⚠ Site / material missing",IF(COUNTIFS(CI_Site,$B467,CI_Mat,$C467)=0,"⚠ No Current Inventory row for this site + material",IF($G467="","⚠ Status missing",IF(AND($G467="Scheduled",$A467&lt;=AsOfDate),"⚠ Scheduled date reached – mark Received or re-date",IF(AND($G467="Received",$A467&gt;AsOfDate),"Future-dated – added on its date",IF(AND($G467="Received",$A467&lt;SUMIFS(CI_Count,CI_Site,$B467,CI_Mat,$C467)),"Before count date – already in the count","OK"))))))))</f>
        <v/>
      </c>
    </row>
    <row r="468" customFormat="false" ht="15" hidden="false" customHeight="false" outlineLevel="0" collapsed="false">
      <c r="A468" s="65"/>
      <c r="B468" s="63"/>
      <c r="C468" s="70"/>
      <c r="D468" s="16" t="str">
        <f aca="false">IF($C468="","",IFERROR(INDEX(Mat_Short,MATCH($C468,Mat_Code,0)),"⚠ Unknown code"))</f>
        <v/>
      </c>
      <c r="E468" s="66"/>
      <c r="F468" s="64" t="str">
        <f aca="false">IF($C468="","",IFERROR(INDEX(Mat_Unit,MATCH($C468,Mat_Code,0)),""))</f>
        <v/>
      </c>
      <c r="G468" s="70"/>
      <c r="H468" s="63"/>
      <c r="I468" s="63"/>
      <c r="J468" s="63"/>
      <c r="K468" s="16" t="str">
        <f aca="false">IF(AND($A468="",$B468="",$C468="",$E468=""),"",IF($A468="","⚠ Date missing",IF(OR($B468="",$C468=""),"⚠ Site / material missing",IF(COUNTIFS(CI_Site,$B468,CI_Mat,$C468)=0,"⚠ No Current Inventory row for this site + material",IF($G468="","⚠ Status missing",IF(AND($G468="Scheduled",$A468&lt;=AsOfDate),"⚠ Scheduled date reached – mark Received or re-date",IF(AND($G468="Received",$A468&gt;AsOfDate),"Future-dated – added on its date",IF(AND($G468="Received",$A468&lt;SUMIFS(CI_Count,CI_Site,$B468,CI_Mat,$C468)),"Before count date – already in the count","OK"))))))))</f>
        <v/>
      </c>
    </row>
    <row r="469" customFormat="false" ht="15" hidden="false" customHeight="false" outlineLevel="0" collapsed="false">
      <c r="A469" s="65"/>
      <c r="B469" s="63"/>
      <c r="C469" s="70"/>
      <c r="D469" s="16" t="str">
        <f aca="false">IF($C469="","",IFERROR(INDEX(Mat_Short,MATCH($C469,Mat_Code,0)),"⚠ Unknown code"))</f>
        <v/>
      </c>
      <c r="E469" s="66"/>
      <c r="F469" s="64" t="str">
        <f aca="false">IF($C469="","",IFERROR(INDEX(Mat_Unit,MATCH($C469,Mat_Code,0)),""))</f>
        <v/>
      </c>
      <c r="G469" s="70"/>
      <c r="H469" s="63"/>
      <c r="I469" s="63"/>
      <c r="J469" s="63"/>
      <c r="K469" s="16" t="str">
        <f aca="false">IF(AND($A469="",$B469="",$C469="",$E469=""),"",IF($A469="","⚠ Date missing",IF(OR($B469="",$C469=""),"⚠ Site / material missing",IF(COUNTIFS(CI_Site,$B469,CI_Mat,$C469)=0,"⚠ No Current Inventory row for this site + material",IF($G469="","⚠ Status missing",IF(AND($G469="Scheduled",$A469&lt;=AsOfDate),"⚠ Scheduled date reached – mark Received or re-date",IF(AND($G469="Received",$A469&gt;AsOfDate),"Future-dated – added on its date",IF(AND($G469="Received",$A469&lt;SUMIFS(CI_Count,CI_Site,$B469,CI_Mat,$C469)),"Before count date – already in the count","OK"))))))))</f>
        <v/>
      </c>
    </row>
    <row r="470" customFormat="false" ht="15" hidden="false" customHeight="false" outlineLevel="0" collapsed="false">
      <c r="A470" s="65"/>
      <c r="B470" s="63"/>
      <c r="C470" s="70"/>
      <c r="D470" s="16" t="str">
        <f aca="false">IF($C470="","",IFERROR(INDEX(Mat_Short,MATCH($C470,Mat_Code,0)),"⚠ Unknown code"))</f>
        <v/>
      </c>
      <c r="E470" s="66"/>
      <c r="F470" s="64" t="str">
        <f aca="false">IF($C470="","",IFERROR(INDEX(Mat_Unit,MATCH($C470,Mat_Code,0)),""))</f>
        <v/>
      </c>
      <c r="G470" s="70"/>
      <c r="H470" s="63"/>
      <c r="I470" s="63"/>
      <c r="J470" s="63"/>
      <c r="K470" s="16" t="str">
        <f aca="false">IF(AND($A470="",$B470="",$C470="",$E470=""),"",IF($A470="","⚠ Date missing",IF(OR($B470="",$C470=""),"⚠ Site / material missing",IF(COUNTIFS(CI_Site,$B470,CI_Mat,$C470)=0,"⚠ No Current Inventory row for this site + material",IF($G470="","⚠ Status missing",IF(AND($G470="Scheduled",$A470&lt;=AsOfDate),"⚠ Scheduled date reached – mark Received or re-date",IF(AND($G470="Received",$A470&gt;AsOfDate),"Future-dated – added on its date",IF(AND($G470="Received",$A470&lt;SUMIFS(CI_Count,CI_Site,$B470,CI_Mat,$C470)),"Before count date – already in the count","OK"))))))))</f>
        <v/>
      </c>
    </row>
    <row r="471" customFormat="false" ht="15" hidden="false" customHeight="false" outlineLevel="0" collapsed="false">
      <c r="A471" s="65"/>
      <c r="B471" s="63"/>
      <c r="C471" s="70"/>
      <c r="D471" s="16" t="str">
        <f aca="false">IF($C471="","",IFERROR(INDEX(Mat_Short,MATCH($C471,Mat_Code,0)),"⚠ Unknown code"))</f>
        <v/>
      </c>
      <c r="E471" s="66"/>
      <c r="F471" s="64" t="str">
        <f aca="false">IF($C471="","",IFERROR(INDEX(Mat_Unit,MATCH($C471,Mat_Code,0)),""))</f>
        <v/>
      </c>
      <c r="G471" s="70"/>
      <c r="H471" s="63"/>
      <c r="I471" s="63"/>
      <c r="J471" s="63"/>
      <c r="K471" s="16" t="str">
        <f aca="false">IF(AND($A471="",$B471="",$C471="",$E471=""),"",IF($A471="","⚠ Date missing",IF(OR($B471="",$C471=""),"⚠ Site / material missing",IF(COUNTIFS(CI_Site,$B471,CI_Mat,$C471)=0,"⚠ No Current Inventory row for this site + material",IF($G471="","⚠ Status missing",IF(AND($G471="Scheduled",$A471&lt;=AsOfDate),"⚠ Scheduled date reached – mark Received or re-date",IF(AND($G471="Received",$A471&gt;AsOfDate),"Future-dated – added on its date",IF(AND($G471="Received",$A471&lt;SUMIFS(CI_Count,CI_Site,$B471,CI_Mat,$C471)),"Before count date – already in the count","OK"))))))))</f>
        <v/>
      </c>
    </row>
    <row r="472" customFormat="false" ht="15" hidden="false" customHeight="false" outlineLevel="0" collapsed="false">
      <c r="A472" s="65"/>
      <c r="B472" s="63"/>
      <c r="C472" s="70"/>
      <c r="D472" s="16" t="str">
        <f aca="false">IF($C472="","",IFERROR(INDEX(Mat_Short,MATCH($C472,Mat_Code,0)),"⚠ Unknown code"))</f>
        <v/>
      </c>
      <c r="E472" s="66"/>
      <c r="F472" s="64" t="str">
        <f aca="false">IF($C472="","",IFERROR(INDEX(Mat_Unit,MATCH($C472,Mat_Code,0)),""))</f>
        <v/>
      </c>
      <c r="G472" s="70"/>
      <c r="H472" s="63"/>
      <c r="I472" s="63"/>
      <c r="J472" s="63"/>
      <c r="K472" s="16" t="str">
        <f aca="false">IF(AND($A472="",$B472="",$C472="",$E472=""),"",IF($A472="","⚠ Date missing",IF(OR($B472="",$C472=""),"⚠ Site / material missing",IF(COUNTIFS(CI_Site,$B472,CI_Mat,$C472)=0,"⚠ No Current Inventory row for this site + material",IF($G472="","⚠ Status missing",IF(AND($G472="Scheduled",$A472&lt;=AsOfDate),"⚠ Scheduled date reached – mark Received or re-date",IF(AND($G472="Received",$A472&gt;AsOfDate),"Future-dated – added on its date",IF(AND($G472="Received",$A472&lt;SUMIFS(CI_Count,CI_Site,$B472,CI_Mat,$C472)),"Before count date – already in the count","OK"))))))))</f>
        <v/>
      </c>
    </row>
    <row r="473" customFormat="false" ht="15" hidden="false" customHeight="false" outlineLevel="0" collapsed="false">
      <c r="A473" s="65"/>
      <c r="B473" s="63"/>
      <c r="C473" s="70"/>
      <c r="D473" s="16" t="str">
        <f aca="false">IF($C473="","",IFERROR(INDEX(Mat_Short,MATCH($C473,Mat_Code,0)),"⚠ Unknown code"))</f>
        <v/>
      </c>
      <c r="E473" s="66"/>
      <c r="F473" s="64" t="str">
        <f aca="false">IF($C473="","",IFERROR(INDEX(Mat_Unit,MATCH($C473,Mat_Code,0)),""))</f>
        <v/>
      </c>
      <c r="G473" s="70"/>
      <c r="H473" s="63"/>
      <c r="I473" s="63"/>
      <c r="J473" s="63"/>
      <c r="K473" s="16" t="str">
        <f aca="false">IF(AND($A473="",$B473="",$C473="",$E473=""),"",IF($A473="","⚠ Date missing",IF(OR($B473="",$C473=""),"⚠ Site / material missing",IF(COUNTIFS(CI_Site,$B473,CI_Mat,$C473)=0,"⚠ No Current Inventory row for this site + material",IF($G473="","⚠ Status missing",IF(AND($G473="Scheduled",$A473&lt;=AsOfDate),"⚠ Scheduled date reached – mark Received or re-date",IF(AND($G473="Received",$A473&gt;AsOfDate),"Future-dated – added on its date",IF(AND($G473="Received",$A473&lt;SUMIFS(CI_Count,CI_Site,$B473,CI_Mat,$C473)),"Before count date – already in the count","OK"))))))))</f>
        <v/>
      </c>
    </row>
    <row r="474" customFormat="false" ht="15" hidden="false" customHeight="false" outlineLevel="0" collapsed="false">
      <c r="A474" s="65"/>
      <c r="B474" s="63"/>
      <c r="C474" s="70"/>
      <c r="D474" s="16" t="str">
        <f aca="false">IF($C474="","",IFERROR(INDEX(Mat_Short,MATCH($C474,Mat_Code,0)),"⚠ Unknown code"))</f>
        <v/>
      </c>
      <c r="E474" s="66"/>
      <c r="F474" s="64" t="str">
        <f aca="false">IF($C474="","",IFERROR(INDEX(Mat_Unit,MATCH($C474,Mat_Code,0)),""))</f>
        <v/>
      </c>
      <c r="G474" s="70"/>
      <c r="H474" s="63"/>
      <c r="I474" s="63"/>
      <c r="J474" s="63"/>
      <c r="K474" s="16" t="str">
        <f aca="false">IF(AND($A474="",$B474="",$C474="",$E474=""),"",IF($A474="","⚠ Date missing",IF(OR($B474="",$C474=""),"⚠ Site / material missing",IF(COUNTIFS(CI_Site,$B474,CI_Mat,$C474)=0,"⚠ No Current Inventory row for this site + material",IF($G474="","⚠ Status missing",IF(AND($G474="Scheduled",$A474&lt;=AsOfDate),"⚠ Scheduled date reached – mark Received or re-date",IF(AND($G474="Received",$A474&gt;AsOfDate),"Future-dated – added on its date",IF(AND($G474="Received",$A474&lt;SUMIFS(CI_Count,CI_Site,$B474,CI_Mat,$C474)),"Before count date – already in the count","OK"))))))))</f>
        <v/>
      </c>
    </row>
    <row r="475" customFormat="false" ht="15" hidden="false" customHeight="false" outlineLevel="0" collapsed="false">
      <c r="A475" s="65"/>
      <c r="B475" s="63"/>
      <c r="C475" s="70"/>
      <c r="D475" s="16" t="str">
        <f aca="false">IF($C475="","",IFERROR(INDEX(Mat_Short,MATCH($C475,Mat_Code,0)),"⚠ Unknown code"))</f>
        <v/>
      </c>
      <c r="E475" s="66"/>
      <c r="F475" s="64" t="str">
        <f aca="false">IF($C475="","",IFERROR(INDEX(Mat_Unit,MATCH($C475,Mat_Code,0)),""))</f>
        <v/>
      </c>
      <c r="G475" s="70"/>
      <c r="H475" s="63"/>
      <c r="I475" s="63"/>
      <c r="J475" s="63"/>
      <c r="K475" s="16" t="str">
        <f aca="false">IF(AND($A475="",$B475="",$C475="",$E475=""),"",IF($A475="","⚠ Date missing",IF(OR($B475="",$C475=""),"⚠ Site / material missing",IF(COUNTIFS(CI_Site,$B475,CI_Mat,$C475)=0,"⚠ No Current Inventory row for this site + material",IF($G475="","⚠ Status missing",IF(AND($G475="Scheduled",$A475&lt;=AsOfDate),"⚠ Scheduled date reached – mark Received or re-date",IF(AND($G475="Received",$A475&gt;AsOfDate),"Future-dated – added on its date",IF(AND($G475="Received",$A475&lt;SUMIFS(CI_Count,CI_Site,$B475,CI_Mat,$C475)),"Before count date – already in the count","OK"))))))))</f>
        <v/>
      </c>
    </row>
    <row r="476" customFormat="false" ht="15" hidden="false" customHeight="false" outlineLevel="0" collapsed="false">
      <c r="A476" s="65"/>
      <c r="B476" s="63"/>
      <c r="C476" s="70"/>
      <c r="D476" s="16" t="str">
        <f aca="false">IF($C476="","",IFERROR(INDEX(Mat_Short,MATCH($C476,Mat_Code,0)),"⚠ Unknown code"))</f>
        <v/>
      </c>
      <c r="E476" s="66"/>
      <c r="F476" s="64" t="str">
        <f aca="false">IF($C476="","",IFERROR(INDEX(Mat_Unit,MATCH($C476,Mat_Code,0)),""))</f>
        <v/>
      </c>
      <c r="G476" s="70"/>
      <c r="H476" s="63"/>
      <c r="I476" s="63"/>
      <c r="J476" s="63"/>
      <c r="K476" s="16" t="str">
        <f aca="false">IF(AND($A476="",$B476="",$C476="",$E476=""),"",IF($A476="","⚠ Date missing",IF(OR($B476="",$C476=""),"⚠ Site / material missing",IF(COUNTIFS(CI_Site,$B476,CI_Mat,$C476)=0,"⚠ No Current Inventory row for this site + material",IF($G476="","⚠ Status missing",IF(AND($G476="Scheduled",$A476&lt;=AsOfDate),"⚠ Scheduled date reached – mark Received or re-date",IF(AND($G476="Received",$A476&gt;AsOfDate),"Future-dated – added on its date",IF(AND($G476="Received",$A476&lt;SUMIFS(CI_Count,CI_Site,$B476,CI_Mat,$C476)),"Before count date – already in the count","OK"))))))))</f>
        <v/>
      </c>
    </row>
    <row r="477" customFormat="false" ht="15" hidden="false" customHeight="false" outlineLevel="0" collapsed="false">
      <c r="A477" s="65"/>
      <c r="B477" s="63"/>
      <c r="C477" s="70"/>
      <c r="D477" s="16" t="str">
        <f aca="false">IF($C477="","",IFERROR(INDEX(Mat_Short,MATCH($C477,Mat_Code,0)),"⚠ Unknown code"))</f>
        <v/>
      </c>
      <c r="E477" s="66"/>
      <c r="F477" s="64" t="str">
        <f aca="false">IF($C477="","",IFERROR(INDEX(Mat_Unit,MATCH($C477,Mat_Code,0)),""))</f>
        <v/>
      </c>
      <c r="G477" s="70"/>
      <c r="H477" s="63"/>
      <c r="I477" s="63"/>
      <c r="J477" s="63"/>
      <c r="K477" s="16" t="str">
        <f aca="false">IF(AND($A477="",$B477="",$C477="",$E477=""),"",IF($A477="","⚠ Date missing",IF(OR($B477="",$C477=""),"⚠ Site / material missing",IF(COUNTIFS(CI_Site,$B477,CI_Mat,$C477)=0,"⚠ No Current Inventory row for this site + material",IF($G477="","⚠ Status missing",IF(AND($G477="Scheduled",$A477&lt;=AsOfDate),"⚠ Scheduled date reached – mark Received or re-date",IF(AND($G477="Received",$A477&gt;AsOfDate),"Future-dated – added on its date",IF(AND($G477="Received",$A477&lt;SUMIFS(CI_Count,CI_Site,$B477,CI_Mat,$C477)),"Before count date – already in the count","OK"))))))))</f>
        <v/>
      </c>
    </row>
    <row r="478" customFormat="false" ht="15" hidden="false" customHeight="false" outlineLevel="0" collapsed="false">
      <c r="A478" s="65"/>
      <c r="B478" s="63"/>
      <c r="C478" s="70"/>
      <c r="D478" s="16" t="str">
        <f aca="false">IF($C478="","",IFERROR(INDEX(Mat_Short,MATCH($C478,Mat_Code,0)),"⚠ Unknown code"))</f>
        <v/>
      </c>
      <c r="E478" s="66"/>
      <c r="F478" s="64" t="str">
        <f aca="false">IF($C478="","",IFERROR(INDEX(Mat_Unit,MATCH($C478,Mat_Code,0)),""))</f>
        <v/>
      </c>
      <c r="G478" s="70"/>
      <c r="H478" s="63"/>
      <c r="I478" s="63"/>
      <c r="J478" s="63"/>
      <c r="K478" s="16" t="str">
        <f aca="false">IF(AND($A478="",$B478="",$C478="",$E478=""),"",IF($A478="","⚠ Date missing",IF(OR($B478="",$C478=""),"⚠ Site / material missing",IF(COUNTIFS(CI_Site,$B478,CI_Mat,$C478)=0,"⚠ No Current Inventory row for this site + material",IF($G478="","⚠ Status missing",IF(AND($G478="Scheduled",$A478&lt;=AsOfDate),"⚠ Scheduled date reached – mark Received or re-date",IF(AND($G478="Received",$A478&gt;AsOfDate),"Future-dated – added on its date",IF(AND($G478="Received",$A478&lt;SUMIFS(CI_Count,CI_Site,$B478,CI_Mat,$C478)),"Before count date – already in the count","OK"))))))))</f>
        <v/>
      </c>
    </row>
    <row r="479" customFormat="false" ht="15" hidden="false" customHeight="false" outlineLevel="0" collapsed="false">
      <c r="A479" s="65"/>
      <c r="B479" s="63"/>
      <c r="C479" s="70"/>
      <c r="D479" s="16" t="str">
        <f aca="false">IF($C479="","",IFERROR(INDEX(Mat_Short,MATCH($C479,Mat_Code,0)),"⚠ Unknown code"))</f>
        <v/>
      </c>
      <c r="E479" s="66"/>
      <c r="F479" s="64" t="str">
        <f aca="false">IF($C479="","",IFERROR(INDEX(Mat_Unit,MATCH($C479,Mat_Code,0)),""))</f>
        <v/>
      </c>
      <c r="G479" s="70"/>
      <c r="H479" s="63"/>
      <c r="I479" s="63"/>
      <c r="J479" s="63"/>
      <c r="K479" s="16" t="str">
        <f aca="false">IF(AND($A479="",$B479="",$C479="",$E479=""),"",IF($A479="","⚠ Date missing",IF(OR($B479="",$C479=""),"⚠ Site / material missing",IF(COUNTIFS(CI_Site,$B479,CI_Mat,$C479)=0,"⚠ No Current Inventory row for this site + material",IF($G479="","⚠ Status missing",IF(AND($G479="Scheduled",$A479&lt;=AsOfDate),"⚠ Scheduled date reached – mark Received or re-date",IF(AND($G479="Received",$A479&gt;AsOfDate),"Future-dated – added on its date",IF(AND($G479="Received",$A479&lt;SUMIFS(CI_Count,CI_Site,$B479,CI_Mat,$C479)),"Before count date – already in the count","OK"))))))))</f>
        <v/>
      </c>
    </row>
    <row r="480" customFormat="false" ht="15" hidden="false" customHeight="false" outlineLevel="0" collapsed="false">
      <c r="A480" s="65"/>
      <c r="B480" s="63"/>
      <c r="C480" s="70"/>
      <c r="D480" s="16" t="str">
        <f aca="false">IF($C480="","",IFERROR(INDEX(Mat_Short,MATCH($C480,Mat_Code,0)),"⚠ Unknown code"))</f>
        <v/>
      </c>
      <c r="E480" s="66"/>
      <c r="F480" s="64" t="str">
        <f aca="false">IF($C480="","",IFERROR(INDEX(Mat_Unit,MATCH($C480,Mat_Code,0)),""))</f>
        <v/>
      </c>
      <c r="G480" s="70"/>
      <c r="H480" s="63"/>
      <c r="I480" s="63"/>
      <c r="J480" s="63"/>
      <c r="K480" s="16" t="str">
        <f aca="false">IF(AND($A480="",$B480="",$C480="",$E480=""),"",IF($A480="","⚠ Date missing",IF(OR($B480="",$C480=""),"⚠ Site / material missing",IF(COUNTIFS(CI_Site,$B480,CI_Mat,$C480)=0,"⚠ No Current Inventory row for this site + material",IF($G480="","⚠ Status missing",IF(AND($G480="Scheduled",$A480&lt;=AsOfDate),"⚠ Scheduled date reached – mark Received or re-date",IF(AND($G480="Received",$A480&gt;AsOfDate),"Future-dated – added on its date",IF(AND($G480="Received",$A480&lt;SUMIFS(CI_Count,CI_Site,$B480,CI_Mat,$C480)),"Before count date – already in the count","OK"))))))))</f>
        <v/>
      </c>
    </row>
    <row r="481" customFormat="false" ht="15" hidden="false" customHeight="false" outlineLevel="0" collapsed="false">
      <c r="A481" s="65"/>
      <c r="B481" s="63"/>
      <c r="C481" s="70"/>
      <c r="D481" s="16" t="str">
        <f aca="false">IF($C481="","",IFERROR(INDEX(Mat_Short,MATCH($C481,Mat_Code,0)),"⚠ Unknown code"))</f>
        <v/>
      </c>
      <c r="E481" s="66"/>
      <c r="F481" s="64" t="str">
        <f aca="false">IF($C481="","",IFERROR(INDEX(Mat_Unit,MATCH($C481,Mat_Code,0)),""))</f>
        <v/>
      </c>
      <c r="G481" s="70"/>
      <c r="H481" s="63"/>
      <c r="I481" s="63"/>
      <c r="J481" s="63"/>
      <c r="K481" s="16" t="str">
        <f aca="false">IF(AND($A481="",$B481="",$C481="",$E481=""),"",IF($A481="","⚠ Date missing",IF(OR($B481="",$C481=""),"⚠ Site / material missing",IF(COUNTIFS(CI_Site,$B481,CI_Mat,$C481)=0,"⚠ No Current Inventory row for this site + material",IF($G481="","⚠ Status missing",IF(AND($G481="Scheduled",$A481&lt;=AsOfDate),"⚠ Scheduled date reached – mark Received or re-date",IF(AND($G481="Received",$A481&gt;AsOfDate),"Future-dated – added on its date",IF(AND($G481="Received",$A481&lt;SUMIFS(CI_Count,CI_Site,$B481,CI_Mat,$C481)),"Before count date – already in the count","OK"))))))))</f>
        <v/>
      </c>
    </row>
    <row r="482" customFormat="false" ht="15" hidden="false" customHeight="false" outlineLevel="0" collapsed="false">
      <c r="A482" s="65"/>
      <c r="B482" s="63"/>
      <c r="C482" s="70"/>
      <c r="D482" s="16" t="str">
        <f aca="false">IF($C482="","",IFERROR(INDEX(Mat_Short,MATCH($C482,Mat_Code,0)),"⚠ Unknown code"))</f>
        <v/>
      </c>
      <c r="E482" s="66"/>
      <c r="F482" s="64" t="str">
        <f aca="false">IF($C482="","",IFERROR(INDEX(Mat_Unit,MATCH($C482,Mat_Code,0)),""))</f>
        <v/>
      </c>
      <c r="G482" s="70"/>
      <c r="H482" s="63"/>
      <c r="I482" s="63"/>
      <c r="J482" s="63"/>
      <c r="K482" s="16" t="str">
        <f aca="false">IF(AND($A482="",$B482="",$C482="",$E482=""),"",IF($A482="","⚠ Date missing",IF(OR($B482="",$C482=""),"⚠ Site / material missing",IF(COUNTIFS(CI_Site,$B482,CI_Mat,$C482)=0,"⚠ No Current Inventory row for this site + material",IF($G482="","⚠ Status missing",IF(AND($G482="Scheduled",$A482&lt;=AsOfDate),"⚠ Scheduled date reached – mark Received or re-date",IF(AND($G482="Received",$A482&gt;AsOfDate),"Future-dated – added on its date",IF(AND($G482="Received",$A482&lt;SUMIFS(CI_Count,CI_Site,$B482,CI_Mat,$C482)),"Before count date – already in the count","OK"))))))))</f>
        <v/>
      </c>
    </row>
    <row r="483" customFormat="false" ht="15" hidden="false" customHeight="false" outlineLevel="0" collapsed="false">
      <c r="A483" s="65"/>
      <c r="B483" s="63"/>
      <c r="C483" s="70"/>
      <c r="D483" s="16" t="str">
        <f aca="false">IF($C483="","",IFERROR(INDEX(Mat_Short,MATCH($C483,Mat_Code,0)),"⚠ Unknown code"))</f>
        <v/>
      </c>
      <c r="E483" s="66"/>
      <c r="F483" s="64" t="str">
        <f aca="false">IF($C483="","",IFERROR(INDEX(Mat_Unit,MATCH($C483,Mat_Code,0)),""))</f>
        <v/>
      </c>
      <c r="G483" s="70"/>
      <c r="H483" s="63"/>
      <c r="I483" s="63"/>
      <c r="J483" s="63"/>
      <c r="K483" s="16" t="str">
        <f aca="false">IF(AND($A483="",$B483="",$C483="",$E483=""),"",IF($A483="","⚠ Date missing",IF(OR($B483="",$C483=""),"⚠ Site / material missing",IF(COUNTIFS(CI_Site,$B483,CI_Mat,$C483)=0,"⚠ No Current Inventory row for this site + material",IF($G483="","⚠ Status missing",IF(AND($G483="Scheduled",$A483&lt;=AsOfDate),"⚠ Scheduled date reached – mark Received or re-date",IF(AND($G483="Received",$A483&gt;AsOfDate),"Future-dated – added on its date",IF(AND($G483="Received",$A483&lt;SUMIFS(CI_Count,CI_Site,$B483,CI_Mat,$C483)),"Before count date – already in the count","OK"))))))))</f>
        <v/>
      </c>
    </row>
    <row r="484" customFormat="false" ht="15" hidden="false" customHeight="false" outlineLevel="0" collapsed="false">
      <c r="A484" s="65"/>
      <c r="B484" s="63"/>
      <c r="C484" s="70"/>
      <c r="D484" s="16" t="str">
        <f aca="false">IF($C484="","",IFERROR(INDEX(Mat_Short,MATCH($C484,Mat_Code,0)),"⚠ Unknown code"))</f>
        <v/>
      </c>
      <c r="E484" s="66"/>
      <c r="F484" s="64" t="str">
        <f aca="false">IF($C484="","",IFERROR(INDEX(Mat_Unit,MATCH($C484,Mat_Code,0)),""))</f>
        <v/>
      </c>
      <c r="G484" s="70"/>
      <c r="H484" s="63"/>
      <c r="I484" s="63"/>
      <c r="J484" s="63"/>
      <c r="K484" s="16" t="str">
        <f aca="false">IF(AND($A484="",$B484="",$C484="",$E484=""),"",IF($A484="","⚠ Date missing",IF(OR($B484="",$C484=""),"⚠ Site / material missing",IF(COUNTIFS(CI_Site,$B484,CI_Mat,$C484)=0,"⚠ No Current Inventory row for this site + material",IF($G484="","⚠ Status missing",IF(AND($G484="Scheduled",$A484&lt;=AsOfDate),"⚠ Scheduled date reached – mark Received or re-date",IF(AND($G484="Received",$A484&gt;AsOfDate),"Future-dated – added on its date",IF(AND($G484="Received",$A484&lt;SUMIFS(CI_Count,CI_Site,$B484,CI_Mat,$C484)),"Before count date – already in the count","OK"))))))))</f>
        <v/>
      </c>
    </row>
    <row r="485" customFormat="false" ht="15" hidden="false" customHeight="false" outlineLevel="0" collapsed="false">
      <c r="A485" s="65"/>
      <c r="B485" s="63"/>
      <c r="C485" s="70"/>
      <c r="D485" s="16" t="str">
        <f aca="false">IF($C485="","",IFERROR(INDEX(Mat_Short,MATCH($C485,Mat_Code,0)),"⚠ Unknown code"))</f>
        <v/>
      </c>
      <c r="E485" s="66"/>
      <c r="F485" s="64" t="str">
        <f aca="false">IF($C485="","",IFERROR(INDEX(Mat_Unit,MATCH($C485,Mat_Code,0)),""))</f>
        <v/>
      </c>
      <c r="G485" s="70"/>
      <c r="H485" s="63"/>
      <c r="I485" s="63"/>
      <c r="J485" s="63"/>
      <c r="K485" s="16" t="str">
        <f aca="false">IF(AND($A485="",$B485="",$C485="",$E485=""),"",IF($A485="","⚠ Date missing",IF(OR($B485="",$C485=""),"⚠ Site / material missing",IF(COUNTIFS(CI_Site,$B485,CI_Mat,$C485)=0,"⚠ No Current Inventory row for this site + material",IF($G485="","⚠ Status missing",IF(AND($G485="Scheduled",$A485&lt;=AsOfDate),"⚠ Scheduled date reached – mark Received or re-date",IF(AND($G485="Received",$A485&gt;AsOfDate),"Future-dated – added on its date",IF(AND($G485="Received",$A485&lt;SUMIFS(CI_Count,CI_Site,$B485,CI_Mat,$C485)),"Before count date – already in the count","OK"))))))))</f>
        <v/>
      </c>
    </row>
    <row r="486" customFormat="false" ht="15" hidden="false" customHeight="false" outlineLevel="0" collapsed="false">
      <c r="A486" s="65"/>
      <c r="B486" s="63"/>
      <c r="C486" s="70"/>
      <c r="D486" s="16" t="str">
        <f aca="false">IF($C486="","",IFERROR(INDEX(Mat_Short,MATCH($C486,Mat_Code,0)),"⚠ Unknown code"))</f>
        <v/>
      </c>
      <c r="E486" s="66"/>
      <c r="F486" s="64" t="str">
        <f aca="false">IF($C486="","",IFERROR(INDEX(Mat_Unit,MATCH($C486,Mat_Code,0)),""))</f>
        <v/>
      </c>
      <c r="G486" s="70"/>
      <c r="H486" s="63"/>
      <c r="I486" s="63"/>
      <c r="J486" s="63"/>
      <c r="K486" s="16" t="str">
        <f aca="false">IF(AND($A486="",$B486="",$C486="",$E486=""),"",IF($A486="","⚠ Date missing",IF(OR($B486="",$C486=""),"⚠ Site / material missing",IF(COUNTIFS(CI_Site,$B486,CI_Mat,$C486)=0,"⚠ No Current Inventory row for this site + material",IF($G486="","⚠ Status missing",IF(AND($G486="Scheduled",$A486&lt;=AsOfDate),"⚠ Scheduled date reached – mark Received or re-date",IF(AND($G486="Received",$A486&gt;AsOfDate),"Future-dated – added on its date",IF(AND($G486="Received",$A486&lt;SUMIFS(CI_Count,CI_Site,$B486,CI_Mat,$C486)),"Before count date – already in the count","OK"))))))))</f>
        <v/>
      </c>
    </row>
    <row r="487" customFormat="false" ht="15" hidden="false" customHeight="false" outlineLevel="0" collapsed="false">
      <c r="A487" s="65"/>
      <c r="B487" s="63"/>
      <c r="C487" s="70"/>
      <c r="D487" s="16" t="str">
        <f aca="false">IF($C487="","",IFERROR(INDEX(Mat_Short,MATCH($C487,Mat_Code,0)),"⚠ Unknown code"))</f>
        <v/>
      </c>
      <c r="E487" s="66"/>
      <c r="F487" s="64" t="str">
        <f aca="false">IF($C487="","",IFERROR(INDEX(Mat_Unit,MATCH($C487,Mat_Code,0)),""))</f>
        <v/>
      </c>
      <c r="G487" s="70"/>
      <c r="H487" s="63"/>
      <c r="I487" s="63"/>
      <c r="J487" s="63"/>
      <c r="K487" s="16" t="str">
        <f aca="false">IF(AND($A487="",$B487="",$C487="",$E487=""),"",IF($A487="","⚠ Date missing",IF(OR($B487="",$C487=""),"⚠ Site / material missing",IF(COUNTIFS(CI_Site,$B487,CI_Mat,$C487)=0,"⚠ No Current Inventory row for this site + material",IF($G487="","⚠ Status missing",IF(AND($G487="Scheduled",$A487&lt;=AsOfDate),"⚠ Scheduled date reached – mark Received or re-date",IF(AND($G487="Received",$A487&gt;AsOfDate),"Future-dated – added on its date",IF(AND($G487="Received",$A487&lt;SUMIFS(CI_Count,CI_Site,$B487,CI_Mat,$C487)),"Before count date – already in the count","OK"))))))))</f>
        <v/>
      </c>
    </row>
    <row r="488" customFormat="false" ht="15" hidden="false" customHeight="false" outlineLevel="0" collapsed="false">
      <c r="A488" s="65"/>
      <c r="B488" s="63"/>
      <c r="C488" s="70"/>
      <c r="D488" s="16" t="str">
        <f aca="false">IF($C488="","",IFERROR(INDEX(Mat_Short,MATCH($C488,Mat_Code,0)),"⚠ Unknown code"))</f>
        <v/>
      </c>
      <c r="E488" s="66"/>
      <c r="F488" s="64" t="str">
        <f aca="false">IF($C488="","",IFERROR(INDEX(Mat_Unit,MATCH($C488,Mat_Code,0)),""))</f>
        <v/>
      </c>
      <c r="G488" s="70"/>
      <c r="H488" s="63"/>
      <c r="I488" s="63"/>
      <c r="J488" s="63"/>
      <c r="K488" s="16" t="str">
        <f aca="false">IF(AND($A488="",$B488="",$C488="",$E488=""),"",IF($A488="","⚠ Date missing",IF(OR($B488="",$C488=""),"⚠ Site / material missing",IF(COUNTIFS(CI_Site,$B488,CI_Mat,$C488)=0,"⚠ No Current Inventory row for this site + material",IF($G488="","⚠ Status missing",IF(AND($G488="Scheduled",$A488&lt;=AsOfDate),"⚠ Scheduled date reached – mark Received or re-date",IF(AND($G488="Received",$A488&gt;AsOfDate),"Future-dated – added on its date",IF(AND($G488="Received",$A488&lt;SUMIFS(CI_Count,CI_Site,$B488,CI_Mat,$C488)),"Before count date – already in the count","OK"))))))))</f>
        <v/>
      </c>
    </row>
    <row r="489" customFormat="false" ht="15" hidden="false" customHeight="false" outlineLevel="0" collapsed="false">
      <c r="A489" s="65"/>
      <c r="B489" s="63"/>
      <c r="C489" s="70"/>
      <c r="D489" s="16" t="str">
        <f aca="false">IF($C489="","",IFERROR(INDEX(Mat_Short,MATCH($C489,Mat_Code,0)),"⚠ Unknown code"))</f>
        <v/>
      </c>
      <c r="E489" s="66"/>
      <c r="F489" s="64" t="str">
        <f aca="false">IF($C489="","",IFERROR(INDEX(Mat_Unit,MATCH($C489,Mat_Code,0)),""))</f>
        <v/>
      </c>
      <c r="G489" s="70"/>
      <c r="H489" s="63"/>
      <c r="I489" s="63"/>
      <c r="J489" s="63"/>
      <c r="K489" s="16" t="str">
        <f aca="false">IF(AND($A489="",$B489="",$C489="",$E489=""),"",IF($A489="","⚠ Date missing",IF(OR($B489="",$C489=""),"⚠ Site / material missing",IF(COUNTIFS(CI_Site,$B489,CI_Mat,$C489)=0,"⚠ No Current Inventory row for this site + material",IF($G489="","⚠ Status missing",IF(AND($G489="Scheduled",$A489&lt;=AsOfDate),"⚠ Scheduled date reached – mark Received or re-date",IF(AND($G489="Received",$A489&gt;AsOfDate),"Future-dated – added on its date",IF(AND($G489="Received",$A489&lt;SUMIFS(CI_Count,CI_Site,$B489,CI_Mat,$C489)),"Before count date – already in the count","OK"))))))))</f>
        <v/>
      </c>
    </row>
    <row r="490" customFormat="false" ht="15" hidden="false" customHeight="false" outlineLevel="0" collapsed="false">
      <c r="A490" s="65"/>
      <c r="B490" s="63"/>
      <c r="C490" s="70"/>
      <c r="D490" s="16" t="str">
        <f aca="false">IF($C490="","",IFERROR(INDEX(Mat_Short,MATCH($C490,Mat_Code,0)),"⚠ Unknown code"))</f>
        <v/>
      </c>
      <c r="E490" s="66"/>
      <c r="F490" s="64" t="str">
        <f aca="false">IF($C490="","",IFERROR(INDEX(Mat_Unit,MATCH($C490,Mat_Code,0)),""))</f>
        <v/>
      </c>
      <c r="G490" s="70"/>
      <c r="H490" s="63"/>
      <c r="I490" s="63"/>
      <c r="J490" s="63"/>
      <c r="K490" s="16" t="str">
        <f aca="false">IF(AND($A490="",$B490="",$C490="",$E490=""),"",IF($A490="","⚠ Date missing",IF(OR($B490="",$C490=""),"⚠ Site / material missing",IF(COUNTIFS(CI_Site,$B490,CI_Mat,$C490)=0,"⚠ No Current Inventory row for this site + material",IF($G490="","⚠ Status missing",IF(AND($G490="Scheduled",$A490&lt;=AsOfDate),"⚠ Scheduled date reached – mark Received or re-date",IF(AND($G490="Received",$A490&gt;AsOfDate),"Future-dated – added on its date",IF(AND($G490="Received",$A490&lt;SUMIFS(CI_Count,CI_Site,$B490,CI_Mat,$C490)),"Before count date – already in the count","OK"))))))))</f>
        <v/>
      </c>
    </row>
    <row r="491" customFormat="false" ht="15" hidden="false" customHeight="false" outlineLevel="0" collapsed="false">
      <c r="A491" s="65"/>
      <c r="B491" s="63"/>
      <c r="C491" s="70"/>
      <c r="D491" s="16" t="str">
        <f aca="false">IF($C491="","",IFERROR(INDEX(Mat_Short,MATCH($C491,Mat_Code,0)),"⚠ Unknown code"))</f>
        <v/>
      </c>
      <c r="E491" s="66"/>
      <c r="F491" s="64" t="str">
        <f aca="false">IF($C491="","",IFERROR(INDEX(Mat_Unit,MATCH($C491,Mat_Code,0)),""))</f>
        <v/>
      </c>
      <c r="G491" s="70"/>
      <c r="H491" s="63"/>
      <c r="I491" s="63"/>
      <c r="J491" s="63"/>
      <c r="K491" s="16" t="str">
        <f aca="false">IF(AND($A491="",$B491="",$C491="",$E491=""),"",IF($A491="","⚠ Date missing",IF(OR($B491="",$C491=""),"⚠ Site / material missing",IF(COUNTIFS(CI_Site,$B491,CI_Mat,$C491)=0,"⚠ No Current Inventory row for this site + material",IF($G491="","⚠ Status missing",IF(AND($G491="Scheduled",$A491&lt;=AsOfDate),"⚠ Scheduled date reached – mark Received or re-date",IF(AND($G491="Received",$A491&gt;AsOfDate),"Future-dated – added on its date",IF(AND($G491="Received",$A491&lt;SUMIFS(CI_Count,CI_Site,$B491,CI_Mat,$C491)),"Before count date – already in the count","OK"))))))))</f>
        <v/>
      </c>
    </row>
    <row r="492" customFormat="false" ht="15" hidden="false" customHeight="false" outlineLevel="0" collapsed="false">
      <c r="A492" s="65"/>
      <c r="B492" s="63"/>
      <c r="C492" s="70"/>
      <c r="D492" s="16" t="str">
        <f aca="false">IF($C492="","",IFERROR(INDEX(Mat_Short,MATCH($C492,Mat_Code,0)),"⚠ Unknown code"))</f>
        <v/>
      </c>
      <c r="E492" s="66"/>
      <c r="F492" s="64" t="str">
        <f aca="false">IF($C492="","",IFERROR(INDEX(Mat_Unit,MATCH($C492,Mat_Code,0)),""))</f>
        <v/>
      </c>
      <c r="G492" s="70"/>
      <c r="H492" s="63"/>
      <c r="I492" s="63"/>
      <c r="J492" s="63"/>
      <c r="K492" s="16" t="str">
        <f aca="false">IF(AND($A492="",$B492="",$C492="",$E492=""),"",IF($A492="","⚠ Date missing",IF(OR($B492="",$C492=""),"⚠ Site / material missing",IF(COUNTIFS(CI_Site,$B492,CI_Mat,$C492)=0,"⚠ No Current Inventory row for this site + material",IF($G492="","⚠ Status missing",IF(AND($G492="Scheduled",$A492&lt;=AsOfDate),"⚠ Scheduled date reached – mark Received or re-date",IF(AND($G492="Received",$A492&gt;AsOfDate),"Future-dated – added on its date",IF(AND($G492="Received",$A492&lt;SUMIFS(CI_Count,CI_Site,$B492,CI_Mat,$C492)),"Before count date – already in the count","OK"))))))))</f>
        <v/>
      </c>
    </row>
    <row r="493" customFormat="false" ht="15" hidden="false" customHeight="false" outlineLevel="0" collapsed="false">
      <c r="A493" s="65"/>
      <c r="B493" s="63"/>
      <c r="C493" s="70"/>
      <c r="D493" s="16" t="str">
        <f aca="false">IF($C493="","",IFERROR(INDEX(Mat_Short,MATCH($C493,Mat_Code,0)),"⚠ Unknown code"))</f>
        <v/>
      </c>
      <c r="E493" s="66"/>
      <c r="F493" s="64" t="str">
        <f aca="false">IF($C493="","",IFERROR(INDEX(Mat_Unit,MATCH($C493,Mat_Code,0)),""))</f>
        <v/>
      </c>
      <c r="G493" s="70"/>
      <c r="H493" s="63"/>
      <c r="I493" s="63"/>
      <c r="J493" s="63"/>
      <c r="K493" s="16" t="str">
        <f aca="false">IF(AND($A493="",$B493="",$C493="",$E493=""),"",IF($A493="","⚠ Date missing",IF(OR($B493="",$C493=""),"⚠ Site / material missing",IF(COUNTIFS(CI_Site,$B493,CI_Mat,$C493)=0,"⚠ No Current Inventory row for this site + material",IF($G493="","⚠ Status missing",IF(AND($G493="Scheduled",$A493&lt;=AsOfDate),"⚠ Scheduled date reached – mark Received or re-date",IF(AND($G493="Received",$A493&gt;AsOfDate),"Future-dated – added on its date",IF(AND($G493="Received",$A493&lt;SUMIFS(CI_Count,CI_Site,$B493,CI_Mat,$C493)),"Before count date – already in the count","OK"))))))))</f>
        <v/>
      </c>
    </row>
    <row r="494" customFormat="false" ht="15" hidden="false" customHeight="false" outlineLevel="0" collapsed="false">
      <c r="A494" s="65"/>
      <c r="B494" s="63"/>
      <c r="C494" s="70"/>
      <c r="D494" s="16" t="str">
        <f aca="false">IF($C494="","",IFERROR(INDEX(Mat_Short,MATCH($C494,Mat_Code,0)),"⚠ Unknown code"))</f>
        <v/>
      </c>
      <c r="E494" s="66"/>
      <c r="F494" s="64" t="str">
        <f aca="false">IF($C494="","",IFERROR(INDEX(Mat_Unit,MATCH($C494,Mat_Code,0)),""))</f>
        <v/>
      </c>
      <c r="G494" s="70"/>
      <c r="H494" s="63"/>
      <c r="I494" s="63"/>
      <c r="J494" s="63"/>
      <c r="K494" s="16" t="str">
        <f aca="false">IF(AND($A494="",$B494="",$C494="",$E494=""),"",IF($A494="","⚠ Date missing",IF(OR($B494="",$C494=""),"⚠ Site / material missing",IF(COUNTIFS(CI_Site,$B494,CI_Mat,$C494)=0,"⚠ No Current Inventory row for this site + material",IF($G494="","⚠ Status missing",IF(AND($G494="Scheduled",$A494&lt;=AsOfDate),"⚠ Scheduled date reached – mark Received or re-date",IF(AND($G494="Received",$A494&gt;AsOfDate),"Future-dated – added on its date",IF(AND($G494="Received",$A494&lt;SUMIFS(CI_Count,CI_Site,$B494,CI_Mat,$C494)),"Before count date – already in the count","OK"))))))))</f>
        <v/>
      </c>
    </row>
    <row r="495" customFormat="false" ht="15" hidden="false" customHeight="false" outlineLevel="0" collapsed="false">
      <c r="A495" s="65"/>
      <c r="B495" s="63"/>
      <c r="C495" s="70"/>
      <c r="D495" s="16" t="str">
        <f aca="false">IF($C495="","",IFERROR(INDEX(Mat_Short,MATCH($C495,Mat_Code,0)),"⚠ Unknown code"))</f>
        <v/>
      </c>
      <c r="E495" s="66"/>
      <c r="F495" s="64" t="str">
        <f aca="false">IF($C495="","",IFERROR(INDEX(Mat_Unit,MATCH($C495,Mat_Code,0)),""))</f>
        <v/>
      </c>
      <c r="G495" s="70"/>
      <c r="H495" s="63"/>
      <c r="I495" s="63"/>
      <c r="J495" s="63"/>
      <c r="K495" s="16" t="str">
        <f aca="false">IF(AND($A495="",$B495="",$C495="",$E495=""),"",IF($A495="","⚠ Date missing",IF(OR($B495="",$C495=""),"⚠ Site / material missing",IF(COUNTIFS(CI_Site,$B495,CI_Mat,$C495)=0,"⚠ No Current Inventory row for this site + material",IF($G495="","⚠ Status missing",IF(AND($G495="Scheduled",$A495&lt;=AsOfDate),"⚠ Scheduled date reached – mark Received or re-date",IF(AND($G495="Received",$A495&gt;AsOfDate),"Future-dated – added on its date",IF(AND($G495="Received",$A495&lt;SUMIFS(CI_Count,CI_Site,$B495,CI_Mat,$C495)),"Before count date – already in the count","OK"))))))))</f>
        <v/>
      </c>
    </row>
    <row r="496" customFormat="false" ht="15" hidden="false" customHeight="false" outlineLevel="0" collapsed="false">
      <c r="A496" s="65"/>
      <c r="B496" s="63"/>
      <c r="C496" s="70"/>
      <c r="D496" s="16" t="str">
        <f aca="false">IF($C496="","",IFERROR(INDEX(Mat_Short,MATCH($C496,Mat_Code,0)),"⚠ Unknown code"))</f>
        <v/>
      </c>
      <c r="E496" s="66"/>
      <c r="F496" s="64" t="str">
        <f aca="false">IF($C496="","",IFERROR(INDEX(Mat_Unit,MATCH($C496,Mat_Code,0)),""))</f>
        <v/>
      </c>
      <c r="G496" s="70"/>
      <c r="H496" s="63"/>
      <c r="I496" s="63"/>
      <c r="J496" s="63"/>
      <c r="K496" s="16" t="str">
        <f aca="false">IF(AND($A496="",$B496="",$C496="",$E496=""),"",IF($A496="","⚠ Date missing",IF(OR($B496="",$C496=""),"⚠ Site / material missing",IF(COUNTIFS(CI_Site,$B496,CI_Mat,$C496)=0,"⚠ No Current Inventory row for this site + material",IF($G496="","⚠ Status missing",IF(AND($G496="Scheduled",$A496&lt;=AsOfDate),"⚠ Scheduled date reached – mark Received or re-date",IF(AND($G496="Received",$A496&gt;AsOfDate),"Future-dated – added on its date",IF(AND($G496="Received",$A496&lt;SUMIFS(CI_Count,CI_Site,$B496,CI_Mat,$C496)),"Before count date – already in the count","OK"))))))))</f>
        <v/>
      </c>
    </row>
    <row r="497" customFormat="false" ht="15" hidden="false" customHeight="false" outlineLevel="0" collapsed="false">
      <c r="A497" s="65"/>
      <c r="B497" s="63"/>
      <c r="C497" s="70"/>
      <c r="D497" s="16" t="str">
        <f aca="false">IF($C497="","",IFERROR(INDEX(Mat_Short,MATCH($C497,Mat_Code,0)),"⚠ Unknown code"))</f>
        <v/>
      </c>
      <c r="E497" s="66"/>
      <c r="F497" s="64" t="str">
        <f aca="false">IF($C497="","",IFERROR(INDEX(Mat_Unit,MATCH($C497,Mat_Code,0)),""))</f>
        <v/>
      </c>
      <c r="G497" s="70"/>
      <c r="H497" s="63"/>
      <c r="I497" s="63"/>
      <c r="J497" s="63"/>
      <c r="K497" s="16" t="str">
        <f aca="false">IF(AND($A497="",$B497="",$C497="",$E497=""),"",IF($A497="","⚠ Date missing",IF(OR($B497="",$C497=""),"⚠ Site / material missing",IF(COUNTIFS(CI_Site,$B497,CI_Mat,$C497)=0,"⚠ No Current Inventory row for this site + material",IF($G497="","⚠ Status missing",IF(AND($G497="Scheduled",$A497&lt;=AsOfDate),"⚠ Scheduled date reached – mark Received or re-date",IF(AND($G497="Received",$A497&gt;AsOfDate),"Future-dated – added on its date",IF(AND($G497="Received",$A497&lt;SUMIFS(CI_Count,CI_Site,$B497,CI_Mat,$C497)),"Before count date – already in the count","OK"))))))))</f>
        <v/>
      </c>
    </row>
    <row r="498" customFormat="false" ht="15" hidden="false" customHeight="false" outlineLevel="0" collapsed="false">
      <c r="A498" s="65"/>
      <c r="B498" s="63"/>
      <c r="C498" s="70"/>
      <c r="D498" s="16" t="str">
        <f aca="false">IF($C498="","",IFERROR(INDEX(Mat_Short,MATCH($C498,Mat_Code,0)),"⚠ Unknown code"))</f>
        <v/>
      </c>
      <c r="E498" s="66"/>
      <c r="F498" s="64" t="str">
        <f aca="false">IF($C498="","",IFERROR(INDEX(Mat_Unit,MATCH($C498,Mat_Code,0)),""))</f>
        <v/>
      </c>
      <c r="G498" s="70"/>
      <c r="H498" s="63"/>
      <c r="I498" s="63"/>
      <c r="J498" s="63"/>
      <c r="K498" s="16" t="str">
        <f aca="false">IF(AND($A498="",$B498="",$C498="",$E498=""),"",IF($A498="","⚠ Date missing",IF(OR($B498="",$C498=""),"⚠ Site / material missing",IF(COUNTIFS(CI_Site,$B498,CI_Mat,$C498)=0,"⚠ No Current Inventory row for this site + material",IF($G498="","⚠ Status missing",IF(AND($G498="Scheduled",$A498&lt;=AsOfDate),"⚠ Scheduled date reached – mark Received or re-date",IF(AND($G498="Received",$A498&gt;AsOfDate),"Future-dated – added on its date",IF(AND($G498="Received",$A498&lt;SUMIFS(CI_Count,CI_Site,$B498,CI_Mat,$C498)),"Before count date – already in the count","OK"))))))))</f>
        <v/>
      </c>
    </row>
    <row r="499" customFormat="false" ht="15" hidden="false" customHeight="false" outlineLevel="0" collapsed="false">
      <c r="A499" s="65"/>
      <c r="B499" s="63"/>
      <c r="C499" s="70"/>
      <c r="D499" s="16" t="str">
        <f aca="false">IF($C499="","",IFERROR(INDEX(Mat_Short,MATCH($C499,Mat_Code,0)),"⚠ Unknown code"))</f>
        <v/>
      </c>
      <c r="E499" s="66"/>
      <c r="F499" s="64" t="str">
        <f aca="false">IF($C499="","",IFERROR(INDEX(Mat_Unit,MATCH($C499,Mat_Code,0)),""))</f>
        <v/>
      </c>
      <c r="G499" s="70"/>
      <c r="H499" s="63"/>
      <c r="I499" s="63"/>
      <c r="J499" s="63"/>
      <c r="K499" s="16" t="str">
        <f aca="false">IF(AND($A499="",$B499="",$C499="",$E499=""),"",IF($A499="","⚠ Date missing",IF(OR($B499="",$C499=""),"⚠ Site / material missing",IF(COUNTIFS(CI_Site,$B499,CI_Mat,$C499)=0,"⚠ No Current Inventory row for this site + material",IF($G499="","⚠ Status missing",IF(AND($G499="Scheduled",$A499&lt;=AsOfDate),"⚠ Scheduled date reached – mark Received or re-date",IF(AND($G499="Received",$A499&gt;AsOfDate),"Future-dated – added on its date",IF(AND($G499="Received",$A499&lt;SUMIFS(CI_Count,CI_Site,$B499,CI_Mat,$C499)),"Before count date – already in the count","OK"))))))))</f>
        <v/>
      </c>
    </row>
    <row r="500" customFormat="false" ht="15" hidden="false" customHeight="false" outlineLevel="0" collapsed="false">
      <c r="A500" s="65"/>
      <c r="B500" s="63"/>
      <c r="C500" s="70"/>
      <c r="D500" s="16" t="str">
        <f aca="false">IF($C500="","",IFERROR(INDEX(Mat_Short,MATCH($C500,Mat_Code,0)),"⚠ Unknown code"))</f>
        <v/>
      </c>
      <c r="E500" s="66"/>
      <c r="F500" s="64" t="str">
        <f aca="false">IF($C500="","",IFERROR(INDEX(Mat_Unit,MATCH($C500,Mat_Code,0)),""))</f>
        <v/>
      </c>
      <c r="G500" s="70"/>
      <c r="H500" s="63"/>
      <c r="I500" s="63"/>
      <c r="J500" s="63"/>
      <c r="K500" s="16" t="str">
        <f aca="false">IF(AND($A500="",$B500="",$C500="",$E500=""),"",IF($A500="","⚠ Date missing",IF(OR($B500="",$C500=""),"⚠ Site / material missing",IF(COUNTIFS(CI_Site,$B500,CI_Mat,$C500)=0,"⚠ No Current Inventory row for this site + material",IF($G500="","⚠ Status missing",IF(AND($G500="Scheduled",$A500&lt;=AsOfDate),"⚠ Scheduled date reached – mark Received or re-date",IF(AND($G500="Received",$A500&gt;AsOfDate),"Future-dated – added on its date",IF(AND($G500="Received",$A500&lt;SUMIFS(CI_Count,CI_Site,$B500,CI_Mat,$C500)),"Before count date – already in the count","OK"))))))))</f>
        <v/>
      </c>
    </row>
    <row r="501" customFormat="false" ht="15" hidden="false" customHeight="false" outlineLevel="0" collapsed="false">
      <c r="A501" s="65"/>
      <c r="B501" s="63"/>
      <c r="C501" s="70"/>
      <c r="D501" s="16" t="str">
        <f aca="false">IF($C501="","",IFERROR(INDEX(Mat_Short,MATCH($C501,Mat_Code,0)),"⚠ Unknown code"))</f>
        <v/>
      </c>
      <c r="E501" s="66"/>
      <c r="F501" s="64" t="str">
        <f aca="false">IF($C501="","",IFERROR(INDEX(Mat_Unit,MATCH($C501,Mat_Code,0)),""))</f>
        <v/>
      </c>
      <c r="G501" s="70"/>
      <c r="H501" s="63"/>
      <c r="I501" s="63"/>
      <c r="J501" s="63"/>
      <c r="K501" s="16" t="str">
        <f aca="false">IF(AND($A501="",$B501="",$C501="",$E501=""),"",IF($A501="","⚠ Date missing",IF(OR($B501="",$C501=""),"⚠ Site / material missing",IF(COUNTIFS(CI_Site,$B501,CI_Mat,$C501)=0,"⚠ No Current Inventory row for this site + material",IF($G501="","⚠ Status missing",IF(AND($G501="Scheduled",$A501&lt;=AsOfDate),"⚠ Scheduled date reached – mark Received or re-date",IF(AND($G501="Received",$A501&gt;AsOfDate),"Future-dated – added on its date",IF(AND($G501="Received",$A501&lt;SUMIFS(CI_Count,CI_Site,$B501,CI_Mat,$C501)),"Before count date – already in the count","OK"))))))))</f>
        <v/>
      </c>
    </row>
    <row r="502" customFormat="false" ht="15" hidden="false" customHeight="false" outlineLevel="0" collapsed="false">
      <c r="A502" s="65"/>
      <c r="B502" s="63"/>
      <c r="C502" s="70"/>
      <c r="D502" s="16" t="str">
        <f aca="false">IF($C502="","",IFERROR(INDEX(Mat_Short,MATCH($C502,Mat_Code,0)),"⚠ Unknown code"))</f>
        <v/>
      </c>
      <c r="E502" s="66"/>
      <c r="F502" s="64" t="str">
        <f aca="false">IF($C502="","",IFERROR(INDEX(Mat_Unit,MATCH($C502,Mat_Code,0)),""))</f>
        <v/>
      </c>
      <c r="G502" s="70"/>
      <c r="H502" s="63"/>
      <c r="I502" s="63"/>
      <c r="J502" s="63"/>
      <c r="K502" s="16" t="str">
        <f aca="false">IF(AND($A502="",$B502="",$C502="",$E502=""),"",IF($A502="","⚠ Date missing",IF(OR($B502="",$C502=""),"⚠ Site / material missing",IF(COUNTIFS(CI_Site,$B502,CI_Mat,$C502)=0,"⚠ No Current Inventory row for this site + material",IF($G502="","⚠ Status missing",IF(AND($G502="Scheduled",$A502&lt;=AsOfDate),"⚠ Scheduled date reached – mark Received or re-date",IF(AND($G502="Received",$A502&gt;AsOfDate),"Future-dated – added on its date",IF(AND($G502="Received",$A502&lt;SUMIFS(CI_Count,CI_Site,$B502,CI_Mat,$C502)),"Before count date – already in the count","OK"))))))))</f>
        <v/>
      </c>
    </row>
    <row r="503" customFormat="false" ht="15" hidden="false" customHeight="false" outlineLevel="0" collapsed="false">
      <c r="A503" s="65"/>
      <c r="B503" s="63"/>
      <c r="C503" s="70"/>
      <c r="D503" s="16" t="str">
        <f aca="false">IF($C503="","",IFERROR(INDEX(Mat_Short,MATCH($C503,Mat_Code,0)),"⚠ Unknown code"))</f>
        <v/>
      </c>
      <c r="E503" s="66"/>
      <c r="F503" s="64" t="str">
        <f aca="false">IF($C503="","",IFERROR(INDEX(Mat_Unit,MATCH($C503,Mat_Code,0)),""))</f>
        <v/>
      </c>
      <c r="G503" s="70"/>
      <c r="H503" s="63"/>
      <c r="I503" s="63"/>
      <c r="J503" s="63"/>
      <c r="K503" s="16" t="str">
        <f aca="false">IF(AND($A503="",$B503="",$C503="",$E503=""),"",IF($A503="","⚠ Date missing",IF(OR($B503="",$C503=""),"⚠ Site / material missing",IF(COUNTIFS(CI_Site,$B503,CI_Mat,$C503)=0,"⚠ No Current Inventory row for this site + material",IF($G503="","⚠ Status missing",IF(AND($G503="Scheduled",$A503&lt;=AsOfDate),"⚠ Scheduled date reached – mark Received or re-date",IF(AND($G503="Received",$A503&gt;AsOfDate),"Future-dated – added on its date",IF(AND($G503="Received",$A503&lt;SUMIFS(CI_Count,CI_Site,$B503,CI_Mat,$C503)),"Before count date – already in the count","OK"))))))))</f>
        <v/>
      </c>
    </row>
    <row r="504" customFormat="false" ht="15" hidden="false" customHeight="false" outlineLevel="0" collapsed="false">
      <c r="A504" s="65"/>
      <c r="B504" s="63"/>
      <c r="C504" s="70"/>
      <c r="D504" s="16" t="str">
        <f aca="false">IF($C504="","",IFERROR(INDEX(Mat_Short,MATCH($C504,Mat_Code,0)),"⚠ Unknown code"))</f>
        <v/>
      </c>
      <c r="E504" s="66"/>
      <c r="F504" s="64" t="str">
        <f aca="false">IF($C504="","",IFERROR(INDEX(Mat_Unit,MATCH($C504,Mat_Code,0)),""))</f>
        <v/>
      </c>
      <c r="G504" s="70"/>
      <c r="H504" s="63"/>
      <c r="I504" s="63"/>
      <c r="J504" s="63"/>
      <c r="K504" s="16" t="str">
        <f aca="false">IF(AND($A504="",$B504="",$C504="",$E504=""),"",IF($A504="","⚠ Date missing",IF(OR($B504="",$C504=""),"⚠ Site / material missing",IF(COUNTIFS(CI_Site,$B504,CI_Mat,$C504)=0,"⚠ No Current Inventory row for this site + material",IF($G504="","⚠ Status missing",IF(AND($G504="Scheduled",$A504&lt;=AsOfDate),"⚠ Scheduled date reached – mark Received or re-date",IF(AND($G504="Received",$A504&gt;AsOfDate),"Future-dated – added on its date",IF(AND($G504="Received",$A504&lt;SUMIFS(CI_Count,CI_Site,$B504,CI_Mat,$C504)),"Before count date – already in the count","OK"))))))))</f>
        <v/>
      </c>
    </row>
    <row r="505" customFormat="false" ht="15" hidden="false" customHeight="false" outlineLevel="0" collapsed="false">
      <c r="A505" s="65"/>
      <c r="B505" s="63"/>
      <c r="C505" s="70"/>
      <c r="D505" s="16" t="str">
        <f aca="false">IF($C505="","",IFERROR(INDEX(Mat_Short,MATCH($C505,Mat_Code,0)),"⚠ Unknown code"))</f>
        <v/>
      </c>
      <c r="E505" s="66"/>
      <c r="F505" s="64" t="str">
        <f aca="false">IF($C505="","",IFERROR(INDEX(Mat_Unit,MATCH($C505,Mat_Code,0)),""))</f>
        <v/>
      </c>
      <c r="G505" s="70"/>
      <c r="H505" s="63"/>
      <c r="I505" s="63"/>
      <c r="J505" s="63"/>
      <c r="K505" s="16" t="str">
        <f aca="false">IF(AND($A505="",$B505="",$C505="",$E505=""),"",IF($A505="","⚠ Date missing",IF(OR($B505="",$C505=""),"⚠ Site / material missing",IF(COUNTIFS(CI_Site,$B505,CI_Mat,$C505)=0,"⚠ No Current Inventory row for this site + material",IF($G505="","⚠ Status missing",IF(AND($G505="Scheduled",$A505&lt;=AsOfDate),"⚠ Scheduled date reached – mark Received or re-date",IF(AND($G505="Received",$A505&gt;AsOfDate),"Future-dated – added on its date",IF(AND($G505="Received",$A505&lt;SUMIFS(CI_Count,CI_Site,$B505,CI_Mat,$C505)),"Before count date – already in the count","OK"))))))))</f>
        <v/>
      </c>
    </row>
    <row r="506" customFormat="false" ht="15" hidden="false" customHeight="false" outlineLevel="0" collapsed="false">
      <c r="A506" s="65"/>
      <c r="B506" s="63"/>
      <c r="C506" s="70"/>
      <c r="D506" s="16" t="str">
        <f aca="false">IF($C506="","",IFERROR(INDEX(Mat_Short,MATCH($C506,Mat_Code,0)),"⚠ Unknown code"))</f>
        <v/>
      </c>
      <c r="E506" s="66"/>
      <c r="F506" s="64" t="str">
        <f aca="false">IF($C506="","",IFERROR(INDEX(Mat_Unit,MATCH($C506,Mat_Code,0)),""))</f>
        <v/>
      </c>
      <c r="G506" s="70"/>
      <c r="H506" s="63"/>
      <c r="I506" s="63"/>
      <c r="J506" s="63"/>
      <c r="K506" s="16" t="str">
        <f aca="false">IF(AND($A506="",$B506="",$C506="",$E506=""),"",IF($A506="","⚠ Date missing",IF(OR($B506="",$C506=""),"⚠ Site / material missing",IF(COUNTIFS(CI_Site,$B506,CI_Mat,$C506)=0,"⚠ No Current Inventory row for this site + material",IF($G506="","⚠ Status missing",IF(AND($G506="Scheduled",$A506&lt;=AsOfDate),"⚠ Scheduled date reached – mark Received or re-date",IF(AND($G506="Received",$A506&gt;AsOfDate),"Future-dated – added on its date",IF(AND($G506="Received",$A506&lt;SUMIFS(CI_Count,CI_Site,$B506,CI_Mat,$C506)),"Before count date – already in the count","OK"))))))))</f>
        <v/>
      </c>
    </row>
    <row r="507" customFormat="false" ht="15" hidden="false" customHeight="false" outlineLevel="0" collapsed="false">
      <c r="A507" s="65"/>
      <c r="B507" s="63"/>
      <c r="C507" s="70"/>
      <c r="D507" s="16" t="str">
        <f aca="false">IF($C507="","",IFERROR(INDEX(Mat_Short,MATCH($C507,Mat_Code,0)),"⚠ Unknown code"))</f>
        <v/>
      </c>
      <c r="E507" s="66"/>
      <c r="F507" s="64" t="str">
        <f aca="false">IF($C507="","",IFERROR(INDEX(Mat_Unit,MATCH($C507,Mat_Code,0)),""))</f>
        <v/>
      </c>
      <c r="G507" s="70"/>
      <c r="H507" s="63"/>
      <c r="I507" s="63"/>
      <c r="J507" s="63"/>
      <c r="K507" s="16" t="str">
        <f aca="false">IF(AND($A507="",$B507="",$C507="",$E507=""),"",IF($A507="","⚠ Date missing",IF(OR($B507="",$C507=""),"⚠ Site / material missing",IF(COUNTIFS(CI_Site,$B507,CI_Mat,$C507)=0,"⚠ No Current Inventory row for this site + material",IF($G507="","⚠ Status missing",IF(AND($G507="Scheduled",$A507&lt;=AsOfDate),"⚠ Scheduled date reached – mark Received or re-date",IF(AND($G507="Received",$A507&gt;AsOfDate),"Future-dated – added on its date",IF(AND($G507="Received",$A507&lt;SUMIFS(CI_Count,CI_Site,$B507,CI_Mat,$C507)),"Before count date – already in the count","OK"))))))))</f>
        <v/>
      </c>
    </row>
    <row r="508" customFormat="false" ht="15" hidden="false" customHeight="false" outlineLevel="0" collapsed="false">
      <c r="A508" s="65"/>
      <c r="B508" s="63"/>
      <c r="C508" s="70"/>
      <c r="D508" s="16" t="str">
        <f aca="false">IF($C508="","",IFERROR(INDEX(Mat_Short,MATCH($C508,Mat_Code,0)),"⚠ Unknown code"))</f>
        <v/>
      </c>
      <c r="E508" s="66"/>
      <c r="F508" s="64" t="str">
        <f aca="false">IF($C508="","",IFERROR(INDEX(Mat_Unit,MATCH($C508,Mat_Code,0)),""))</f>
        <v/>
      </c>
      <c r="G508" s="70"/>
      <c r="H508" s="63"/>
      <c r="I508" s="63"/>
      <c r="J508" s="63"/>
      <c r="K508" s="16" t="str">
        <f aca="false">IF(AND($A508="",$B508="",$C508="",$E508=""),"",IF($A508="","⚠ Date missing",IF(OR($B508="",$C508=""),"⚠ Site / material missing",IF(COUNTIFS(CI_Site,$B508,CI_Mat,$C508)=0,"⚠ No Current Inventory row for this site + material",IF($G508="","⚠ Status missing",IF(AND($G508="Scheduled",$A508&lt;=AsOfDate),"⚠ Scheduled date reached – mark Received or re-date",IF(AND($G508="Received",$A508&gt;AsOfDate),"Future-dated – added on its date",IF(AND($G508="Received",$A508&lt;SUMIFS(CI_Count,CI_Site,$B508,CI_Mat,$C508)),"Before count date – already in the count","OK"))))))))</f>
        <v/>
      </c>
    </row>
    <row r="509" customFormat="false" ht="15" hidden="false" customHeight="false" outlineLevel="0" collapsed="false">
      <c r="A509" s="65"/>
      <c r="B509" s="63"/>
      <c r="C509" s="70"/>
      <c r="D509" s="16" t="str">
        <f aca="false">IF($C509="","",IFERROR(INDEX(Mat_Short,MATCH($C509,Mat_Code,0)),"⚠ Unknown code"))</f>
        <v/>
      </c>
      <c r="E509" s="66"/>
      <c r="F509" s="64" t="str">
        <f aca="false">IF($C509="","",IFERROR(INDEX(Mat_Unit,MATCH($C509,Mat_Code,0)),""))</f>
        <v/>
      </c>
      <c r="G509" s="70"/>
      <c r="H509" s="63"/>
      <c r="I509" s="63"/>
      <c r="J509" s="63"/>
      <c r="K509" s="16" t="str">
        <f aca="false">IF(AND($A509="",$B509="",$C509="",$E509=""),"",IF($A509="","⚠ Date missing",IF(OR($B509="",$C509=""),"⚠ Site / material missing",IF(COUNTIFS(CI_Site,$B509,CI_Mat,$C509)=0,"⚠ No Current Inventory row for this site + material",IF($G509="","⚠ Status missing",IF(AND($G509="Scheduled",$A509&lt;=AsOfDate),"⚠ Scheduled date reached – mark Received or re-date",IF(AND($G509="Received",$A509&gt;AsOfDate),"Future-dated – added on its date",IF(AND($G509="Received",$A509&lt;SUMIFS(CI_Count,CI_Site,$B509,CI_Mat,$C509)),"Before count date – already in the count","OK"))))))))</f>
        <v/>
      </c>
    </row>
    <row r="510" customFormat="false" ht="15" hidden="false" customHeight="false" outlineLevel="0" collapsed="false">
      <c r="A510" s="65"/>
      <c r="B510" s="63"/>
      <c r="C510" s="70"/>
      <c r="D510" s="16" t="str">
        <f aca="false">IF($C510="","",IFERROR(INDEX(Mat_Short,MATCH($C510,Mat_Code,0)),"⚠ Unknown code"))</f>
        <v/>
      </c>
      <c r="E510" s="66"/>
      <c r="F510" s="64" t="str">
        <f aca="false">IF($C510="","",IFERROR(INDEX(Mat_Unit,MATCH($C510,Mat_Code,0)),""))</f>
        <v/>
      </c>
      <c r="G510" s="70"/>
      <c r="H510" s="63"/>
      <c r="I510" s="63"/>
      <c r="J510" s="63"/>
      <c r="K510" s="16" t="str">
        <f aca="false">IF(AND($A510="",$B510="",$C510="",$E510=""),"",IF($A510="","⚠ Date missing",IF(OR($B510="",$C510=""),"⚠ Site / material missing",IF(COUNTIFS(CI_Site,$B510,CI_Mat,$C510)=0,"⚠ No Current Inventory row for this site + material",IF($G510="","⚠ Status missing",IF(AND($G510="Scheduled",$A510&lt;=AsOfDate),"⚠ Scheduled date reached – mark Received or re-date",IF(AND($G510="Received",$A510&gt;AsOfDate),"Future-dated – added on its date",IF(AND($G510="Received",$A510&lt;SUMIFS(CI_Count,CI_Site,$B510,CI_Mat,$C510)),"Before count date – already in the count","OK"))))))))</f>
        <v/>
      </c>
    </row>
    <row r="511" customFormat="false" ht="15" hidden="false" customHeight="false" outlineLevel="0" collapsed="false">
      <c r="A511" s="65"/>
      <c r="B511" s="63"/>
      <c r="C511" s="70"/>
      <c r="D511" s="16" t="str">
        <f aca="false">IF($C511="","",IFERROR(INDEX(Mat_Short,MATCH($C511,Mat_Code,0)),"⚠ Unknown code"))</f>
        <v/>
      </c>
      <c r="E511" s="66"/>
      <c r="F511" s="64" t="str">
        <f aca="false">IF($C511="","",IFERROR(INDEX(Mat_Unit,MATCH($C511,Mat_Code,0)),""))</f>
        <v/>
      </c>
      <c r="G511" s="70"/>
      <c r="H511" s="63"/>
      <c r="I511" s="63"/>
      <c r="J511" s="63"/>
      <c r="K511" s="16" t="str">
        <f aca="false">IF(AND($A511="",$B511="",$C511="",$E511=""),"",IF($A511="","⚠ Date missing",IF(OR($B511="",$C511=""),"⚠ Site / material missing",IF(COUNTIFS(CI_Site,$B511,CI_Mat,$C511)=0,"⚠ No Current Inventory row for this site + material",IF($G511="","⚠ Status missing",IF(AND($G511="Scheduled",$A511&lt;=AsOfDate),"⚠ Scheduled date reached – mark Received or re-date",IF(AND($G511="Received",$A511&gt;AsOfDate),"Future-dated – added on its date",IF(AND($G511="Received",$A511&lt;SUMIFS(CI_Count,CI_Site,$B511,CI_Mat,$C511)),"Before count date – already in the count","OK"))))))))</f>
        <v/>
      </c>
    </row>
    <row r="512" customFormat="false" ht="15" hidden="false" customHeight="false" outlineLevel="0" collapsed="false">
      <c r="A512" s="65"/>
      <c r="B512" s="63"/>
      <c r="C512" s="70"/>
      <c r="D512" s="16" t="str">
        <f aca="false">IF($C512="","",IFERROR(INDEX(Mat_Short,MATCH($C512,Mat_Code,0)),"⚠ Unknown code"))</f>
        <v/>
      </c>
      <c r="E512" s="66"/>
      <c r="F512" s="64" t="str">
        <f aca="false">IF($C512="","",IFERROR(INDEX(Mat_Unit,MATCH($C512,Mat_Code,0)),""))</f>
        <v/>
      </c>
      <c r="G512" s="70"/>
      <c r="H512" s="63"/>
      <c r="I512" s="63"/>
      <c r="J512" s="63"/>
      <c r="K512" s="16" t="str">
        <f aca="false">IF(AND($A512="",$B512="",$C512="",$E512=""),"",IF($A512="","⚠ Date missing",IF(OR($B512="",$C512=""),"⚠ Site / material missing",IF(COUNTIFS(CI_Site,$B512,CI_Mat,$C512)=0,"⚠ No Current Inventory row for this site + material",IF($G512="","⚠ Status missing",IF(AND($G512="Scheduled",$A512&lt;=AsOfDate),"⚠ Scheduled date reached – mark Received or re-date",IF(AND($G512="Received",$A512&gt;AsOfDate),"Future-dated – added on its date",IF(AND($G512="Received",$A512&lt;SUMIFS(CI_Count,CI_Site,$B512,CI_Mat,$C512)),"Before count date – already in the count","OK"))))))))</f>
        <v/>
      </c>
    </row>
    <row r="513" customFormat="false" ht="15" hidden="false" customHeight="false" outlineLevel="0" collapsed="false">
      <c r="A513" s="65"/>
      <c r="B513" s="63"/>
      <c r="C513" s="70"/>
      <c r="D513" s="16" t="str">
        <f aca="false">IF($C513="","",IFERROR(INDEX(Mat_Short,MATCH($C513,Mat_Code,0)),"⚠ Unknown code"))</f>
        <v/>
      </c>
      <c r="E513" s="66"/>
      <c r="F513" s="64" t="str">
        <f aca="false">IF($C513="","",IFERROR(INDEX(Mat_Unit,MATCH($C513,Mat_Code,0)),""))</f>
        <v/>
      </c>
      <c r="G513" s="70"/>
      <c r="H513" s="63"/>
      <c r="I513" s="63"/>
      <c r="J513" s="63"/>
      <c r="K513" s="16" t="str">
        <f aca="false">IF(AND($A513="",$B513="",$C513="",$E513=""),"",IF($A513="","⚠ Date missing",IF(OR($B513="",$C513=""),"⚠ Site / material missing",IF(COUNTIFS(CI_Site,$B513,CI_Mat,$C513)=0,"⚠ No Current Inventory row for this site + material",IF($G513="","⚠ Status missing",IF(AND($G513="Scheduled",$A513&lt;=AsOfDate),"⚠ Scheduled date reached – mark Received or re-date",IF(AND($G513="Received",$A513&gt;AsOfDate),"Future-dated – added on its date",IF(AND($G513="Received",$A513&lt;SUMIFS(CI_Count,CI_Site,$B513,CI_Mat,$C513)),"Before count date – already in the count","OK"))))))))</f>
        <v/>
      </c>
    </row>
    <row r="514" customFormat="false" ht="15" hidden="false" customHeight="false" outlineLevel="0" collapsed="false">
      <c r="A514" s="65"/>
      <c r="B514" s="63"/>
      <c r="C514" s="70"/>
      <c r="D514" s="16" t="str">
        <f aca="false">IF($C514="","",IFERROR(INDEX(Mat_Short,MATCH($C514,Mat_Code,0)),"⚠ Unknown code"))</f>
        <v/>
      </c>
      <c r="E514" s="66"/>
      <c r="F514" s="64" t="str">
        <f aca="false">IF($C514="","",IFERROR(INDEX(Mat_Unit,MATCH($C514,Mat_Code,0)),""))</f>
        <v/>
      </c>
      <c r="G514" s="70"/>
      <c r="H514" s="63"/>
      <c r="I514" s="63"/>
      <c r="J514" s="63"/>
      <c r="K514" s="16" t="str">
        <f aca="false">IF(AND($A514="",$B514="",$C514="",$E514=""),"",IF($A514="","⚠ Date missing",IF(OR($B514="",$C514=""),"⚠ Site / material missing",IF(COUNTIFS(CI_Site,$B514,CI_Mat,$C514)=0,"⚠ No Current Inventory row for this site + material",IF($G514="","⚠ Status missing",IF(AND($G514="Scheduled",$A514&lt;=AsOfDate),"⚠ Scheduled date reached – mark Received or re-date",IF(AND($G514="Received",$A514&gt;AsOfDate),"Future-dated – added on its date",IF(AND($G514="Received",$A514&lt;SUMIFS(CI_Count,CI_Site,$B514,CI_Mat,$C514)),"Before count date – already in the count","OK"))))))))</f>
        <v/>
      </c>
    </row>
    <row r="515" customFormat="false" ht="15" hidden="false" customHeight="false" outlineLevel="0" collapsed="false">
      <c r="A515" s="65"/>
      <c r="B515" s="63"/>
      <c r="C515" s="70"/>
      <c r="D515" s="16" t="str">
        <f aca="false">IF($C515="","",IFERROR(INDEX(Mat_Short,MATCH($C515,Mat_Code,0)),"⚠ Unknown code"))</f>
        <v/>
      </c>
      <c r="E515" s="66"/>
      <c r="F515" s="64" t="str">
        <f aca="false">IF($C515="","",IFERROR(INDEX(Mat_Unit,MATCH($C515,Mat_Code,0)),""))</f>
        <v/>
      </c>
      <c r="G515" s="70"/>
      <c r="H515" s="63"/>
      <c r="I515" s="63"/>
      <c r="J515" s="63"/>
      <c r="K515" s="16" t="str">
        <f aca="false">IF(AND($A515="",$B515="",$C515="",$E515=""),"",IF($A515="","⚠ Date missing",IF(OR($B515="",$C515=""),"⚠ Site / material missing",IF(COUNTIFS(CI_Site,$B515,CI_Mat,$C515)=0,"⚠ No Current Inventory row for this site + material",IF($G515="","⚠ Status missing",IF(AND($G515="Scheduled",$A515&lt;=AsOfDate),"⚠ Scheduled date reached – mark Received or re-date",IF(AND($G515="Received",$A515&gt;AsOfDate),"Future-dated – added on its date",IF(AND($G515="Received",$A515&lt;SUMIFS(CI_Count,CI_Site,$B515,CI_Mat,$C515)),"Before count date – already in the count","OK"))))))))</f>
        <v/>
      </c>
    </row>
    <row r="516" customFormat="false" ht="15" hidden="false" customHeight="false" outlineLevel="0" collapsed="false">
      <c r="A516" s="65"/>
      <c r="B516" s="63"/>
      <c r="C516" s="70"/>
      <c r="D516" s="16" t="str">
        <f aca="false">IF($C516="","",IFERROR(INDEX(Mat_Short,MATCH($C516,Mat_Code,0)),"⚠ Unknown code"))</f>
        <v/>
      </c>
      <c r="E516" s="66"/>
      <c r="F516" s="64" t="str">
        <f aca="false">IF($C516="","",IFERROR(INDEX(Mat_Unit,MATCH($C516,Mat_Code,0)),""))</f>
        <v/>
      </c>
      <c r="G516" s="70"/>
      <c r="H516" s="63"/>
      <c r="I516" s="63"/>
      <c r="J516" s="63"/>
      <c r="K516" s="16" t="str">
        <f aca="false">IF(AND($A516="",$B516="",$C516="",$E516=""),"",IF($A516="","⚠ Date missing",IF(OR($B516="",$C516=""),"⚠ Site / material missing",IF(COUNTIFS(CI_Site,$B516,CI_Mat,$C516)=0,"⚠ No Current Inventory row for this site + material",IF($G516="","⚠ Status missing",IF(AND($G516="Scheduled",$A516&lt;=AsOfDate),"⚠ Scheduled date reached – mark Received or re-date",IF(AND($G516="Received",$A516&gt;AsOfDate),"Future-dated – added on its date",IF(AND($G516="Received",$A516&lt;SUMIFS(CI_Count,CI_Site,$B516,CI_Mat,$C516)),"Before count date – already in the count","OK"))))))))</f>
        <v/>
      </c>
    </row>
    <row r="517" customFormat="false" ht="15" hidden="false" customHeight="false" outlineLevel="0" collapsed="false">
      <c r="A517" s="65"/>
      <c r="B517" s="63"/>
      <c r="C517" s="70"/>
      <c r="D517" s="16" t="str">
        <f aca="false">IF($C517="","",IFERROR(INDEX(Mat_Short,MATCH($C517,Mat_Code,0)),"⚠ Unknown code"))</f>
        <v/>
      </c>
      <c r="E517" s="66"/>
      <c r="F517" s="64" t="str">
        <f aca="false">IF($C517="","",IFERROR(INDEX(Mat_Unit,MATCH($C517,Mat_Code,0)),""))</f>
        <v/>
      </c>
      <c r="G517" s="70"/>
      <c r="H517" s="63"/>
      <c r="I517" s="63"/>
      <c r="J517" s="63"/>
      <c r="K517" s="16" t="str">
        <f aca="false">IF(AND($A517="",$B517="",$C517="",$E517=""),"",IF($A517="","⚠ Date missing",IF(OR($B517="",$C517=""),"⚠ Site / material missing",IF(COUNTIFS(CI_Site,$B517,CI_Mat,$C517)=0,"⚠ No Current Inventory row for this site + material",IF($G517="","⚠ Status missing",IF(AND($G517="Scheduled",$A517&lt;=AsOfDate),"⚠ Scheduled date reached – mark Received or re-date",IF(AND($G517="Received",$A517&gt;AsOfDate),"Future-dated – added on its date",IF(AND($G517="Received",$A517&lt;SUMIFS(CI_Count,CI_Site,$B517,CI_Mat,$C517)),"Before count date – already in the count","OK"))))))))</f>
        <v/>
      </c>
    </row>
    <row r="518" customFormat="false" ht="15" hidden="false" customHeight="false" outlineLevel="0" collapsed="false">
      <c r="A518" s="65"/>
      <c r="B518" s="63"/>
      <c r="C518" s="70"/>
      <c r="D518" s="16" t="str">
        <f aca="false">IF($C518="","",IFERROR(INDEX(Mat_Short,MATCH($C518,Mat_Code,0)),"⚠ Unknown code"))</f>
        <v/>
      </c>
      <c r="E518" s="66"/>
      <c r="F518" s="64" t="str">
        <f aca="false">IF($C518="","",IFERROR(INDEX(Mat_Unit,MATCH($C518,Mat_Code,0)),""))</f>
        <v/>
      </c>
      <c r="G518" s="70"/>
      <c r="H518" s="63"/>
      <c r="I518" s="63"/>
      <c r="J518" s="63"/>
      <c r="K518" s="16" t="str">
        <f aca="false">IF(AND($A518="",$B518="",$C518="",$E518=""),"",IF($A518="","⚠ Date missing",IF(OR($B518="",$C518=""),"⚠ Site / material missing",IF(COUNTIFS(CI_Site,$B518,CI_Mat,$C518)=0,"⚠ No Current Inventory row for this site + material",IF($G518="","⚠ Status missing",IF(AND($G518="Scheduled",$A518&lt;=AsOfDate),"⚠ Scheduled date reached – mark Received or re-date",IF(AND($G518="Received",$A518&gt;AsOfDate),"Future-dated – added on its date",IF(AND($G518="Received",$A518&lt;SUMIFS(CI_Count,CI_Site,$B518,CI_Mat,$C518)),"Before count date – already in the count","OK"))))))))</f>
        <v/>
      </c>
    </row>
    <row r="519" customFormat="false" ht="15" hidden="false" customHeight="false" outlineLevel="0" collapsed="false">
      <c r="A519" s="65"/>
      <c r="B519" s="63"/>
      <c r="C519" s="70"/>
      <c r="D519" s="16" t="str">
        <f aca="false">IF($C519="","",IFERROR(INDEX(Mat_Short,MATCH($C519,Mat_Code,0)),"⚠ Unknown code"))</f>
        <v/>
      </c>
      <c r="E519" s="66"/>
      <c r="F519" s="64" t="str">
        <f aca="false">IF($C519="","",IFERROR(INDEX(Mat_Unit,MATCH($C519,Mat_Code,0)),""))</f>
        <v/>
      </c>
      <c r="G519" s="70"/>
      <c r="H519" s="63"/>
      <c r="I519" s="63"/>
      <c r="J519" s="63"/>
      <c r="K519" s="16" t="str">
        <f aca="false">IF(AND($A519="",$B519="",$C519="",$E519=""),"",IF($A519="","⚠ Date missing",IF(OR($B519="",$C519=""),"⚠ Site / material missing",IF(COUNTIFS(CI_Site,$B519,CI_Mat,$C519)=0,"⚠ No Current Inventory row for this site + material",IF($G519="","⚠ Status missing",IF(AND($G519="Scheduled",$A519&lt;=AsOfDate),"⚠ Scheduled date reached – mark Received or re-date",IF(AND($G519="Received",$A519&gt;AsOfDate),"Future-dated – added on its date",IF(AND($G519="Received",$A519&lt;SUMIFS(CI_Count,CI_Site,$B519,CI_Mat,$C519)),"Before count date – already in the count","OK"))))))))</f>
        <v/>
      </c>
    </row>
    <row r="520" customFormat="false" ht="15" hidden="false" customHeight="false" outlineLevel="0" collapsed="false">
      <c r="A520" s="65"/>
      <c r="B520" s="63"/>
      <c r="C520" s="70"/>
      <c r="D520" s="16" t="str">
        <f aca="false">IF($C520="","",IFERROR(INDEX(Mat_Short,MATCH($C520,Mat_Code,0)),"⚠ Unknown code"))</f>
        <v/>
      </c>
      <c r="E520" s="66"/>
      <c r="F520" s="64" t="str">
        <f aca="false">IF($C520="","",IFERROR(INDEX(Mat_Unit,MATCH($C520,Mat_Code,0)),""))</f>
        <v/>
      </c>
      <c r="G520" s="70"/>
      <c r="H520" s="63"/>
      <c r="I520" s="63"/>
      <c r="J520" s="63"/>
      <c r="K520" s="16" t="str">
        <f aca="false">IF(AND($A520="",$B520="",$C520="",$E520=""),"",IF($A520="","⚠ Date missing",IF(OR($B520="",$C520=""),"⚠ Site / material missing",IF(COUNTIFS(CI_Site,$B520,CI_Mat,$C520)=0,"⚠ No Current Inventory row for this site + material",IF($G520="","⚠ Status missing",IF(AND($G520="Scheduled",$A520&lt;=AsOfDate),"⚠ Scheduled date reached – mark Received or re-date",IF(AND($G520="Received",$A520&gt;AsOfDate),"Future-dated – added on its date",IF(AND($G520="Received",$A520&lt;SUMIFS(CI_Count,CI_Site,$B520,CI_Mat,$C520)),"Before count date – already in the count","OK"))))))))</f>
        <v/>
      </c>
    </row>
    <row r="521" customFormat="false" ht="15" hidden="false" customHeight="false" outlineLevel="0" collapsed="false">
      <c r="A521" s="65"/>
      <c r="B521" s="63"/>
      <c r="C521" s="70"/>
      <c r="D521" s="16" t="str">
        <f aca="false">IF($C521="","",IFERROR(INDEX(Mat_Short,MATCH($C521,Mat_Code,0)),"⚠ Unknown code"))</f>
        <v/>
      </c>
      <c r="E521" s="66"/>
      <c r="F521" s="64" t="str">
        <f aca="false">IF($C521="","",IFERROR(INDEX(Mat_Unit,MATCH($C521,Mat_Code,0)),""))</f>
        <v/>
      </c>
      <c r="G521" s="70"/>
      <c r="H521" s="63"/>
      <c r="I521" s="63"/>
      <c r="J521" s="63"/>
      <c r="K521" s="16" t="str">
        <f aca="false">IF(AND($A521="",$B521="",$C521="",$E521=""),"",IF($A521="","⚠ Date missing",IF(OR($B521="",$C521=""),"⚠ Site / material missing",IF(COUNTIFS(CI_Site,$B521,CI_Mat,$C521)=0,"⚠ No Current Inventory row for this site + material",IF($G521="","⚠ Status missing",IF(AND($G521="Scheduled",$A521&lt;=AsOfDate),"⚠ Scheduled date reached – mark Received or re-date",IF(AND($G521="Received",$A521&gt;AsOfDate),"Future-dated – added on its date",IF(AND($G521="Received",$A521&lt;SUMIFS(CI_Count,CI_Site,$B521,CI_Mat,$C521)),"Before count date – already in the count","OK"))))))))</f>
        <v/>
      </c>
    </row>
    <row r="522" customFormat="false" ht="15" hidden="false" customHeight="false" outlineLevel="0" collapsed="false">
      <c r="A522" s="65"/>
      <c r="B522" s="63"/>
      <c r="C522" s="70"/>
      <c r="D522" s="16" t="str">
        <f aca="false">IF($C522="","",IFERROR(INDEX(Mat_Short,MATCH($C522,Mat_Code,0)),"⚠ Unknown code"))</f>
        <v/>
      </c>
      <c r="E522" s="66"/>
      <c r="F522" s="64" t="str">
        <f aca="false">IF($C522="","",IFERROR(INDEX(Mat_Unit,MATCH($C522,Mat_Code,0)),""))</f>
        <v/>
      </c>
      <c r="G522" s="70"/>
      <c r="H522" s="63"/>
      <c r="I522" s="63"/>
      <c r="J522" s="63"/>
      <c r="K522" s="16" t="str">
        <f aca="false">IF(AND($A522="",$B522="",$C522="",$E522=""),"",IF($A522="","⚠ Date missing",IF(OR($B522="",$C522=""),"⚠ Site / material missing",IF(COUNTIFS(CI_Site,$B522,CI_Mat,$C522)=0,"⚠ No Current Inventory row for this site + material",IF($G522="","⚠ Status missing",IF(AND($G522="Scheduled",$A522&lt;=AsOfDate),"⚠ Scheduled date reached – mark Received or re-date",IF(AND($G522="Received",$A522&gt;AsOfDate),"Future-dated – added on its date",IF(AND($G522="Received",$A522&lt;SUMIFS(CI_Count,CI_Site,$B522,CI_Mat,$C522)),"Before count date – already in the count","OK"))))))))</f>
        <v/>
      </c>
    </row>
    <row r="523" customFormat="false" ht="15" hidden="false" customHeight="false" outlineLevel="0" collapsed="false">
      <c r="A523" s="65"/>
      <c r="B523" s="63"/>
      <c r="C523" s="70"/>
      <c r="D523" s="16" t="str">
        <f aca="false">IF($C523="","",IFERROR(INDEX(Mat_Short,MATCH($C523,Mat_Code,0)),"⚠ Unknown code"))</f>
        <v/>
      </c>
      <c r="E523" s="66"/>
      <c r="F523" s="64" t="str">
        <f aca="false">IF($C523="","",IFERROR(INDEX(Mat_Unit,MATCH($C523,Mat_Code,0)),""))</f>
        <v/>
      </c>
      <c r="G523" s="70"/>
      <c r="H523" s="63"/>
      <c r="I523" s="63"/>
      <c r="J523" s="63"/>
      <c r="K523" s="16" t="str">
        <f aca="false">IF(AND($A523="",$B523="",$C523="",$E523=""),"",IF($A523="","⚠ Date missing",IF(OR($B523="",$C523=""),"⚠ Site / material missing",IF(COUNTIFS(CI_Site,$B523,CI_Mat,$C523)=0,"⚠ No Current Inventory row for this site + material",IF($G523="","⚠ Status missing",IF(AND($G523="Scheduled",$A523&lt;=AsOfDate),"⚠ Scheduled date reached – mark Received or re-date",IF(AND($G523="Received",$A523&gt;AsOfDate),"Future-dated – added on its date",IF(AND($G523="Received",$A523&lt;SUMIFS(CI_Count,CI_Site,$B523,CI_Mat,$C523)),"Before count date – already in the count","OK"))))))))</f>
        <v/>
      </c>
    </row>
    <row r="524" customFormat="false" ht="15" hidden="false" customHeight="false" outlineLevel="0" collapsed="false">
      <c r="A524" s="65"/>
      <c r="B524" s="63"/>
      <c r="C524" s="70"/>
      <c r="D524" s="16" t="str">
        <f aca="false">IF($C524="","",IFERROR(INDEX(Mat_Short,MATCH($C524,Mat_Code,0)),"⚠ Unknown code"))</f>
        <v/>
      </c>
      <c r="E524" s="66"/>
      <c r="F524" s="64" t="str">
        <f aca="false">IF($C524="","",IFERROR(INDEX(Mat_Unit,MATCH($C524,Mat_Code,0)),""))</f>
        <v/>
      </c>
      <c r="G524" s="70"/>
      <c r="H524" s="63"/>
      <c r="I524" s="63"/>
      <c r="J524" s="63"/>
      <c r="K524" s="16" t="str">
        <f aca="false">IF(AND($A524="",$B524="",$C524="",$E524=""),"",IF($A524="","⚠ Date missing",IF(OR($B524="",$C524=""),"⚠ Site / material missing",IF(COUNTIFS(CI_Site,$B524,CI_Mat,$C524)=0,"⚠ No Current Inventory row for this site + material",IF($G524="","⚠ Status missing",IF(AND($G524="Scheduled",$A524&lt;=AsOfDate),"⚠ Scheduled date reached – mark Received or re-date",IF(AND($G524="Received",$A524&gt;AsOfDate),"Future-dated – added on its date",IF(AND($G524="Received",$A524&lt;SUMIFS(CI_Count,CI_Site,$B524,CI_Mat,$C524)),"Before count date – already in the count","OK"))))))))</f>
        <v/>
      </c>
    </row>
    <row r="525" customFormat="false" ht="15" hidden="false" customHeight="false" outlineLevel="0" collapsed="false">
      <c r="A525" s="65"/>
      <c r="B525" s="63"/>
      <c r="C525" s="70"/>
      <c r="D525" s="16" t="str">
        <f aca="false">IF($C525="","",IFERROR(INDEX(Mat_Short,MATCH($C525,Mat_Code,0)),"⚠ Unknown code"))</f>
        <v/>
      </c>
      <c r="E525" s="66"/>
      <c r="F525" s="64" t="str">
        <f aca="false">IF($C525="","",IFERROR(INDEX(Mat_Unit,MATCH($C525,Mat_Code,0)),""))</f>
        <v/>
      </c>
      <c r="G525" s="70"/>
      <c r="H525" s="63"/>
      <c r="I525" s="63"/>
      <c r="J525" s="63"/>
      <c r="K525" s="16" t="str">
        <f aca="false">IF(AND($A525="",$B525="",$C525="",$E525=""),"",IF($A525="","⚠ Date missing",IF(OR($B525="",$C525=""),"⚠ Site / material missing",IF(COUNTIFS(CI_Site,$B525,CI_Mat,$C525)=0,"⚠ No Current Inventory row for this site + material",IF($G525="","⚠ Status missing",IF(AND($G525="Scheduled",$A525&lt;=AsOfDate),"⚠ Scheduled date reached – mark Received or re-date",IF(AND($G525="Received",$A525&gt;AsOfDate),"Future-dated – added on its date",IF(AND($G525="Received",$A525&lt;SUMIFS(CI_Count,CI_Site,$B525,CI_Mat,$C525)),"Before count date – already in the count","OK"))))))))</f>
        <v/>
      </c>
    </row>
    <row r="526" customFormat="false" ht="15" hidden="false" customHeight="false" outlineLevel="0" collapsed="false">
      <c r="A526" s="65"/>
      <c r="B526" s="63"/>
      <c r="C526" s="70"/>
      <c r="D526" s="16" t="str">
        <f aca="false">IF($C526="","",IFERROR(INDEX(Mat_Short,MATCH($C526,Mat_Code,0)),"⚠ Unknown code"))</f>
        <v/>
      </c>
      <c r="E526" s="66"/>
      <c r="F526" s="64" t="str">
        <f aca="false">IF($C526="","",IFERROR(INDEX(Mat_Unit,MATCH($C526,Mat_Code,0)),""))</f>
        <v/>
      </c>
      <c r="G526" s="70"/>
      <c r="H526" s="63"/>
      <c r="I526" s="63"/>
      <c r="J526" s="63"/>
      <c r="K526" s="16" t="str">
        <f aca="false">IF(AND($A526="",$B526="",$C526="",$E526=""),"",IF($A526="","⚠ Date missing",IF(OR($B526="",$C526=""),"⚠ Site / material missing",IF(COUNTIFS(CI_Site,$B526,CI_Mat,$C526)=0,"⚠ No Current Inventory row for this site + material",IF($G526="","⚠ Status missing",IF(AND($G526="Scheduled",$A526&lt;=AsOfDate),"⚠ Scheduled date reached – mark Received or re-date",IF(AND($G526="Received",$A526&gt;AsOfDate),"Future-dated – added on its date",IF(AND($G526="Received",$A526&lt;SUMIFS(CI_Count,CI_Site,$B526,CI_Mat,$C526)),"Before count date – already in the count","OK"))))))))</f>
        <v/>
      </c>
    </row>
    <row r="527" customFormat="false" ht="15" hidden="false" customHeight="false" outlineLevel="0" collapsed="false">
      <c r="A527" s="65"/>
      <c r="B527" s="63"/>
      <c r="C527" s="70"/>
      <c r="D527" s="16" t="str">
        <f aca="false">IF($C527="","",IFERROR(INDEX(Mat_Short,MATCH($C527,Mat_Code,0)),"⚠ Unknown code"))</f>
        <v/>
      </c>
      <c r="E527" s="66"/>
      <c r="F527" s="64" t="str">
        <f aca="false">IF($C527="","",IFERROR(INDEX(Mat_Unit,MATCH($C527,Mat_Code,0)),""))</f>
        <v/>
      </c>
      <c r="G527" s="70"/>
      <c r="H527" s="63"/>
      <c r="I527" s="63"/>
      <c r="J527" s="63"/>
      <c r="K527" s="16" t="str">
        <f aca="false">IF(AND($A527="",$B527="",$C527="",$E527=""),"",IF($A527="","⚠ Date missing",IF(OR($B527="",$C527=""),"⚠ Site / material missing",IF(COUNTIFS(CI_Site,$B527,CI_Mat,$C527)=0,"⚠ No Current Inventory row for this site + material",IF($G527="","⚠ Status missing",IF(AND($G527="Scheduled",$A527&lt;=AsOfDate),"⚠ Scheduled date reached – mark Received or re-date",IF(AND($G527="Received",$A527&gt;AsOfDate),"Future-dated – added on its date",IF(AND($G527="Received",$A527&lt;SUMIFS(CI_Count,CI_Site,$B527,CI_Mat,$C527)),"Before count date – already in the count","OK"))))))))</f>
        <v/>
      </c>
    </row>
    <row r="528" customFormat="false" ht="15" hidden="false" customHeight="false" outlineLevel="0" collapsed="false">
      <c r="A528" s="65"/>
      <c r="B528" s="63"/>
      <c r="C528" s="70"/>
      <c r="D528" s="16" t="str">
        <f aca="false">IF($C528="","",IFERROR(INDEX(Mat_Short,MATCH($C528,Mat_Code,0)),"⚠ Unknown code"))</f>
        <v/>
      </c>
      <c r="E528" s="66"/>
      <c r="F528" s="64" t="str">
        <f aca="false">IF($C528="","",IFERROR(INDEX(Mat_Unit,MATCH($C528,Mat_Code,0)),""))</f>
        <v/>
      </c>
      <c r="G528" s="70"/>
      <c r="H528" s="63"/>
      <c r="I528" s="63"/>
      <c r="J528" s="63"/>
      <c r="K528" s="16" t="str">
        <f aca="false">IF(AND($A528="",$B528="",$C528="",$E528=""),"",IF($A528="","⚠ Date missing",IF(OR($B528="",$C528=""),"⚠ Site / material missing",IF(COUNTIFS(CI_Site,$B528,CI_Mat,$C528)=0,"⚠ No Current Inventory row for this site + material",IF($G528="","⚠ Status missing",IF(AND($G528="Scheduled",$A528&lt;=AsOfDate),"⚠ Scheduled date reached – mark Received or re-date",IF(AND($G528="Received",$A528&gt;AsOfDate),"Future-dated – added on its date",IF(AND($G528="Received",$A528&lt;SUMIFS(CI_Count,CI_Site,$B528,CI_Mat,$C528)),"Before count date – already in the count","OK"))))))))</f>
        <v/>
      </c>
    </row>
    <row r="529" customFormat="false" ht="15" hidden="false" customHeight="false" outlineLevel="0" collapsed="false">
      <c r="A529" s="65"/>
      <c r="B529" s="63"/>
      <c r="C529" s="70"/>
      <c r="D529" s="16" t="str">
        <f aca="false">IF($C529="","",IFERROR(INDEX(Mat_Short,MATCH($C529,Mat_Code,0)),"⚠ Unknown code"))</f>
        <v/>
      </c>
      <c r="E529" s="66"/>
      <c r="F529" s="64" t="str">
        <f aca="false">IF($C529="","",IFERROR(INDEX(Mat_Unit,MATCH($C529,Mat_Code,0)),""))</f>
        <v/>
      </c>
      <c r="G529" s="70"/>
      <c r="H529" s="63"/>
      <c r="I529" s="63"/>
      <c r="J529" s="63"/>
      <c r="K529" s="16" t="str">
        <f aca="false">IF(AND($A529="",$B529="",$C529="",$E529=""),"",IF($A529="","⚠ Date missing",IF(OR($B529="",$C529=""),"⚠ Site / material missing",IF(COUNTIFS(CI_Site,$B529,CI_Mat,$C529)=0,"⚠ No Current Inventory row for this site + material",IF($G529="","⚠ Status missing",IF(AND($G529="Scheduled",$A529&lt;=AsOfDate),"⚠ Scheduled date reached – mark Received or re-date",IF(AND($G529="Received",$A529&gt;AsOfDate),"Future-dated – added on its date",IF(AND($G529="Received",$A529&lt;SUMIFS(CI_Count,CI_Site,$B529,CI_Mat,$C529)),"Before count date – already in the count","OK"))))))))</f>
        <v/>
      </c>
    </row>
    <row r="530" customFormat="false" ht="15" hidden="false" customHeight="false" outlineLevel="0" collapsed="false">
      <c r="A530" s="65"/>
      <c r="B530" s="63"/>
      <c r="C530" s="70"/>
      <c r="D530" s="16" t="str">
        <f aca="false">IF($C530="","",IFERROR(INDEX(Mat_Short,MATCH($C530,Mat_Code,0)),"⚠ Unknown code"))</f>
        <v/>
      </c>
      <c r="E530" s="66"/>
      <c r="F530" s="64" t="str">
        <f aca="false">IF($C530="","",IFERROR(INDEX(Mat_Unit,MATCH($C530,Mat_Code,0)),""))</f>
        <v/>
      </c>
      <c r="G530" s="70"/>
      <c r="H530" s="63"/>
      <c r="I530" s="63"/>
      <c r="J530" s="63"/>
      <c r="K530" s="16" t="str">
        <f aca="false">IF(AND($A530="",$B530="",$C530="",$E530=""),"",IF($A530="","⚠ Date missing",IF(OR($B530="",$C530=""),"⚠ Site / material missing",IF(COUNTIFS(CI_Site,$B530,CI_Mat,$C530)=0,"⚠ No Current Inventory row for this site + material",IF($G530="","⚠ Status missing",IF(AND($G530="Scheduled",$A530&lt;=AsOfDate),"⚠ Scheduled date reached – mark Received or re-date",IF(AND($G530="Received",$A530&gt;AsOfDate),"Future-dated – added on its date",IF(AND($G530="Received",$A530&lt;SUMIFS(CI_Count,CI_Site,$B530,CI_Mat,$C530)),"Before count date – already in the count","OK"))))))))</f>
        <v/>
      </c>
    </row>
    <row r="531" customFormat="false" ht="15" hidden="false" customHeight="false" outlineLevel="0" collapsed="false">
      <c r="A531" s="65"/>
      <c r="B531" s="63"/>
      <c r="C531" s="70"/>
      <c r="D531" s="16" t="str">
        <f aca="false">IF($C531="","",IFERROR(INDEX(Mat_Short,MATCH($C531,Mat_Code,0)),"⚠ Unknown code"))</f>
        <v/>
      </c>
      <c r="E531" s="66"/>
      <c r="F531" s="64" t="str">
        <f aca="false">IF($C531="","",IFERROR(INDEX(Mat_Unit,MATCH($C531,Mat_Code,0)),""))</f>
        <v/>
      </c>
      <c r="G531" s="70"/>
      <c r="H531" s="63"/>
      <c r="I531" s="63"/>
      <c r="J531" s="63"/>
      <c r="K531" s="16" t="str">
        <f aca="false">IF(AND($A531="",$B531="",$C531="",$E531=""),"",IF($A531="","⚠ Date missing",IF(OR($B531="",$C531=""),"⚠ Site / material missing",IF(COUNTIFS(CI_Site,$B531,CI_Mat,$C531)=0,"⚠ No Current Inventory row for this site + material",IF($G531="","⚠ Status missing",IF(AND($G531="Scheduled",$A531&lt;=AsOfDate),"⚠ Scheduled date reached – mark Received or re-date",IF(AND($G531="Received",$A531&gt;AsOfDate),"Future-dated – added on its date",IF(AND($G531="Received",$A531&lt;SUMIFS(CI_Count,CI_Site,$B531,CI_Mat,$C531)),"Before count date – already in the count","OK"))))))))</f>
        <v/>
      </c>
    </row>
    <row r="532" customFormat="false" ht="15" hidden="false" customHeight="false" outlineLevel="0" collapsed="false">
      <c r="A532" s="65"/>
      <c r="B532" s="63"/>
      <c r="C532" s="70"/>
      <c r="D532" s="16" t="str">
        <f aca="false">IF($C532="","",IFERROR(INDEX(Mat_Short,MATCH($C532,Mat_Code,0)),"⚠ Unknown code"))</f>
        <v/>
      </c>
      <c r="E532" s="66"/>
      <c r="F532" s="64" t="str">
        <f aca="false">IF($C532="","",IFERROR(INDEX(Mat_Unit,MATCH($C532,Mat_Code,0)),""))</f>
        <v/>
      </c>
      <c r="G532" s="70"/>
      <c r="H532" s="63"/>
      <c r="I532" s="63"/>
      <c r="J532" s="63"/>
      <c r="K532" s="16" t="str">
        <f aca="false">IF(AND($A532="",$B532="",$C532="",$E532=""),"",IF($A532="","⚠ Date missing",IF(OR($B532="",$C532=""),"⚠ Site / material missing",IF(COUNTIFS(CI_Site,$B532,CI_Mat,$C532)=0,"⚠ No Current Inventory row for this site + material",IF($G532="","⚠ Status missing",IF(AND($G532="Scheduled",$A532&lt;=AsOfDate),"⚠ Scheduled date reached – mark Received or re-date",IF(AND($G532="Received",$A532&gt;AsOfDate),"Future-dated – added on its date",IF(AND($G532="Received",$A532&lt;SUMIFS(CI_Count,CI_Site,$B532,CI_Mat,$C532)),"Before count date – already in the count","OK"))))))))</f>
        <v/>
      </c>
    </row>
    <row r="533" customFormat="false" ht="15" hidden="false" customHeight="false" outlineLevel="0" collapsed="false">
      <c r="A533" s="65"/>
      <c r="B533" s="63"/>
      <c r="C533" s="70"/>
      <c r="D533" s="16" t="str">
        <f aca="false">IF($C533="","",IFERROR(INDEX(Mat_Short,MATCH($C533,Mat_Code,0)),"⚠ Unknown code"))</f>
        <v/>
      </c>
      <c r="E533" s="66"/>
      <c r="F533" s="64" t="str">
        <f aca="false">IF($C533="","",IFERROR(INDEX(Mat_Unit,MATCH($C533,Mat_Code,0)),""))</f>
        <v/>
      </c>
      <c r="G533" s="70"/>
      <c r="H533" s="63"/>
      <c r="I533" s="63"/>
      <c r="J533" s="63"/>
      <c r="K533" s="16" t="str">
        <f aca="false">IF(AND($A533="",$B533="",$C533="",$E533=""),"",IF($A533="","⚠ Date missing",IF(OR($B533="",$C533=""),"⚠ Site / material missing",IF(COUNTIFS(CI_Site,$B533,CI_Mat,$C533)=0,"⚠ No Current Inventory row for this site + material",IF($G533="","⚠ Status missing",IF(AND($G533="Scheduled",$A533&lt;=AsOfDate),"⚠ Scheduled date reached – mark Received or re-date",IF(AND($G533="Received",$A533&gt;AsOfDate),"Future-dated – added on its date",IF(AND($G533="Received",$A533&lt;SUMIFS(CI_Count,CI_Site,$B533,CI_Mat,$C533)),"Before count date – already in the count","OK"))))))))</f>
        <v/>
      </c>
    </row>
    <row r="534" customFormat="false" ht="15" hidden="false" customHeight="false" outlineLevel="0" collapsed="false">
      <c r="A534" s="65"/>
      <c r="B534" s="63"/>
      <c r="C534" s="70"/>
      <c r="D534" s="16" t="str">
        <f aca="false">IF($C534="","",IFERROR(INDEX(Mat_Short,MATCH($C534,Mat_Code,0)),"⚠ Unknown code"))</f>
        <v/>
      </c>
      <c r="E534" s="66"/>
      <c r="F534" s="64" t="str">
        <f aca="false">IF($C534="","",IFERROR(INDEX(Mat_Unit,MATCH($C534,Mat_Code,0)),""))</f>
        <v/>
      </c>
      <c r="G534" s="70"/>
      <c r="H534" s="63"/>
      <c r="I534" s="63"/>
      <c r="J534" s="63"/>
      <c r="K534" s="16" t="str">
        <f aca="false">IF(AND($A534="",$B534="",$C534="",$E534=""),"",IF($A534="","⚠ Date missing",IF(OR($B534="",$C534=""),"⚠ Site / material missing",IF(COUNTIFS(CI_Site,$B534,CI_Mat,$C534)=0,"⚠ No Current Inventory row for this site + material",IF($G534="","⚠ Status missing",IF(AND($G534="Scheduled",$A534&lt;=AsOfDate),"⚠ Scheduled date reached – mark Received or re-date",IF(AND($G534="Received",$A534&gt;AsOfDate),"Future-dated – added on its date",IF(AND($G534="Received",$A534&lt;SUMIFS(CI_Count,CI_Site,$B534,CI_Mat,$C534)),"Before count date – already in the count","OK"))))))))</f>
        <v/>
      </c>
    </row>
    <row r="535" customFormat="false" ht="15" hidden="false" customHeight="false" outlineLevel="0" collapsed="false">
      <c r="A535" s="65"/>
      <c r="B535" s="63"/>
      <c r="C535" s="70"/>
      <c r="D535" s="16" t="str">
        <f aca="false">IF($C535="","",IFERROR(INDEX(Mat_Short,MATCH($C535,Mat_Code,0)),"⚠ Unknown code"))</f>
        <v/>
      </c>
      <c r="E535" s="66"/>
      <c r="F535" s="64" t="str">
        <f aca="false">IF($C535="","",IFERROR(INDEX(Mat_Unit,MATCH($C535,Mat_Code,0)),""))</f>
        <v/>
      </c>
      <c r="G535" s="70"/>
      <c r="H535" s="63"/>
      <c r="I535" s="63"/>
      <c r="J535" s="63"/>
      <c r="K535" s="16" t="str">
        <f aca="false">IF(AND($A535="",$B535="",$C535="",$E535=""),"",IF($A535="","⚠ Date missing",IF(OR($B535="",$C535=""),"⚠ Site / material missing",IF(COUNTIFS(CI_Site,$B535,CI_Mat,$C535)=0,"⚠ No Current Inventory row for this site + material",IF($G535="","⚠ Status missing",IF(AND($G535="Scheduled",$A535&lt;=AsOfDate),"⚠ Scheduled date reached – mark Received or re-date",IF(AND($G535="Received",$A535&gt;AsOfDate),"Future-dated – added on its date",IF(AND($G535="Received",$A535&lt;SUMIFS(CI_Count,CI_Site,$B535,CI_Mat,$C535)),"Before count date – already in the count","OK"))))))))</f>
        <v/>
      </c>
    </row>
    <row r="536" customFormat="false" ht="15" hidden="false" customHeight="false" outlineLevel="0" collapsed="false">
      <c r="A536" s="65"/>
      <c r="B536" s="63"/>
      <c r="C536" s="70"/>
      <c r="D536" s="16" t="str">
        <f aca="false">IF($C536="","",IFERROR(INDEX(Mat_Short,MATCH($C536,Mat_Code,0)),"⚠ Unknown code"))</f>
        <v/>
      </c>
      <c r="E536" s="66"/>
      <c r="F536" s="64" t="str">
        <f aca="false">IF($C536="","",IFERROR(INDEX(Mat_Unit,MATCH($C536,Mat_Code,0)),""))</f>
        <v/>
      </c>
      <c r="G536" s="70"/>
      <c r="H536" s="63"/>
      <c r="I536" s="63"/>
      <c r="J536" s="63"/>
      <c r="K536" s="16" t="str">
        <f aca="false">IF(AND($A536="",$B536="",$C536="",$E536=""),"",IF($A536="","⚠ Date missing",IF(OR($B536="",$C536=""),"⚠ Site / material missing",IF(COUNTIFS(CI_Site,$B536,CI_Mat,$C536)=0,"⚠ No Current Inventory row for this site + material",IF($G536="","⚠ Status missing",IF(AND($G536="Scheduled",$A536&lt;=AsOfDate),"⚠ Scheduled date reached – mark Received or re-date",IF(AND($G536="Received",$A536&gt;AsOfDate),"Future-dated – added on its date",IF(AND($G536="Received",$A536&lt;SUMIFS(CI_Count,CI_Site,$B536,CI_Mat,$C536)),"Before count date – already in the count","OK"))))))))</f>
        <v/>
      </c>
    </row>
    <row r="537" customFormat="false" ht="15" hidden="false" customHeight="false" outlineLevel="0" collapsed="false">
      <c r="A537" s="65"/>
      <c r="B537" s="63"/>
      <c r="C537" s="70"/>
      <c r="D537" s="16" t="str">
        <f aca="false">IF($C537="","",IFERROR(INDEX(Mat_Short,MATCH($C537,Mat_Code,0)),"⚠ Unknown code"))</f>
        <v/>
      </c>
      <c r="E537" s="66"/>
      <c r="F537" s="64" t="str">
        <f aca="false">IF($C537="","",IFERROR(INDEX(Mat_Unit,MATCH($C537,Mat_Code,0)),""))</f>
        <v/>
      </c>
      <c r="G537" s="70"/>
      <c r="H537" s="63"/>
      <c r="I537" s="63"/>
      <c r="J537" s="63"/>
      <c r="K537" s="16" t="str">
        <f aca="false">IF(AND($A537="",$B537="",$C537="",$E537=""),"",IF($A537="","⚠ Date missing",IF(OR($B537="",$C537=""),"⚠ Site / material missing",IF(COUNTIFS(CI_Site,$B537,CI_Mat,$C537)=0,"⚠ No Current Inventory row for this site + material",IF($G537="","⚠ Status missing",IF(AND($G537="Scheduled",$A537&lt;=AsOfDate),"⚠ Scheduled date reached – mark Received or re-date",IF(AND($G537="Received",$A537&gt;AsOfDate),"Future-dated – added on its date",IF(AND($G537="Received",$A537&lt;SUMIFS(CI_Count,CI_Site,$B537,CI_Mat,$C537)),"Before count date – already in the count","OK"))))))))</f>
        <v/>
      </c>
    </row>
    <row r="538" customFormat="false" ht="15" hidden="false" customHeight="false" outlineLevel="0" collapsed="false">
      <c r="A538" s="65"/>
      <c r="B538" s="63"/>
      <c r="C538" s="70"/>
      <c r="D538" s="16" t="str">
        <f aca="false">IF($C538="","",IFERROR(INDEX(Mat_Short,MATCH($C538,Mat_Code,0)),"⚠ Unknown code"))</f>
        <v/>
      </c>
      <c r="E538" s="66"/>
      <c r="F538" s="64" t="str">
        <f aca="false">IF($C538="","",IFERROR(INDEX(Mat_Unit,MATCH($C538,Mat_Code,0)),""))</f>
        <v/>
      </c>
      <c r="G538" s="70"/>
      <c r="H538" s="63"/>
      <c r="I538" s="63"/>
      <c r="J538" s="63"/>
      <c r="K538" s="16" t="str">
        <f aca="false">IF(AND($A538="",$B538="",$C538="",$E538=""),"",IF($A538="","⚠ Date missing",IF(OR($B538="",$C538=""),"⚠ Site / material missing",IF(COUNTIFS(CI_Site,$B538,CI_Mat,$C538)=0,"⚠ No Current Inventory row for this site + material",IF($G538="","⚠ Status missing",IF(AND($G538="Scheduled",$A538&lt;=AsOfDate),"⚠ Scheduled date reached – mark Received or re-date",IF(AND($G538="Received",$A538&gt;AsOfDate),"Future-dated – added on its date",IF(AND($G538="Received",$A538&lt;SUMIFS(CI_Count,CI_Site,$B538,CI_Mat,$C538)),"Before count date – already in the count","OK"))))))))</f>
        <v/>
      </c>
    </row>
    <row r="539" customFormat="false" ht="15" hidden="false" customHeight="false" outlineLevel="0" collapsed="false">
      <c r="A539" s="65"/>
      <c r="B539" s="63"/>
      <c r="C539" s="70"/>
      <c r="D539" s="16" t="str">
        <f aca="false">IF($C539="","",IFERROR(INDEX(Mat_Short,MATCH($C539,Mat_Code,0)),"⚠ Unknown code"))</f>
        <v/>
      </c>
      <c r="E539" s="66"/>
      <c r="F539" s="64" t="str">
        <f aca="false">IF($C539="","",IFERROR(INDEX(Mat_Unit,MATCH($C539,Mat_Code,0)),""))</f>
        <v/>
      </c>
      <c r="G539" s="70"/>
      <c r="H539" s="63"/>
      <c r="I539" s="63"/>
      <c r="J539" s="63"/>
      <c r="K539" s="16" t="str">
        <f aca="false">IF(AND($A539="",$B539="",$C539="",$E539=""),"",IF($A539="","⚠ Date missing",IF(OR($B539="",$C539=""),"⚠ Site / material missing",IF(COUNTIFS(CI_Site,$B539,CI_Mat,$C539)=0,"⚠ No Current Inventory row for this site + material",IF($G539="","⚠ Status missing",IF(AND($G539="Scheduled",$A539&lt;=AsOfDate),"⚠ Scheduled date reached – mark Received or re-date",IF(AND($G539="Received",$A539&gt;AsOfDate),"Future-dated – added on its date",IF(AND($G539="Received",$A539&lt;SUMIFS(CI_Count,CI_Site,$B539,CI_Mat,$C539)),"Before count date – already in the count","OK"))))))))</f>
        <v/>
      </c>
    </row>
    <row r="540" customFormat="false" ht="15" hidden="false" customHeight="false" outlineLevel="0" collapsed="false">
      <c r="A540" s="65"/>
      <c r="B540" s="63"/>
      <c r="C540" s="70"/>
      <c r="D540" s="16" t="str">
        <f aca="false">IF($C540="","",IFERROR(INDEX(Mat_Short,MATCH($C540,Mat_Code,0)),"⚠ Unknown code"))</f>
        <v/>
      </c>
      <c r="E540" s="66"/>
      <c r="F540" s="64" t="str">
        <f aca="false">IF($C540="","",IFERROR(INDEX(Mat_Unit,MATCH($C540,Mat_Code,0)),""))</f>
        <v/>
      </c>
      <c r="G540" s="70"/>
      <c r="H540" s="63"/>
      <c r="I540" s="63"/>
      <c r="J540" s="63"/>
      <c r="K540" s="16" t="str">
        <f aca="false">IF(AND($A540="",$B540="",$C540="",$E540=""),"",IF($A540="","⚠ Date missing",IF(OR($B540="",$C540=""),"⚠ Site / material missing",IF(COUNTIFS(CI_Site,$B540,CI_Mat,$C540)=0,"⚠ No Current Inventory row for this site + material",IF($G540="","⚠ Status missing",IF(AND($G540="Scheduled",$A540&lt;=AsOfDate),"⚠ Scheduled date reached – mark Received or re-date",IF(AND($G540="Received",$A540&gt;AsOfDate),"Future-dated – added on its date",IF(AND($G540="Received",$A540&lt;SUMIFS(CI_Count,CI_Site,$B540,CI_Mat,$C540)),"Before count date – already in the count","OK"))))))))</f>
        <v/>
      </c>
    </row>
    <row r="541" customFormat="false" ht="15" hidden="false" customHeight="false" outlineLevel="0" collapsed="false">
      <c r="A541" s="65"/>
      <c r="B541" s="63"/>
      <c r="C541" s="70"/>
      <c r="D541" s="16" t="str">
        <f aca="false">IF($C541="","",IFERROR(INDEX(Mat_Short,MATCH($C541,Mat_Code,0)),"⚠ Unknown code"))</f>
        <v/>
      </c>
      <c r="E541" s="66"/>
      <c r="F541" s="64" t="str">
        <f aca="false">IF($C541="","",IFERROR(INDEX(Mat_Unit,MATCH($C541,Mat_Code,0)),""))</f>
        <v/>
      </c>
      <c r="G541" s="70"/>
      <c r="H541" s="63"/>
      <c r="I541" s="63"/>
      <c r="J541" s="63"/>
      <c r="K541" s="16" t="str">
        <f aca="false">IF(AND($A541="",$B541="",$C541="",$E541=""),"",IF($A541="","⚠ Date missing",IF(OR($B541="",$C541=""),"⚠ Site / material missing",IF(COUNTIFS(CI_Site,$B541,CI_Mat,$C541)=0,"⚠ No Current Inventory row for this site + material",IF($G541="","⚠ Status missing",IF(AND($G541="Scheduled",$A541&lt;=AsOfDate),"⚠ Scheduled date reached – mark Received or re-date",IF(AND($G541="Received",$A541&gt;AsOfDate),"Future-dated – added on its date",IF(AND($G541="Received",$A541&lt;SUMIFS(CI_Count,CI_Site,$B541,CI_Mat,$C541)),"Before count date – already in the count","OK"))))))))</f>
        <v/>
      </c>
    </row>
    <row r="542" customFormat="false" ht="15" hidden="false" customHeight="false" outlineLevel="0" collapsed="false">
      <c r="A542" s="65"/>
      <c r="B542" s="63"/>
      <c r="C542" s="70"/>
      <c r="D542" s="16" t="str">
        <f aca="false">IF($C542="","",IFERROR(INDEX(Mat_Short,MATCH($C542,Mat_Code,0)),"⚠ Unknown code"))</f>
        <v/>
      </c>
      <c r="E542" s="66"/>
      <c r="F542" s="64" t="str">
        <f aca="false">IF($C542="","",IFERROR(INDEX(Mat_Unit,MATCH($C542,Mat_Code,0)),""))</f>
        <v/>
      </c>
      <c r="G542" s="70"/>
      <c r="H542" s="63"/>
      <c r="I542" s="63"/>
      <c r="J542" s="63"/>
      <c r="K542" s="16" t="str">
        <f aca="false">IF(AND($A542="",$B542="",$C542="",$E542=""),"",IF($A542="","⚠ Date missing",IF(OR($B542="",$C542=""),"⚠ Site / material missing",IF(COUNTIFS(CI_Site,$B542,CI_Mat,$C542)=0,"⚠ No Current Inventory row for this site + material",IF($G542="","⚠ Status missing",IF(AND($G542="Scheduled",$A542&lt;=AsOfDate),"⚠ Scheduled date reached – mark Received or re-date",IF(AND($G542="Received",$A542&gt;AsOfDate),"Future-dated – added on its date",IF(AND($G542="Received",$A542&lt;SUMIFS(CI_Count,CI_Site,$B542,CI_Mat,$C542)),"Before count date – already in the count","OK"))))))))</f>
        <v/>
      </c>
    </row>
    <row r="543" customFormat="false" ht="15" hidden="false" customHeight="false" outlineLevel="0" collapsed="false">
      <c r="A543" s="65"/>
      <c r="B543" s="63"/>
      <c r="C543" s="70"/>
      <c r="D543" s="16" t="str">
        <f aca="false">IF($C543="","",IFERROR(INDEX(Mat_Short,MATCH($C543,Mat_Code,0)),"⚠ Unknown code"))</f>
        <v/>
      </c>
      <c r="E543" s="66"/>
      <c r="F543" s="64" t="str">
        <f aca="false">IF($C543="","",IFERROR(INDEX(Mat_Unit,MATCH($C543,Mat_Code,0)),""))</f>
        <v/>
      </c>
      <c r="G543" s="70"/>
      <c r="H543" s="63"/>
      <c r="I543" s="63"/>
      <c r="J543" s="63"/>
      <c r="K543" s="16" t="str">
        <f aca="false">IF(AND($A543="",$B543="",$C543="",$E543=""),"",IF($A543="","⚠ Date missing",IF(OR($B543="",$C543=""),"⚠ Site / material missing",IF(COUNTIFS(CI_Site,$B543,CI_Mat,$C543)=0,"⚠ No Current Inventory row for this site + material",IF($G543="","⚠ Status missing",IF(AND($G543="Scheduled",$A543&lt;=AsOfDate),"⚠ Scheduled date reached – mark Received or re-date",IF(AND($G543="Received",$A543&gt;AsOfDate),"Future-dated – added on its date",IF(AND($G543="Received",$A543&lt;SUMIFS(CI_Count,CI_Site,$B543,CI_Mat,$C543)),"Before count date – already in the count","OK"))))))))</f>
        <v/>
      </c>
    </row>
    <row r="544" customFormat="false" ht="15" hidden="false" customHeight="false" outlineLevel="0" collapsed="false">
      <c r="A544" s="65"/>
      <c r="B544" s="63"/>
      <c r="C544" s="70"/>
      <c r="D544" s="16" t="str">
        <f aca="false">IF($C544="","",IFERROR(INDEX(Mat_Short,MATCH($C544,Mat_Code,0)),"⚠ Unknown code"))</f>
        <v/>
      </c>
      <c r="E544" s="66"/>
      <c r="F544" s="64" t="str">
        <f aca="false">IF($C544="","",IFERROR(INDEX(Mat_Unit,MATCH($C544,Mat_Code,0)),""))</f>
        <v/>
      </c>
      <c r="G544" s="70"/>
      <c r="H544" s="63"/>
      <c r="I544" s="63"/>
      <c r="J544" s="63"/>
      <c r="K544" s="16" t="str">
        <f aca="false">IF(AND($A544="",$B544="",$C544="",$E544=""),"",IF($A544="","⚠ Date missing",IF(OR($B544="",$C544=""),"⚠ Site / material missing",IF(COUNTIFS(CI_Site,$B544,CI_Mat,$C544)=0,"⚠ No Current Inventory row for this site + material",IF($G544="","⚠ Status missing",IF(AND($G544="Scheduled",$A544&lt;=AsOfDate),"⚠ Scheduled date reached – mark Received or re-date",IF(AND($G544="Received",$A544&gt;AsOfDate),"Future-dated – added on its date",IF(AND($G544="Received",$A544&lt;SUMIFS(CI_Count,CI_Site,$B544,CI_Mat,$C544)),"Before count date – already in the count","OK"))))))))</f>
        <v/>
      </c>
    </row>
    <row r="545" customFormat="false" ht="15" hidden="false" customHeight="false" outlineLevel="0" collapsed="false">
      <c r="A545" s="65"/>
      <c r="B545" s="63"/>
      <c r="C545" s="70"/>
      <c r="D545" s="16" t="str">
        <f aca="false">IF($C545="","",IFERROR(INDEX(Mat_Short,MATCH($C545,Mat_Code,0)),"⚠ Unknown code"))</f>
        <v/>
      </c>
      <c r="E545" s="66"/>
      <c r="F545" s="64" t="str">
        <f aca="false">IF($C545="","",IFERROR(INDEX(Mat_Unit,MATCH($C545,Mat_Code,0)),""))</f>
        <v/>
      </c>
      <c r="G545" s="70"/>
      <c r="H545" s="63"/>
      <c r="I545" s="63"/>
      <c r="J545" s="63"/>
      <c r="K545" s="16" t="str">
        <f aca="false">IF(AND($A545="",$B545="",$C545="",$E545=""),"",IF($A545="","⚠ Date missing",IF(OR($B545="",$C545=""),"⚠ Site / material missing",IF(COUNTIFS(CI_Site,$B545,CI_Mat,$C545)=0,"⚠ No Current Inventory row for this site + material",IF($G545="","⚠ Status missing",IF(AND($G545="Scheduled",$A545&lt;=AsOfDate),"⚠ Scheduled date reached – mark Received or re-date",IF(AND($G545="Received",$A545&gt;AsOfDate),"Future-dated – added on its date",IF(AND($G545="Received",$A545&lt;SUMIFS(CI_Count,CI_Site,$B545,CI_Mat,$C545)),"Before count date – already in the count","OK"))))))))</f>
        <v/>
      </c>
    </row>
    <row r="546" customFormat="false" ht="15" hidden="false" customHeight="false" outlineLevel="0" collapsed="false">
      <c r="A546" s="65"/>
      <c r="B546" s="63"/>
      <c r="C546" s="70"/>
      <c r="D546" s="16" t="str">
        <f aca="false">IF($C546="","",IFERROR(INDEX(Mat_Short,MATCH($C546,Mat_Code,0)),"⚠ Unknown code"))</f>
        <v/>
      </c>
      <c r="E546" s="66"/>
      <c r="F546" s="64" t="str">
        <f aca="false">IF($C546="","",IFERROR(INDEX(Mat_Unit,MATCH($C546,Mat_Code,0)),""))</f>
        <v/>
      </c>
      <c r="G546" s="70"/>
      <c r="H546" s="63"/>
      <c r="I546" s="63"/>
      <c r="J546" s="63"/>
      <c r="K546" s="16" t="str">
        <f aca="false">IF(AND($A546="",$B546="",$C546="",$E546=""),"",IF($A546="","⚠ Date missing",IF(OR($B546="",$C546=""),"⚠ Site / material missing",IF(COUNTIFS(CI_Site,$B546,CI_Mat,$C546)=0,"⚠ No Current Inventory row for this site + material",IF($G546="","⚠ Status missing",IF(AND($G546="Scheduled",$A546&lt;=AsOfDate),"⚠ Scheduled date reached – mark Received or re-date",IF(AND($G546="Received",$A546&gt;AsOfDate),"Future-dated – added on its date",IF(AND($G546="Received",$A546&lt;SUMIFS(CI_Count,CI_Site,$B546,CI_Mat,$C546)),"Before count date – already in the count","OK"))))))))</f>
        <v/>
      </c>
    </row>
    <row r="547" customFormat="false" ht="15" hidden="false" customHeight="false" outlineLevel="0" collapsed="false">
      <c r="A547" s="65"/>
      <c r="B547" s="63"/>
      <c r="C547" s="70"/>
      <c r="D547" s="16" t="str">
        <f aca="false">IF($C547="","",IFERROR(INDEX(Mat_Short,MATCH($C547,Mat_Code,0)),"⚠ Unknown code"))</f>
        <v/>
      </c>
      <c r="E547" s="66"/>
      <c r="F547" s="64" t="str">
        <f aca="false">IF($C547="","",IFERROR(INDEX(Mat_Unit,MATCH($C547,Mat_Code,0)),""))</f>
        <v/>
      </c>
      <c r="G547" s="70"/>
      <c r="H547" s="63"/>
      <c r="I547" s="63"/>
      <c r="J547" s="63"/>
      <c r="K547" s="16" t="str">
        <f aca="false">IF(AND($A547="",$B547="",$C547="",$E547=""),"",IF($A547="","⚠ Date missing",IF(OR($B547="",$C547=""),"⚠ Site / material missing",IF(COUNTIFS(CI_Site,$B547,CI_Mat,$C547)=0,"⚠ No Current Inventory row for this site + material",IF($G547="","⚠ Status missing",IF(AND($G547="Scheduled",$A547&lt;=AsOfDate),"⚠ Scheduled date reached – mark Received or re-date",IF(AND($G547="Received",$A547&gt;AsOfDate),"Future-dated – added on its date",IF(AND($G547="Received",$A547&lt;SUMIFS(CI_Count,CI_Site,$B547,CI_Mat,$C547)),"Before count date – already in the count","OK"))))))))</f>
        <v/>
      </c>
    </row>
    <row r="548" customFormat="false" ht="15" hidden="false" customHeight="false" outlineLevel="0" collapsed="false">
      <c r="A548" s="65"/>
      <c r="B548" s="63"/>
      <c r="C548" s="70"/>
      <c r="D548" s="16" t="str">
        <f aca="false">IF($C548="","",IFERROR(INDEX(Mat_Short,MATCH($C548,Mat_Code,0)),"⚠ Unknown code"))</f>
        <v/>
      </c>
      <c r="E548" s="66"/>
      <c r="F548" s="64" t="str">
        <f aca="false">IF($C548="","",IFERROR(INDEX(Mat_Unit,MATCH($C548,Mat_Code,0)),""))</f>
        <v/>
      </c>
      <c r="G548" s="70"/>
      <c r="H548" s="63"/>
      <c r="I548" s="63"/>
      <c r="J548" s="63"/>
      <c r="K548" s="16" t="str">
        <f aca="false">IF(AND($A548="",$B548="",$C548="",$E548=""),"",IF($A548="","⚠ Date missing",IF(OR($B548="",$C548=""),"⚠ Site / material missing",IF(COUNTIFS(CI_Site,$B548,CI_Mat,$C548)=0,"⚠ No Current Inventory row for this site + material",IF($G548="","⚠ Status missing",IF(AND($G548="Scheduled",$A548&lt;=AsOfDate),"⚠ Scheduled date reached – mark Received or re-date",IF(AND($G548="Received",$A548&gt;AsOfDate),"Future-dated – added on its date",IF(AND($G548="Received",$A548&lt;SUMIFS(CI_Count,CI_Site,$B548,CI_Mat,$C548)),"Before count date – already in the count","OK"))))))))</f>
        <v/>
      </c>
    </row>
    <row r="549" customFormat="false" ht="15" hidden="false" customHeight="false" outlineLevel="0" collapsed="false">
      <c r="A549" s="65"/>
      <c r="B549" s="63"/>
      <c r="C549" s="70"/>
      <c r="D549" s="16" t="str">
        <f aca="false">IF($C549="","",IFERROR(INDEX(Mat_Short,MATCH($C549,Mat_Code,0)),"⚠ Unknown code"))</f>
        <v/>
      </c>
      <c r="E549" s="66"/>
      <c r="F549" s="64" t="str">
        <f aca="false">IF($C549="","",IFERROR(INDEX(Mat_Unit,MATCH($C549,Mat_Code,0)),""))</f>
        <v/>
      </c>
      <c r="G549" s="70"/>
      <c r="H549" s="63"/>
      <c r="I549" s="63"/>
      <c r="J549" s="63"/>
      <c r="K549" s="16" t="str">
        <f aca="false">IF(AND($A549="",$B549="",$C549="",$E549=""),"",IF($A549="","⚠ Date missing",IF(OR($B549="",$C549=""),"⚠ Site / material missing",IF(COUNTIFS(CI_Site,$B549,CI_Mat,$C549)=0,"⚠ No Current Inventory row for this site + material",IF($G549="","⚠ Status missing",IF(AND($G549="Scheduled",$A549&lt;=AsOfDate),"⚠ Scheduled date reached – mark Received or re-date",IF(AND($G549="Received",$A549&gt;AsOfDate),"Future-dated – added on its date",IF(AND($G549="Received",$A549&lt;SUMIFS(CI_Count,CI_Site,$B549,CI_Mat,$C549)),"Before count date – already in the count","OK"))))))))</f>
        <v/>
      </c>
    </row>
    <row r="550" customFormat="false" ht="15" hidden="false" customHeight="false" outlineLevel="0" collapsed="false">
      <c r="A550" s="65"/>
      <c r="B550" s="63"/>
      <c r="C550" s="70"/>
      <c r="D550" s="16" t="str">
        <f aca="false">IF($C550="","",IFERROR(INDEX(Mat_Short,MATCH($C550,Mat_Code,0)),"⚠ Unknown code"))</f>
        <v/>
      </c>
      <c r="E550" s="66"/>
      <c r="F550" s="64" t="str">
        <f aca="false">IF($C550="","",IFERROR(INDEX(Mat_Unit,MATCH($C550,Mat_Code,0)),""))</f>
        <v/>
      </c>
      <c r="G550" s="70"/>
      <c r="H550" s="63"/>
      <c r="I550" s="63"/>
      <c r="J550" s="63"/>
      <c r="K550" s="16" t="str">
        <f aca="false">IF(AND($A550="",$B550="",$C550="",$E550=""),"",IF($A550="","⚠ Date missing",IF(OR($B550="",$C550=""),"⚠ Site / material missing",IF(COUNTIFS(CI_Site,$B550,CI_Mat,$C550)=0,"⚠ No Current Inventory row for this site + material",IF($G550="","⚠ Status missing",IF(AND($G550="Scheduled",$A550&lt;=AsOfDate),"⚠ Scheduled date reached – mark Received or re-date",IF(AND($G550="Received",$A550&gt;AsOfDate),"Future-dated – added on its date",IF(AND($G550="Received",$A550&lt;SUMIFS(CI_Count,CI_Site,$B550,CI_Mat,$C550)),"Before count date – already in the count","OK"))))))))</f>
        <v/>
      </c>
    </row>
    <row r="551" customFormat="false" ht="15" hidden="false" customHeight="false" outlineLevel="0" collapsed="false">
      <c r="A551" s="65"/>
      <c r="B551" s="63"/>
      <c r="C551" s="70"/>
      <c r="D551" s="16" t="str">
        <f aca="false">IF($C551="","",IFERROR(INDEX(Mat_Short,MATCH($C551,Mat_Code,0)),"⚠ Unknown code"))</f>
        <v/>
      </c>
      <c r="E551" s="66"/>
      <c r="F551" s="64" t="str">
        <f aca="false">IF($C551="","",IFERROR(INDEX(Mat_Unit,MATCH($C551,Mat_Code,0)),""))</f>
        <v/>
      </c>
      <c r="G551" s="70"/>
      <c r="H551" s="63"/>
      <c r="I551" s="63"/>
      <c r="J551" s="63"/>
      <c r="K551" s="16" t="str">
        <f aca="false">IF(AND($A551="",$B551="",$C551="",$E551=""),"",IF($A551="","⚠ Date missing",IF(OR($B551="",$C551=""),"⚠ Site / material missing",IF(COUNTIFS(CI_Site,$B551,CI_Mat,$C551)=0,"⚠ No Current Inventory row for this site + material",IF($G551="","⚠ Status missing",IF(AND($G551="Scheduled",$A551&lt;=AsOfDate),"⚠ Scheduled date reached – mark Received or re-date",IF(AND($G551="Received",$A551&gt;AsOfDate),"Future-dated – added on its date",IF(AND($G551="Received",$A551&lt;SUMIFS(CI_Count,CI_Site,$B551,CI_Mat,$C551)),"Before count date – already in the count","OK"))))))))</f>
        <v/>
      </c>
    </row>
    <row r="552" customFormat="false" ht="15" hidden="false" customHeight="false" outlineLevel="0" collapsed="false">
      <c r="A552" s="65"/>
      <c r="B552" s="63"/>
      <c r="C552" s="70"/>
      <c r="D552" s="16" t="str">
        <f aca="false">IF($C552="","",IFERROR(INDEX(Mat_Short,MATCH($C552,Mat_Code,0)),"⚠ Unknown code"))</f>
        <v/>
      </c>
      <c r="E552" s="66"/>
      <c r="F552" s="64" t="str">
        <f aca="false">IF($C552="","",IFERROR(INDEX(Mat_Unit,MATCH($C552,Mat_Code,0)),""))</f>
        <v/>
      </c>
      <c r="G552" s="70"/>
      <c r="H552" s="63"/>
      <c r="I552" s="63"/>
      <c r="J552" s="63"/>
      <c r="K552" s="16" t="str">
        <f aca="false">IF(AND($A552="",$B552="",$C552="",$E552=""),"",IF($A552="","⚠ Date missing",IF(OR($B552="",$C552=""),"⚠ Site / material missing",IF(COUNTIFS(CI_Site,$B552,CI_Mat,$C552)=0,"⚠ No Current Inventory row for this site + material",IF($G552="","⚠ Status missing",IF(AND($G552="Scheduled",$A552&lt;=AsOfDate),"⚠ Scheduled date reached – mark Received or re-date",IF(AND($G552="Received",$A552&gt;AsOfDate),"Future-dated – added on its date",IF(AND($G552="Received",$A552&lt;SUMIFS(CI_Count,CI_Site,$B552,CI_Mat,$C552)),"Before count date – already in the count","OK"))))))))</f>
        <v/>
      </c>
    </row>
    <row r="553" customFormat="false" ht="15" hidden="false" customHeight="false" outlineLevel="0" collapsed="false">
      <c r="A553" s="65"/>
      <c r="B553" s="63"/>
      <c r="C553" s="70"/>
      <c r="D553" s="16" t="str">
        <f aca="false">IF($C553="","",IFERROR(INDEX(Mat_Short,MATCH($C553,Mat_Code,0)),"⚠ Unknown code"))</f>
        <v/>
      </c>
      <c r="E553" s="66"/>
      <c r="F553" s="64" t="str">
        <f aca="false">IF($C553="","",IFERROR(INDEX(Mat_Unit,MATCH($C553,Mat_Code,0)),""))</f>
        <v/>
      </c>
      <c r="G553" s="70"/>
      <c r="H553" s="63"/>
      <c r="I553" s="63"/>
      <c r="J553" s="63"/>
      <c r="K553" s="16" t="str">
        <f aca="false">IF(AND($A553="",$B553="",$C553="",$E553=""),"",IF($A553="","⚠ Date missing",IF(OR($B553="",$C553=""),"⚠ Site / material missing",IF(COUNTIFS(CI_Site,$B553,CI_Mat,$C553)=0,"⚠ No Current Inventory row for this site + material",IF($G553="","⚠ Status missing",IF(AND($G553="Scheduled",$A553&lt;=AsOfDate),"⚠ Scheduled date reached – mark Received or re-date",IF(AND($G553="Received",$A553&gt;AsOfDate),"Future-dated – added on its date",IF(AND($G553="Received",$A553&lt;SUMIFS(CI_Count,CI_Site,$B553,CI_Mat,$C553)),"Before count date – already in the count","OK"))))))))</f>
        <v/>
      </c>
    </row>
    <row r="554" customFormat="false" ht="15" hidden="false" customHeight="false" outlineLevel="0" collapsed="false">
      <c r="A554" s="65"/>
      <c r="B554" s="63"/>
      <c r="C554" s="70"/>
      <c r="D554" s="16" t="str">
        <f aca="false">IF($C554="","",IFERROR(INDEX(Mat_Short,MATCH($C554,Mat_Code,0)),"⚠ Unknown code"))</f>
        <v/>
      </c>
      <c r="E554" s="66"/>
      <c r="F554" s="64" t="str">
        <f aca="false">IF($C554="","",IFERROR(INDEX(Mat_Unit,MATCH($C554,Mat_Code,0)),""))</f>
        <v/>
      </c>
      <c r="G554" s="70"/>
      <c r="H554" s="63"/>
      <c r="I554" s="63"/>
      <c r="J554" s="63"/>
      <c r="K554" s="16" t="str">
        <f aca="false">IF(AND($A554="",$B554="",$C554="",$E554=""),"",IF($A554="","⚠ Date missing",IF(OR($B554="",$C554=""),"⚠ Site / material missing",IF(COUNTIFS(CI_Site,$B554,CI_Mat,$C554)=0,"⚠ No Current Inventory row for this site + material",IF($G554="","⚠ Status missing",IF(AND($G554="Scheduled",$A554&lt;=AsOfDate),"⚠ Scheduled date reached – mark Received or re-date",IF(AND($G554="Received",$A554&gt;AsOfDate),"Future-dated – added on its date",IF(AND($G554="Received",$A554&lt;SUMIFS(CI_Count,CI_Site,$B554,CI_Mat,$C554)),"Before count date – already in the count","OK"))))))))</f>
        <v/>
      </c>
    </row>
    <row r="555" customFormat="false" ht="15" hidden="false" customHeight="false" outlineLevel="0" collapsed="false">
      <c r="A555" s="65"/>
      <c r="B555" s="63"/>
      <c r="C555" s="70"/>
      <c r="D555" s="16" t="str">
        <f aca="false">IF($C555="","",IFERROR(INDEX(Mat_Short,MATCH($C555,Mat_Code,0)),"⚠ Unknown code"))</f>
        <v/>
      </c>
      <c r="E555" s="66"/>
      <c r="F555" s="64" t="str">
        <f aca="false">IF($C555="","",IFERROR(INDEX(Mat_Unit,MATCH($C555,Mat_Code,0)),""))</f>
        <v/>
      </c>
      <c r="G555" s="70"/>
      <c r="H555" s="63"/>
      <c r="I555" s="63"/>
      <c r="J555" s="63"/>
      <c r="K555" s="16" t="str">
        <f aca="false">IF(AND($A555="",$B555="",$C555="",$E555=""),"",IF($A555="","⚠ Date missing",IF(OR($B555="",$C555=""),"⚠ Site / material missing",IF(COUNTIFS(CI_Site,$B555,CI_Mat,$C555)=0,"⚠ No Current Inventory row for this site + material",IF($G555="","⚠ Status missing",IF(AND($G555="Scheduled",$A555&lt;=AsOfDate),"⚠ Scheduled date reached – mark Received or re-date",IF(AND($G555="Received",$A555&gt;AsOfDate),"Future-dated – added on its date",IF(AND($G555="Received",$A555&lt;SUMIFS(CI_Count,CI_Site,$B555,CI_Mat,$C555)),"Before count date – already in the count","OK"))))))))</f>
        <v/>
      </c>
    </row>
    <row r="556" customFormat="false" ht="15" hidden="false" customHeight="false" outlineLevel="0" collapsed="false">
      <c r="A556" s="65"/>
      <c r="B556" s="63"/>
      <c r="C556" s="70"/>
      <c r="D556" s="16" t="str">
        <f aca="false">IF($C556="","",IFERROR(INDEX(Mat_Short,MATCH($C556,Mat_Code,0)),"⚠ Unknown code"))</f>
        <v/>
      </c>
      <c r="E556" s="66"/>
      <c r="F556" s="64" t="str">
        <f aca="false">IF($C556="","",IFERROR(INDEX(Mat_Unit,MATCH($C556,Mat_Code,0)),""))</f>
        <v/>
      </c>
      <c r="G556" s="70"/>
      <c r="H556" s="63"/>
      <c r="I556" s="63"/>
      <c r="J556" s="63"/>
      <c r="K556" s="16" t="str">
        <f aca="false">IF(AND($A556="",$B556="",$C556="",$E556=""),"",IF($A556="","⚠ Date missing",IF(OR($B556="",$C556=""),"⚠ Site / material missing",IF(COUNTIFS(CI_Site,$B556,CI_Mat,$C556)=0,"⚠ No Current Inventory row for this site + material",IF($G556="","⚠ Status missing",IF(AND($G556="Scheduled",$A556&lt;=AsOfDate),"⚠ Scheduled date reached – mark Received or re-date",IF(AND($G556="Received",$A556&gt;AsOfDate),"Future-dated – added on its date",IF(AND($G556="Received",$A556&lt;SUMIFS(CI_Count,CI_Site,$B556,CI_Mat,$C556)),"Before count date – already in the count","OK"))))))))</f>
        <v/>
      </c>
    </row>
    <row r="557" customFormat="false" ht="15" hidden="false" customHeight="false" outlineLevel="0" collapsed="false">
      <c r="A557" s="65"/>
      <c r="B557" s="63"/>
      <c r="C557" s="70"/>
      <c r="D557" s="16" t="str">
        <f aca="false">IF($C557="","",IFERROR(INDEX(Mat_Short,MATCH($C557,Mat_Code,0)),"⚠ Unknown code"))</f>
        <v/>
      </c>
      <c r="E557" s="66"/>
      <c r="F557" s="64" t="str">
        <f aca="false">IF($C557="","",IFERROR(INDEX(Mat_Unit,MATCH($C557,Mat_Code,0)),""))</f>
        <v/>
      </c>
      <c r="G557" s="70"/>
      <c r="H557" s="63"/>
      <c r="I557" s="63"/>
      <c r="J557" s="63"/>
      <c r="K557" s="16" t="str">
        <f aca="false">IF(AND($A557="",$B557="",$C557="",$E557=""),"",IF($A557="","⚠ Date missing",IF(OR($B557="",$C557=""),"⚠ Site / material missing",IF(COUNTIFS(CI_Site,$B557,CI_Mat,$C557)=0,"⚠ No Current Inventory row for this site + material",IF($G557="","⚠ Status missing",IF(AND($G557="Scheduled",$A557&lt;=AsOfDate),"⚠ Scheduled date reached – mark Received or re-date",IF(AND($G557="Received",$A557&gt;AsOfDate),"Future-dated – added on its date",IF(AND($G557="Received",$A557&lt;SUMIFS(CI_Count,CI_Site,$B557,CI_Mat,$C557)),"Before count date – already in the count","OK"))))))))</f>
        <v/>
      </c>
    </row>
    <row r="558" customFormat="false" ht="15" hidden="false" customHeight="false" outlineLevel="0" collapsed="false">
      <c r="A558" s="65"/>
      <c r="B558" s="63"/>
      <c r="C558" s="70"/>
      <c r="D558" s="16" t="str">
        <f aca="false">IF($C558="","",IFERROR(INDEX(Mat_Short,MATCH($C558,Mat_Code,0)),"⚠ Unknown code"))</f>
        <v/>
      </c>
      <c r="E558" s="66"/>
      <c r="F558" s="64" t="str">
        <f aca="false">IF($C558="","",IFERROR(INDEX(Mat_Unit,MATCH($C558,Mat_Code,0)),""))</f>
        <v/>
      </c>
      <c r="G558" s="70"/>
      <c r="H558" s="63"/>
      <c r="I558" s="63"/>
      <c r="J558" s="63"/>
      <c r="K558" s="16" t="str">
        <f aca="false">IF(AND($A558="",$B558="",$C558="",$E558=""),"",IF($A558="","⚠ Date missing",IF(OR($B558="",$C558=""),"⚠ Site / material missing",IF(COUNTIFS(CI_Site,$B558,CI_Mat,$C558)=0,"⚠ No Current Inventory row for this site + material",IF($G558="","⚠ Status missing",IF(AND($G558="Scheduled",$A558&lt;=AsOfDate),"⚠ Scheduled date reached – mark Received or re-date",IF(AND($G558="Received",$A558&gt;AsOfDate),"Future-dated – added on its date",IF(AND($G558="Received",$A558&lt;SUMIFS(CI_Count,CI_Site,$B558,CI_Mat,$C558)),"Before count date – already in the count","OK"))))))))</f>
        <v/>
      </c>
    </row>
    <row r="559" customFormat="false" ht="15" hidden="false" customHeight="false" outlineLevel="0" collapsed="false">
      <c r="A559" s="65"/>
      <c r="B559" s="63"/>
      <c r="C559" s="70"/>
      <c r="D559" s="16" t="str">
        <f aca="false">IF($C559="","",IFERROR(INDEX(Mat_Short,MATCH($C559,Mat_Code,0)),"⚠ Unknown code"))</f>
        <v/>
      </c>
      <c r="E559" s="66"/>
      <c r="F559" s="64" t="str">
        <f aca="false">IF($C559="","",IFERROR(INDEX(Mat_Unit,MATCH($C559,Mat_Code,0)),""))</f>
        <v/>
      </c>
      <c r="G559" s="70"/>
      <c r="H559" s="63"/>
      <c r="I559" s="63"/>
      <c r="J559" s="63"/>
      <c r="K559" s="16" t="str">
        <f aca="false">IF(AND($A559="",$B559="",$C559="",$E559=""),"",IF($A559="","⚠ Date missing",IF(OR($B559="",$C559=""),"⚠ Site / material missing",IF(COUNTIFS(CI_Site,$B559,CI_Mat,$C559)=0,"⚠ No Current Inventory row for this site + material",IF($G559="","⚠ Status missing",IF(AND($G559="Scheduled",$A559&lt;=AsOfDate),"⚠ Scheduled date reached – mark Received or re-date",IF(AND($G559="Received",$A559&gt;AsOfDate),"Future-dated – added on its date",IF(AND($G559="Received",$A559&lt;SUMIFS(CI_Count,CI_Site,$B559,CI_Mat,$C559)),"Before count date – already in the count","OK"))))))))</f>
        <v/>
      </c>
    </row>
    <row r="560" customFormat="false" ht="15" hidden="false" customHeight="false" outlineLevel="0" collapsed="false">
      <c r="A560" s="65"/>
      <c r="B560" s="63"/>
      <c r="C560" s="70"/>
      <c r="D560" s="16" t="str">
        <f aca="false">IF($C560="","",IFERROR(INDEX(Mat_Short,MATCH($C560,Mat_Code,0)),"⚠ Unknown code"))</f>
        <v/>
      </c>
      <c r="E560" s="66"/>
      <c r="F560" s="64" t="str">
        <f aca="false">IF($C560="","",IFERROR(INDEX(Mat_Unit,MATCH($C560,Mat_Code,0)),""))</f>
        <v/>
      </c>
      <c r="G560" s="70"/>
      <c r="H560" s="63"/>
      <c r="I560" s="63"/>
      <c r="J560" s="63"/>
      <c r="K560" s="16" t="str">
        <f aca="false">IF(AND($A560="",$B560="",$C560="",$E560=""),"",IF($A560="","⚠ Date missing",IF(OR($B560="",$C560=""),"⚠ Site / material missing",IF(COUNTIFS(CI_Site,$B560,CI_Mat,$C560)=0,"⚠ No Current Inventory row for this site + material",IF($G560="","⚠ Status missing",IF(AND($G560="Scheduled",$A560&lt;=AsOfDate),"⚠ Scheduled date reached – mark Received or re-date",IF(AND($G560="Received",$A560&gt;AsOfDate),"Future-dated – added on its date",IF(AND($G560="Received",$A560&lt;SUMIFS(CI_Count,CI_Site,$B560,CI_Mat,$C560)),"Before count date – already in the count","OK"))))))))</f>
        <v/>
      </c>
    </row>
    <row r="561" customFormat="false" ht="15" hidden="false" customHeight="false" outlineLevel="0" collapsed="false">
      <c r="A561" s="65"/>
      <c r="B561" s="63"/>
      <c r="C561" s="70"/>
      <c r="D561" s="16" t="str">
        <f aca="false">IF($C561="","",IFERROR(INDEX(Mat_Short,MATCH($C561,Mat_Code,0)),"⚠ Unknown code"))</f>
        <v/>
      </c>
      <c r="E561" s="66"/>
      <c r="F561" s="64" t="str">
        <f aca="false">IF($C561="","",IFERROR(INDEX(Mat_Unit,MATCH($C561,Mat_Code,0)),""))</f>
        <v/>
      </c>
      <c r="G561" s="70"/>
      <c r="H561" s="63"/>
      <c r="I561" s="63"/>
      <c r="J561" s="63"/>
      <c r="K561" s="16" t="str">
        <f aca="false">IF(AND($A561="",$B561="",$C561="",$E561=""),"",IF($A561="","⚠ Date missing",IF(OR($B561="",$C561=""),"⚠ Site / material missing",IF(COUNTIFS(CI_Site,$B561,CI_Mat,$C561)=0,"⚠ No Current Inventory row for this site + material",IF($G561="","⚠ Status missing",IF(AND($G561="Scheduled",$A561&lt;=AsOfDate),"⚠ Scheduled date reached – mark Received or re-date",IF(AND($G561="Received",$A561&gt;AsOfDate),"Future-dated – added on its date",IF(AND($G561="Received",$A561&lt;SUMIFS(CI_Count,CI_Site,$B561,CI_Mat,$C561)),"Before count date – already in the count","OK"))))))))</f>
        <v/>
      </c>
    </row>
    <row r="562" customFormat="false" ht="15" hidden="false" customHeight="false" outlineLevel="0" collapsed="false">
      <c r="A562" s="65"/>
      <c r="B562" s="63"/>
      <c r="C562" s="70"/>
      <c r="D562" s="16" t="str">
        <f aca="false">IF($C562="","",IFERROR(INDEX(Mat_Short,MATCH($C562,Mat_Code,0)),"⚠ Unknown code"))</f>
        <v/>
      </c>
      <c r="E562" s="66"/>
      <c r="F562" s="64" t="str">
        <f aca="false">IF($C562="","",IFERROR(INDEX(Mat_Unit,MATCH($C562,Mat_Code,0)),""))</f>
        <v/>
      </c>
      <c r="G562" s="70"/>
      <c r="H562" s="63"/>
      <c r="I562" s="63"/>
      <c r="J562" s="63"/>
      <c r="K562" s="16" t="str">
        <f aca="false">IF(AND($A562="",$B562="",$C562="",$E562=""),"",IF($A562="","⚠ Date missing",IF(OR($B562="",$C562=""),"⚠ Site / material missing",IF(COUNTIFS(CI_Site,$B562,CI_Mat,$C562)=0,"⚠ No Current Inventory row for this site + material",IF($G562="","⚠ Status missing",IF(AND($G562="Scheduled",$A562&lt;=AsOfDate),"⚠ Scheduled date reached – mark Received or re-date",IF(AND($G562="Received",$A562&gt;AsOfDate),"Future-dated – added on its date",IF(AND($G562="Received",$A562&lt;SUMIFS(CI_Count,CI_Site,$B562,CI_Mat,$C562)),"Before count date – already in the count","OK"))))))))</f>
        <v/>
      </c>
    </row>
    <row r="563" customFormat="false" ht="15" hidden="false" customHeight="false" outlineLevel="0" collapsed="false">
      <c r="A563" s="65"/>
      <c r="B563" s="63"/>
      <c r="C563" s="70"/>
      <c r="D563" s="16" t="str">
        <f aca="false">IF($C563="","",IFERROR(INDEX(Mat_Short,MATCH($C563,Mat_Code,0)),"⚠ Unknown code"))</f>
        <v/>
      </c>
      <c r="E563" s="66"/>
      <c r="F563" s="64" t="str">
        <f aca="false">IF($C563="","",IFERROR(INDEX(Mat_Unit,MATCH($C563,Mat_Code,0)),""))</f>
        <v/>
      </c>
      <c r="G563" s="70"/>
      <c r="H563" s="63"/>
      <c r="I563" s="63"/>
      <c r="J563" s="63"/>
      <c r="K563" s="16" t="str">
        <f aca="false">IF(AND($A563="",$B563="",$C563="",$E563=""),"",IF($A563="","⚠ Date missing",IF(OR($B563="",$C563=""),"⚠ Site / material missing",IF(COUNTIFS(CI_Site,$B563,CI_Mat,$C563)=0,"⚠ No Current Inventory row for this site + material",IF($G563="","⚠ Status missing",IF(AND($G563="Scheduled",$A563&lt;=AsOfDate),"⚠ Scheduled date reached – mark Received or re-date",IF(AND($G563="Received",$A563&gt;AsOfDate),"Future-dated – added on its date",IF(AND($G563="Received",$A563&lt;SUMIFS(CI_Count,CI_Site,$B563,CI_Mat,$C563)),"Before count date – already in the count","OK"))))))))</f>
        <v/>
      </c>
    </row>
    <row r="564" customFormat="false" ht="15" hidden="false" customHeight="false" outlineLevel="0" collapsed="false">
      <c r="A564" s="65"/>
      <c r="B564" s="63"/>
      <c r="C564" s="70"/>
      <c r="D564" s="16" t="str">
        <f aca="false">IF($C564="","",IFERROR(INDEX(Mat_Short,MATCH($C564,Mat_Code,0)),"⚠ Unknown code"))</f>
        <v/>
      </c>
      <c r="E564" s="66"/>
      <c r="F564" s="64" t="str">
        <f aca="false">IF($C564="","",IFERROR(INDEX(Mat_Unit,MATCH($C564,Mat_Code,0)),""))</f>
        <v/>
      </c>
      <c r="G564" s="70"/>
      <c r="H564" s="63"/>
      <c r="I564" s="63"/>
      <c r="J564" s="63"/>
      <c r="K564" s="16" t="str">
        <f aca="false">IF(AND($A564="",$B564="",$C564="",$E564=""),"",IF($A564="","⚠ Date missing",IF(OR($B564="",$C564=""),"⚠ Site / material missing",IF(COUNTIFS(CI_Site,$B564,CI_Mat,$C564)=0,"⚠ No Current Inventory row for this site + material",IF($G564="","⚠ Status missing",IF(AND($G564="Scheduled",$A564&lt;=AsOfDate),"⚠ Scheduled date reached – mark Received or re-date",IF(AND($G564="Received",$A564&gt;AsOfDate),"Future-dated – added on its date",IF(AND($G564="Received",$A564&lt;SUMIFS(CI_Count,CI_Site,$B564,CI_Mat,$C564)),"Before count date – already in the count","OK"))))))))</f>
        <v/>
      </c>
    </row>
    <row r="565" customFormat="false" ht="15" hidden="false" customHeight="false" outlineLevel="0" collapsed="false">
      <c r="A565" s="65"/>
      <c r="B565" s="63"/>
      <c r="C565" s="70"/>
      <c r="D565" s="16" t="str">
        <f aca="false">IF($C565="","",IFERROR(INDEX(Mat_Short,MATCH($C565,Mat_Code,0)),"⚠ Unknown code"))</f>
        <v/>
      </c>
      <c r="E565" s="66"/>
      <c r="F565" s="64" t="str">
        <f aca="false">IF($C565="","",IFERROR(INDEX(Mat_Unit,MATCH($C565,Mat_Code,0)),""))</f>
        <v/>
      </c>
      <c r="G565" s="70"/>
      <c r="H565" s="63"/>
      <c r="I565" s="63"/>
      <c r="J565" s="63"/>
      <c r="K565" s="16" t="str">
        <f aca="false">IF(AND($A565="",$B565="",$C565="",$E565=""),"",IF($A565="","⚠ Date missing",IF(OR($B565="",$C565=""),"⚠ Site / material missing",IF(COUNTIFS(CI_Site,$B565,CI_Mat,$C565)=0,"⚠ No Current Inventory row for this site + material",IF($G565="","⚠ Status missing",IF(AND($G565="Scheduled",$A565&lt;=AsOfDate),"⚠ Scheduled date reached – mark Received or re-date",IF(AND($G565="Received",$A565&gt;AsOfDate),"Future-dated – added on its date",IF(AND($G565="Received",$A565&lt;SUMIFS(CI_Count,CI_Site,$B565,CI_Mat,$C565)),"Before count date – already in the count","OK"))))))))</f>
        <v/>
      </c>
    </row>
    <row r="566" customFormat="false" ht="15" hidden="false" customHeight="false" outlineLevel="0" collapsed="false">
      <c r="A566" s="65"/>
      <c r="B566" s="63"/>
      <c r="C566" s="70"/>
      <c r="D566" s="16" t="str">
        <f aca="false">IF($C566="","",IFERROR(INDEX(Mat_Short,MATCH($C566,Mat_Code,0)),"⚠ Unknown code"))</f>
        <v/>
      </c>
      <c r="E566" s="66"/>
      <c r="F566" s="64" t="str">
        <f aca="false">IF($C566="","",IFERROR(INDEX(Mat_Unit,MATCH($C566,Mat_Code,0)),""))</f>
        <v/>
      </c>
      <c r="G566" s="70"/>
      <c r="H566" s="63"/>
      <c r="I566" s="63"/>
      <c r="J566" s="63"/>
      <c r="K566" s="16" t="str">
        <f aca="false">IF(AND($A566="",$B566="",$C566="",$E566=""),"",IF($A566="","⚠ Date missing",IF(OR($B566="",$C566=""),"⚠ Site / material missing",IF(COUNTIFS(CI_Site,$B566,CI_Mat,$C566)=0,"⚠ No Current Inventory row for this site + material",IF($G566="","⚠ Status missing",IF(AND($G566="Scheduled",$A566&lt;=AsOfDate),"⚠ Scheduled date reached – mark Received or re-date",IF(AND($G566="Received",$A566&gt;AsOfDate),"Future-dated – added on its date",IF(AND($G566="Received",$A566&lt;SUMIFS(CI_Count,CI_Site,$B566,CI_Mat,$C566)),"Before count date – already in the count","OK"))))))))</f>
        <v/>
      </c>
    </row>
    <row r="567" customFormat="false" ht="15" hidden="false" customHeight="false" outlineLevel="0" collapsed="false">
      <c r="A567" s="65"/>
      <c r="B567" s="63"/>
      <c r="C567" s="70"/>
      <c r="D567" s="16" t="str">
        <f aca="false">IF($C567="","",IFERROR(INDEX(Mat_Short,MATCH($C567,Mat_Code,0)),"⚠ Unknown code"))</f>
        <v/>
      </c>
      <c r="E567" s="66"/>
      <c r="F567" s="64" t="str">
        <f aca="false">IF($C567="","",IFERROR(INDEX(Mat_Unit,MATCH($C567,Mat_Code,0)),""))</f>
        <v/>
      </c>
      <c r="G567" s="70"/>
      <c r="H567" s="63"/>
      <c r="I567" s="63"/>
      <c r="J567" s="63"/>
      <c r="K567" s="16" t="str">
        <f aca="false">IF(AND($A567="",$B567="",$C567="",$E567=""),"",IF($A567="","⚠ Date missing",IF(OR($B567="",$C567=""),"⚠ Site / material missing",IF(COUNTIFS(CI_Site,$B567,CI_Mat,$C567)=0,"⚠ No Current Inventory row for this site + material",IF($G567="","⚠ Status missing",IF(AND($G567="Scheduled",$A567&lt;=AsOfDate),"⚠ Scheduled date reached – mark Received or re-date",IF(AND($G567="Received",$A567&gt;AsOfDate),"Future-dated – added on its date",IF(AND($G567="Received",$A567&lt;SUMIFS(CI_Count,CI_Site,$B567,CI_Mat,$C567)),"Before count date – already in the count","OK"))))))))</f>
        <v/>
      </c>
    </row>
    <row r="568" customFormat="false" ht="15" hidden="false" customHeight="false" outlineLevel="0" collapsed="false">
      <c r="A568" s="65"/>
      <c r="B568" s="63"/>
      <c r="C568" s="70"/>
      <c r="D568" s="16" t="str">
        <f aca="false">IF($C568="","",IFERROR(INDEX(Mat_Short,MATCH($C568,Mat_Code,0)),"⚠ Unknown code"))</f>
        <v/>
      </c>
      <c r="E568" s="66"/>
      <c r="F568" s="64" t="str">
        <f aca="false">IF($C568="","",IFERROR(INDEX(Mat_Unit,MATCH($C568,Mat_Code,0)),""))</f>
        <v/>
      </c>
      <c r="G568" s="70"/>
      <c r="H568" s="63"/>
      <c r="I568" s="63"/>
      <c r="J568" s="63"/>
      <c r="K568" s="16" t="str">
        <f aca="false">IF(AND($A568="",$B568="",$C568="",$E568=""),"",IF($A568="","⚠ Date missing",IF(OR($B568="",$C568=""),"⚠ Site / material missing",IF(COUNTIFS(CI_Site,$B568,CI_Mat,$C568)=0,"⚠ No Current Inventory row for this site + material",IF($G568="","⚠ Status missing",IF(AND($G568="Scheduled",$A568&lt;=AsOfDate),"⚠ Scheduled date reached – mark Received or re-date",IF(AND($G568="Received",$A568&gt;AsOfDate),"Future-dated – added on its date",IF(AND($G568="Received",$A568&lt;SUMIFS(CI_Count,CI_Site,$B568,CI_Mat,$C568)),"Before count date – already in the count","OK"))))))))</f>
        <v/>
      </c>
    </row>
    <row r="569" customFormat="false" ht="15" hidden="false" customHeight="false" outlineLevel="0" collapsed="false">
      <c r="A569" s="65"/>
      <c r="B569" s="63"/>
      <c r="C569" s="70"/>
      <c r="D569" s="16" t="str">
        <f aca="false">IF($C569="","",IFERROR(INDEX(Mat_Short,MATCH($C569,Mat_Code,0)),"⚠ Unknown code"))</f>
        <v/>
      </c>
      <c r="E569" s="66"/>
      <c r="F569" s="64" t="str">
        <f aca="false">IF($C569="","",IFERROR(INDEX(Mat_Unit,MATCH($C569,Mat_Code,0)),""))</f>
        <v/>
      </c>
      <c r="G569" s="70"/>
      <c r="H569" s="63"/>
      <c r="I569" s="63"/>
      <c r="J569" s="63"/>
      <c r="K569" s="16" t="str">
        <f aca="false">IF(AND($A569="",$B569="",$C569="",$E569=""),"",IF($A569="","⚠ Date missing",IF(OR($B569="",$C569=""),"⚠ Site / material missing",IF(COUNTIFS(CI_Site,$B569,CI_Mat,$C569)=0,"⚠ No Current Inventory row for this site + material",IF($G569="","⚠ Status missing",IF(AND($G569="Scheduled",$A569&lt;=AsOfDate),"⚠ Scheduled date reached – mark Received or re-date",IF(AND($G569="Received",$A569&gt;AsOfDate),"Future-dated – added on its date",IF(AND($G569="Received",$A569&lt;SUMIFS(CI_Count,CI_Site,$B569,CI_Mat,$C569)),"Before count date – already in the count","OK"))))))))</f>
        <v/>
      </c>
    </row>
    <row r="570" customFormat="false" ht="15" hidden="false" customHeight="false" outlineLevel="0" collapsed="false">
      <c r="A570" s="65"/>
      <c r="B570" s="63"/>
      <c r="C570" s="70"/>
      <c r="D570" s="16" t="str">
        <f aca="false">IF($C570="","",IFERROR(INDEX(Mat_Short,MATCH($C570,Mat_Code,0)),"⚠ Unknown code"))</f>
        <v/>
      </c>
      <c r="E570" s="66"/>
      <c r="F570" s="64" t="str">
        <f aca="false">IF($C570="","",IFERROR(INDEX(Mat_Unit,MATCH($C570,Mat_Code,0)),""))</f>
        <v/>
      </c>
      <c r="G570" s="70"/>
      <c r="H570" s="63"/>
      <c r="I570" s="63"/>
      <c r="J570" s="63"/>
      <c r="K570" s="16" t="str">
        <f aca="false">IF(AND($A570="",$B570="",$C570="",$E570=""),"",IF($A570="","⚠ Date missing",IF(OR($B570="",$C570=""),"⚠ Site / material missing",IF(COUNTIFS(CI_Site,$B570,CI_Mat,$C570)=0,"⚠ No Current Inventory row for this site + material",IF($G570="","⚠ Status missing",IF(AND($G570="Scheduled",$A570&lt;=AsOfDate),"⚠ Scheduled date reached – mark Received or re-date",IF(AND($G570="Received",$A570&gt;AsOfDate),"Future-dated – added on its date",IF(AND($G570="Received",$A570&lt;SUMIFS(CI_Count,CI_Site,$B570,CI_Mat,$C570)),"Before count date – already in the count","OK"))))))))</f>
        <v/>
      </c>
    </row>
    <row r="571" customFormat="false" ht="15" hidden="false" customHeight="false" outlineLevel="0" collapsed="false">
      <c r="A571" s="65"/>
      <c r="B571" s="63"/>
      <c r="C571" s="70"/>
      <c r="D571" s="16" t="str">
        <f aca="false">IF($C571="","",IFERROR(INDEX(Mat_Short,MATCH($C571,Mat_Code,0)),"⚠ Unknown code"))</f>
        <v/>
      </c>
      <c r="E571" s="66"/>
      <c r="F571" s="64" t="str">
        <f aca="false">IF($C571="","",IFERROR(INDEX(Mat_Unit,MATCH($C571,Mat_Code,0)),""))</f>
        <v/>
      </c>
      <c r="G571" s="70"/>
      <c r="H571" s="63"/>
      <c r="I571" s="63"/>
      <c r="J571" s="63"/>
      <c r="K571" s="16" t="str">
        <f aca="false">IF(AND($A571="",$B571="",$C571="",$E571=""),"",IF($A571="","⚠ Date missing",IF(OR($B571="",$C571=""),"⚠ Site / material missing",IF(COUNTIFS(CI_Site,$B571,CI_Mat,$C571)=0,"⚠ No Current Inventory row for this site + material",IF($G571="","⚠ Status missing",IF(AND($G571="Scheduled",$A571&lt;=AsOfDate),"⚠ Scheduled date reached – mark Received or re-date",IF(AND($G571="Received",$A571&gt;AsOfDate),"Future-dated – added on its date",IF(AND($G571="Received",$A571&lt;SUMIFS(CI_Count,CI_Site,$B571,CI_Mat,$C571)),"Before count date – already in the count","OK"))))))))</f>
        <v/>
      </c>
    </row>
    <row r="572" customFormat="false" ht="15" hidden="false" customHeight="false" outlineLevel="0" collapsed="false">
      <c r="A572" s="65"/>
      <c r="B572" s="63"/>
      <c r="C572" s="70"/>
      <c r="D572" s="16" t="str">
        <f aca="false">IF($C572="","",IFERROR(INDEX(Mat_Short,MATCH($C572,Mat_Code,0)),"⚠ Unknown code"))</f>
        <v/>
      </c>
      <c r="E572" s="66"/>
      <c r="F572" s="64" t="str">
        <f aca="false">IF($C572="","",IFERROR(INDEX(Mat_Unit,MATCH($C572,Mat_Code,0)),""))</f>
        <v/>
      </c>
      <c r="G572" s="70"/>
      <c r="H572" s="63"/>
      <c r="I572" s="63"/>
      <c r="J572" s="63"/>
      <c r="K572" s="16" t="str">
        <f aca="false">IF(AND($A572="",$B572="",$C572="",$E572=""),"",IF($A572="","⚠ Date missing",IF(OR($B572="",$C572=""),"⚠ Site / material missing",IF(COUNTIFS(CI_Site,$B572,CI_Mat,$C572)=0,"⚠ No Current Inventory row for this site + material",IF($G572="","⚠ Status missing",IF(AND($G572="Scheduled",$A572&lt;=AsOfDate),"⚠ Scheduled date reached – mark Received or re-date",IF(AND($G572="Received",$A572&gt;AsOfDate),"Future-dated – added on its date",IF(AND($G572="Received",$A572&lt;SUMIFS(CI_Count,CI_Site,$B572,CI_Mat,$C572)),"Before count date – already in the count","OK"))))))))</f>
        <v/>
      </c>
    </row>
    <row r="573" customFormat="false" ht="15" hidden="false" customHeight="false" outlineLevel="0" collapsed="false">
      <c r="A573" s="65"/>
      <c r="B573" s="63"/>
      <c r="C573" s="70"/>
      <c r="D573" s="16" t="str">
        <f aca="false">IF($C573="","",IFERROR(INDEX(Mat_Short,MATCH($C573,Mat_Code,0)),"⚠ Unknown code"))</f>
        <v/>
      </c>
      <c r="E573" s="66"/>
      <c r="F573" s="64" t="str">
        <f aca="false">IF($C573="","",IFERROR(INDEX(Mat_Unit,MATCH($C573,Mat_Code,0)),""))</f>
        <v/>
      </c>
      <c r="G573" s="70"/>
      <c r="H573" s="63"/>
      <c r="I573" s="63"/>
      <c r="J573" s="63"/>
      <c r="K573" s="16" t="str">
        <f aca="false">IF(AND($A573="",$B573="",$C573="",$E573=""),"",IF($A573="","⚠ Date missing",IF(OR($B573="",$C573=""),"⚠ Site / material missing",IF(COUNTIFS(CI_Site,$B573,CI_Mat,$C573)=0,"⚠ No Current Inventory row for this site + material",IF($G573="","⚠ Status missing",IF(AND($G573="Scheduled",$A573&lt;=AsOfDate),"⚠ Scheduled date reached – mark Received or re-date",IF(AND($G573="Received",$A573&gt;AsOfDate),"Future-dated – added on its date",IF(AND($G573="Received",$A573&lt;SUMIFS(CI_Count,CI_Site,$B573,CI_Mat,$C573)),"Before count date – already in the count","OK"))))))))</f>
        <v/>
      </c>
    </row>
    <row r="574" customFormat="false" ht="15" hidden="false" customHeight="false" outlineLevel="0" collapsed="false">
      <c r="A574" s="65"/>
      <c r="B574" s="63"/>
      <c r="C574" s="70"/>
      <c r="D574" s="16" t="str">
        <f aca="false">IF($C574="","",IFERROR(INDEX(Mat_Short,MATCH($C574,Mat_Code,0)),"⚠ Unknown code"))</f>
        <v/>
      </c>
      <c r="E574" s="66"/>
      <c r="F574" s="64" t="str">
        <f aca="false">IF($C574="","",IFERROR(INDEX(Mat_Unit,MATCH($C574,Mat_Code,0)),""))</f>
        <v/>
      </c>
      <c r="G574" s="70"/>
      <c r="H574" s="63"/>
      <c r="I574" s="63"/>
      <c r="J574" s="63"/>
      <c r="K574" s="16" t="str">
        <f aca="false">IF(AND($A574="",$B574="",$C574="",$E574=""),"",IF($A574="","⚠ Date missing",IF(OR($B574="",$C574=""),"⚠ Site / material missing",IF(COUNTIFS(CI_Site,$B574,CI_Mat,$C574)=0,"⚠ No Current Inventory row for this site + material",IF($G574="","⚠ Status missing",IF(AND($G574="Scheduled",$A574&lt;=AsOfDate),"⚠ Scheduled date reached – mark Received or re-date",IF(AND($G574="Received",$A574&gt;AsOfDate),"Future-dated – added on its date",IF(AND($G574="Received",$A574&lt;SUMIFS(CI_Count,CI_Site,$B574,CI_Mat,$C574)),"Before count date – already in the count","OK"))))))))</f>
        <v/>
      </c>
    </row>
    <row r="575" customFormat="false" ht="15" hidden="false" customHeight="false" outlineLevel="0" collapsed="false">
      <c r="A575" s="65"/>
      <c r="B575" s="63"/>
      <c r="C575" s="70"/>
      <c r="D575" s="16" t="str">
        <f aca="false">IF($C575="","",IFERROR(INDEX(Mat_Short,MATCH($C575,Mat_Code,0)),"⚠ Unknown code"))</f>
        <v/>
      </c>
      <c r="E575" s="66"/>
      <c r="F575" s="64" t="str">
        <f aca="false">IF($C575="","",IFERROR(INDEX(Mat_Unit,MATCH($C575,Mat_Code,0)),""))</f>
        <v/>
      </c>
      <c r="G575" s="70"/>
      <c r="H575" s="63"/>
      <c r="I575" s="63"/>
      <c r="J575" s="63"/>
      <c r="K575" s="16" t="str">
        <f aca="false">IF(AND($A575="",$B575="",$C575="",$E575=""),"",IF($A575="","⚠ Date missing",IF(OR($B575="",$C575=""),"⚠ Site / material missing",IF(COUNTIFS(CI_Site,$B575,CI_Mat,$C575)=0,"⚠ No Current Inventory row for this site + material",IF($G575="","⚠ Status missing",IF(AND($G575="Scheduled",$A575&lt;=AsOfDate),"⚠ Scheduled date reached – mark Received or re-date",IF(AND($G575="Received",$A575&gt;AsOfDate),"Future-dated – added on its date",IF(AND($G575="Received",$A575&lt;SUMIFS(CI_Count,CI_Site,$B575,CI_Mat,$C575)),"Before count date – already in the count","OK"))))))))</f>
        <v/>
      </c>
    </row>
    <row r="576" customFormat="false" ht="15" hidden="false" customHeight="false" outlineLevel="0" collapsed="false">
      <c r="A576" s="65"/>
      <c r="B576" s="63"/>
      <c r="C576" s="70"/>
      <c r="D576" s="16" t="str">
        <f aca="false">IF($C576="","",IFERROR(INDEX(Mat_Short,MATCH($C576,Mat_Code,0)),"⚠ Unknown code"))</f>
        <v/>
      </c>
      <c r="E576" s="66"/>
      <c r="F576" s="64" t="str">
        <f aca="false">IF($C576="","",IFERROR(INDEX(Mat_Unit,MATCH($C576,Mat_Code,0)),""))</f>
        <v/>
      </c>
      <c r="G576" s="70"/>
      <c r="H576" s="63"/>
      <c r="I576" s="63"/>
      <c r="J576" s="63"/>
      <c r="K576" s="16" t="str">
        <f aca="false">IF(AND($A576="",$B576="",$C576="",$E576=""),"",IF($A576="","⚠ Date missing",IF(OR($B576="",$C576=""),"⚠ Site / material missing",IF(COUNTIFS(CI_Site,$B576,CI_Mat,$C576)=0,"⚠ No Current Inventory row for this site + material",IF($G576="","⚠ Status missing",IF(AND($G576="Scheduled",$A576&lt;=AsOfDate),"⚠ Scheduled date reached – mark Received or re-date",IF(AND($G576="Received",$A576&gt;AsOfDate),"Future-dated – added on its date",IF(AND($G576="Received",$A576&lt;SUMIFS(CI_Count,CI_Site,$B576,CI_Mat,$C576)),"Before count date – already in the count","OK"))))))))</f>
        <v/>
      </c>
    </row>
    <row r="577" customFormat="false" ht="15" hidden="false" customHeight="false" outlineLevel="0" collapsed="false">
      <c r="A577" s="65"/>
      <c r="B577" s="63"/>
      <c r="C577" s="70"/>
      <c r="D577" s="16" t="str">
        <f aca="false">IF($C577="","",IFERROR(INDEX(Mat_Short,MATCH($C577,Mat_Code,0)),"⚠ Unknown code"))</f>
        <v/>
      </c>
      <c r="E577" s="66"/>
      <c r="F577" s="64" t="str">
        <f aca="false">IF($C577="","",IFERROR(INDEX(Mat_Unit,MATCH($C577,Mat_Code,0)),""))</f>
        <v/>
      </c>
      <c r="G577" s="70"/>
      <c r="H577" s="63"/>
      <c r="I577" s="63"/>
      <c r="J577" s="63"/>
      <c r="K577" s="16" t="str">
        <f aca="false">IF(AND($A577="",$B577="",$C577="",$E577=""),"",IF($A577="","⚠ Date missing",IF(OR($B577="",$C577=""),"⚠ Site / material missing",IF(COUNTIFS(CI_Site,$B577,CI_Mat,$C577)=0,"⚠ No Current Inventory row for this site + material",IF($G577="","⚠ Status missing",IF(AND($G577="Scheduled",$A577&lt;=AsOfDate),"⚠ Scheduled date reached – mark Received or re-date",IF(AND($G577="Received",$A577&gt;AsOfDate),"Future-dated – added on its date",IF(AND($G577="Received",$A577&lt;SUMIFS(CI_Count,CI_Site,$B577,CI_Mat,$C577)),"Before count date – already in the count","OK"))))))))</f>
        <v/>
      </c>
    </row>
    <row r="578" customFormat="false" ht="15" hidden="false" customHeight="false" outlineLevel="0" collapsed="false">
      <c r="A578" s="65"/>
      <c r="B578" s="63"/>
      <c r="C578" s="70"/>
      <c r="D578" s="16" t="str">
        <f aca="false">IF($C578="","",IFERROR(INDEX(Mat_Short,MATCH($C578,Mat_Code,0)),"⚠ Unknown code"))</f>
        <v/>
      </c>
      <c r="E578" s="66"/>
      <c r="F578" s="64" t="str">
        <f aca="false">IF($C578="","",IFERROR(INDEX(Mat_Unit,MATCH($C578,Mat_Code,0)),""))</f>
        <v/>
      </c>
      <c r="G578" s="70"/>
      <c r="H578" s="63"/>
      <c r="I578" s="63"/>
      <c r="J578" s="63"/>
      <c r="K578" s="16" t="str">
        <f aca="false">IF(AND($A578="",$B578="",$C578="",$E578=""),"",IF($A578="","⚠ Date missing",IF(OR($B578="",$C578=""),"⚠ Site / material missing",IF(COUNTIFS(CI_Site,$B578,CI_Mat,$C578)=0,"⚠ No Current Inventory row for this site + material",IF($G578="","⚠ Status missing",IF(AND($G578="Scheduled",$A578&lt;=AsOfDate),"⚠ Scheduled date reached – mark Received or re-date",IF(AND($G578="Received",$A578&gt;AsOfDate),"Future-dated – added on its date",IF(AND($G578="Received",$A578&lt;SUMIFS(CI_Count,CI_Site,$B578,CI_Mat,$C578)),"Before count date – already in the count","OK"))))))))</f>
        <v/>
      </c>
    </row>
    <row r="579" customFormat="false" ht="15" hidden="false" customHeight="false" outlineLevel="0" collapsed="false">
      <c r="A579" s="65"/>
      <c r="B579" s="63"/>
      <c r="C579" s="70"/>
      <c r="D579" s="16" t="str">
        <f aca="false">IF($C579="","",IFERROR(INDEX(Mat_Short,MATCH($C579,Mat_Code,0)),"⚠ Unknown code"))</f>
        <v/>
      </c>
      <c r="E579" s="66"/>
      <c r="F579" s="64" t="str">
        <f aca="false">IF($C579="","",IFERROR(INDEX(Mat_Unit,MATCH($C579,Mat_Code,0)),""))</f>
        <v/>
      </c>
      <c r="G579" s="70"/>
      <c r="H579" s="63"/>
      <c r="I579" s="63"/>
      <c r="J579" s="63"/>
      <c r="K579" s="16" t="str">
        <f aca="false">IF(AND($A579="",$B579="",$C579="",$E579=""),"",IF($A579="","⚠ Date missing",IF(OR($B579="",$C579=""),"⚠ Site / material missing",IF(COUNTIFS(CI_Site,$B579,CI_Mat,$C579)=0,"⚠ No Current Inventory row for this site + material",IF($G579="","⚠ Status missing",IF(AND($G579="Scheduled",$A579&lt;=AsOfDate),"⚠ Scheduled date reached – mark Received or re-date",IF(AND($G579="Received",$A579&gt;AsOfDate),"Future-dated – added on its date",IF(AND($G579="Received",$A579&lt;SUMIFS(CI_Count,CI_Site,$B579,CI_Mat,$C579)),"Before count date – already in the count","OK"))))))))</f>
        <v/>
      </c>
    </row>
    <row r="580" customFormat="false" ht="15" hidden="false" customHeight="false" outlineLevel="0" collapsed="false">
      <c r="A580" s="65"/>
      <c r="B580" s="63"/>
      <c r="C580" s="70"/>
      <c r="D580" s="16" t="str">
        <f aca="false">IF($C580="","",IFERROR(INDEX(Mat_Short,MATCH($C580,Mat_Code,0)),"⚠ Unknown code"))</f>
        <v/>
      </c>
      <c r="E580" s="66"/>
      <c r="F580" s="64" t="str">
        <f aca="false">IF($C580="","",IFERROR(INDEX(Mat_Unit,MATCH($C580,Mat_Code,0)),""))</f>
        <v/>
      </c>
      <c r="G580" s="70"/>
      <c r="H580" s="63"/>
      <c r="I580" s="63"/>
      <c r="J580" s="63"/>
      <c r="K580" s="16" t="str">
        <f aca="false">IF(AND($A580="",$B580="",$C580="",$E580=""),"",IF($A580="","⚠ Date missing",IF(OR($B580="",$C580=""),"⚠ Site / material missing",IF(COUNTIFS(CI_Site,$B580,CI_Mat,$C580)=0,"⚠ No Current Inventory row for this site + material",IF($G580="","⚠ Status missing",IF(AND($G580="Scheduled",$A580&lt;=AsOfDate),"⚠ Scheduled date reached – mark Received or re-date",IF(AND($G580="Received",$A580&gt;AsOfDate),"Future-dated – added on its date",IF(AND($G580="Received",$A580&lt;SUMIFS(CI_Count,CI_Site,$B580,CI_Mat,$C580)),"Before count date – already in the count","OK"))))))))</f>
        <v/>
      </c>
    </row>
    <row r="581" customFormat="false" ht="15" hidden="false" customHeight="false" outlineLevel="0" collapsed="false">
      <c r="A581" s="65"/>
      <c r="B581" s="63"/>
      <c r="C581" s="70"/>
      <c r="D581" s="16" t="str">
        <f aca="false">IF($C581="","",IFERROR(INDEX(Mat_Short,MATCH($C581,Mat_Code,0)),"⚠ Unknown code"))</f>
        <v/>
      </c>
      <c r="E581" s="66"/>
      <c r="F581" s="64" t="str">
        <f aca="false">IF($C581="","",IFERROR(INDEX(Mat_Unit,MATCH($C581,Mat_Code,0)),""))</f>
        <v/>
      </c>
      <c r="G581" s="70"/>
      <c r="H581" s="63"/>
      <c r="I581" s="63"/>
      <c r="J581" s="63"/>
      <c r="K581" s="16" t="str">
        <f aca="false">IF(AND($A581="",$B581="",$C581="",$E581=""),"",IF($A581="","⚠ Date missing",IF(OR($B581="",$C581=""),"⚠ Site / material missing",IF(COUNTIFS(CI_Site,$B581,CI_Mat,$C581)=0,"⚠ No Current Inventory row for this site + material",IF($G581="","⚠ Status missing",IF(AND($G581="Scheduled",$A581&lt;=AsOfDate),"⚠ Scheduled date reached – mark Received or re-date",IF(AND($G581="Received",$A581&gt;AsOfDate),"Future-dated – added on its date",IF(AND($G581="Received",$A581&lt;SUMIFS(CI_Count,CI_Site,$B581,CI_Mat,$C581)),"Before count date – already in the count","OK"))))))))</f>
        <v/>
      </c>
    </row>
    <row r="582" customFormat="false" ht="15" hidden="false" customHeight="false" outlineLevel="0" collapsed="false">
      <c r="A582" s="65"/>
      <c r="B582" s="63"/>
      <c r="C582" s="70"/>
      <c r="D582" s="16" t="str">
        <f aca="false">IF($C582="","",IFERROR(INDEX(Mat_Short,MATCH($C582,Mat_Code,0)),"⚠ Unknown code"))</f>
        <v/>
      </c>
      <c r="E582" s="66"/>
      <c r="F582" s="64" t="str">
        <f aca="false">IF($C582="","",IFERROR(INDEX(Mat_Unit,MATCH($C582,Mat_Code,0)),""))</f>
        <v/>
      </c>
      <c r="G582" s="70"/>
      <c r="H582" s="63"/>
      <c r="I582" s="63"/>
      <c r="J582" s="63"/>
      <c r="K582" s="16" t="str">
        <f aca="false">IF(AND($A582="",$B582="",$C582="",$E582=""),"",IF($A582="","⚠ Date missing",IF(OR($B582="",$C582=""),"⚠ Site / material missing",IF(COUNTIFS(CI_Site,$B582,CI_Mat,$C582)=0,"⚠ No Current Inventory row for this site + material",IF($G582="","⚠ Status missing",IF(AND($G582="Scheduled",$A582&lt;=AsOfDate),"⚠ Scheduled date reached – mark Received or re-date",IF(AND($G582="Received",$A582&gt;AsOfDate),"Future-dated – added on its date",IF(AND($G582="Received",$A582&lt;SUMIFS(CI_Count,CI_Site,$B582,CI_Mat,$C582)),"Before count date – already in the count","OK"))))))))</f>
        <v/>
      </c>
    </row>
    <row r="583" customFormat="false" ht="15" hidden="false" customHeight="false" outlineLevel="0" collapsed="false">
      <c r="A583" s="65"/>
      <c r="B583" s="63"/>
      <c r="C583" s="70"/>
      <c r="D583" s="16" t="str">
        <f aca="false">IF($C583="","",IFERROR(INDEX(Mat_Short,MATCH($C583,Mat_Code,0)),"⚠ Unknown code"))</f>
        <v/>
      </c>
      <c r="E583" s="66"/>
      <c r="F583" s="64" t="str">
        <f aca="false">IF($C583="","",IFERROR(INDEX(Mat_Unit,MATCH($C583,Mat_Code,0)),""))</f>
        <v/>
      </c>
      <c r="G583" s="70"/>
      <c r="H583" s="63"/>
      <c r="I583" s="63"/>
      <c r="J583" s="63"/>
      <c r="K583" s="16" t="str">
        <f aca="false">IF(AND($A583="",$B583="",$C583="",$E583=""),"",IF($A583="","⚠ Date missing",IF(OR($B583="",$C583=""),"⚠ Site / material missing",IF(COUNTIFS(CI_Site,$B583,CI_Mat,$C583)=0,"⚠ No Current Inventory row for this site + material",IF($G583="","⚠ Status missing",IF(AND($G583="Scheduled",$A583&lt;=AsOfDate),"⚠ Scheduled date reached – mark Received or re-date",IF(AND($G583="Received",$A583&gt;AsOfDate),"Future-dated – added on its date",IF(AND($G583="Received",$A583&lt;SUMIFS(CI_Count,CI_Site,$B583,CI_Mat,$C583)),"Before count date – already in the count","OK"))))))))</f>
        <v/>
      </c>
    </row>
    <row r="584" customFormat="false" ht="15" hidden="false" customHeight="false" outlineLevel="0" collapsed="false">
      <c r="A584" s="65"/>
      <c r="B584" s="63"/>
      <c r="C584" s="70"/>
      <c r="D584" s="16" t="str">
        <f aca="false">IF($C584="","",IFERROR(INDEX(Mat_Short,MATCH($C584,Mat_Code,0)),"⚠ Unknown code"))</f>
        <v/>
      </c>
      <c r="E584" s="66"/>
      <c r="F584" s="64" t="str">
        <f aca="false">IF($C584="","",IFERROR(INDEX(Mat_Unit,MATCH($C584,Mat_Code,0)),""))</f>
        <v/>
      </c>
      <c r="G584" s="70"/>
      <c r="H584" s="63"/>
      <c r="I584" s="63"/>
      <c r="J584" s="63"/>
      <c r="K584" s="16" t="str">
        <f aca="false">IF(AND($A584="",$B584="",$C584="",$E584=""),"",IF($A584="","⚠ Date missing",IF(OR($B584="",$C584=""),"⚠ Site / material missing",IF(COUNTIFS(CI_Site,$B584,CI_Mat,$C584)=0,"⚠ No Current Inventory row for this site + material",IF($G584="","⚠ Status missing",IF(AND($G584="Scheduled",$A584&lt;=AsOfDate),"⚠ Scheduled date reached – mark Received or re-date",IF(AND($G584="Received",$A584&gt;AsOfDate),"Future-dated – added on its date",IF(AND($G584="Received",$A584&lt;SUMIFS(CI_Count,CI_Site,$B584,CI_Mat,$C584)),"Before count date – already in the count","OK"))))))))</f>
        <v/>
      </c>
    </row>
    <row r="585" customFormat="false" ht="15" hidden="false" customHeight="false" outlineLevel="0" collapsed="false">
      <c r="A585" s="65"/>
      <c r="B585" s="63"/>
      <c r="C585" s="70"/>
      <c r="D585" s="16" t="str">
        <f aca="false">IF($C585="","",IFERROR(INDEX(Mat_Short,MATCH($C585,Mat_Code,0)),"⚠ Unknown code"))</f>
        <v/>
      </c>
      <c r="E585" s="66"/>
      <c r="F585" s="64" t="str">
        <f aca="false">IF($C585="","",IFERROR(INDEX(Mat_Unit,MATCH($C585,Mat_Code,0)),""))</f>
        <v/>
      </c>
      <c r="G585" s="70"/>
      <c r="H585" s="63"/>
      <c r="I585" s="63"/>
      <c r="J585" s="63"/>
      <c r="K585" s="16" t="str">
        <f aca="false">IF(AND($A585="",$B585="",$C585="",$E585=""),"",IF($A585="","⚠ Date missing",IF(OR($B585="",$C585=""),"⚠ Site / material missing",IF(COUNTIFS(CI_Site,$B585,CI_Mat,$C585)=0,"⚠ No Current Inventory row for this site + material",IF($G585="","⚠ Status missing",IF(AND($G585="Scheduled",$A585&lt;=AsOfDate),"⚠ Scheduled date reached – mark Received or re-date",IF(AND($G585="Received",$A585&gt;AsOfDate),"Future-dated – added on its date",IF(AND($G585="Received",$A585&lt;SUMIFS(CI_Count,CI_Site,$B585,CI_Mat,$C585)),"Before count date – already in the count","OK"))))))))</f>
        <v/>
      </c>
    </row>
    <row r="586" customFormat="false" ht="15" hidden="false" customHeight="false" outlineLevel="0" collapsed="false">
      <c r="A586" s="65"/>
      <c r="B586" s="63"/>
      <c r="C586" s="70"/>
      <c r="D586" s="16" t="str">
        <f aca="false">IF($C586="","",IFERROR(INDEX(Mat_Short,MATCH($C586,Mat_Code,0)),"⚠ Unknown code"))</f>
        <v/>
      </c>
      <c r="E586" s="66"/>
      <c r="F586" s="64" t="str">
        <f aca="false">IF($C586="","",IFERROR(INDEX(Mat_Unit,MATCH($C586,Mat_Code,0)),""))</f>
        <v/>
      </c>
      <c r="G586" s="70"/>
      <c r="H586" s="63"/>
      <c r="I586" s="63"/>
      <c r="J586" s="63"/>
      <c r="K586" s="16" t="str">
        <f aca="false">IF(AND($A586="",$B586="",$C586="",$E586=""),"",IF($A586="","⚠ Date missing",IF(OR($B586="",$C586=""),"⚠ Site / material missing",IF(COUNTIFS(CI_Site,$B586,CI_Mat,$C586)=0,"⚠ No Current Inventory row for this site + material",IF($G586="","⚠ Status missing",IF(AND($G586="Scheduled",$A586&lt;=AsOfDate),"⚠ Scheduled date reached – mark Received or re-date",IF(AND($G586="Received",$A586&gt;AsOfDate),"Future-dated – added on its date",IF(AND($G586="Received",$A586&lt;SUMIFS(CI_Count,CI_Site,$B586,CI_Mat,$C586)),"Before count date – already in the count","OK"))))))))</f>
        <v/>
      </c>
    </row>
    <row r="587" customFormat="false" ht="15" hidden="false" customHeight="false" outlineLevel="0" collapsed="false">
      <c r="A587" s="65"/>
      <c r="B587" s="63"/>
      <c r="C587" s="70"/>
      <c r="D587" s="16" t="str">
        <f aca="false">IF($C587="","",IFERROR(INDEX(Mat_Short,MATCH($C587,Mat_Code,0)),"⚠ Unknown code"))</f>
        <v/>
      </c>
      <c r="E587" s="66"/>
      <c r="F587" s="64" t="str">
        <f aca="false">IF($C587="","",IFERROR(INDEX(Mat_Unit,MATCH($C587,Mat_Code,0)),""))</f>
        <v/>
      </c>
      <c r="G587" s="70"/>
      <c r="H587" s="63"/>
      <c r="I587" s="63"/>
      <c r="J587" s="63"/>
      <c r="K587" s="16" t="str">
        <f aca="false">IF(AND($A587="",$B587="",$C587="",$E587=""),"",IF($A587="","⚠ Date missing",IF(OR($B587="",$C587=""),"⚠ Site / material missing",IF(COUNTIFS(CI_Site,$B587,CI_Mat,$C587)=0,"⚠ No Current Inventory row for this site + material",IF($G587="","⚠ Status missing",IF(AND($G587="Scheduled",$A587&lt;=AsOfDate),"⚠ Scheduled date reached – mark Received or re-date",IF(AND($G587="Received",$A587&gt;AsOfDate),"Future-dated – added on its date",IF(AND($G587="Received",$A587&lt;SUMIFS(CI_Count,CI_Site,$B587,CI_Mat,$C587)),"Before count date – already in the count","OK"))))))))</f>
        <v/>
      </c>
    </row>
    <row r="588" customFormat="false" ht="15" hidden="false" customHeight="false" outlineLevel="0" collapsed="false">
      <c r="A588" s="65"/>
      <c r="B588" s="63"/>
      <c r="C588" s="70"/>
      <c r="D588" s="16" t="str">
        <f aca="false">IF($C588="","",IFERROR(INDEX(Mat_Short,MATCH($C588,Mat_Code,0)),"⚠ Unknown code"))</f>
        <v/>
      </c>
      <c r="E588" s="66"/>
      <c r="F588" s="64" t="str">
        <f aca="false">IF($C588="","",IFERROR(INDEX(Mat_Unit,MATCH($C588,Mat_Code,0)),""))</f>
        <v/>
      </c>
      <c r="G588" s="70"/>
      <c r="H588" s="63"/>
      <c r="I588" s="63"/>
      <c r="J588" s="63"/>
      <c r="K588" s="16" t="str">
        <f aca="false">IF(AND($A588="",$B588="",$C588="",$E588=""),"",IF($A588="","⚠ Date missing",IF(OR($B588="",$C588=""),"⚠ Site / material missing",IF(COUNTIFS(CI_Site,$B588,CI_Mat,$C588)=0,"⚠ No Current Inventory row for this site + material",IF($G588="","⚠ Status missing",IF(AND($G588="Scheduled",$A588&lt;=AsOfDate),"⚠ Scheduled date reached – mark Received or re-date",IF(AND($G588="Received",$A588&gt;AsOfDate),"Future-dated – added on its date",IF(AND($G588="Received",$A588&lt;SUMIFS(CI_Count,CI_Site,$B588,CI_Mat,$C588)),"Before count date – already in the count","OK"))))))))</f>
        <v/>
      </c>
    </row>
    <row r="589" customFormat="false" ht="15" hidden="false" customHeight="false" outlineLevel="0" collapsed="false">
      <c r="A589" s="65"/>
      <c r="B589" s="63"/>
      <c r="C589" s="70"/>
      <c r="D589" s="16" t="str">
        <f aca="false">IF($C589="","",IFERROR(INDEX(Mat_Short,MATCH($C589,Mat_Code,0)),"⚠ Unknown code"))</f>
        <v/>
      </c>
      <c r="E589" s="66"/>
      <c r="F589" s="64" t="str">
        <f aca="false">IF($C589="","",IFERROR(INDEX(Mat_Unit,MATCH($C589,Mat_Code,0)),""))</f>
        <v/>
      </c>
      <c r="G589" s="70"/>
      <c r="H589" s="63"/>
      <c r="I589" s="63"/>
      <c r="J589" s="63"/>
      <c r="K589" s="16" t="str">
        <f aca="false">IF(AND($A589="",$B589="",$C589="",$E589=""),"",IF($A589="","⚠ Date missing",IF(OR($B589="",$C589=""),"⚠ Site / material missing",IF(COUNTIFS(CI_Site,$B589,CI_Mat,$C589)=0,"⚠ No Current Inventory row for this site + material",IF($G589="","⚠ Status missing",IF(AND($G589="Scheduled",$A589&lt;=AsOfDate),"⚠ Scheduled date reached – mark Received or re-date",IF(AND($G589="Received",$A589&gt;AsOfDate),"Future-dated – added on its date",IF(AND($G589="Received",$A589&lt;SUMIFS(CI_Count,CI_Site,$B589,CI_Mat,$C589)),"Before count date – already in the count","OK"))))))))</f>
        <v/>
      </c>
    </row>
    <row r="590" customFormat="false" ht="15" hidden="false" customHeight="false" outlineLevel="0" collapsed="false">
      <c r="A590" s="65"/>
      <c r="B590" s="63"/>
      <c r="C590" s="70"/>
      <c r="D590" s="16" t="str">
        <f aca="false">IF($C590="","",IFERROR(INDEX(Mat_Short,MATCH($C590,Mat_Code,0)),"⚠ Unknown code"))</f>
        <v/>
      </c>
      <c r="E590" s="66"/>
      <c r="F590" s="64" t="str">
        <f aca="false">IF($C590="","",IFERROR(INDEX(Mat_Unit,MATCH($C590,Mat_Code,0)),""))</f>
        <v/>
      </c>
      <c r="G590" s="70"/>
      <c r="H590" s="63"/>
      <c r="I590" s="63"/>
      <c r="J590" s="63"/>
      <c r="K590" s="16" t="str">
        <f aca="false">IF(AND($A590="",$B590="",$C590="",$E590=""),"",IF($A590="","⚠ Date missing",IF(OR($B590="",$C590=""),"⚠ Site / material missing",IF(COUNTIFS(CI_Site,$B590,CI_Mat,$C590)=0,"⚠ No Current Inventory row for this site + material",IF($G590="","⚠ Status missing",IF(AND($G590="Scheduled",$A590&lt;=AsOfDate),"⚠ Scheduled date reached – mark Received or re-date",IF(AND($G590="Received",$A590&gt;AsOfDate),"Future-dated – added on its date",IF(AND($G590="Received",$A590&lt;SUMIFS(CI_Count,CI_Site,$B590,CI_Mat,$C590)),"Before count date – already in the count","OK"))))))))</f>
        <v/>
      </c>
    </row>
    <row r="591" customFormat="false" ht="15" hidden="false" customHeight="false" outlineLevel="0" collapsed="false">
      <c r="A591" s="65"/>
      <c r="B591" s="63"/>
      <c r="C591" s="70"/>
      <c r="D591" s="16" t="str">
        <f aca="false">IF($C591="","",IFERROR(INDEX(Mat_Short,MATCH($C591,Mat_Code,0)),"⚠ Unknown code"))</f>
        <v/>
      </c>
      <c r="E591" s="66"/>
      <c r="F591" s="64" t="str">
        <f aca="false">IF($C591="","",IFERROR(INDEX(Mat_Unit,MATCH($C591,Mat_Code,0)),""))</f>
        <v/>
      </c>
      <c r="G591" s="70"/>
      <c r="H591" s="63"/>
      <c r="I591" s="63"/>
      <c r="J591" s="63"/>
      <c r="K591" s="16" t="str">
        <f aca="false">IF(AND($A591="",$B591="",$C591="",$E591=""),"",IF($A591="","⚠ Date missing",IF(OR($B591="",$C591=""),"⚠ Site / material missing",IF(COUNTIFS(CI_Site,$B591,CI_Mat,$C591)=0,"⚠ No Current Inventory row for this site + material",IF($G591="","⚠ Status missing",IF(AND($G591="Scheduled",$A591&lt;=AsOfDate),"⚠ Scheduled date reached – mark Received or re-date",IF(AND($G591="Received",$A591&gt;AsOfDate),"Future-dated – added on its date",IF(AND($G591="Received",$A591&lt;SUMIFS(CI_Count,CI_Site,$B591,CI_Mat,$C591)),"Before count date – already in the count","OK"))))))))</f>
        <v/>
      </c>
    </row>
    <row r="592" customFormat="false" ht="15" hidden="false" customHeight="false" outlineLevel="0" collapsed="false">
      <c r="A592" s="65"/>
      <c r="B592" s="63"/>
      <c r="C592" s="70"/>
      <c r="D592" s="16" t="str">
        <f aca="false">IF($C592="","",IFERROR(INDEX(Mat_Short,MATCH($C592,Mat_Code,0)),"⚠ Unknown code"))</f>
        <v/>
      </c>
      <c r="E592" s="66"/>
      <c r="F592" s="64" t="str">
        <f aca="false">IF($C592="","",IFERROR(INDEX(Mat_Unit,MATCH($C592,Mat_Code,0)),""))</f>
        <v/>
      </c>
      <c r="G592" s="70"/>
      <c r="H592" s="63"/>
      <c r="I592" s="63"/>
      <c r="J592" s="63"/>
      <c r="K592" s="16" t="str">
        <f aca="false">IF(AND($A592="",$B592="",$C592="",$E592=""),"",IF($A592="","⚠ Date missing",IF(OR($B592="",$C592=""),"⚠ Site / material missing",IF(COUNTIFS(CI_Site,$B592,CI_Mat,$C592)=0,"⚠ No Current Inventory row for this site + material",IF($G592="","⚠ Status missing",IF(AND($G592="Scheduled",$A592&lt;=AsOfDate),"⚠ Scheduled date reached – mark Received or re-date",IF(AND($G592="Received",$A592&gt;AsOfDate),"Future-dated – added on its date",IF(AND($G592="Received",$A592&lt;SUMIFS(CI_Count,CI_Site,$B592,CI_Mat,$C592)),"Before count date – already in the count","OK"))))))))</f>
        <v/>
      </c>
    </row>
    <row r="593" customFormat="false" ht="15" hidden="false" customHeight="false" outlineLevel="0" collapsed="false">
      <c r="A593" s="65"/>
      <c r="B593" s="63"/>
      <c r="C593" s="70"/>
      <c r="D593" s="16" t="str">
        <f aca="false">IF($C593="","",IFERROR(INDEX(Mat_Short,MATCH($C593,Mat_Code,0)),"⚠ Unknown code"))</f>
        <v/>
      </c>
      <c r="E593" s="66"/>
      <c r="F593" s="64" t="str">
        <f aca="false">IF($C593="","",IFERROR(INDEX(Mat_Unit,MATCH($C593,Mat_Code,0)),""))</f>
        <v/>
      </c>
      <c r="G593" s="70"/>
      <c r="H593" s="63"/>
      <c r="I593" s="63"/>
      <c r="J593" s="63"/>
      <c r="K593" s="16" t="str">
        <f aca="false">IF(AND($A593="",$B593="",$C593="",$E593=""),"",IF($A593="","⚠ Date missing",IF(OR($B593="",$C593=""),"⚠ Site / material missing",IF(COUNTIFS(CI_Site,$B593,CI_Mat,$C593)=0,"⚠ No Current Inventory row for this site + material",IF($G593="","⚠ Status missing",IF(AND($G593="Scheduled",$A593&lt;=AsOfDate),"⚠ Scheduled date reached – mark Received or re-date",IF(AND($G593="Received",$A593&gt;AsOfDate),"Future-dated – added on its date",IF(AND($G593="Received",$A593&lt;SUMIFS(CI_Count,CI_Site,$B593,CI_Mat,$C593)),"Before count date – already in the count","OK"))))))))</f>
        <v/>
      </c>
    </row>
    <row r="594" customFormat="false" ht="15" hidden="false" customHeight="false" outlineLevel="0" collapsed="false">
      <c r="A594" s="65"/>
      <c r="B594" s="63"/>
      <c r="C594" s="70"/>
      <c r="D594" s="16" t="str">
        <f aca="false">IF($C594="","",IFERROR(INDEX(Mat_Short,MATCH($C594,Mat_Code,0)),"⚠ Unknown code"))</f>
        <v/>
      </c>
      <c r="E594" s="66"/>
      <c r="F594" s="64" t="str">
        <f aca="false">IF($C594="","",IFERROR(INDEX(Mat_Unit,MATCH($C594,Mat_Code,0)),""))</f>
        <v/>
      </c>
      <c r="G594" s="70"/>
      <c r="H594" s="63"/>
      <c r="I594" s="63"/>
      <c r="J594" s="63"/>
      <c r="K594" s="16" t="str">
        <f aca="false">IF(AND($A594="",$B594="",$C594="",$E594=""),"",IF($A594="","⚠ Date missing",IF(OR($B594="",$C594=""),"⚠ Site / material missing",IF(COUNTIFS(CI_Site,$B594,CI_Mat,$C594)=0,"⚠ No Current Inventory row for this site + material",IF($G594="","⚠ Status missing",IF(AND($G594="Scheduled",$A594&lt;=AsOfDate),"⚠ Scheduled date reached – mark Received or re-date",IF(AND($G594="Received",$A594&gt;AsOfDate),"Future-dated – added on its date",IF(AND($G594="Received",$A594&lt;SUMIFS(CI_Count,CI_Site,$B594,CI_Mat,$C594)),"Before count date – already in the count","OK"))))))))</f>
        <v/>
      </c>
    </row>
    <row r="595" customFormat="false" ht="15" hidden="false" customHeight="false" outlineLevel="0" collapsed="false">
      <c r="A595" s="65"/>
      <c r="B595" s="63"/>
      <c r="C595" s="70"/>
      <c r="D595" s="16" t="str">
        <f aca="false">IF($C595="","",IFERROR(INDEX(Mat_Short,MATCH($C595,Mat_Code,0)),"⚠ Unknown code"))</f>
        <v/>
      </c>
      <c r="E595" s="66"/>
      <c r="F595" s="64" t="str">
        <f aca="false">IF($C595="","",IFERROR(INDEX(Mat_Unit,MATCH($C595,Mat_Code,0)),""))</f>
        <v/>
      </c>
      <c r="G595" s="70"/>
      <c r="H595" s="63"/>
      <c r="I595" s="63"/>
      <c r="J595" s="63"/>
      <c r="K595" s="16" t="str">
        <f aca="false">IF(AND($A595="",$B595="",$C595="",$E595=""),"",IF($A595="","⚠ Date missing",IF(OR($B595="",$C595=""),"⚠ Site / material missing",IF(COUNTIFS(CI_Site,$B595,CI_Mat,$C595)=0,"⚠ No Current Inventory row for this site + material",IF($G595="","⚠ Status missing",IF(AND($G595="Scheduled",$A595&lt;=AsOfDate),"⚠ Scheduled date reached – mark Received or re-date",IF(AND($G595="Received",$A595&gt;AsOfDate),"Future-dated – added on its date",IF(AND($G595="Received",$A595&lt;SUMIFS(CI_Count,CI_Site,$B595,CI_Mat,$C595)),"Before count date – already in the count","OK"))))))))</f>
        <v/>
      </c>
    </row>
    <row r="596" customFormat="false" ht="15" hidden="false" customHeight="false" outlineLevel="0" collapsed="false">
      <c r="A596" s="65"/>
      <c r="B596" s="63"/>
      <c r="C596" s="70"/>
      <c r="D596" s="16" t="str">
        <f aca="false">IF($C596="","",IFERROR(INDEX(Mat_Short,MATCH($C596,Mat_Code,0)),"⚠ Unknown code"))</f>
        <v/>
      </c>
      <c r="E596" s="66"/>
      <c r="F596" s="64" t="str">
        <f aca="false">IF($C596="","",IFERROR(INDEX(Mat_Unit,MATCH($C596,Mat_Code,0)),""))</f>
        <v/>
      </c>
      <c r="G596" s="70"/>
      <c r="H596" s="63"/>
      <c r="I596" s="63"/>
      <c r="J596" s="63"/>
      <c r="K596" s="16" t="str">
        <f aca="false">IF(AND($A596="",$B596="",$C596="",$E596=""),"",IF($A596="","⚠ Date missing",IF(OR($B596="",$C596=""),"⚠ Site / material missing",IF(COUNTIFS(CI_Site,$B596,CI_Mat,$C596)=0,"⚠ No Current Inventory row for this site + material",IF($G596="","⚠ Status missing",IF(AND($G596="Scheduled",$A596&lt;=AsOfDate),"⚠ Scheduled date reached – mark Received or re-date",IF(AND($G596="Received",$A596&gt;AsOfDate),"Future-dated – added on its date",IF(AND($G596="Received",$A596&lt;SUMIFS(CI_Count,CI_Site,$B596,CI_Mat,$C596)),"Before count date – already in the count","OK"))))))))</f>
        <v/>
      </c>
    </row>
    <row r="597" customFormat="false" ht="15" hidden="false" customHeight="false" outlineLevel="0" collapsed="false">
      <c r="A597" s="65"/>
      <c r="B597" s="63"/>
      <c r="C597" s="70"/>
      <c r="D597" s="16" t="str">
        <f aca="false">IF($C597="","",IFERROR(INDEX(Mat_Short,MATCH($C597,Mat_Code,0)),"⚠ Unknown code"))</f>
        <v/>
      </c>
      <c r="E597" s="66"/>
      <c r="F597" s="64" t="str">
        <f aca="false">IF($C597="","",IFERROR(INDEX(Mat_Unit,MATCH($C597,Mat_Code,0)),""))</f>
        <v/>
      </c>
      <c r="G597" s="70"/>
      <c r="H597" s="63"/>
      <c r="I597" s="63"/>
      <c r="J597" s="63"/>
      <c r="K597" s="16" t="str">
        <f aca="false">IF(AND($A597="",$B597="",$C597="",$E597=""),"",IF($A597="","⚠ Date missing",IF(OR($B597="",$C597=""),"⚠ Site / material missing",IF(COUNTIFS(CI_Site,$B597,CI_Mat,$C597)=0,"⚠ No Current Inventory row for this site + material",IF($G597="","⚠ Status missing",IF(AND($G597="Scheduled",$A597&lt;=AsOfDate),"⚠ Scheduled date reached – mark Received or re-date",IF(AND($G597="Received",$A597&gt;AsOfDate),"Future-dated – added on its date",IF(AND($G597="Received",$A597&lt;SUMIFS(CI_Count,CI_Site,$B597,CI_Mat,$C597)),"Before count date – already in the count","OK"))))))))</f>
        <v/>
      </c>
    </row>
    <row r="598" customFormat="false" ht="15" hidden="false" customHeight="false" outlineLevel="0" collapsed="false">
      <c r="A598" s="65"/>
      <c r="B598" s="63"/>
      <c r="C598" s="70"/>
      <c r="D598" s="16" t="str">
        <f aca="false">IF($C598="","",IFERROR(INDEX(Mat_Short,MATCH($C598,Mat_Code,0)),"⚠ Unknown code"))</f>
        <v/>
      </c>
      <c r="E598" s="66"/>
      <c r="F598" s="64" t="str">
        <f aca="false">IF($C598="","",IFERROR(INDEX(Mat_Unit,MATCH($C598,Mat_Code,0)),""))</f>
        <v/>
      </c>
      <c r="G598" s="70"/>
      <c r="H598" s="63"/>
      <c r="I598" s="63"/>
      <c r="J598" s="63"/>
      <c r="K598" s="16" t="str">
        <f aca="false">IF(AND($A598="",$B598="",$C598="",$E598=""),"",IF($A598="","⚠ Date missing",IF(OR($B598="",$C598=""),"⚠ Site / material missing",IF(COUNTIFS(CI_Site,$B598,CI_Mat,$C598)=0,"⚠ No Current Inventory row for this site + material",IF($G598="","⚠ Status missing",IF(AND($G598="Scheduled",$A598&lt;=AsOfDate),"⚠ Scheduled date reached – mark Received or re-date",IF(AND($G598="Received",$A598&gt;AsOfDate),"Future-dated – added on its date",IF(AND($G598="Received",$A598&lt;SUMIFS(CI_Count,CI_Site,$B598,CI_Mat,$C598)),"Before count date – already in the count","OK"))))))))</f>
        <v/>
      </c>
    </row>
    <row r="599" customFormat="false" ht="15" hidden="false" customHeight="false" outlineLevel="0" collapsed="false">
      <c r="A599" s="65"/>
      <c r="B599" s="63"/>
      <c r="C599" s="70"/>
      <c r="D599" s="16" t="str">
        <f aca="false">IF($C599="","",IFERROR(INDEX(Mat_Short,MATCH($C599,Mat_Code,0)),"⚠ Unknown code"))</f>
        <v/>
      </c>
      <c r="E599" s="66"/>
      <c r="F599" s="64" t="str">
        <f aca="false">IF($C599="","",IFERROR(INDEX(Mat_Unit,MATCH($C599,Mat_Code,0)),""))</f>
        <v/>
      </c>
      <c r="G599" s="70"/>
      <c r="H599" s="63"/>
      <c r="I599" s="63"/>
      <c r="J599" s="63"/>
      <c r="K599" s="16" t="str">
        <f aca="false">IF(AND($A599="",$B599="",$C599="",$E599=""),"",IF($A599="","⚠ Date missing",IF(OR($B599="",$C599=""),"⚠ Site / material missing",IF(COUNTIFS(CI_Site,$B599,CI_Mat,$C599)=0,"⚠ No Current Inventory row for this site + material",IF($G599="","⚠ Status missing",IF(AND($G599="Scheduled",$A599&lt;=AsOfDate),"⚠ Scheduled date reached – mark Received or re-date",IF(AND($G599="Received",$A599&gt;AsOfDate),"Future-dated – added on its date",IF(AND($G599="Received",$A599&lt;SUMIFS(CI_Count,CI_Site,$B599,CI_Mat,$C599)),"Before count date – already in the count","OK"))))))))</f>
        <v/>
      </c>
    </row>
    <row r="600" customFormat="false" ht="15" hidden="false" customHeight="false" outlineLevel="0" collapsed="false">
      <c r="A600" s="65"/>
      <c r="B600" s="63"/>
      <c r="C600" s="70"/>
      <c r="D600" s="16" t="str">
        <f aca="false">IF($C600="","",IFERROR(INDEX(Mat_Short,MATCH($C600,Mat_Code,0)),"⚠ Unknown code"))</f>
        <v/>
      </c>
      <c r="E600" s="66"/>
      <c r="F600" s="64" t="str">
        <f aca="false">IF($C600="","",IFERROR(INDEX(Mat_Unit,MATCH($C600,Mat_Code,0)),""))</f>
        <v/>
      </c>
      <c r="G600" s="70"/>
      <c r="H600" s="63"/>
      <c r="I600" s="63"/>
      <c r="J600" s="63"/>
      <c r="K600" s="16" t="str">
        <f aca="false">IF(AND($A600="",$B600="",$C600="",$E600=""),"",IF($A600="","⚠ Date missing",IF(OR($B600="",$C600=""),"⚠ Site / material missing",IF(COUNTIFS(CI_Site,$B600,CI_Mat,$C600)=0,"⚠ No Current Inventory row for this site + material",IF($G600="","⚠ Status missing",IF(AND($G600="Scheduled",$A600&lt;=AsOfDate),"⚠ Scheduled date reached – mark Received or re-date",IF(AND($G600="Received",$A600&gt;AsOfDate),"Future-dated – added on its date",IF(AND($G600="Received",$A600&lt;SUMIFS(CI_Count,CI_Site,$B600,CI_Mat,$C600)),"Before count date – already in the count","OK"))))))))</f>
        <v/>
      </c>
    </row>
    <row r="601" customFormat="false" ht="15" hidden="false" customHeight="false" outlineLevel="0" collapsed="false">
      <c r="A601" s="65"/>
      <c r="B601" s="63"/>
      <c r="C601" s="70"/>
      <c r="D601" s="16" t="str">
        <f aca="false">IF($C601="","",IFERROR(INDEX(Mat_Short,MATCH($C601,Mat_Code,0)),"⚠ Unknown code"))</f>
        <v/>
      </c>
      <c r="E601" s="66"/>
      <c r="F601" s="64" t="str">
        <f aca="false">IF($C601="","",IFERROR(INDEX(Mat_Unit,MATCH($C601,Mat_Code,0)),""))</f>
        <v/>
      </c>
      <c r="G601" s="70"/>
      <c r="H601" s="63"/>
      <c r="I601" s="63"/>
      <c r="J601" s="63"/>
      <c r="K601" s="16" t="str">
        <f aca="false">IF(AND($A601="",$B601="",$C601="",$E601=""),"",IF($A601="","⚠ Date missing",IF(OR($B601="",$C601=""),"⚠ Site / material missing",IF(COUNTIFS(CI_Site,$B601,CI_Mat,$C601)=0,"⚠ No Current Inventory row for this site + material",IF($G601="","⚠ Status missing",IF(AND($G601="Scheduled",$A601&lt;=AsOfDate),"⚠ Scheduled date reached – mark Received or re-date",IF(AND($G601="Received",$A601&gt;AsOfDate),"Future-dated – added on its date",IF(AND($G601="Received",$A601&lt;SUMIFS(CI_Count,CI_Site,$B601,CI_Mat,$C601)),"Before count date – already in the count","OK"))))))))</f>
        <v/>
      </c>
    </row>
    <row r="602" customFormat="false" ht="15" hidden="false" customHeight="false" outlineLevel="0" collapsed="false">
      <c r="A602" s="65"/>
      <c r="B602" s="63"/>
      <c r="C602" s="70"/>
      <c r="D602" s="16" t="str">
        <f aca="false">IF($C602="","",IFERROR(INDEX(Mat_Short,MATCH($C602,Mat_Code,0)),"⚠ Unknown code"))</f>
        <v/>
      </c>
      <c r="E602" s="66"/>
      <c r="F602" s="64" t="str">
        <f aca="false">IF($C602="","",IFERROR(INDEX(Mat_Unit,MATCH($C602,Mat_Code,0)),""))</f>
        <v/>
      </c>
      <c r="G602" s="70"/>
      <c r="H602" s="63"/>
      <c r="I602" s="63"/>
      <c r="J602" s="63"/>
      <c r="K602" s="16" t="str">
        <f aca="false">IF(AND($A602="",$B602="",$C602="",$E602=""),"",IF($A602="","⚠ Date missing",IF(OR($B602="",$C602=""),"⚠ Site / material missing",IF(COUNTIFS(CI_Site,$B602,CI_Mat,$C602)=0,"⚠ No Current Inventory row for this site + material",IF($G602="","⚠ Status missing",IF(AND($G602="Scheduled",$A602&lt;=AsOfDate),"⚠ Scheduled date reached – mark Received or re-date",IF(AND($G602="Received",$A602&gt;AsOfDate),"Future-dated – added on its date",IF(AND($G602="Received",$A602&lt;SUMIFS(CI_Count,CI_Site,$B602,CI_Mat,$C602)),"Before count date – already in the count","OK"))))))))</f>
        <v/>
      </c>
    </row>
    <row r="603" customFormat="false" ht="15" hidden="false" customHeight="false" outlineLevel="0" collapsed="false">
      <c r="A603" s="65"/>
      <c r="B603" s="63"/>
      <c r="C603" s="70"/>
      <c r="D603" s="16" t="str">
        <f aca="false">IF($C603="","",IFERROR(INDEX(Mat_Short,MATCH($C603,Mat_Code,0)),"⚠ Unknown code"))</f>
        <v/>
      </c>
      <c r="E603" s="66"/>
      <c r="F603" s="64" t="str">
        <f aca="false">IF($C603="","",IFERROR(INDEX(Mat_Unit,MATCH($C603,Mat_Code,0)),""))</f>
        <v/>
      </c>
      <c r="G603" s="70"/>
      <c r="H603" s="63"/>
      <c r="I603" s="63"/>
      <c r="J603" s="63"/>
      <c r="K603" s="16" t="str">
        <f aca="false">IF(AND($A603="",$B603="",$C603="",$E603=""),"",IF($A603="","⚠ Date missing",IF(OR($B603="",$C603=""),"⚠ Site / material missing",IF(COUNTIFS(CI_Site,$B603,CI_Mat,$C603)=0,"⚠ No Current Inventory row for this site + material",IF($G603="","⚠ Status missing",IF(AND($G603="Scheduled",$A603&lt;=AsOfDate),"⚠ Scheduled date reached – mark Received or re-date",IF(AND($G603="Received",$A603&gt;AsOfDate),"Future-dated – added on its date",IF(AND($G603="Received",$A603&lt;SUMIFS(CI_Count,CI_Site,$B603,CI_Mat,$C603)),"Before count date – already in the count","OK"))))))))</f>
        <v/>
      </c>
    </row>
    <row r="604" customFormat="false" ht="15" hidden="false" customHeight="false" outlineLevel="0" collapsed="false">
      <c r="A604" s="65"/>
      <c r="B604" s="63"/>
      <c r="C604" s="70"/>
      <c r="D604" s="16" t="str">
        <f aca="false">IF($C604="","",IFERROR(INDEX(Mat_Short,MATCH($C604,Mat_Code,0)),"⚠ Unknown code"))</f>
        <v/>
      </c>
      <c r="E604" s="66"/>
      <c r="F604" s="64" t="str">
        <f aca="false">IF($C604="","",IFERROR(INDEX(Mat_Unit,MATCH($C604,Mat_Code,0)),""))</f>
        <v/>
      </c>
      <c r="G604" s="70"/>
      <c r="H604" s="63"/>
      <c r="I604" s="63"/>
      <c r="J604" s="63"/>
      <c r="K604" s="16" t="str">
        <f aca="false">IF(AND($A604="",$B604="",$C604="",$E604=""),"",IF($A604="","⚠ Date missing",IF(OR($B604="",$C604=""),"⚠ Site / material missing",IF(COUNTIFS(CI_Site,$B604,CI_Mat,$C604)=0,"⚠ No Current Inventory row for this site + material",IF($G604="","⚠ Status missing",IF(AND($G604="Scheduled",$A604&lt;=AsOfDate),"⚠ Scheduled date reached – mark Received or re-date",IF(AND($G604="Received",$A604&gt;AsOfDate),"Future-dated – added on its date",IF(AND($G604="Received",$A604&lt;SUMIFS(CI_Count,CI_Site,$B604,CI_Mat,$C604)),"Before count date – already in the count","OK"))))))))</f>
        <v/>
      </c>
    </row>
    <row r="605" customFormat="false" ht="15" hidden="false" customHeight="false" outlineLevel="0" collapsed="false">
      <c r="A605" s="65"/>
      <c r="B605" s="63"/>
      <c r="C605" s="70"/>
      <c r="D605" s="16" t="str">
        <f aca="false">IF($C605="","",IFERROR(INDEX(Mat_Short,MATCH($C605,Mat_Code,0)),"⚠ Unknown code"))</f>
        <v/>
      </c>
      <c r="E605" s="66"/>
      <c r="F605" s="64" t="str">
        <f aca="false">IF($C605="","",IFERROR(INDEX(Mat_Unit,MATCH($C605,Mat_Code,0)),""))</f>
        <v/>
      </c>
      <c r="G605" s="70"/>
      <c r="H605" s="63"/>
      <c r="I605" s="63"/>
      <c r="J605" s="63"/>
      <c r="K605" s="16" t="str">
        <f aca="false">IF(AND($A605="",$B605="",$C605="",$E605=""),"",IF($A605="","⚠ Date missing",IF(OR($B605="",$C605=""),"⚠ Site / material missing",IF(COUNTIFS(CI_Site,$B605,CI_Mat,$C605)=0,"⚠ No Current Inventory row for this site + material",IF($G605="","⚠ Status missing",IF(AND($G605="Scheduled",$A605&lt;=AsOfDate),"⚠ Scheduled date reached – mark Received or re-date",IF(AND($G605="Received",$A605&gt;AsOfDate),"Future-dated – added on its date",IF(AND($G605="Received",$A605&lt;SUMIFS(CI_Count,CI_Site,$B605,CI_Mat,$C605)),"Before count date – already in the count","OK"))))))))</f>
        <v/>
      </c>
    </row>
    <row r="606" customFormat="false" ht="15" hidden="false" customHeight="false" outlineLevel="0" collapsed="false">
      <c r="A606" s="65"/>
      <c r="B606" s="63"/>
      <c r="C606" s="70"/>
      <c r="D606" s="16" t="str">
        <f aca="false">IF($C606="","",IFERROR(INDEX(Mat_Short,MATCH($C606,Mat_Code,0)),"⚠ Unknown code"))</f>
        <v/>
      </c>
      <c r="E606" s="66"/>
      <c r="F606" s="64" t="str">
        <f aca="false">IF($C606="","",IFERROR(INDEX(Mat_Unit,MATCH($C606,Mat_Code,0)),""))</f>
        <v/>
      </c>
      <c r="G606" s="70"/>
      <c r="H606" s="63"/>
      <c r="I606" s="63"/>
      <c r="J606" s="63"/>
      <c r="K606" s="16" t="str">
        <f aca="false">IF(AND($A606="",$B606="",$C606="",$E606=""),"",IF($A606="","⚠ Date missing",IF(OR($B606="",$C606=""),"⚠ Site / material missing",IF(COUNTIFS(CI_Site,$B606,CI_Mat,$C606)=0,"⚠ No Current Inventory row for this site + material",IF($G606="","⚠ Status missing",IF(AND($G606="Scheduled",$A606&lt;=AsOfDate),"⚠ Scheduled date reached – mark Received or re-date",IF(AND($G606="Received",$A606&gt;AsOfDate),"Future-dated – added on its date",IF(AND($G606="Received",$A606&lt;SUMIFS(CI_Count,CI_Site,$B606,CI_Mat,$C606)),"Before count date – already in the count","OK"))))))))</f>
        <v/>
      </c>
    </row>
    <row r="607" customFormat="false" ht="15" hidden="false" customHeight="false" outlineLevel="0" collapsed="false">
      <c r="A607" s="65"/>
      <c r="B607" s="63"/>
      <c r="C607" s="70"/>
      <c r="D607" s="16" t="str">
        <f aca="false">IF($C607="","",IFERROR(INDEX(Mat_Short,MATCH($C607,Mat_Code,0)),"⚠ Unknown code"))</f>
        <v/>
      </c>
      <c r="E607" s="66"/>
      <c r="F607" s="64" t="str">
        <f aca="false">IF($C607="","",IFERROR(INDEX(Mat_Unit,MATCH($C607,Mat_Code,0)),""))</f>
        <v/>
      </c>
      <c r="G607" s="70"/>
      <c r="H607" s="63"/>
      <c r="I607" s="63"/>
      <c r="J607" s="63"/>
      <c r="K607" s="16" t="str">
        <f aca="false">IF(AND($A607="",$B607="",$C607="",$E607=""),"",IF($A607="","⚠ Date missing",IF(OR($B607="",$C607=""),"⚠ Site / material missing",IF(COUNTIFS(CI_Site,$B607,CI_Mat,$C607)=0,"⚠ No Current Inventory row for this site + material",IF($G607="","⚠ Status missing",IF(AND($G607="Scheduled",$A607&lt;=AsOfDate),"⚠ Scheduled date reached – mark Received or re-date",IF(AND($G607="Received",$A607&gt;AsOfDate),"Future-dated – added on its date",IF(AND($G607="Received",$A607&lt;SUMIFS(CI_Count,CI_Site,$B607,CI_Mat,$C607)),"Before count date – already in the count","OK"))))))))</f>
        <v/>
      </c>
    </row>
    <row r="608" customFormat="false" ht="15" hidden="false" customHeight="false" outlineLevel="0" collapsed="false">
      <c r="A608" s="65"/>
      <c r="B608" s="63"/>
      <c r="C608" s="70"/>
      <c r="D608" s="16" t="str">
        <f aca="false">IF($C608="","",IFERROR(INDEX(Mat_Short,MATCH($C608,Mat_Code,0)),"⚠ Unknown code"))</f>
        <v/>
      </c>
      <c r="E608" s="66"/>
      <c r="F608" s="64" t="str">
        <f aca="false">IF($C608="","",IFERROR(INDEX(Mat_Unit,MATCH($C608,Mat_Code,0)),""))</f>
        <v/>
      </c>
      <c r="G608" s="70"/>
      <c r="H608" s="63"/>
      <c r="I608" s="63"/>
      <c r="J608" s="63"/>
      <c r="K608" s="16" t="str">
        <f aca="false">IF(AND($A608="",$B608="",$C608="",$E608=""),"",IF($A608="","⚠ Date missing",IF(OR($B608="",$C608=""),"⚠ Site / material missing",IF(COUNTIFS(CI_Site,$B608,CI_Mat,$C608)=0,"⚠ No Current Inventory row for this site + material",IF($G608="","⚠ Status missing",IF(AND($G608="Scheduled",$A608&lt;=AsOfDate),"⚠ Scheduled date reached – mark Received or re-date",IF(AND($G608="Received",$A608&gt;AsOfDate),"Future-dated – added on its date",IF(AND($G608="Received",$A608&lt;SUMIFS(CI_Count,CI_Site,$B608,CI_Mat,$C608)),"Before count date – already in the count","OK"))))))))</f>
        <v/>
      </c>
    </row>
    <row r="609" customFormat="false" ht="15" hidden="false" customHeight="false" outlineLevel="0" collapsed="false">
      <c r="A609" s="65"/>
      <c r="B609" s="63"/>
      <c r="C609" s="70"/>
      <c r="D609" s="16" t="str">
        <f aca="false">IF($C609="","",IFERROR(INDEX(Mat_Short,MATCH($C609,Mat_Code,0)),"⚠ Unknown code"))</f>
        <v/>
      </c>
      <c r="E609" s="66"/>
      <c r="F609" s="64" t="str">
        <f aca="false">IF($C609="","",IFERROR(INDEX(Mat_Unit,MATCH($C609,Mat_Code,0)),""))</f>
        <v/>
      </c>
      <c r="G609" s="70"/>
      <c r="H609" s="63"/>
      <c r="I609" s="63"/>
      <c r="J609" s="63"/>
      <c r="K609" s="16" t="str">
        <f aca="false">IF(AND($A609="",$B609="",$C609="",$E609=""),"",IF($A609="","⚠ Date missing",IF(OR($B609="",$C609=""),"⚠ Site / material missing",IF(COUNTIFS(CI_Site,$B609,CI_Mat,$C609)=0,"⚠ No Current Inventory row for this site + material",IF($G609="","⚠ Status missing",IF(AND($G609="Scheduled",$A609&lt;=AsOfDate),"⚠ Scheduled date reached – mark Received or re-date",IF(AND($G609="Received",$A609&gt;AsOfDate),"Future-dated – added on its date",IF(AND($G609="Received",$A609&lt;SUMIFS(CI_Count,CI_Site,$B609,CI_Mat,$C609)),"Before count date – already in the count","OK"))))))))</f>
        <v/>
      </c>
    </row>
    <row r="610" customFormat="false" ht="15" hidden="false" customHeight="false" outlineLevel="0" collapsed="false">
      <c r="A610" s="65"/>
      <c r="B610" s="63"/>
      <c r="C610" s="70"/>
      <c r="D610" s="16" t="str">
        <f aca="false">IF($C610="","",IFERROR(INDEX(Mat_Short,MATCH($C610,Mat_Code,0)),"⚠ Unknown code"))</f>
        <v/>
      </c>
      <c r="E610" s="66"/>
      <c r="F610" s="64" t="str">
        <f aca="false">IF($C610="","",IFERROR(INDEX(Mat_Unit,MATCH($C610,Mat_Code,0)),""))</f>
        <v/>
      </c>
      <c r="G610" s="70"/>
      <c r="H610" s="63"/>
      <c r="I610" s="63"/>
      <c r="J610" s="63"/>
      <c r="K610" s="16" t="str">
        <f aca="false">IF(AND($A610="",$B610="",$C610="",$E610=""),"",IF($A610="","⚠ Date missing",IF(OR($B610="",$C610=""),"⚠ Site / material missing",IF(COUNTIFS(CI_Site,$B610,CI_Mat,$C610)=0,"⚠ No Current Inventory row for this site + material",IF($G610="","⚠ Status missing",IF(AND($G610="Scheduled",$A610&lt;=AsOfDate),"⚠ Scheduled date reached – mark Received or re-date",IF(AND($G610="Received",$A610&gt;AsOfDate),"Future-dated – added on its date",IF(AND($G610="Received",$A610&lt;SUMIFS(CI_Count,CI_Site,$B610,CI_Mat,$C610)),"Before count date – already in the count","OK"))))))))</f>
        <v/>
      </c>
    </row>
    <row r="611" customFormat="false" ht="15" hidden="false" customHeight="false" outlineLevel="0" collapsed="false">
      <c r="A611" s="65"/>
      <c r="B611" s="63"/>
      <c r="C611" s="70"/>
      <c r="D611" s="16" t="str">
        <f aca="false">IF($C611="","",IFERROR(INDEX(Mat_Short,MATCH($C611,Mat_Code,0)),"⚠ Unknown code"))</f>
        <v/>
      </c>
      <c r="E611" s="66"/>
      <c r="F611" s="64" t="str">
        <f aca="false">IF($C611="","",IFERROR(INDEX(Mat_Unit,MATCH($C611,Mat_Code,0)),""))</f>
        <v/>
      </c>
      <c r="G611" s="70"/>
      <c r="H611" s="63"/>
      <c r="I611" s="63"/>
      <c r="J611" s="63"/>
      <c r="K611" s="16" t="str">
        <f aca="false">IF(AND($A611="",$B611="",$C611="",$E611=""),"",IF($A611="","⚠ Date missing",IF(OR($B611="",$C611=""),"⚠ Site / material missing",IF(COUNTIFS(CI_Site,$B611,CI_Mat,$C611)=0,"⚠ No Current Inventory row for this site + material",IF($G611="","⚠ Status missing",IF(AND($G611="Scheduled",$A611&lt;=AsOfDate),"⚠ Scheduled date reached – mark Received or re-date",IF(AND($G611="Received",$A611&gt;AsOfDate),"Future-dated – added on its date",IF(AND($G611="Received",$A611&lt;SUMIFS(CI_Count,CI_Site,$B611,CI_Mat,$C611)),"Before count date – already in the count","OK"))))))))</f>
        <v/>
      </c>
    </row>
    <row r="612" customFormat="false" ht="15" hidden="false" customHeight="false" outlineLevel="0" collapsed="false">
      <c r="A612" s="65"/>
      <c r="B612" s="63"/>
      <c r="C612" s="70"/>
      <c r="D612" s="16" t="str">
        <f aca="false">IF($C612="","",IFERROR(INDEX(Mat_Short,MATCH($C612,Mat_Code,0)),"⚠ Unknown code"))</f>
        <v/>
      </c>
      <c r="E612" s="66"/>
      <c r="F612" s="64" t="str">
        <f aca="false">IF($C612="","",IFERROR(INDEX(Mat_Unit,MATCH($C612,Mat_Code,0)),""))</f>
        <v/>
      </c>
      <c r="G612" s="70"/>
      <c r="H612" s="63"/>
      <c r="I612" s="63"/>
      <c r="J612" s="63"/>
      <c r="K612" s="16" t="str">
        <f aca="false">IF(AND($A612="",$B612="",$C612="",$E612=""),"",IF($A612="","⚠ Date missing",IF(OR($B612="",$C612=""),"⚠ Site / material missing",IF(COUNTIFS(CI_Site,$B612,CI_Mat,$C612)=0,"⚠ No Current Inventory row for this site + material",IF($G612="","⚠ Status missing",IF(AND($G612="Scheduled",$A612&lt;=AsOfDate),"⚠ Scheduled date reached – mark Received or re-date",IF(AND($G612="Received",$A612&gt;AsOfDate),"Future-dated – added on its date",IF(AND($G612="Received",$A612&lt;SUMIFS(CI_Count,CI_Site,$B612,CI_Mat,$C612)),"Before count date – already in the count","OK"))))))))</f>
        <v/>
      </c>
    </row>
    <row r="613" customFormat="false" ht="15" hidden="false" customHeight="false" outlineLevel="0" collapsed="false">
      <c r="A613" s="65"/>
      <c r="B613" s="63"/>
      <c r="C613" s="70"/>
      <c r="D613" s="16" t="str">
        <f aca="false">IF($C613="","",IFERROR(INDEX(Mat_Short,MATCH($C613,Mat_Code,0)),"⚠ Unknown code"))</f>
        <v/>
      </c>
      <c r="E613" s="66"/>
      <c r="F613" s="64" t="str">
        <f aca="false">IF($C613="","",IFERROR(INDEX(Mat_Unit,MATCH($C613,Mat_Code,0)),""))</f>
        <v/>
      </c>
      <c r="G613" s="70"/>
      <c r="H613" s="63"/>
      <c r="I613" s="63"/>
      <c r="J613" s="63"/>
      <c r="K613" s="16" t="str">
        <f aca="false">IF(AND($A613="",$B613="",$C613="",$E613=""),"",IF($A613="","⚠ Date missing",IF(OR($B613="",$C613=""),"⚠ Site / material missing",IF(COUNTIFS(CI_Site,$B613,CI_Mat,$C613)=0,"⚠ No Current Inventory row for this site + material",IF($G613="","⚠ Status missing",IF(AND($G613="Scheduled",$A613&lt;=AsOfDate),"⚠ Scheduled date reached – mark Received or re-date",IF(AND($G613="Received",$A613&gt;AsOfDate),"Future-dated – added on its date",IF(AND($G613="Received",$A613&lt;SUMIFS(CI_Count,CI_Site,$B613,CI_Mat,$C613)),"Before count date – already in the count","OK"))))))))</f>
        <v/>
      </c>
    </row>
    <row r="614" customFormat="false" ht="15" hidden="false" customHeight="false" outlineLevel="0" collapsed="false">
      <c r="A614" s="65"/>
      <c r="B614" s="63"/>
      <c r="C614" s="70"/>
      <c r="D614" s="16" t="str">
        <f aca="false">IF($C614="","",IFERROR(INDEX(Mat_Short,MATCH($C614,Mat_Code,0)),"⚠ Unknown code"))</f>
        <v/>
      </c>
      <c r="E614" s="66"/>
      <c r="F614" s="64" t="str">
        <f aca="false">IF($C614="","",IFERROR(INDEX(Mat_Unit,MATCH($C614,Mat_Code,0)),""))</f>
        <v/>
      </c>
      <c r="G614" s="70"/>
      <c r="H614" s="63"/>
      <c r="I614" s="63"/>
      <c r="J614" s="63"/>
      <c r="K614" s="16" t="str">
        <f aca="false">IF(AND($A614="",$B614="",$C614="",$E614=""),"",IF($A614="","⚠ Date missing",IF(OR($B614="",$C614=""),"⚠ Site / material missing",IF(COUNTIFS(CI_Site,$B614,CI_Mat,$C614)=0,"⚠ No Current Inventory row for this site + material",IF($G614="","⚠ Status missing",IF(AND($G614="Scheduled",$A614&lt;=AsOfDate),"⚠ Scheduled date reached – mark Received or re-date",IF(AND($G614="Received",$A614&gt;AsOfDate),"Future-dated – added on its date",IF(AND($G614="Received",$A614&lt;SUMIFS(CI_Count,CI_Site,$B614,CI_Mat,$C614)),"Before count date – already in the count","OK"))))))))</f>
        <v/>
      </c>
    </row>
    <row r="615" customFormat="false" ht="15" hidden="false" customHeight="false" outlineLevel="0" collapsed="false">
      <c r="A615" s="65"/>
      <c r="B615" s="63"/>
      <c r="C615" s="70"/>
      <c r="D615" s="16" t="str">
        <f aca="false">IF($C615="","",IFERROR(INDEX(Mat_Short,MATCH($C615,Mat_Code,0)),"⚠ Unknown code"))</f>
        <v/>
      </c>
      <c r="E615" s="66"/>
      <c r="F615" s="64" t="str">
        <f aca="false">IF($C615="","",IFERROR(INDEX(Mat_Unit,MATCH($C615,Mat_Code,0)),""))</f>
        <v/>
      </c>
      <c r="G615" s="70"/>
      <c r="H615" s="63"/>
      <c r="I615" s="63"/>
      <c r="J615" s="63"/>
      <c r="K615" s="16" t="str">
        <f aca="false">IF(AND($A615="",$B615="",$C615="",$E615=""),"",IF($A615="","⚠ Date missing",IF(OR($B615="",$C615=""),"⚠ Site / material missing",IF(COUNTIFS(CI_Site,$B615,CI_Mat,$C615)=0,"⚠ No Current Inventory row for this site + material",IF($G615="","⚠ Status missing",IF(AND($G615="Scheduled",$A615&lt;=AsOfDate),"⚠ Scheduled date reached – mark Received or re-date",IF(AND($G615="Received",$A615&gt;AsOfDate),"Future-dated – added on its date",IF(AND($G615="Received",$A615&lt;SUMIFS(CI_Count,CI_Site,$B615,CI_Mat,$C615)),"Before count date – already in the count","OK"))))))))</f>
        <v/>
      </c>
    </row>
    <row r="616" customFormat="false" ht="15" hidden="false" customHeight="false" outlineLevel="0" collapsed="false">
      <c r="A616" s="65"/>
      <c r="B616" s="63"/>
      <c r="C616" s="70"/>
      <c r="D616" s="16" t="str">
        <f aca="false">IF($C616="","",IFERROR(INDEX(Mat_Short,MATCH($C616,Mat_Code,0)),"⚠ Unknown code"))</f>
        <v/>
      </c>
      <c r="E616" s="66"/>
      <c r="F616" s="64" t="str">
        <f aca="false">IF($C616="","",IFERROR(INDEX(Mat_Unit,MATCH($C616,Mat_Code,0)),""))</f>
        <v/>
      </c>
      <c r="G616" s="70"/>
      <c r="H616" s="63"/>
      <c r="I616" s="63"/>
      <c r="J616" s="63"/>
      <c r="K616" s="16" t="str">
        <f aca="false">IF(AND($A616="",$B616="",$C616="",$E616=""),"",IF($A616="","⚠ Date missing",IF(OR($B616="",$C616=""),"⚠ Site / material missing",IF(COUNTIFS(CI_Site,$B616,CI_Mat,$C616)=0,"⚠ No Current Inventory row for this site + material",IF($G616="","⚠ Status missing",IF(AND($G616="Scheduled",$A616&lt;=AsOfDate),"⚠ Scheduled date reached – mark Received or re-date",IF(AND($G616="Received",$A616&gt;AsOfDate),"Future-dated – added on its date",IF(AND($G616="Received",$A616&lt;SUMIFS(CI_Count,CI_Site,$B616,CI_Mat,$C616)),"Before count date – already in the count","OK"))))))))</f>
        <v/>
      </c>
    </row>
    <row r="617" customFormat="false" ht="15" hidden="false" customHeight="false" outlineLevel="0" collapsed="false">
      <c r="A617" s="65"/>
      <c r="B617" s="63"/>
      <c r="C617" s="70"/>
      <c r="D617" s="16" t="str">
        <f aca="false">IF($C617="","",IFERROR(INDEX(Mat_Short,MATCH($C617,Mat_Code,0)),"⚠ Unknown code"))</f>
        <v/>
      </c>
      <c r="E617" s="66"/>
      <c r="F617" s="64" t="str">
        <f aca="false">IF($C617="","",IFERROR(INDEX(Mat_Unit,MATCH($C617,Mat_Code,0)),""))</f>
        <v/>
      </c>
      <c r="G617" s="70"/>
      <c r="H617" s="63"/>
      <c r="I617" s="63"/>
      <c r="J617" s="63"/>
      <c r="K617" s="16" t="str">
        <f aca="false">IF(AND($A617="",$B617="",$C617="",$E617=""),"",IF($A617="","⚠ Date missing",IF(OR($B617="",$C617=""),"⚠ Site / material missing",IF(COUNTIFS(CI_Site,$B617,CI_Mat,$C617)=0,"⚠ No Current Inventory row for this site + material",IF($G617="","⚠ Status missing",IF(AND($G617="Scheduled",$A617&lt;=AsOfDate),"⚠ Scheduled date reached – mark Received or re-date",IF(AND($G617="Received",$A617&gt;AsOfDate),"Future-dated – added on its date",IF(AND($G617="Received",$A617&lt;SUMIFS(CI_Count,CI_Site,$B617,CI_Mat,$C617)),"Before count date – already in the count","OK"))))))))</f>
        <v/>
      </c>
    </row>
    <row r="618" customFormat="false" ht="15" hidden="false" customHeight="false" outlineLevel="0" collapsed="false">
      <c r="A618" s="65"/>
      <c r="B618" s="63"/>
      <c r="C618" s="70"/>
      <c r="D618" s="16" t="str">
        <f aca="false">IF($C618="","",IFERROR(INDEX(Mat_Short,MATCH($C618,Mat_Code,0)),"⚠ Unknown code"))</f>
        <v/>
      </c>
      <c r="E618" s="66"/>
      <c r="F618" s="64" t="str">
        <f aca="false">IF($C618="","",IFERROR(INDEX(Mat_Unit,MATCH($C618,Mat_Code,0)),""))</f>
        <v/>
      </c>
      <c r="G618" s="70"/>
      <c r="H618" s="63"/>
      <c r="I618" s="63"/>
      <c r="J618" s="63"/>
      <c r="K618" s="16" t="str">
        <f aca="false">IF(AND($A618="",$B618="",$C618="",$E618=""),"",IF($A618="","⚠ Date missing",IF(OR($B618="",$C618=""),"⚠ Site / material missing",IF(COUNTIFS(CI_Site,$B618,CI_Mat,$C618)=0,"⚠ No Current Inventory row for this site + material",IF($G618="","⚠ Status missing",IF(AND($G618="Scheduled",$A618&lt;=AsOfDate),"⚠ Scheduled date reached – mark Received or re-date",IF(AND($G618="Received",$A618&gt;AsOfDate),"Future-dated – added on its date",IF(AND($G618="Received",$A618&lt;SUMIFS(CI_Count,CI_Site,$B618,CI_Mat,$C618)),"Before count date – already in the count","OK"))))))))</f>
        <v/>
      </c>
    </row>
    <row r="619" customFormat="false" ht="15" hidden="false" customHeight="false" outlineLevel="0" collapsed="false">
      <c r="A619" s="65"/>
      <c r="B619" s="63"/>
      <c r="C619" s="70"/>
      <c r="D619" s="16" t="str">
        <f aca="false">IF($C619="","",IFERROR(INDEX(Mat_Short,MATCH($C619,Mat_Code,0)),"⚠ Unknown code"))</f>
        <v/>
      </c>
      <c r="E619" s="66"/>
      <c r="F619" s="64" t="str">
        <f aca="false">IF($C619="","",IFERROR(INDEX(Mat_Unit,MATCH($C619,Mat_Code,0)),""))</f>
        <v/>
      </c>
      <c r="G619" s="70"/>
      <c r="H619" s="63"/>
      <c r="I619" s="63"/>
      <c r="J619" s="63"/>
      <c r="K619" s="16" t="str">
        <f aca="false">IF(AND($A619="",$B619="",$C619="",$E619=""),"",IF($A619="","⚠ Date missing",IF(OR($B619="",$C619=""),"⚠ Site / material missing",IF(COUNTIFS(CI_Site,$B619,CI_Mat,$C619)=0,"⚠ No Current Inventory row for this site + material",IF($G619="","⚠ Status missing",IF(AND($G619="Scheduled",$A619&lt;=AsOfDate),"⚠ Scheduled date reached – mark Received or re-date",IF(AND($G619="Received",$A619&gt;AsOfDate),"Future-dated – added on its date",IF(AND($G619="Received",$A619&lt;SUMIFS(CI_Count,CI_Site,$B619,CI_Mat,$C619)),"Before count date – already in the count","OK"))))))))</f>
        <v/>
      </c>
    </row>
    <row r="620" customFormat="false" ht="15" hidden="false" customHeight="false" outlineLevel="0" collapsed="false">
      <c r="A620" s="65"/>
      <c r="B620" s="63"/>
      <c r="C620" s="70"/>
      <c r="D620" s="16" t="str">
        <f aca="false">IF($C620="","",IFERROR(INDEX(Mat_Short,MATCH($C620,Mat_Code,0)),"⚠ Unknown code"))</f>
        <v/>
      </c>
      <c r="E620" s="66"/>
      <c r="F620" s="64" t="str">
        <f aca="false">IF($C620="","",IFERROR(INDEX(Mat_Unit,MATCH($C620,Mat_Code,0)),""))</f>
        <v/>
      </c>
      <c r="G620" s="70"/>
      <c r="H620" s="63"/>
      <c r="I620" s="63"/>
      <c r="J620" s="63"/>
      <c r="K620" s="16" t="str">
        <f aca="false">IF(AND($A620="",$B620="",$C620="",$E620=""),"",IF($A620="","⚠ Date missing",IF(OR($B620="",$C620=""),"⚠ Site / material missing",IF(COUNTIFS(CI_Site,$B620,CI_Mat,$C620)=0,"⚠ No Current Inventory row for this site + material",IF($G620="","⚠ Status missing",IF(AND($G620="Scheduled",$A620&lt;=AsOfDate),"⚠ Scheduled date reached – mark Received or re-date",IF(AND($G620="Received",$A620&gt;AsOfDate),"Future-dated – added on its date",IF(AND($G620="Received",$A620&lt;SUMIFS(CI_Count,CI_Site,$B620,CI_Mat,$C620)),"Before count date – already in the count","OK"))))))))</f>
        <v/>
      </c>
    </row>
    <row r="621" customFormat="false" ht="15" hidden="false" customHeight="false" outlineLevel="0" collapsed="false">
      <c r="A621" s="65"/>
      <c r="B621" s="63"/>
      <c r="C621" s="70"/>
      <c r="D621" s="16" t="str">
        <f aca="false">IF($C621="","",IFERROR(INDEX(Mat_Short,MATCH($C621,Mat_Code,0)),"⚠ Unknown code"))</f>
        <v/>
      </c>
      <c r="E621" s="66"/>
      <c r="F621" s="64" t="str">
        <f aca="false">IF($C621="","",IFERROR(INDEX(Mat_Unit,MATCH($C621,Mat_Code,0)),""))</f>
        <v/>
      </c>
      <c r="G621" s="70"/>
      <c r="H621" s="63"/>
      <c r="I621" s="63"/>
      <c r="J621" s="63"/>
      <c r="K621" s="16" t="str">
        <f aca="false">IF(AND($A621="",$B621="",$C621="",$E621=""),"",IF($A621="","⚠ Date missing",IF(OR($B621="",$C621=""),"⚠ Site / material missing",IF(COUNTIFS(CI_Site,$B621,CI_Mat,$C621)=0,"⚠ No Current Inventory row for this site + material",IF($G621="","⚠ Status missing",IF(AND($G621="Scheduled",$A621&lt;=AsOfDate),"⚠ Scheduled date reached – mark Received or re-date",IF(AND($G621="Received",$A621&gt;AsOfDate),"Future-dated – added on its date",IF(AND($G621="Received",$A621&lt;SUMIFS(CI_Count,CI_Site,$B621,CI_Mat,$C621)),"Before count date – already in the count","OK"))))))))</f>
        <v/>
      </c>
    </row>
    <row r="622" customFormat="false" ht="15" hidden="false" customHeight="false" outlineLevel="0" collapsed="false">
      <c r="A622" s="65"/>
      <c r="B622" s="63"/>
      <c r="C622" s="70"/>
      <c r="D622" s="16" t="str">
        <f aca="false">IF($C622="","",IFERROR(INDEX(Mat_Short,MATCH($C622,Mat_Code,0)),"⚠ Unknown code"))</f>
        <v/>
      </c>
      <c r="E622" s="66"/>
      <c r="F622" s="64" t="str">
        <f aca="false">IF($C622="","",IFERROR(INDEX(Mat_Unit,MATCH($C622,Mat_Code,0)),""))</f>
        <v/>
      </c>
      <c r="G622" s="70"/>
      <c r="H622" s="63"/>
      <c r="I622" s="63"/>
      <c r="J622" s="63"/>
      <c r="K622" s="16" t="str">
        <f aca="false">IF(AND($A622="",$B622="",$C622="",$E622=""),"",IF($A622="","⚠ Date missing",IF(OR($B622="",$C622=""),"⚠ Site / material missing",IF(COUNTIFS(CI_Site,$B622,CI_Mat,$C622)=0,"⚠ No Current Inventory row for this site + material",IF($G622="","⚠ Status missing",IF(AND($G622="Scheduled",$A622&lt;=AsOfDate),"⚠ Scheduled date reached – mark Received or re-date",IF(AND($G622="Received",$A622&gt;AsOfDate),"Future-dated – added on its date",IF(AND($G622="Received",$A622&lt;SUMIFS(CI_Count,CI_Site,$B622,CI_Mat,$C622)),"Before count date – already in the count","OK"))))))))</f>
        <v/>
      </c>
    </row>
    <row r="623" customFormat="false" ht="15" hidden="false" customHeight="false" outlineLevel="0" collapsed="false">
      <c r="A623" s="65"/>
      <c r="B623" s="63"/>
      <c r="C623" s="70"/>
      <c r="D623" s="16" t="str">
        <f aca="false">IF($C623="","",IFERROR(INDEX(Mat_Short,MATCH($C623,Mat_Code,0)),"⚠ Unknown code"))</f>
        <v/>
      </c>
      <c r="E623" s="66"/>
      <c r="F623" s="64" t="str">
        <f aca="false">IF($C623="","",IFERROR(INDEX(Mat_Unit,MATCH($C623,Mat_Code,0)),""))</f>
        <v/>
      </c>
      <c r="G623" s="70"/>
      <c r="H623" s="63"/>
      <c r="I623" s="63"/>
      <c r="J623" s="63"/>
      <c r="K623" s="16" t="str">
        <f aca="false">IF(AND($A623="",$B623="",$C623="",$E623=""),"",IF($A623="","⚠ Date missing",IF(OR($B623="",$C623=""),"⚠ Site / material missing",IF(COUNTIFS(CI_Site,$B623,CI_Mat,$C623)=0,"⚠ No Current Inventory row for this site + material",IF($G623="","⚠ Status missing",IF(AND($G623="Scheduled",$A623&lt;=AsOfDate),"⚠ Scheduled date reached – mark Received or re-date",IF(AND($G623="Received",$A623&gt;AsOfDate),"Future-dated – added on its date",IF(AND($G623="Received",$A623&lt;SUMIFS(CI_Count,CI_Site,$B623,CI_Mat,$C623)),"Before count date – already in the count","OK"))))))))</f>
        <v/>
      </c>
    </row>
    <row r="624" customFormat="false" ht="15" hidden="false" customHeight="false" outlineLevel="0" collapsed="false">
      <c r="A624" s="65"/>
      <c r="B624" s="63"/>
      <c r="C624" s="70"/>
      <c r="D624" s="16" t="str">
        <f aca="false">IF($C624="","",IFERROR(INDEX(Mat_Short,MATCH($C624,Mat_Code,0)),"⚠ Unknown code"))</f>
        <v/>
      </c>
      <c r="E624" s="66"/>
      <c r="F624" s="64" t="str">
        <f aca="false">IF($C624="","",IFERROR(INDEX(Mat_Unit,MATCH($C624,Mat_Code,0)),""))</f>
        <v/>
      </c>
      <c r="G624" s="70"/>
      <c r="H624" s="63"/>
      <c r="I624" s="63"/>
      <c r="J624" s="63"/>
      <c r="K624" s="16" t="str">
        <f aca="false">IF(AND($A624="",$B624="",$C624="",$E624=""),"",IF($A624="","⚠ Date missing",IF(OR($B624="",$C624=""),"⚠ Site / material missing",IF(COUNTIFS(CI_Site,$B624,CI_Mat,$C624)=0,"⚠ No Current Inventory row for this site + material",IF($G624="","⚠ Status missing",IF(AND($G624="Scheduled",$A624&lt;=AsOfDate),"⚠ Scheduled date reached – mark Received or re-date",IF(AND($G624="Received",$A624&gt;AsOfDate),"Future-dated – added on its date",IF(AND($G624="Received",$A624&lt;SUMIFS(CI_Count,CI_Site,$B624,CI_Mat,$C624)),"Before count date – already in the count","OK"))))))))</f>
        <v/>
      </c>
    </row>
    <row r="625" customFormat="false" ht="15" hidden="false" customHeight="false" outlineLevel="0" collapsed="false">
      <c r="A625" s="65"/>
      <c r="B625" s="63"/>
      <c r="C625" s="70"/>
      <c r="D625" s="16" t="str">
        <f aca="false">IF($C625="","",IFERROR(INDEX(Mat_Short,MATCH($C625,Mat_Code,0)),"⚠ Unknown code"))</f>
        <v/>
      </c>
      <c r="E625" s="66"/>
      <c r="F625" s="64" t="str">
        <f aca="false">IF($C625="","",IFERROR(INDEX(Mat_Unit,MATCH($C625,Mat_Code,0)),""))</f>
        <v/>
      </c>
      <c r="G625" s="70"/>
      <c r="H625" s="63"/>
      <c r="I625" s="63"/>
      <c r="J625" s="63"/>
      <c r="K625" s="16" t="str">
        <f aca="false">IF(AND($A625="",$B625="",$C625="",$E625=""),"",IF($A625="","⚠ Date missing",IF(OR($B625="",$C625=""),"⚠ Site / material missing",IF(COUNTIFS(CI_Site,$B625,CI_Mat,$C625)=0,"⚠ No Current Inventory row for this site + material",IF($G625="","⚠ Status missing",IF(AND($G625="Scheduled",$A625&lt;=AsOfDate),"⚠ Scheduled date reached – mark Received or re-date",IF(AND($G625="Received",$A625&gt;AsOfDate),"Future-dated – added on its date",IF(AND($G625="Received",$A625&lt;SUMIFS(CI_Count,CI_Site,$B625,CI_Mat,$C625)),"Before count date – already in the count","OK"))))))))</f>
        <v/>
      </c>
    </row>
    <row r="626" customFormat="false" ht="15" hidden="false" customHeight="false" outlineLevel="0" collapsed="false">
      <c r="A626" s="65"/>
      <c r="B626" s="63"/>
      <c r="C626" s="70"/>
      <c r="D626" s="16" t="str">
        <f aca="false">IF($C626="","",IFERROR(INDEX(Mat_Short,MATCH($C626,Mat_Code,0)),"⚠ Unknown code"))</f>
        <v/>
      </c>
      <c r="E626" s="66"/>
      <c r="F626" s="64" t="str">
        <f aca="false">IF($C626="","",IFERROR(INDEX(Mat_Unit,MATCH($C626,Mat_Code,0)),""))</f>
        <v/>
      </c>
      <c r="G626" s="70"/>
      <c r="H626" s="63"/>
      <c r="I626" s="63"/>
      <c r="J626" s="63"/>
      <c r="K626" s="16" t="str">
        <f aca="false">IF(AND($A626="",$B626="",$C626="",$E626=""),"",IF($A626="","⚠ Date missing",IF(OR($B626="",$C626=""),"⚠ Site / material missing",IF(COUNTIFS(CI_Site,$B626,CI_Mat,$C626)=0,"⚠ No Current Inventory row for this site + material",IF($G626="","⚠ Status missing",IF(AND($G626="Scheduled",$A626&lt;=AsOfDate),"⚠ Scheduled date reached – mark Received or re-date",IF(AND($G626="Received",$A626&gt;AsOfDate),"Future-dated – added on its date",IF(AND($G626="Received",$A626&lt;SUMIFS(CI_Count,CI_Site,$B626,CI_Mat,$C626)),"Before count date – already in the count","OK"))))))))</f>
        <v/>
      </c>
    </row>
    <row r="627" customFormat="false" ht="15" hidden="false" customHeight="false" outlineLevel="0" collapsed="false">
      <c r="A627" s="65"/>
      <c r="B627" s="63"/>
      <c r="C627" s="70"/>
      <c r="D627" s="16" t="str">
        <f aca="false">IF($C627="","",IFERROR(INDEX(Mat_Short,MATCH($C627,Mat_Code,0)),"⚠ Unknown code"))</f>
        <v/>
      </c>
      <c r="E627" s="66"/>
      <c r="F627" s="64" t="str">
        <f aca="false">IF($C627="","",IFERROR(INDEX(Mat_Unit,MATCH($C627,Mat_Code,0)),""))</f>
        <v/>
      </c>
      <c r="G627" s="70"/>
      <c r="H627" s="63"/>
      <c r="I627" s="63"/>
      <c r="J627" s="63"/>
      <c r="K627" s="16" t="str">
        <f aca="false">IF(AND($A627="",$B627="",$C627="",$E627=""),"",IF($A627="","⚠ Date missing",IF(OR($B627="",$C627=""),"⚠ Site / material missing",IF(COUNTIFS(CI_Site,$B627,CI_Mat,$C627)=0,"⚠ No Current Inventory row for this site + material",IF($G627="","⚠ Status missing",IF(AND($G627="Scheduled",$A627&lt;=AsOfDate),"⚠ Scheduled date reached – mark Received or re-date",IF(AND($G627="Received",$A627&gt;AsOfDate),"Future-dated – added on its date",IF(AND($G627="Received",$A627&lt;SUMIFS(CI_Count,CI_Site,$B627,CI_Mat,$C627)),"Before count date – already in the count","OK"))))))))</f>
        <v/>
      </c>
    </row>
    <row r="628" customFormat="false" ht="15" hidden="false" customHeight="false" outlineLevel="0" collapsed="false">
      <c r="A628" s="65"/>
      <c r="B628" s="63"/>
      <c r="C628" s="70"/>
      <c r="D628" s="16" t="str">
        <f aca="false">IF($C628="","",IFERROR(INDEX(Mat_Short,MATCH($C628,Mat_Code,0)),"⚠ Unknown code"))</f>
        <v/>
      </c>
      <c r="E628" s="66"/>
      <c r="F628" s="64" t="str">
        <f aca="false">IF($C628="","",IFERROR(INDEX(Mat_Unit,MATCH($C628,Mat_Code,0)),""))</f>
        <v/>
      </c>
      <c r="G628" s="70"/>
      <c r="H628" s="63"/>
      <c r="I628" s="63"/>
      <c r="J628" s="63"/>
      <c r="K628" s="16" t="str">
        <f aca="false">IF(AND($A628="",$B628="",$C628="",$E628=""),"",IF($A628="","⚠ Date missing",IF(OR($B628="",$C628=""),"⚠ Site / material missing",IF(COUNTIFS(CI_Site,$B628,CI_Mat,$C628)=0,"⚠ No Current Inventory row for this site + material",IF($G628="","⚠ Status missing",IF(AND($G628="Scheduled",$A628&lt;=AsOfDate),"⚠ Scheduled date reached – mark Received or re-date",IF(AND($G628="Received",$A628&gt;AsOfDate),"Future-dated – added on its date",IF(AND($G628="Received",$A628&lt;SUMIFS(CI_Count,CI_Site,$B628,CI_Mat,$C628)),"Before count date – already in the count","OK"))))))))</f>
        <v/>
      </c>
    </row>
    <row r="629" customFormat="false" ht="15" hidden="false" customHeight="false" outlineLevel="0" collapsed="false">
      <c r="A629" s="65"/>
      <c r="B629" s="63"/>
      <c r="C629" s="70"/>
      <c r="D629" s="16" t="str">
        <f aca="false">IF($C629="","",IFERROR(INDEX(Mat_Short,MATCH($C629,Mat_Code,0)),"⚠ Unknown code"))</f>
        <v/>
      </c>
      <c r="E629" s="66"/>
      <c r="F629" s="64" t="str">
        <f aca="false">IF($C629="","",IFERROR(INDEX(Mat_Unit,MATCH($C629,Mat_Code,0)),""))</f>
        <v/>
      </c>
      <c r="G629" s="70"/>
      <c r="H629" s="63"/>
      <c r="I629" s="63"/>
      <c r="J629" s="63"/>
      <c r="K629" s="16" t="str">
        <f aca="false">IF(AND($A629="",$B629="",$C629="",$E629=""),"",IF($A629="","⚠ Date missing",IF(OR($B629="",$C629=""),"⚠ Site / material missing",IF(COUNTIFS(CI_Site,$B629,CI_Mat,$C629)=0,"⚠ No Current Inventory row for this site + material",IF($G629="","⚠ Status missing",IF(AND($G629="Scheduled",$A629&lt;=AsOfDate),"⚠ Scheduled date reached – mark Received or re-date",IF(AND($G629="Received",$A629&gt;AsOfDate),"Future-dated – added on its date",IF(AND($G629="Received",$A629&lt;SUMIFS(CI_Count,CI_Site,$B629,CI_Mat,$C629)),"Before count date – already in the count","OK"))))))))</f>
        <v/>
      </c>
    </row>
    <row r="630" customFormat="false" ht="15" hidden="false" customHeight="false" outlineLevel="0" collapsed="false">
      <c r="A630" s="65"/>
      <c r="B630" s="63"/>
      <c r="C630" s="70"/>
      <c r="D630" s="16" t="str">
        <f aca="false">IF($C630="","",IFERROR(INDEX(Mat_Short,MATCH($C630,Mat_Code,0)),"⚠ Unknown code"))</f>
        <v/>
      </c>
      <c r="E630" s="66"/>
      <c r="F630" s="64" t="str">
        <f aca="false">IF($C630="","",IFERROR(INDEX(Mat_Unit,MATCH($C630,Mat_Code,0)),""))</f>
        <v/>
      </c>
      <c r="G630" s="70"/>
      <c r="H630" s="63"/>
      <c r="I630" s="63"/>
      <c r="J630" s="63"/>
      <c r="K630" s="16" t="str">
        <f aca="false">IF(AND($A630="",$B630="",$C630="",$E630=""),"",IF($A630="","⚠ Date missing",IF(OR($B630="",$C630=""),"⚠ Site / material missing",IF(COUNTIFS(CI_Site,$B630,CI_Mat,$C630)=0,"⚠ No Current Inventory row for this site + material",IF($G630="","⚠ Status missing",IF(AND($G630="Scheduled",$A630&lt;=AsOfDate),"⚠ Scheduled date reached – mark Received or re-date",IF(AND($G630="Received",$A630&gt;AsOfDate),"Future-dated – added on its date",IF(AND($G630="Received",$A630&lt;SUMIFS(CI_Count,CI_Site,$B630,CI_Mat,$C630)),"Before count date – already in the count","OK"))))))))</f>
        <v/>
      </c>
    </row>
    <row r="631" customFormat="false" ht="15" hidden="false" customHeight="false" outlineLevel="0" collapsed="false">
      <c r="A631" s="65"/>
      <c r="B631" s="63"/>
      <c r="C631" s="70"/>
      <c r="D631" s="16" t="str">
        <f aca="false">IF($C631="","",IFERROR(INDEX(Mat_Short,MATCH($C631,Mat_Code,0)),"⚠ Unknown code"))</f>
        <v/>
      </c>
      <c r="E631" s="66"/>
      <c r="F631" s="64" t="str">
        <f aca="false">IF($C631="","",IFERROR(INDEX(Mat_Unit,MATCH($C631,Mat_Code,0)),""))</f>
        <v/>
      </c>
      <c r="G631" s="70"/>
      <c r="H631" s="63"/>
      <c r="I631" s="63"/>
      <c r="J631" s="63"/>
      <c r="K631" s="16" t="str">
        <f aca="false">IF(AND($A631="",$B631="",$C631="",$E631=""),"",IF($A631="","⚠ Date missing",IF(OR($B631="",$C631=""),"⚠ Site / material missing",IF(COUNTIFS(CI_Site,$B631,CI_Mat,$C631)=0,"⚠ No Current Inventory row for this site + material",IF($G631="","⚠ Status missing",IF(AND($G631="Scheduled",$A631&lt;=AsOfDate),"⚠ Scheduled date reached – mark Received or re-date",IF(AND($G631="Received",$A631&gt;AsOfDate),"Future-dated – added on its date",IF(AND($G631="Received",$A631&lt;SUMIFS(CI_Count,CI_Site,$B631,CI_Mat,$C631)),"Before count date – already in the count","OK"))))))))</f>
        <v/>
      </c>
    </row>
    <row r="632" customFormat="false" ht="15" hidden="false" customHeight="false" outlineLevel="0" collapsed="false">
      <c r="A632" s="65"/>
      <c r="B632" s="63"/>
      <c r="C632" s="70"/>
      <c r="D632" s="16" t="str">
        <f aca="false">IF($C632="","",IFERROR(INDEX(Mat_Short,MATCH($C632,Mat_Code,0)),"⚠ Unknown code"))</f>
        <v/>
      </c>
      <c r="E632" s="66"/>
      <c r="F632" s="64" t="str">
        <f aca="false">IF($C632="","",IFERROR(INDEX(Mat_Unit,MATCH($C632,Mat_Code,0)),""))</f>
        <v/>
      </c>
      <c r="G632" s="70"/>
      <c r="H632" s="63"/>
      <c r="I632" s="63"/>
      <c r="J632" s="63"/>
      <c r="K632" s="16" t="str">
        <f aca="false">IF(AND($A632="",$B632="",$C632="",$E632=""),"",IF($A632="","⚠ Date missing",IF(OR($B632="",$C632=""),"⚠ Site / material missing",IF(COUNTIFS(CI_Site,$B632,CI_Mat,$C632)=0,"⚠ No Current Inventory row for this site + material",IF($G632="","⚠ Status missing",IF(AND($G632="Scheduled",$A632&lt;=AsOfDate),"⚠ Scheduled date reached – mark Received or re-date",IF(AND($G632="Received",$A632&gt;AsOfDate),"Future-dated – added on its date",IF(AND($G632="Received",$A632&lt;SUMIFS(CI_Count,CI_Site,$B632,CI_Mat,$C632)),"Before count date – already in the count","OK"))))))))</f>
        <v/>
      </c>
    </row>
    <row r="633" customFormat="false" ht="15" hidden="false" customHeight="false" outlineLevel="0" collapsed="false">
      <c r="A633" s="65"/>
      <c r="B633" s="63"/>
      <c r="C633" s="70"/>
      <c r="D633" s="16" t="str">
        <f aca="false">IF($C633="","",IFERROR(INDEX(Mat_Short,MATCH($C633,Mat_Code,0)),"⚠ Unknown code"))</f>
        <v/>
      </c>
      <c r="E633" s="66"/>
      <c r="F633" s="64" t="str">
        <f aca="false">IF($C633="","",IFERROR(INDEX(Mat_Unit,MATCH($C633,Mat_Code,0)),""))</f>
        <v/>
      </c>
      <c r="G633" s="70"/>
      <c r="H633" s="63"/>
      <c r="I633" s="63"/>
      <c r="J633" s="63"/>
      <c r="K633" s="16" t="str">
        <f aca="false">IF(AND($A633="",$B633="",$C633="",$E633=""),"",IF($A633="","⚠ Date missing",IF(OR($B633="",$C633=""),"⚠ Site / material missing",IF(COUNTIFS(CI_Site,$B633,CI_Mat,$C633)=0,"⚠ No Current Inventory row for this site + material",IF($G633="","⚠ Status missing",IF(AND($G633="Scheduled",$A633&lt;=AsOfDate),"⚠ Scheduled date reached – mark Received or re-date",IF(AND($G633="Received",$A633&gt;AsOfDate),"Future-dated – added on its date",IF(AND($G633="Received",$A633&lt;SUMIFS(CI_Count,CI_Site,$B633,CI_Mat,$C633)),"Before count date – already in the count","OK"))))))))</f>
        <v/>
      </c>
    </row>
    <row r="634" customFormat="false" ht="15" hidden="false" customHeight="false" outlineLevel="0" collapsed="false">
      <c r="A634" s="65"/>
      <c r="B634" s="63"/>
      <c r="C634" s="70"/>
      <c r="D634" s="16" t="str">
        <f aca="false">IF($C634="","",IFERROR(INDEX(Mat_Short,MATCH($C634,Mat_Code,0)),"⚠ Unknown code"))</f>
        <v/>
      </c>
      <c r="E634" s="66"/>
      <c r="F634" s="64" t="str">
        <f aca="false">IF($C634="","",IFERROR(INDEX(Mat_Unit,MATCH($C634,Mat_Code,0)),""))</f>
        <v/>
      </c>
      <c r="G634" s="70"/>
      <c r="H634" s="63"/>
      <c r="I634" s="63"/>
      <c r="J634" s="63"/>
      <c r="K634" s="16" t="str">
        <f aca="false">IF(AND($A634="",$B634="",$C634="",$E634=""),"",IF($A634="","⚠ Date missing",IF(OR($B634="",$C634=""),"⚠ Site / material missing",IF(COUNTIFS(CI_Site,$B634,CI_Mat,$C634)=0,"⚠ No Current Inventory row for this site + material",IF($G634="","⚠ Status missing",IF(AND($G634="Scheduled",$A634&lt;=AsOfDate),"⚠ Scheduled date reached – mark Received or re-date",IF(AND($G634="Received",$A634&gt;AsOfDate),"Future-dated – added on its date",IF(AND($G634="Received",$A634&lt;SUMIFS(CI_Count,CI_Site,$B634,CI_Mat,$C634)),"Before count date – already in the count","OK"))))))))</f>
        <v/>
      </c>
    </row>
    <row r="635" customFormat="false" ht="15" hidden="false" customHeight="false" outlineLevel="0" collapsed="false">
      <c r="A635" s="65"/>
      <c r="B635" s="63"/>
      <c r="C635" s="70"/>
      <c r="D635" s="16" t="str">
        <f aca="false">IF($C635="","",IFERROR(INDEX(Mat_Short,MATCH($C635,Mat_Code,0)),"⚠ Unknown code"))</f>
        <v/>
      </c>
      <c r="E635" s="66"/>
      <c r="F635" s="64" t="str">
        <f aca="false">IF($C635="","",IFERROR(INDEX(Mat_Unit,MATCH($C635,Mat_Code,0)),""))</f>
        <v/>
      </c>
      <c r="G635" s="70"/>
      <c r="H635" s="63"/>
      <c r="I635" s="63"/>
      <c r="J635" s="63"/>
      <c r="K635" s="16" t="str">
        <f aca="false">IF(AND($A635="",$B635="",$C635="",$E635=""),"",IF($A635="","⚠ Date missing",IF(OR($B635="",$C635=""),"⚠ Site / material missing",IF(COUNTIFS(CI_Site,$B635,CI_Mat,$C635)=0,"⚠ No Current Inventory row for this site + material",IF($G635="","⚠ Status missing",IF(AND($G635="Scheduled",$A635&lt;=AsOfDate),"⚠ Scheduled date reached – mark Received or re-date",IF(AND($G635="Received",$A635&gt;AsOfDate),"Future-dated – added on its date",IF(AND($G635="Received",$A635&lt;SUMIFS(CI_Count,CI_Site,$B635,CI_Mat,$C635)),"Before count date – already in the count","OK"))))))))</f>
        <v/>
      </c>
    </row>
    <row r="636" customFormat="false" ht="15" hidden="false" customHeight="false" outlineLevel="0" collapsed="false">
      <c r="A636" s="65"/>
      <c r="B636" s="63"/>
      <c r="C636" s="70"/>
      <c r="D636" s="16" t="str">
        <f aca="false">IF($C636="","",IFERROR(INDEX(Mat_Short,MATCH($C636,Mat_Code,0)),"⚠ Unknown code"))</f>
        <v/>
      </c>
      <c r="E636" s="66"/>
      <c r="F636" s="64" t="str">
        <f aca="false">IF($C636="","",IFERROR(INDEX(Mat_Unit,MATCH($C636,Mat_Code,0)),""))</f>
        <v/>
      </c>
      <c r="G636" s="70"/>
      <c r="H636" s="63"/>
      <c r="I636" s="63"/>
      <c r="J636" s="63"/>
      <c r="K636" s="16" t="str">
        <f aca="false">IF(AND($A636="",$B636="",$C636="",$E636=""),"",IF($A636="","⚠ Date missing",IF(OR($B636="",$C636=""),"⚠ Site / material missing",IF(COUNTIFS(CI_Site,$B636,CI_Mat,$C636)=0,"⚠ No Current Inventory row for this site + material",IF($G636="","⚠ Status missing",IF(AND($G636="Scheduled",$A636&lt;=AsOfDate),"⚠ Scheduled date reached – mark Received or re-date",IF(AND($G636="Received",$A636&gt;AsOfDate),"Future-dated – added on its date",IF(AND($G636="Received",$A636&lt;SUMIFS(CI_Count,CI_Site,$B636,CI_Mat,$C636)),"Before count date – already in the count","OK"))))))))</f>
        <v/>
      </c>
    </row>
    <row r="637" customFormat="false" ht="15" hidden="false" customHeight="false" outlineLevel="0" collapsed="false">
      <c r="A637" s="65"/>
      <c r="B637" s="63"/>
      <c r="C637" s="70"/>
      <c r="D637" s="16" t="str">
        <f aca="false">IF($C637="","",IFERROR(INDEX(Mat_Short,MATCH($C637,Mat_Code,0)),"⚠ Unknown code"))</f>
        <v/>
      </c>
      <c r="E637" s="66"/>
      <c r="F637" s="64" t="str">
        <f aca="false">IF($C637="","",IFERROR(INDEX(Mat_Unit,MATCH($C637,Mat_Code,0)),""))</f>
        <v/>
      </c>
      <c r="G637" s="70"/>
      <c r="H637" s="63"/>
      <c r="I637" s="63"/>
      <c r="J637" s="63"/>
      <c r="K637" s="16" t="str">
        <f aca="false">IF(AND($A637="",$B637="",$C637="",$E637=""),"",IF($A637="","⚠ Date missing",IF(OR($B637="",$C637=""),"⚠ Site / material missing",IF(COUNTIFS(CI_Site,$B637,CI_Mat,$C637)=0,"⚠ No Current Inventory row for this site + material",IF($G637="","⚠ Status missing",IF(AND($G637="Scheduled",$A637&lt;=AsOfDate),"⚠ Scheduled date reached – mark Received or re-date",IF(AND($G637="Received",$A637&gt;AsOfDate),"Future-dated – added on its date",IF(AND($G637="Received",$A637&lt;SUMIFS(CI_Count,CI_Site,$B637,CI_Mat,$C637)),"Before count date – already in the count","OK"))))))))</f>
        <v/>
      </c>
    </row>
    <row r="638" customFormat="false" ht="15" hidden="false" customHeight="false" outlineLevel="0" collapsed="false">
      <c r="A638" s="65"/>
      <c r="B638" s="63"/>
      <c r="C638" s="70"/>
      <c r="D638" s="16" t="str">
        <f aca="false">IF($C638="","",IFERROR(INDEX(Mat_Short,MATCH($C638,Mat_Code,0)),"⚠ Unknown code"))</f>
        <v/>
      </c>
      <c r="E638" s="66"/>
      <c r="F638" s="64" t="str">
        <f aca="false">IF($C638="","",IFERROR(INDEX(Mat_Unit,MATCH($C638,Mat_Code,0)),""))</f>
        <v/>
      </c>
      <c r="G638" s="70"/>
      <c r="H638" s="63"/>
      <c r="I638" s="63"/>
      <c r="J638" s="63"/>
      <c r="K638" s="16" t="str">
        <f aca="false">IF(AND($A638="",$B638="",$C638="",$E638=""),"",IF($A638="","⚠ Date missing",IF(OR($B638="",$C638=""),"⚠ Site / material missing",IF(COUNTIFS(CI_Site,$B638,CI_Mat,$C638)=0,"⚠ No Current Inventory row for this site + material",IF($G638="","⚠ Status missing",IF(AND($G638="Scheduled",$A638&lt;=AsOfDate),"⚠ Scheduled date reached – mark Received or re-date",IF(AND($G638="Received",$A638&gt;AsOfDate),"Future-dated – added on its date",IF(AND($G638="Received",$A638&lt;SUMIFS(CI_Count,CI_Site,$B638,CI_Mat,$C638)),"Before count date – already in the count","OK"))))))))</f>
        <v/>
      </c>
    </row>
    <row r="639" customFormat="false" ht="15" hidden="false" customHeight="false" outlineLevel="0" collapsed="false">
      <c r="A639" s="65"/>
      <c r="B639" s="63"/>
      <c r="C639" s="70"/>
      <c r="D639" s="16" t="str">
        <f aca="false">IF($C639="","",IFERROR(INDEX(Mat_Short,MATCH($C639,Mat_Code,0)),"⚠ Unknown code"))</f>
        <v/>
      </c>
      <c r="E639" s="66"/>
      <c r="F639" s="64" t="str">
        <f aca="false">IF($C639="","",IFERROR(INDEX(Mat_Unit,MATCH($C639,Mat_Code,0)),""))</f>
        <v/>
      </c>
      <c r="G639" s="70"/>
      <c r="H639" s="63"/>
      <c r="I639" s="63"/>
      <c r="J639" s="63"/>
      <c r="K639" s="16" t="str">
        <f aca="false">IF(AND($A639="",$B639="",$C639="",$E639=""),"",IF($A639="","⚠ Date missing",IF(OR($B639="",$C639=""),"⚠ Site / material missing",IF(COUNTIFS(CI_Site,$B639,CI_Mat,$C639)=0,"⚠ No Current Inventory row for this site + material",IF($G639="","⚠ Status missing",IF(AND($G639="Scheduled",$A639&lt;=AsOfDate),"⚠ Scheduled date reached – mark Received or re-date",IF(AND($G639="Received",$A639&gt;AsOfDate),"Future-dated – added on its date",IF(AND($G639="Received",$A639&lt;SUMIFS(CI_Count,CI_Site,$B639,CI_Mat,$C639)),"Before count date – already in the count","OK"))))))))</f>
        <v/>
      </c>
    </row>
    <row r="640" customFormat="false" ht="15" hidden="false" customHeight="false" outlineLevel="0" collapsed="false">
      <c r="A640" s="65"/>
      <c r="B640" s="63"/>
      <c r="C640" s="70"/>
      <c r="D640" s="16" t="str">
        <f aca="false">IF($C640="","",IFERROR(INDEX(Mat_Short,MATCH($C640,Mat_Code,0)),"⚠ Unknown code"))</f>
        <v/>
      </c>
      <c r="E640" s="66"/>
      <c r="F640" s="64" t="str">
        <f aca="false">IF($C640="","",IFERROR(INDEX(Mat_Unit,MATCH($C640,Mat_Code,0)),""))</f>
        <v/>
      </c>
      <c r="G640" s="70"/>
      <c r="H640" s="63"/>
      <c r="I640" s="63"/>
      <c r="J640" s="63"/>
      <c r="K640" s="16" t="str">
        <f aca="false">IF(AND($A640="",$B640="",$C640="",$E640=""),"",IF($A640="","⚠ Date missing",IF(OR($B640="",$C640=""),"⚠ Site / material missing",IF(COUNTIFS(CI_Site,$B640,CI_Mat,$C640)=0,"⚠ No Current Inventory row for this site + material",IF($G640="","⚠ Status missing",IF(AND($G640="Scheduled",$A640&lt;=AsOfDate),"⚠ Scheduled date reached – mark Received or re-date",IF(AND($G640="Received",$A640&gt;AsOfDate),"Future-dated – added on its date",IF(AND($G640="Received",$A640&lt;SUMIFS(CI_Count,CI_Site,$B640,CI_Mat,$C640)),"Before count date – already in the count","OK"))))))))</f>
        <v/>
      </c>
    </row>
    <row r="641" customFormat="false" ht="15" hidden="false" customHeight="false" outlineLevel="0" collapsed="false">
      <c r="A641" s="65"/>
      <c r="B641" s="63"/>
      <c r="C641" s="70"/>
      <c r="D641" s="16" t="str">
        <f aca="false">IF($C641="","",IFERROR(INDEX(Mat_Short,MATCH($C641,Mat_Code,0)),"⚠ Unknown code"))</f>
        <v/>
      </c>
      <c r="E641" s="66"/>
      <c r="F641" s="64" t="str">
        <f aca="false">IF($C641="","",IFERROR(INDEX(Mat_Unit,MATCH($C641,Mat_Code,0)),""))</f>
        <v/>
      </c>
      <c r="G641" s="70"/>
      <c r="H641" s="63"/>
      <c r="I641" s="63"/>
      <c r="J641" s="63"/>
      <c r="K641" s="16" t="str">
        <f aca="false">IF(AND($A641="",$B641="",$C641="",$E641=""),"",IF($A641="","⚠ Date missing",IF(OR($B641="",$C641=""),"⚠ Site / material missing",IF(COUNTIFS(CI_Site,$B641,CI_Mat,$C641)=0,"⚠ No Current Inventory row for this site + material",IF($G641="","⚠ Status missing",IF(AND($G641="Scheduled",$A641&lt;=AsOfDate),"⚠ Scheduled date reached – mark Received or re-date",IF(AND($G641="Received",$A641&gt;AsOfDate),"Future-dated – added on its date",IF(AND($G641="Received",$A641&lt;SUMIFS(CI_Count,CI_Site,$B641,CI_Mat,$C641)),"Before count date – already in the count","OK"))))))))</f>
        <v/>
      </c>
    </row>
    <row r="642" customFormat="false" ht="15" hidden="false" customHeight="false" outlineLevel="0" collapsed="false">
      <c r="A642" s="65"/>
      <c r="B642" s="63"/>
      <c r="C642" s="70"/>
      <c r="D642" s="16" t="str">
        <f aca="false">IF($C642="","",IFERROR(INDEX(Mat_Short,MATCH($C642,Mat_Code,0)),"⚠ Unknown code"))</f>
        <v/>
      </c>
      <c r="E642" s="66"/>
      <c r="F642" s="64" t="str">
        <f aca="false">IF($C642="","",IFERROR(INDEX(Mat_Unit,MATCH($C642,Mat_Code,0)),""))</f>
        <v/>
      </c>
      <c r="G642" s="70"/>
      <c r="H642" s="63"/>
      <c r="I642" s="63"/>
      <c r="J642" s="63"/>
      <c r="K642" s="16" t="str">
        <f aca="false">IF(AND($A642="",$B642="",$C642="",$E642=""),"",IF($A642="","⚠ Date missing",IF(OR($B642="",$C642=""),"⚠ Site / material missing",IF(COUNTIFS(CI_Site,$B642,CI_Mat,$C642)=0,"⚠ No Current Inventory row for this site + material",IF($G642="","⚠ Status missing",IF(AND($G642="Scheduled",$A642&lt;=AsOfDate),"⚠ Scheduled date reached – mark Received or re-date",IF(AND($G642="Received",$A642&gt;AsOfDate),"Future-dated – added on its date",IF(AND($G642="Received",$A642&lt;SUMIFS(CI_Count,CI_Site,$B642,CI_Mat,$C642)),"Before count date – already in the count","OK"))))))))</f>
        <v/>
      </c>
    </row>
    <row r="643" customFormat="false" ht="15" hidden="false" customHeight="false" outlineLevel="0" collapsed="false">
      <c r="A643" s="65"/>
      <c r="B643" s="63"/>
      <c r="C643" s="70"/>
      <c r="D643" s="16" t="str">
        <f aca="false">IF($C643="","",IFERROR(INDEX(Mat_Short,MATCH($C643,Mat_Code,0)),"⚠ Unknown code"))</f>
        <v/>
      </c>
      <c r="E643" s="66"/>
      <c r="F643" s="64" t="str">
        <f aca="false">IF($C643="","",IFERROR(INDEX(Mat_Unit,MATCH($C643,Mat_Code,0)),""))</f>
        <v/>
      </c>
      <c r="G643" s="70"/>
      <c r="H643" s="63"/>
      <c r="I643" s="63"/>
      <c r="J643" s="63"/>
      <c r="K643" s="16" t="str">
        <f aca="false">IF(AND($A643="",$B643="",$C643="",$E643=""),"",IF($A643="","⚠ Date missing",IF(OR($B643="",$C643=""),"⚠ Site / material missing",IF(COUNTIFS(CI_Site,$B643,CI_Mat,$C643)=0,"⚠ No Current Inventory row for this site + material",IF($G643="","⚠ Status missing",IF(AND($G643="Scheduled",$A643&lt;=AsOfDate),"⚠ Scheduled date reached – mark Received or re-date",IF(AND($G643="Received",$A643&gt;AsOfDate),"Future-dated – added on its date",IF(AND($G643="Received",$A643&lt;SUMIFS(CI_Count,CI_Site,$B643,CI_Mat,$C643)),"Before count date – already in the count","OK"))))))))</f>
        <v/>
      </c>
    </row>
    <row r="644" customFormat="false" ht="15" hidden="false" customHeight="false" outlineLevel="0" collapsed="false">
      <c r="A644" s="65"/>
      <c r="B644" s="63"/>
      <c r="C644" s="70"/>
      <c r="D644" s="16" t="str">
        <f aca="false">IF($C644="","",IFERROR(INDEX(Mat_Short,MATCH($C644,Mat_Code,0)),"⚠ Unknown code"))</f>
        <v/>
      </c>
      <c r="E644" s="66"/>
      <c r="F644" s="64" t="str">
        <f aca="false">IF($C644="","",IFERROR(INDEX(Mat_Unit,MATCH($C644,Mat_Code,0)),""))</f>
        <v/>
      </c>
      <c r="G644" s="70"/>
      <c r="H644" s="63"/>
      <c r="I644" s="63"/>
      <c r="J644" s="63"/>
      <c r="K644" s="16" t="str">
        <f aca="false">IF(AND($A644="",$B644="",$C644="",$E644=""),"",IF($A644="","⚠ Date missing",IF(OR($B644="",$C644=""),"⚠ Site / material missing",IF(COUNTIFS(CI_Site,$B644,CI_Mat,$C644)=0,"⚠ No Current Inventory row for this site + material",IF($G644="","⚠ Status missing",IF(AND($G644="Scheduled",$A644&lt;=AsOfDate),"⚠ Scheduled date reached – mark Received or re-date",IF(AND($G644="Received",$A644&gt;AsOfDate),"Future-dated – added on its date",IF(AND($G644="Received",$A644&lt;SUMIFS(CI_Count,CI_Site,$B644,CI_Mat,$C644)),"Before count date – already in the count","OK"))))))))</f>
        <v/>
      </c>
    </row>
    <row r="645" customFormat="false" ht="15" hidden="false" customHeight="false" outlineLevel="0" collapsed="false">
      <c r="A645" s="65"/>
      <c r="B645" s="63"/>
      <c r="C645" s="70"/>
      <c r="D645" s="16" t="str">
        <f aca="false">IF($C645="","",IFERROR(INDEX(Mat_Short,MATCH($C645,Mat_Code,0)),"⚠ Unknown code"))</f>
        <v/>
      </c>
      <c r="E645" s="66"/>
      <c r="F645" s="64" t="str">
        <f aca="false">IF($C645="","",IFERROR(INDEX(Mat_Unit,MATCH($C645,Mat_Code,0)),""))</f>
        <v/>
      </c>
      <c r="G645" s="70"/>
      <c r="H645" s="63"/>
      <c r="I645" s="63"/>
      <c r="J645" s="63"/>
      <c r="K645" s="16" t="str">
        <f aca="false">IF(AND($A645="",$B645="",$C645="",$E645=""),"",IF($A645="","⚠ Date missing",IF(OR($B645="",$C645=""),"⚠ Site / material missing",IF(COUNTIFS(CI_Site,$B645,CI_Mat,$C645)=0,"⚠ No Current Inventory row for this site + material",IF($G645="","⚠ Status missing",IF(AND($G645="Scheduled",$A645&lt;=AsOfDate),"⚠ Scheduled date reached – mark Received or re-date",IF(AND($G645="Received",$A645&gt;AsOfDate),"Future-dated – added on its date",IF(AND($G645="Received",$A645&lt;SUMIFS(CI_Count,CI_Site,$B645,CI_Mat,$C645)),"Before count date – already in the count","OK"))))))))</f>
        <v/>
      </c>
    </row>
    <row r="646" customFormat="false" ht="15" hidden="false" customHeight="false" outlineLevel="0" collapsed="false">
      <c r="A646" s="65"/>
      <c r="B646" s="63"/>
      <c r="C646" s="70"/>
      <c r="D646" s="16" t="str">
        <f aca="false">IF($C646="","",IFERROR(INDEX(Mat_Short,MATCH($C646,Mat_Code,0)),"⚠ Unknown code"))</f>
        <v/>
      </c>
      <c r="E646" s="66"/>
      <c r="F646" s="64" t="str">
        <f aca="false">IF($C646="","",IFERROR(INDEX(Mat_Unit,MATCH($C646,Mat_Code,0)),""))</f>
        <v/>
      </c>
      <c r="G646" s="70"/>
      <c r="H646" s="63"/>
      <c r="I646" s="63"/>
      <c r="J646" s="63"/>
      <c r="K646" s="16" t="str">
        <f aca="false">IF(AND($A646="",$B646="",$C646="",$E646=""),"",IF($A646="","⚠ Date missing",IF(OR($B646="",$C646=""),"⚠ Site / material missing",IF(COUNTIFS(CI_Site,$B646,CI_Mat,$C646)=0,"⚠ No Current Inventory row for this site + material",IF($G646="","⚠ Status missing",IF(AND($G646="Scheduled",$A646&lt;=AsOfDate),"⚠ Scheduled date reached – mark Received or re-date",IF(AND($G646="Received",$A646&gt;AsOfDate),"Future-dated – added on its date",IF(AND($G646="Received",$A646&lt;SUMIFS(CI_Count,CI_Site,$B646,CI_Mat,$C646)),"Before count date – already in the count","OK"))))))))</f>
        <v/>
      </c>
    </row>
    <row r="647" customFormat="false" ht="15" hidden="false" customHeight="false" outlineLevel="0" collapsed="false">
      <c r="A647" s="65"/>
      <c r="B647" s="63"/>
      <c r="C647" s="70"/>
      <c r="D647" s="16" t="str">
        <f aca="false">IF($C647="","",IFERROR(INDEX(Mat_Short,MATCH($C647,Mat_Code,0)),"⚠ Unknown code"))</f>
        <v/>
      </c>
      <c r="E647" s="66"/>
      <c r="F647" s="64" t="str">
        <f aca="false">IF($C647="","",IFERROR(INDEX(Mat_Unit,MATCH($C647,Mat_Code,0)),""))</f>
        <v/>
      </c>
      <c r="G647" s="70"/>
      <c r="H647" s="63"/>
      <c r="I647" s="63"/>
      <c r="J647" s="63"/>
      <c r="K647" s="16" t="str">
        <f aca="false">IF(AND($A647="",$B647="",$C647="",$E647=""),"",IF($A647="","⚠ Date missing",IF(OR($B647="",$C647=""),"⚠ Site / material missing",IF(COUNTIFS(CI_Site,$B647,CI_Mat,$C647)=0,"⚠ No Current Inventory row for this site + material",IF($G647="","⚠ Status missing",IF(AND($G647="Scheduled",$A647&lt;=AsOfDate),"⚠ Scheduled date reached – mark Received or re-date",IF(AND($G647="Received",$A647&gt;AsOfDate),"Future-dated – added on its date",IF(AND($G647="Received",$A647&lt;SUMIFS(CI_Count,CI_Site,$B647,CI_Mat,$C647)),"Before count date – already in the count","OK"))))))))</f>
        <v/>
      </c>
    </row>
    <row r="648" customFormat="false" ht="15" hidden="false" customHeight="false" outlineLevel="0" collapsed="false">
      <c r="A648" s="65"/>
      <c r="B648" s="63"/>
      <c r="C648" s="70"/>
      <c r="D648" s="16" t="str">
        <f aca="false">IF($C648="","",IFERROR(INDEX(Mat_Short,MATCH($C648,Mat_Code,0)),"⚠ Unknown code"))</f>
        <v/>
      </c>
      <c r="E648" s="66"/>
      <c r="F648" s="64" t="str">
        <f aca="false">IF($C648="","",IFERROR(INDEX(Mat_Unit,MATCH($C648,Mat_Code,0)),""))</f>
        <v/>
      </c>
      <c r="G648" s="70"/>
      <c r="H648" s="63"/>
      <c r="I648" s="63"/>
      <c r="J648" s="63"/>
      <c r="K648" s="16" t="str">
        <f aca="false">IF(AND($A648="",$B648="",$C648="",$E648=""),"",IF($A648="","⚠ Date missing",IF(OR($B648="",$C648=""),"⚠ Site / material missing",IF(COUNTIFS(CI_Site,$B648,CI_Mat,$C648)=0,"⚠ No Current Inventory row for this site + material",IF($G648="","⚠ Status missing",IF(AND($G648="Scheduled",$A648&lt;=AsOfDate),"⚠ Scheduled date reached – mark Received or re-date",IF(AND($G648="Received",$A648&gt;AsOfDate),"Future-dated – added on its date",IF(AND($G648="Received",$A648&lt;SUMIFS(CI_Count,CI_Site,$B648,CI_Mat,$C648)),"Before count date – already in the count","OK"))))))))</f>
        <v/>
      </c>
    </row>
    <row r="649" customFormat="false" ht="15" hidden="false" customHeight="false" outlineLevel="0" collapsed="false">
      <c r="A649" s="65"/>
      <c r="B649" s="63"/>
      <c r="C649" s="70"/>
      <c r="D649" s="16" t="str">
        <f aca="false">IF($C649="","",IFERROR(INDEX(Mat_Short,MATCH($C649,Mat_Code,0)),"⚠ Unknown code"))</f>
        <v/>
      </c>
      <c r="E649" s="66"/>
      <c r="F649" s="64" t="str">
        <f aca="false">IF($C649="","",IFERROR(INDEX(Mat_Unit,MATCH($C649,Mat_Code,0)),""))</f>
        <v/>
      </c>
      <c r="G649" s="70"/>
      <c r="H649" s="63"/>
      <c r="I649" s="63"/>
      <c r="J649" s="63"/>
      <c r="K649" s="16" t="str">
        <f aca="false">IF(AND($A649="",$B649="",$C649="",$E649=""),"",IF($A649="","⚠ Date missing",IF(OR($B649="",$C649=""),"⚠ Site / material missing",IF(COUNTIFS(CI_Site,$B649,CI_Mat,$C649)=0,"⚠ No Current Inventory row for this site + material",IF($G649="","⚠ Status missing",IF(AND($G649="Scheduled",$A649&lt;=AsOfDate),"⚠ Scheduled date reached – mark Received or re-date",IF(AND($G649="Received",$A649&gt;AsOfDate),"Future-dated – added on its date",IF(AND($G649="Received",$A649&lt;SUMIFS(CI_Count,CI_Site,$B649,CI_Mat,$C649)),"Before count date – already in the count","OK"))))))))</f>
        <v/>
      </c>
    </row>
    <row r="650" customFormat="false" ht="15" hidden="false" customHeight="false" outlineLevel="0" collapsed="false">
      <c r="A650" s="65"/>
      <c r="B650" s="63"/>
      <c r="C650" s="70"/>
      <c r="D650" s="16" t="str">
        <f aca="false">IF($C650="","",IFERROR(INDEX(Mat_Short,MATCH($C650,Mat_Code,0)),"⚠ Unknown code"))</f>
        <v/>
      </c>
      <c r="E650" s="66"/>
      <c r="F650" s="64" t="str">
        <f aca="false">IF($C650="","",IFERROR(INDEX(Mat_Unit,MATCH($C650,Mat_Code,0)),""))</f>
        <v/>
      </c>
      <c r="G650" s="70"/>
      <c r="H650" s="63"/>
      <c r="I650" s="63"/>
      <c r="J650" s="63"/>
      <c r="K650" s="16" t="str">
        <f aca="false">IF(AND($A650="",$B650="",$C650="",$E650=""),"",IF($A650="","⚠ Date missing",IF(OR($B650="",$C650=""),"⚠ Site / material missing",IF(COUNTIFS(CI_Site,$B650,CI_Mat,$C650)=0,"⚠ No Current Inventory row for this site + material",IF($G650="","⚠ Status missing",IF(AND($G650="Scheduled",$A650&lt;=AsOfDate),"⚠ Scheduled date reached – mark Received or re-date",IF(AND($G650="Received",$A650&gt;AsOfDate),"Future-dated – added on its date",IF(AND($G650="Received",$A650&lt;SUMIFS(CI_Count,CI_Site,$B650,CI_Mat,$C650)),"Before count date – already in the count","OK"))))))))</f>
        <v/>
      </c>
    </row>
    <row r="651" customFormat="false" ht="15" hidden="false" customHeight="false" outlineLevel="0" collapsed="false">
      <c r="A651" s="65"/>
      <c r="B651" s="63"/>
      <c r="C651" s="70"/>
      <c r="D651" s="16" t="str">
        <f aca="false">IF($C651="","",IFERROR(INDEX(Mat_Short,MATCH($C651,Mat_Code,0)),"⚠ Unknown code"))</f>
        <v/>
      </c>
      <c r="E651" s="66"/>
      <c r="F651" s="64" t="str">
        <f aca="false">IF($C651="","",IFERROR(INDEX(Mat_Unit,MATCH($C651,Mat_Code,0)),""))</f>
        <v/>
      </c>
      <c r="G651" s="70"/>
      <c r="H651" s="63"/>
      <c r="I651" s="63"/>
      <c r="J651" s="63"/>
      <c r="K651" s="16" t="str">
        <f aca="false">IF(AND($A651="",$B651="",$C651="",$E651=""),"",IF($A651="","⚠ Date missing",IF(OR($B651="",$C651=""),"⚠ Site / material missing",IF(COUNTIFS(CI_Site,$B651,CI_Mat,$C651)=0,"⚠ No Current Inventory row for this site + material",IF($G651="","⚠ Status missing",IF(AND($G651="Scheduled",$A651&lt;=AsOfDate),"⚠ Scheduled date reached – mark Received or re-date",IF(AND($G651="Received",$A651&gt;AsOfDate),"Future-dated – added on its date",IF(AND($G651="Received",$A651&lt;SUMIFS(CI_Count,CI_Site,$B651,CI_Mat,$C651)),"Before count date – already in the count","OK"))))))))</f>
        <v/>
      </c>
    </row>
    <row r="652" customFormat="false" ht="15" hidden="false" customHeight="false" outlineLevel="0" collapsed="false">
      <c r="A652" s="65"/>
      <c r="B652" s="63"/>
      <c r="C652" s="70"/>
      <c r="D652" s="16" t="str">
        <f aca="false">IF($C652="","",IFERROR(INDEX(Mat_Short,MATCH($C652,Mat_Code,0)),"⚠ Unknown code"))</f>
        <v/>
      </c>
      <c r="E652" s="66"/>
      <c r="F652" s="64" t="str">
        <f aca="false">IF($C652="","",IFERROR(INDEX(Mat_Unit,MATCH($C652,Mat_Code,0)),""))</f>
        <v/>
      </c>
      <c r="G652" s="70"/>
      <c r="H652" s="63"/>
      <c r="I652" s="63"/>
      <c r="J652" s="63"/>
      <c r="K652" s="16" t="str">
        <f aca="false">IF(AND($A652="",$B652="",$C652="",$E652=""),"",IF($A652="","⚠ Date missing",IF(OR($B652="",$C652=""),"⚠ Site / material missing",IF(COUNTIFS(CI_Site,$B652,CI_Mat,$C652)=0,"⚠ No Current Inventory row for this site + material",IF($G652="","⚠ Status missing",IF(AND($G652="Scheduled",$A652&lt;=AsOfDate),"⚠ Scheduled date reached – mark Received or re-date",IF(AND($G652="Received",$A652&gt;AsOfDate),"Future-dated – added on its date",IF(AND($G652="Received",$A652&lt;SUMIFS(CI_Count,CI_Site,$B652,CI_Mat,$C652)),"Before count date – already in the count","OK"))))))))</f>
        <v/>
      </c>
    </row>
    <row r="653" customFormat="false" ht="15" hidden="false" customHeight="false" outlineLevel="0" collapsed="false">
      <c r="A653" s="65"/>
      <c r="B653" s="63"/>
      <c r="C653" s="70"/>
      <c r="D653" s="16" t="str">
        <f aca="false">IF($C653="","",IFERROR(INDEX(Mat_Short,MATCH($C653,Mat_Code,0)),"⚠ Unknown code"))</f>
        <v/>
      </c>
      <c r="E653" s="66"/>
      <c r="F653" s="64" t="str">
        <f aca="false">IF($C653="","",IFERROR(INDEX(Mat_Unit,MATCH($C653,Mat_Code,0)),""))</f>
        <v/>
      </c>
      <c r="G653" s="70"/>
      <c r="H653" s="63"/>
      <c r="I653" s="63"/>
      <c r="J653" s="63"/>
      <c r="K653" s="16" t="str">
        <f aca="false">IF(AND($A653="",$B653="",$C653="",$E653=""),"",IF($A653="","⚠ Date missing",IF(OR($B653="",$C653=""),"⚠ Site / material missing",IF(COUNTIFS(CI_Site,$B653,CI_Mat,$C653)=0,"⚠ No Current Inventory row for this site + material",IF($G653="","⚠ Status missing",IF(AND($G653="Scheduled",$A653&lt;=AsOfDate),"⚠ Scheduled date reached – mark Received or re-date",IF(AND($G653="Received",$A653&gt;AsOfDate),"Future-dated – added on its date",IF(AND($G653="Received",$A653&lt;SUMIFS(CI_Count,CI_Site,$B653,CI_Mat,$C653)),"Before count date – already in the count","OK"))))))))</f>
        <v/>
      </c>
    </row>
    <row r="654" customFormat="false" ht="15" hidden="false" customHeight="false" outlineLevel="0" collapsed="false">
      <c r="A654" s="65"/>
      <c r="B654" s="63"/>
      <c r="C654" s="70"/>
      <c r="D654" s="16" t="str">
        <f aca="false">IF($C654="","",IFERROR(INDEX(Mat_Short,MATCH($C654,Mat_Code,0)),"⚠ Unknown code"))</f>
        <v/>
      </c>
      <c r="E654" s="66"/>
      <c r="F654" s="64" t="str">
        <f aca="false">IF($C654="","",IFERROR(INDEX(Mat_Unit,MATCH($C654,Mat_Code,0)),""))</f>
        <v/>
      </c>
      <c r="G654" s="70"/>
      <c r="H654" s="63"/>
      <c r="I654" s="63"/>
      <c r="J654" s="63"/>
      <c r="K654" s="16" t="str">
        <f aca="false">IF(AND($A654="",$B654="",$C654="",$E654=""),"",IF($A654="","⚠ Date missing",IF(OR($B654="",$C654=""),"⚠ Site / material missing",IF(COUNTIFS(CI_Site,$B654,CI_Mat,$C654)=0,"⚠ No Current Inventory row for this site + material",IF($G654="","⚠ Status missing",IF(AND($G654="Scheduled",$A654&lt;=AsOfDate),"⚠ Scheduled date reached – mark Received or re-date",IF(AND($G654="Received",$A654&gt;AsOfDate),"Future-dated – added on its date",IF(AND($G654="Received",$A654&lt;SUMIFS(CI_Count,CI_Site,$B654,CI_Mat,$C654)),"Before count date – already in the count","OK"))))))))</f>
        <v/>
      </c>
    </row>
    <row r="655" customFormat="false" ht="15" hidden="false" customHeight="false" outlineLevel="0" collapsed="false">
      <c r="A655" s="65"/>
      <c r="B655" s="63"/>
      <c r="C655" s="70"/>
      <c r="D655" s="16" t="str">
        <f aca="false">IF($C655="","",IFERROR(INDEX(Mat_Short,MATCH($C655,Mat_Code,0)),"⚠ Unknown code"))</f>
        <v/>
      </c>
      <c r="E655" s="66"/>
      <c r="F655" s="64" t="str">
        <f aca="false">IF($C655="","",IFERROR(INDEX(Mat_Unit,MATCH($C655,Mat_Code,0)),""))</f>
        <v/>
      </c>
      <c r="G655" s="70"/>
      <c r="H655" s="63"/>
      <c r="I655" s="63"/>
      <c r="J655" s="63"/>
      <c r="K655" s="16" t="str">
        <f aca="false">IF(AND($A655="",$B655="",$C655="",$E655=""),"",IF($A655="","⚠ Date missing",IF(OR($B655="",$C655=""),"⚠ Site / material missing",IF(COUNTIFS(CI_Site,$B655,CI_Mat,$C655)=0,"⚠ No Current Inventory row for this site + material",IF($G655="","⚠ Status missing",IF(AND($G655="Scheduled",$A655&lt;=AsOfDate),"⚠ Scheduled date reached – mark Received or re-date",IF(AND($G655="Received",$A655&gt;AsOfDate),"Future-dated – added on its date",IF(AND($G655="Received",$A655&lt;SUMIFS(CI_Count,CI_Site,$B655,CI_Mat,$C655)),"Before count date – already in the count","OK"))))))))</f>
        <v/>
      </c>
    </row>
    <row r="656" customFormat="false" ht="15" hidden="false" customHeight="false" outlineLevel="0" collapsed="false">
      <c r="A656" s="65"/>
      <c r="B656" s="63"/>
      <c r="C656" s="70"/>
      <c r="D656" s="16" t="str">
        <f aca="false">IF($C656="","",IFERROR(INDEX(Mat_Short,MATCH($C656,Mat_Code,0)),"⚠ Unknown code"))</f>
        <v/>
      </c>
      <c r="E656" s="66"/>
      <c r="F656" s="64" t="str">
        <f aca="false">IF($C656="","",IFERROR(INDEX(Mat_Unit,MATCH($C656,Mat_Code,0)),""))</f>
        <v/>
      </c>
      <c r="G656" s="70"/>
      <c r="H656" s="63"/>
      <c r="I656" s="63"/>
      <c r="J656" s="63"/>
      <c r="K656" s="16" t="str">
        <f aca="false">IF(AND($A656="",$B656="",$C656="",$E656=""),"",IF($A656="","⚠ Date missing",IF(OR($B656="",$C656=""),"⚠ Site / material missing",IF(COUNTIFS(CI_Site,$B656,CI_Mat,$C656)=0,"⚠ No Current Inventory row for this site + material",IF($G656="","⚠ Status missing",IF(AND($G656="Scheduled",$A656&lt;=AsOfDate),"⚠ Scheduled date reached – mark Received or re-date",IF(AND($G656="Received",$A656&gt;AsOfDate),"Future-dated – added on its date",IF(AND($G656="Received",$A656&lt;SUMIFS(CI_Count,CI_Site,$B656,CI_Mat,$C656)),"Before count date – already in the count","OK"))))))))</f>
        <v/>
      </c>
    </row>
    <row r="657" customFormat="false" ht="15" hidden="false" customHeight="false" outlineLevel="0" collapsed="false">
      <c r="A657" s="65"/>
      <c r="B657" s="63"/>
      <c r="C657" s="70"/>
      <c r="D657" s="16" t="str">
        <f aca="false">IF($C657="","",IFERROR(INDEX(Mat_Short,MATCH($C657,Mat_Code,0)),"⚠ Unknown code"))</f>
        <v/>
      </c>
      <c r="E657" s="66"/>
      <c r="F657" s="64" t="str">
        <f aca="false">IF($C657="","",IFERROR(INDEX(Mat_Unit,MATCH($C657,Mat_Code,0)),""))</f>
        <v/>
      </c>
      <c r="G657" s="70"/>
      <c r="H657" s="63"/>
      <c r="I657" s="63"/>
      <c r="J657" s="63"/>
      <c r="K657" s="16" t="str">
        <f aca="false">IF(AND($A657="",$B657="",$C657="",$E657=""),"",IF($A657="","⚠ Date missing",IF(OR($B657="",$C657=""),"⚠ Site / material missing",IF(COUNTIFS(CI_Site,$B657,CI_Mat,$C657)=0,"⚠ No Current Inventory row for this site + material",IF($G657="","⚠ Status missing",IF(AND($G657="Scheduled",$A657&lt;=AsOfDate),"⚠ Scheduled date reached – mark Received or re-date",IF(AND($G657="Received",$A657&gt;AsOfDate),"Future-dated – added on its date",IF(AND($G657="Received",$A657&lt;SUMIFS(CI_Count,CI_Site,$B657,CI_Mat,$C657)),"Before count date – already in the count","OK"))))))))</f>
        <v/>
      </c>
    </row>
    <row r="658" customFormat="false" ht="15" hidden="false" customHeight="false" outlineLevel="0" collapsed="false">
      <c r="A658" s="65"/>
      <c r="B658" s="63"/>
      <c r="C658" s="70"/>
      <c r="D658" s="16" t="str">
        <f aca="false">IF($C658="","",IFERROR(INDEX(Mat_Short,MATCH($C658,Mat_Code,0)),"⚠ Unknown code"))</f>
        <v/>
      </c>
      <c r="E658" s="66"/>
      <c r="F658" s="64" t="str">
        <f aca="false">IF($C658="","",IFERROR(INDEX(Mat_Unit,MATCH($C658,Mat_Code,0)),""))</f>
        <v/>
      </c>
      <c r="G658" s="70"/>
      <c r="H658" s="63"/>
      <c r="I658" s="63"/>
      <c r="J658" s="63"/>
      <c r="K658" s="16" t="str">
        <f aca="false">IF(AND($A658="",$B658="",$C658="",$E658=""),"",IF($A658="","⚠ Date missing",IF(OR($B658="",$C658=""),"⚠ Site / material missing",IF(COUNTIFS(CI_Site,$B658,CI_Mat,$C658)=0,"⚠ No Current Inventory row for this site + material",IF($G658="","⚠ Status missing",IF(AND($G658="Scheduled",$A658&lt;=AsOfDate),"⚠ Scheduled date reached – mark Received or re-date",IF(AND($G658="Received",$A658&gt;AsOfDate),"Future-dated – added on its date",IF(AND($G658="Received",$A658&lt;SUMIFS(CI_Count,CI_Site,$B658,CI_Mat,$C658)),"Before count date – already in the count","OK"))))))))</f>
        <v/>
      </c>
    </row>
    <row r="659" customFormat="false" ht="15" hidden="false" customHeight="false" outlineLevel="0" collapsed="false">
      <c r="A659" s="65"/>
      <c r="B659" s="63"/>
      <c r="C659" s="70"/>
      <c r="D659" s="16" t="str">
        <f aca="false">IF($C659="","",IFERROR(INDEX(Mat_Short,MATCH($C659,Mat_Code,0)),"⚠ Unknown code"))</f>
        <v/>
      </c>
      <c r="E659" s="66"/>
      <c r="F659" s="64" t="str">
        <f aca="false">IF($C659="","",IFERROR(INDEX(Mat_Unit,MATCH($C659,Mat_Code,0)),""))</f>
        <v/>
      </c>
      <c r="G659" s="70"/>
      <c r="H659" s="63"/>
      <c r="I659" s="63"/>
      <c r="J659" s="63"/>
      <c r="K659" s="16" t="str">
        <f aca="false">IF(AND($A659="",$B659="",$C659="",$E659=""),"",IF($A659="","⚠ Date missing",IF(OR($B659="",$C659=""),"⚠ Site / material missing",IF(COUNTIFS(CI_Site,$B659,CI_Mat,$C659)=0,"⚠ No Current Inventory row for this site + material",IF($G659="","⚠ Status missing",IF(AND($G659="Scheduled",$A659&lt;=AsOfDate),"⚠ Scheduled date reached – mark Received or re-date",IF(AND($G659="Received",$A659&gt;AsOfDate),"Future-dated – added on its date",IF(AND($G659="Received",$A659&lt;SUMIFS(CI_Count,CI_Site,$B659,CI_Mat,$C659)),"Before count date – already in the count","OK"))))))))</f>
        <v/>
      </c>
    </row>
    <row r="660" customFormat="false" ht="15" hidden="false" customHeight="false" outlineLevel="0" collapsed="false">
      <c r="A660" s="65"/>
      <c r="B660" s="63"/>
      <c r="C660" s="70"/>
      <c r="D660" s="16" t="str">
        <f aca="false">IF($C660="","",IFERROR(INDEX(Mat_Short,MATCH($C660,Mat_Code,0)),"⚠ Unknown code"))</f>
        <v/>
      </c>
      <c r="E660" s="66"/>
      <c r="F660" s="64" t="str">
        <f aca="false">IF($C660="","",IFERROR(INDEX(Mat_Unit,MATCH($C660,Mat_Code,0)),""))</f>
        <v/>
      </c>
      <c r="G660" s="70"/>
      <c r="H660" s="63"/>
      <c r="I660" s="63"/>
      <c r="J660" s="63"/>
      <c r="K660" s="16" t="str">
        <f aca="false">IF(AND($A660="",$B660="",$C660="",$E660=""),"",IF($A660="","⚠ Date missing",IF(OR($B660="",$C660=""),"⚠ Site / material missing",IF(COUNTIFS(CI_Site,$B660,CI_Mat,$C660)=0,"⚠ No Current Inventory row for this site + material",IF($G660="","⚠ Status missing",IF(AND($G660="Scheduled",$A660&lt;=AsOfDate),"⚠ Scheduled date reached – mark Received or re-date",IF(AND($G660="Received",$A660&gt;AsOfDate),"Future-dated – added on its date",IF(AND($G660="Received",$A660&lt;SUMIFS(CI_Count,CI_Site,$B660,CI_Mat,$C660)),"Before count date – already in the count","OK"))))))))</f>
        <v/>
      </c>
    </row>
    <row r="661" customFormat="false" ht="15" hidden="false" customHeight="false" outlineLevel="0" collapsed="false">
      <c r="A661" s="65"/>
      <c r="B661" s="63"/>
      <c r="C661" s="70"/>
      <c r="D661" s="16" t="str">
        <f aca="false">IF($C661="","",IFERROR(INDEX(Mat_Short,MATCH($C661,Mat_Code,0)),"⚠ Unknown code"))</f>
        <v/>
      </c>
      <c r="E661" s="66"/>
      <c r="F661" s="64" t="str">
        <f aca="false">IF($C661="","",IFERROR(INDEX(Mat_Unit,MATCH($C661,Mat_Code,0)),""))</f>
        <v/>
      </c>
      <c r="G661" s="70"/>
      <c r="H661" s="63"/>
      <c r="I661" s="63"/>
      <c r="J661" s="63"/>
      <c r="K661" s="16" t="str">
        <f aca="false">IF(AND($A661="",$B661="",$C661="",$E661=""),"",IF($A661="","⚠ Date missing",IF(OR($B661="",$C661=""),"⚠ Site / material missing",IF(COUNTIFS(CI_Site,$B661,CI_Mat,$C661)=0,"⚠ No Current Inventory row for this site + material",IF($G661="","⚠ Status missing",IF(AND($G661="Scheduled",$A661&lt;=AsOfDate),"⚠ Scheduled date reached – mark Received or re-date",IF(AND($G661="Received",$A661&gt;AsOfDate),"Future-dated – added on its date",IF(AND($G661="Received",$A661&lt;SUMIFS(CI_Count,CI_Site,$B661,CI_Mat,$C661)),"Before count date – already in the count","OK"))))))))</f>
        <v/>
      </c>
    </row>
    <row r="662" customFormat="false" ht="15" hidden="false" customHeight="false" outlineLevel="0" collapsed="false">
      <c r="A662" s="65"/>
      <c r="B662" s="63"/>
      <c r="C662" s="70"/>
      <c r="D662" s="16" t="str">
        <f aca="false">IF($C662="","",IFERROR(INDEX(Mat_Short,MATCH($C662,Mat_Code,0)),"⚠ Unknown code"))</f>
        <v/>
      </c>
      <c r="E662" s="66"/>
      <c r="F662" s="64" t="str">
        <f aca="false">IF($C662="","",IFERROR(INDEX(Mat_Unit,MATCH($C662,Mat_Code,0)),""))</f>
        <v/>
      </c>
      <c r="G662" s="70"/>
      <c r="H662" s="63"/>
      <c r="I662" s="63"/>
      <c r="J662" s="63"/>
      <c r="K662" s="16" t="str">
        <f aca="false">IF(AND($A662="",$B662="",$C662="",$E662=""),"",IF($A662="","⚠ Date missing",IF(OR($B662="",$C662=""),"⚠ Site / material missing",IF(COUNTIFS(CI_Site,$B662,CI_Mat,$C662)=0,"⚠ No Current Inventory row for this site + material",IF($G662="","⚠ Status missing",IF(AND($G662="Scheduled",$A662&lt;=AsOfDate),"⚠ Scheduled date reached – mark Received or re-date",IF(AND($G662="Received",$A662&gt;AsOfDate),"Future-dated – added on its date",IF(AND($G662="Received",$A662&lt;SUMIFS(CI_Count,CI_Site,$B662,CI_Mat,$C662)),"Before count date – already in the count","OK"))))))))</f>
        <v/>
      </c>
    </row>
    <row r="663" customFormat="false" ht="15" hidden="false" customHeight="false" outlineLevel="0" collapsed="false">
      <c r="A663" s="65"/>
      <c r="B663" s="63"/>
      <c r="C663" s="70"/>
      <c r="D663" s="16" t="str">
        <f aca="false">IF($C663="","",IFERROR(INDEX(Mat_Short,MATCH($C663,Mat_Code,0)),"⚠ Unknown code"))</f>
        <v/>
      </c>
      <c r="E663" s="66"/>
      <c r="F663" s="64" t="str">
        <f aca="false">IF($C663="","",IFERROR(INDEX(Mat_Unit,MATCH($C663,Mat_Code,0)),""))</f>
        <v/>
      </c>
      <c r="G663" s="70"/>
      <c r="H663" s="63"/>
      <c r="I663" s="63"/>
      <c r="J663" s="63"/>
      <c r="K663" s="16" t="str">
        <f aca="false">IF(AND($A663="",$B663="",$C663="",$E663=""),"",IF($A663="","⚠ Date missing",IF(OR($B663="",$C663=""),"⚠ Site / material missing",IF(COUNTIFS(CI_Site,$B663,CI_Mat,$C663)=0,"⚠ No Current Inventory row for this site + material",IF($G663="","⚠ Status missing",IF(AND($G663="Scheduled",$A663&lt;=AsOfDate),"⚠ Scheduled date reached – mark Received or re-date",IF(AND($G663="Received",$A663&gt;AsOfDate),"Future-dated – added on its date",IF(AND($G663="Received",$A663&lt;SUMIFS(CI_Count,CI_Site,$B663,CI_Mat,$C663)),"Before count date – already in the count","OK"))))))))</f>
        <v/>
      </c>
    </row>
    <row r="664" customFormat="false" ht="15" hidden="false" customHeight="false" outlineLevel="0" collapsed="false">
      <c r="A664" s="65"/>
      <c r="B664" s="63"/>
      <c r="C664" s="70"/>
      <c r="D664" s="16" t="str">
        <f aca="false">IF($C664="","",IFERROR(INDEX(Mat_Short,MATCH($C664,Mat_Code,0)),"⚠ Unknown code"))</f>
        <v/>
      </c>
      <c r="E664" s="66"/>
      <c r="F664" s="64" t="str">
        <f aca="false">IF($C664="","",IFERROR(INDEX(Mat_Unit,MATCH($C664,Mat_Code,0)),""))</f>
        <v/>
      </c>
      <c r="G664" s="70"/>
      <c r="H664" s="63"/>
      <c r="I664" s="63"/>
      <c r="J664" s="63"/>
      <c r="K664" s="16" t="str">
        <f aca="false">IF(AND($A664="",$B664="",$C664="",$E664=""),"",IF($A664="","⚠ Date missing",IF(OR($B664="",$C664=""),"⚠ Site / material missing",IF(COUNTIFS(CI_Site,$B664,CI_Mat,$C664)=0,"⚠ No Current Inventory row for this site + material",IF($G664="","⚠ Status missing",IF(AND($G664="Scheduled",$A664&lt;=AsOfDate),"⚠ Scheduled date reached – mark Received or re-date",IF(AND($G664="Received",$A664&gt;AsOfDate),"Future-dated – added on its date",IF(AND($G664="Received",$A664&lt;SUMIFS(CI_Count,CI_Site,$B664,CI_Mat,$C664)),"Before count date – already in the count","OK"))))))))</f>
        <v/>
      </c>
    </row>
    <row r="665" customFormat="false" ht="15" hidden="false" customHeight="false" outlineLevel="0" collapsed="false">
      <c r="A665" s="65"/>
      <c r="B665" s="63"/>
      <c r="C665" s="70"/>
      <c r="D665" s="16" t="str">
        <f aca="false">IF($C665="","",IFERROR(INDEX(Mat_Short,MATCH($C665,Mat_Code,0)),"⚠ Unknown code"))</f>
        <v/>
      </c>
      <c r="E665" s="66"/>
      <c r="F665" s="64" t="str">
        <f aca="false">IF($C665="","",IFERROR(INDEX(Mat_Unit,MATCH($C665,Mat_Code,0)),""))</f>
        <v/>
      </c>
      <c r="G665" s="70"/>
      <c r="H665" s="63"/>
      <c r="I665" s="63"/>
      <c r="J665" s="63"/>
      <c r="K665" s="16" t="str">
        <f aca="false">IF(AND($A665="",$B665="",$C665="",$E665=""),"",IF($A665="","⚠ Date missing",IF(OR($B665="",$C665=""),"⚠ Site / material missing",IF(COUNTIFS(CI_Site,$B665,CI_Mat,$C665)=0,"⚠ No Current Inventory row for this site + material",IF($G665="","⚠ Status missing",IF(AND($G665="Scheduled",$A665&lt;=AsOfDate),"⚠ Scheduled date reached – mark Received or re-date",IF(AND($G665="Received",$A665&gt;AsOfDate),"Future-dated – added on its date",IF(AND($G665="Received",$A665&lt;SUMIFS(CI_Count,CI_Site,$B665,CI_Mat,$C665)),"Before count date – already in the count","OK"))))))))</f>
        <v/>
      </c>
    </row>
    <row r="666" customFormat="false" ht="15" hidden="false" customHeight="false" outlineLevel="0" collapsed="false">
      <c r="A666" s="65"/>
      <c r="B666" s="63"/>
      <c r="C666" s="70"/>
      <c r="D666" s="16" t="str">
        <f aca="false">IF($C666="","",IFERROR(INDEX(Mat_Short,MATCH($C666,Mat_Code,0)),"⚠ Unknown code"))</f>
        <v/>
      </c>
      <c r="E666" s="66"/>
      <c r="F666" s="64" t="str">
        <f aca="false">IF($C666="","",IFERROR(INDEX(Mat_Unit,MATCH($C666,Mat_Code,0)),""))</f>
        <v/>
      </c>
      <c r="G666" s="70"/>
      <c r="H666" s="63"/>
      <c r="I666" s="63"/>
      <c r="J666" s="63"/>
      <c r="K666" s="16" t="str">
        <f aca="false">IF(AND($A666="",$B666="",$C666="",$E666=""),"",IF($A666="","⚠ Date missing",IF(OR($B666="",$C666=""),"⚠ Site / material missing",IF(COUNTIFS(CI_Site,$B666,CI_Mat,$C666)=0,"⚠ No Current Inventory row for this site + material",IF($G666="","⚠ Status missing",IF(AND($G666="Scheduled",$A666&lt;=AsOfDate),"⚠ Scheduled date reached – mark Received or re-date",IF(AND($G666="Received",$A666&gt;AsOfDate),"Future-dated – added on its date",IF(AND($G666="Received",$A666&lt;SUMIFS(CI_Count,CI_Site,$B666,CI_Mat,$C666)),"Before count date – already in the count","OK"))))))))</f>
        <v/>
      </c>
    </row>
    <row r="667" customFormat="false" ht="15" hidden="false" customHeight="false" outlineLevel="0" collapsed="false">
      <c r="A667" s="65"/>
      <c r="B667" s="63"/>
      <c r="C667" s="70"/>
      <c r="D667" s="16" t="str">
        <f aca="false">IF($C667="","",IFERROR(INDEX(Mat_Short,MATCH($C667,Mat_Code,0)),"⚠ Unknown code"))</f>
        <v/>
      </c>
      <c r="E667" s="66"/>
      <c r="F667" s="64" t="str">
        <f aca="false">IF($C667="","",IFERROR(INDEX(Mat_Unit,MATCH($C667,Mat_Code,0)),""))</f>
        <v/>
      </c>
      <c r="G667" s="70"/>
      <c r="H667" s="63"/>
      <c r="I667" s="63"/>
      <c r="J667" s="63"/>
      <c r="K667" s="16" t="str">
        <f aca="false">IF(AND($A667="",$B667="",$C667="",$E667=""),"",IF($A667="","⚠ Date missing",IF(OR($B667="",$C667=""),"⚠ Site / material missing",IF(COUNTIFS(CI_Site,$B667,CI_Mat,$C667)=0,"⚠ No Current Inventory row for this site + material",IF($G667="","⚠ Status missing",IF(AND($G667="Scheduled",$A667&lt;=AsOfDate),"⚠ Scheduled date reached – mark Received or re-date",IF(AND($G667="Received",$A667&gt;AsOfDate),"Future-dated – added on its date",IF(AND($G667="Received",$A667&lt;SUMIFS(CI_Count,CI_Site,$B667,CI_Mat,$C667)),"Before count date – already in the count","OK"))))))))</f>
        <v/>
      </c>
    </row>
    <row r="668" customFormat="false" ht="15" hidden="false" customHeight="false" outlineLevel="0" collapsed="false">
      <c r="A668" s="65"/>
      <c r="B668" s="63"/>
      <c r="C668" s="70"/>
      <c r="D668" s="16" t="str">
        <f aca="false">IF($C668="","",IFERROR(INDEX(Mat_Short,MATCH($C668,Mat_Code,0)),"⚠ Unknown code"))</f>
        <v/>
      </c>
      <c r="E668" s="66"/>
      <c r="F668" s="64" t="str">
        <f aca="false">IF($C668="","",IFERROR(INDEX(Mat_Unit,MATCH($C668,Mat_Code,0)),""))</f>
        <v/>
      </c>
      <c r="G668" s="70"/>
      <c r="H668" s="63"/>
      <c r="I668" s="63"/>
      <c r="J668" s="63"/>
      <c r="K668" s="16" t="str">
        <f aca="false">IF(AND($A668="",$B668="",$C668="",$E668=""),"",IF($A668="","⚠ Date missing",IF(OR($B668="",$C668=""),"⚠ Site / material missing",IF(COUNTIFS(CI_Site,$B668,CI_Mat,$C668)=0,"⚠ No Current Inventory row for this site + material",IF($G668="","⚠ Status missing",IF(AND($G668="Scheduled",$A668&lt;=AsOfDate),"⚠ Scheduled date reached – mark Received or re-date",IF(AND($G668="Received",$A668&gt;AsOfDate),"Future-dated – added on its date",IF(AND($G668="Received",$A668&lt;SUMIFS(CI_Count,CI_Site,$B668,CI_Mat,$C668)),"Before count date – already in the count","OK"))))))))</f>
        <v/>
      </c>
    </row>
    <row r="669" customFormat="false" ht="15" hidden="false" customHeight="false" outlineLevel="0" collapsed="false">
      <c r="A669" s="65"/>
      <c r="B669" s="63"/>
      <c r="C669" s="70"/>
      <c r="D669" s="16" t="str">
        <f aca="false">IF($C669="","",IFERROR(INDEX(Mat_Short,MATCH($C669,Mat_Code,0)),"⚠ Unknown code"))</f>
        <v/>
      </c>
      <c r="E669" s="66"/>
      <c r="F669" s="64" t="str">
        <f aca="false">IF($C669="","",IFERROR(INDEX(Mat_Unit,MATCH($C669,Mat_Code,0)),""))</f>
        <v/>
      </c>
      <c r="G669" s="70"/>
      <c r="H669" s="63"/>
      <c r="I669" s="63"/>
      <c r="J669" s="63"/>
      <c r="K669" s="16" t="str">
        <f aca="false">IF(AND($A669="",$B669="",$C669="",$E669=""),"",IF($A669="","⚠ Date missing",IF(OR($B669="",$C669=""),"⚠ Site / material missing",IF(COUNTIFS(CI_Site,$B669,CI_Mat,$C669)=0,"⚠ No Current Inventory row for this site + material",IF($G669="","⚠ Status missing",IF(AND($G669="Scheduled",$A669&lt;=AsOfDate),"⚠ Scheduled date reached – mark Received or re-date",IF(AND($G669="Received",$A669&gt;AsOfDate),"Future-dated – added on its date",IF(AND($G669="Received",$A669&lt;SUMIFS(CI_Count,CI_Site,$B669,CI_Mat,$C669)),"Before count date – already in the count","OK"))))))))</f>
        <v/>
      </c>
    </row>
    <row r="670" customFormat="false" ht="15" hidden="false" customHeight="false" outlineLevel="0" collapsed="false">
      <c r="A670" s="65"/>
      <c r="B670" s="63"/>
      <c r="C670" s="70"/>
      <c r="D670" s="16" t="str">
        <f aca="false">IF($C670="","",IFERROR(INDEX(Mat_Short,MATCH($C670,Mat_Code,0)),"⚠ Unknown code"))</f>
        <v/>
      </c>
      <c r="E670" s="66"/>
      <c r="F670" s="64" t="str">
        <f aca="false">IF($C670="","",IFERROR(INDEX(Mat_Unit,MATCH($C670,Mat_Code,0)),""))</f>
        <v/>
      </c>
      <c r="G670" s="70"/>
      <c r="H670" s="63"/>
      <c r="I670" s="63"/>
      <c r="J670" s="63"/>
      <c r="K670" s="16" t="str">
        <f aca="false">IF(AND($A670="",$B670="",$C670="",$E670=""),"",IF($A670="","⚠ Date missing",IF(OR($B670="",$C670=""),"⚠ Site / material missing",IF(COUNTIFS(CI_Site,$B670,CI_Mat,$C670)=0,"⚠ No Current Inventory row for this site + material",IF($G670="","⚠ Status missing",IF(AND($G670="Scheduled",$A670&lt;=AsOfDate),"⚠ Scheduled date reached – mark Received or re-date",IF(AND($G670="Received",$A670&gt;AsOfDate),"Future-dated – added on its date",IF(AND($G670="Received",$A670&lt;SUMIFS(CI_Count,CI_Site,$B670,CI_Mat,$C670)),"Before count date – already in the count","OK"))))))))</f>
        <v/>
      </c>
    </row>
    <row r="671" customFormat="false" ht="15" hidden="false" customHeight="false" outlineLevel="0" collapsed="false">
      <c r="A671" s="65"/>
      <c r="B671" s="63"/>
      <c r="C671" s="70"/>
      <c r="D671" s="16" t="str">
        <f aca="false">IF($C671="","",IFERROR(INDEX(Mat_Short,MATCH($C671,Mat_Code,0)),"⚠ Unknown code"))</f>
        <v/>
      </c>
      <c r="E671" s="66"/>
      <c r="F671" s="64" t="str">
        <f aca="false">IF($C671="","",IFERROR(INDEX(Mat_Unit,MATCH($C671,Mat_Code,0)),""))</f>
        <v/>
      </c>
      <c r="G671" s="70"/>
      <c r="H671" s="63"/>
      <c r="I671" s="63"/>
      <c r="J671" s="63"/>
      <c r="K671" s="16" t="str">
        <f aca="false">IF(AND($A671="",$B671="",$C671="",$E671=""),"",IF($A671="","⚠ Date missing",IF(OR($B671="",$C671=""),"⚠ Site / material missing",IF(COUNTIFS(CI_Site,$B671,CI_Mat,$C671)=0,"⚠ No Current Inventory row for this site + material",IF($G671="","⚠ Status missing",IF(AND($G671="Scheduled",$A671&lt;=AsOfDate),"⚠ Scheduled date reached – mark Received or re-date",IF(AND($G671="Received",$A671&gt;AsOfDate),"Future-dated – added on its date",IF(AND($G671="Received",$A671&lt;SUMIFS(CI_Count,CI_Site,$B671,CI_Mat,$C671)),"Before count date – already in the count","OK"))))))))</f>
        <v/>
      </c>
    </row>
    <row r="672" customFormat="false" ht="15" hidden="false" customHeight="false" outlineLevel="0" collapsed="false">
      <c r="A672" s="65"/>
      <c r="B672" s="63"/>
      <c r="C672" s="70"/>
      <c r="D672" s="16" t="str">
        <f aca="false">IF($C672="","",IFERROR(INDEX(Mat_Short,MATCH($C672,Mat_Code,0)),"⚠ Unknown code"))</f>
        <v/>
      </c>
      <c r="E672" s="66"/>
      <c r="F672" s="64" t="str">
        <f aca="false">IF($C672="","",IFERROR(INDEX(Mat_Unit,MATCH($C672,Mat_Code,0)),""))</f>
        <v/>
      </c>
      <c r="G672" s="70"/>
      <c r="H672" s="63"/>
      <c r="I672" s="63"/>
      <c r="J672" s="63"/>
      <c r="K672" s="16" t="str">
        <f aca="false">IF(AND($A672="",$B672="",$C672="",$E672=""),"",IF($A672="","⚠ Date missing",IF(OR($B672="",$C672=""),"⚠ Site / material missing",IF(COUNTIFS(CI_Site,$B672,CI_Mat,$C672)=0,"⚠ No Current Inventory row for this site + material",IF($G672="","⚠ Status missing",IF(AND($G672="Scheduled",$A672&lt;=AsOfDate),"⚠ Scheduled date reached – mark Received or re-date",IF(AND($G672="Received",$A672&gt;AsOfDate),"Future-dated – added on its date",IF(AND($G672="Received",$A672&lt;SUMIFS(CI_Count,CI_Site,$B672,CI_Mat,$C672)),"Before count date – already in the count","OK"))))))))</f>
        <v/>
      </c>
    </row>
    <row r="673" customFormat="false" ht="15" hidden="false" customHeight="false" outlineLevel="0" collapsed="false">
      <c r="A673" s="65"/>
      <c r="B673" s="63"/>
      <c r="C673" s="70"/>
      <c r="D673" s="16" t="str">
        <f aca="false">IF($C673="","",IFERROR(INDEX(Mat_Short,MATCH($C673,Mat_Code,0)),"⚠ Unknown code"))</f>
        <v/>
      </c>
      <c r="E673" s="66"/>
      <c r="F673" s="64" t="str">
        <f aca="false">IF($C673="","",IFERROR(INDEX(Mat_Unit,MATCH($C673,Mat_Code,0)),""))</f>
        <v/>
      </c>
      <c r="G673" s="70"/>
      <c r="H673" s="63"/>
      <c r="I673" s="63"/>
      <c r="J673" s="63"/>
      <c r="K673" s="16" t="str">
        <f aca="false">IF(AND($A673="",$B673="",$C673="",$E673=""),"",IF($A673="","⚠ Date missing",IF(OR($B673="",$C673=""),"⚠ Site / material missing",IF(COUNTIFS(CI_Site,$B673,CI_Mat,$C673)=0,"⚠ No Current Inventory row for this site + material",IF($G673="","⚠ Status missing",IF(AND($G673="Scheduled",$A673&lt;=AsOfDate),"⚠ Scheduled date reached – mark Received or re-date",IF(AND($G673="Received",$A673&gt;AsOfDate),"Future-dated – added on its date",IF(AND($G673="Received",$A673&lt;SUMIFS(CI_Count,CI_Site,$B673,CI_Mat,$C673)),"Before count date – already in the count","OK"))))))))</f>
        <v/>
      </c>
    </row>
    <row r="674" customFormat="false" ht="15" hidden="false" customHeight="false" outlineLevel="0" collapsed="false">
      <c r="A674" s="65"/>
      <c r="B674" s="63"/>
      <c r="C674" s="70"/>
      <c r="D674" s="16" t="str">
        <f aca="false">IF($C674="","",IFERROR(INDEX(Mat_Short,MATCH($C674,Mat_Code,0)),"⚠ Unknown code"))</f>
        <v/>
      </c>
      <c r="E674" s="66"/>
      <c r="F674" s="64" t="str">
        <f aca="false">IF($C674="","",IFERROR(INDEX(Mat_Unit,MATCH($C674,Mat_Code,0)),""))</f>
        <v/>
      </c>
      <c r="G674" s="70"/>
      <c r="H674" s="63"/>
      <c r="I674" s="63"/>
      <c r="J674" s="63"/>
      <c r="K674" s="16" t="str">
        <f aca="false">IF(AND($A674="",$B674="",$C674="",$E674=""),"",IF($A674="","⚠ Date missing",IF(OR($B674="",$C674=""),"⚠ Site / material missing",IF(COUNTIFS(CI_Site,$B674,CI_Mat,$C674)=0,"⚠ No Current Inventory row for this site + material",IF($G674="","⚠ Status missing",IF(AND($G674="Scheduled",$A674&lt;=AsOfDate),"⚠ Scheduled date reached – mark Received or re-date",IF(AND($G674="Received",$A674&gt;AsOfDate),"Future-dated – added on its date",IF(AND($G674="Received",$A674&lt;SUMIFS(CI_Count,CI_Site,$B674,CI_Mat,$C674)),"Before count date – already in the count","OK"))))))))</f>
        <v/>
      </c>
    </row>
    <row r="675" customFormat="false" ht="15" hidden="false" customHeight="false" outlineLevel="0" collapsed="false">
      <c r="A675" s="65"/>
      <c r="B675" s="63"/>
      <c r="C675" s="70"/>
      <c r="D675" s="16" t="str">
        <f aca="false">IF($C675="","",IFERROR(INDEX(Mat_Short,MATCH($C675,Mat_Code,0)),"⚠ Unknown code"))</f>
        <v/>
      </c>
      <c r="E675" s="66"/>
      <c r="F675" s="64" t="str">
        <f aca="false">IF($C675="","",IFERROR(INDEX(Mat_Unit,MATCH($C675,Mat_Code,0)),""))</f>
        <v/>
      </c>
      <c r="G675" s="70"/>
      <c r="H675" s="63"/>
      <c r="I675" s="63"/>
      <c r="J675" s="63"/>
      <c r="K675" s="16" t="str">
        <f aca="false">IF(AND($A675="",$B675="",$C675="",$E675=""),"",IF($A675="","⚠ Date missing",IF(OR($B675="",$C675=""),"⚠ Site / material missing",IF(COUNTIFS(CI_Site,$B675,CI_Mat,$C675)=0,"⚠ No Current Inventory row for this site + material",IF($G675="","⚠ Status missing",IF(AND($G675="Scheduled",$A675&lt;=AsOfDate),"⚠ Scheduled date reached – mark Received or re-date",IF(AND($G675="Received",$A675&gt;AsOfDate),"Future-dated – added on its date",IF(AND($G675="Received",$A675&lt;SUMIFS(CI_Count,CI_Site,$B675,CI_Mat,$C675)),"Before count date – already in the count","OK"))))))))</f>
        <v/>
      </c>
    </row>
    <row r="676" customFormat="false" ht="15" hidden="false" customHeight="false" outlineLevel="0" collapsed="false">
      <c r="A676" s="65"/>
      <c r="B676" s="63"/>
      <c r="C676" s="70"/>
      <c r="D676" s="16" t="str">
        <f aca="false">IF($C676="","",IFERROR(INDEX(Mat_Short,MATCH($C676,Mat_Code,0)),"⚠ Unknown code"))</f>
        <v/>
      </c>
      <c r="E676" s="66"/>
      <c r="F676" s="64" t="str">
        <f aca="false">IF($C676="","",IFERROR(INDEX(Mat_Unit,MATCH($C676,Mat_Code,0)),""))</f>
        <v/>
      </c>
      <c r="G676" s="70"/>
      <c r="H676" s="63"/>
      <c r="I676" s="63"/>
      <c r="J676" s="63"/>
      <c r="K676" s="16" t="str">
        <f aca="false">IF(AND($A676="",$B676="",$C676="",$E676=""),"",IF($A676="","⚠ Date missing",IF(OR($B676="",$C676=""),"⚠ Site / material missing",IF(COUNTIFS(CI_Site,$B676,CI_Mat,$C676)=0,"⚠ No Current Inventory row for this site + material",IF($G676="","⚠ Status missing",IF(AND($G676="Scheduled",$A676&lt;=AsOfDate),"⚠ Scheduled date reached – mark Received or re-date",IF(AND($G676="Received",$A676&gt;AsOfDate),"Future-dated – added on its date",IF(AND($G676="Received",$A676&lt;SUMIFS(CI_Count,CI_Site,$B676,CI_Mat,$C676)),"Before count date – already in the count","OK"))))))))</f>
        <v/>
      </c>
    </row>
    <row r="677" customFormat="false" ht="15" hidden="false" customHeight="false" outlineLevel="0" collapsed="false">
      <c r="A677" s="65"/>
      <c r="B677" s="63"/>
      <c r="C677" s="70"/>
      <c r="D677" s="16" t="str">
        <f aca="false">IF($C677="","",IFERROR(INDEX(Mat_Short,MATCH($C677,Mat_Code,0)),"⚠ Unknown code"))</f>
        <v/>
      </c>
      <c r="E677" s="66"/>
      <c r="F677" s="64" t="str">
        <f aca="false">IF($C677="","",IFERROR(INDEX(Mat_Unit,MATCH($C677,Mat_Code,0)),""))</f>
        <v/>
      </c>
      <c r="G677" s="70"/>
      <c r="H677" s="63"/>
      <c r="I677" s="63"/>
      <c r="J677" s="63"/>
      <c r="K677" s="16" t="str">
        <f aca="false">IF(AND($A677="",$B677="",$C677="",$E677=""),"",IF($A677="","⚠ Date missing",IF(OR($B677="",$C677=""),"⚠ Site / material missing",IF(COUNTIFS(CI_Site,$B677,CI_Mat,$C677)=0,"⚠ No Current Inventory row for this site + material",IF($G677="","⚠ Status missing",IF(AND($G677="Scheduled",$A677&lt;=AsOfDate),"⚠ Scheduled date reached – mark Received or re-date",IF(AND($G677="Received",$A677&gt;AsOfDate),"Future-dated – added on its date",IF(AND($G677="Received",$A677&lt;SUMIFS(CI_Count,CI_Site,$B677,CI_Mat,$C677)),"Before count date – already in the count","OK"))))))))</f>
        <v/>
      </c>
    </row>
    <row r="678" customFormat="false" ht="15" hidden="false" customHeight="false" outlineLevel="0" collapsed="false">
      <c r="A678" s="65"/>
      <c r="B678" s="63"/>
      <c r="C678" s="70"/>
      <c r="D678" s="16" t="str">
        <f aca="false">IF($C678="","",IFERROR(INDEX(Mat_Short,MATCH($C678,Mat_Code,0)),"⚠ Unknown code"))</f>
        <v/>
      </c>
      <c r="E678" s="66"/>
      <c r="F678" s="64" t="str">
        <f aca="false">IF($C678="","",IFERROR(INDEX(Mat_Unit,MATCH($C678,Mat_Code,0)),""))</f>
        <v/>
      </c>
      <c r="G678" s="70"/>
      <c r="H678" s="63"/>
      <c r="I678" s="63"/>
      <c r="J678" s="63"/>
      <c r="K678" s="16" t="str">
        <f aca="false">IF(AND($A678="",$B678="",$C678="",$E678=""),"",IF($A678="","⚠ Date missing",IF(OR($B678="",$C678=""),"⚠ Site / material missing",IF(COUNTIFS(CI_Site,$B678,CI_Mat,$C678)=0,"⚠ No Current Inventory row for this site + material",IF($G678="","⚠ Status missing",IF(AND($G678="Scheduled",$A678&lt;=AsOfDate),"⚠ Scheduled date reached – mark Received or re-date",IF(AND($G678="Received",$A678&gt;AsOfDate),"Future-dated – added on its date",IF(AND($G678="Received",$A678&lt;SUMIFS(CI_Count,CI_Site,$B678,CI_Mat,$C678)),"Before count date – already in the count","OK"))))))))</f>
        <v/>
      </c>
    </row>
    <row r="679" customFormat="false" ht="15" hidden="false" customHeight="false" outlineLevel="0" collapsed="false">
      <c r="A679" s="65"/>
      <c r="B679" s="63"/>
      <c r="C679" s="70"/>
      <c r="D679" s="16" t="str">
        <f aca="false">IF($C679="","",IFERROR(INDEX(Mat_Short,MATCH($C679,Mat_Code,0)),"⚠ Unknown code"))</f>
        <v/>
      </c>
      <c r="E679" s="66"/>
      <c r="F679" s="64" t="str">
        <f aca="false">IF($C679="","",IFERROR(INDEX(Mat_Unit,MATCH($C679,Mat_Code,0)),""))</f>
        <v/>
      </c>
      <c r="G679" s="70"/>
      <c r="H679" s="63"/>
      <c r="I679" s="63"/>
      <c r="J679" s="63"/>
      <c r="K679" s="16" t="str">
        <f aca="false">IF(AND($A679="",$B679="",$C679="",$E679=""),"",IF($A679="","⚠ Date missing",IF(OR($B679="",$C679=""),"⚠ Site / material missing",IF(COUNTIFS(CI_Site,$B679,CI_Mat,$C679)=0,"⚠ No Current Inventory row for this site + material",IF($G679="","⚠ Status missing",IF(AND($G679="Scheduled",$A679&lt;=AsOfDate),"⚠ Scheduled date reached – mark Received or re-date",IF(AND($G679="Received",$A679&gt;AsOfDate),"Future-dated – added on its date",IF(AND($G679="Received",$A679&lt;SUMIFS(CI_Count,CI_Site,$B679,CI_Mat,$C679)),"Before count date – already in the count","OK"))))))))</f>
        <v/>
      </c>
    </row>
    <row r="680" customFormat="false" ht="15" hidden="false" customHeight="false" outlineLevel="0" collapsed="false">
      <c r="A680" s="65"/>
      <c r="B680" s="63"/>
      <c r="C680" s="70"/>
      <c r="D680" s="16" t="str">
        <f aca="false">IF($C680="","",IFERROR(INDEX(Mat_Short,MATCH($C680,Mat_Code,0)),"⚠ Unknown code"))</f>
        <v/>
      </c>
      <c r="E680" s="66"/>
      <c r="F680" s="64" t="str">
        <f aca="false">IF($C680="","",IFERROR(INDEX(Mat_Unit,MATCH($C680,Mat_Code,0)),""))</f>
        <v/>
      </c>
      <c r="G680" s="70"/>
      <c r="H680" s="63"/>
      <c r="I680" s="63"/>
      <c r="J680" s="63"/>
      <c r="K680" s="16" t="str">
        <f aca="false">IF(AND($A680="",$B680="",$C680="",$E680=""),"",IF($A680="","⚠ Date missing",IF(OR($B680="",$C680=""),"⚠ Site / material missing",IF(COUNTIFS(CI_Site,$B680,CI_Mat,$C680)=0,"⚠ No Current Inventory row for this site + material",IF($G680="","⚠ Status missing",IF(AND($G680="Scheduled",$A680&lt;=AsOfDate),"⚠ Scheduled date reached – mark Received or re-date",IF(AND($G680="Received",$A680&gt;AsOfDate),"Future-dated – added on its date",IF(AND($G680="Received",$A680&lt;SUMIFS(CI_Count,CI_Site,$B680,CI_Mat,$C680)),"Before count date – already in the count","OK"))))))))</f>
        <v/>
      </c>
    </row>
    <row r="681" customFormat="false" ht="15" hidden="false" customHeight="false" outlineLevel="0" collapsed="false">
      <c r="A681" s="65"/>
      <c r="B681" s="63"/>
      <c r="C681" s="70"/>
      <c r="D681" s="16" t="str">
        <f aca="false">IF($C681="","",IFERROR(INDEX(Mat_Short,MATCH($C681,Mat_Code,0)),"⚠ Unknown code"))</f>
        <v/>
      </c>
      <c r="E681" s="66"/>
      <c r="F681" s="64" t="str">
        <f aca="false">IF($C681="","",IFERROR(INDEX(Mat_Unit,MATCH($C681,Mat_Code,0)),""))</f>
        <v/>
      </c>
      <c r="G681" s="70"/>
      <c r="H681" s="63"/>
      <c r="I681" s="63"/>
      <c r="J681" s="63"/>
      <c r="K681" s="16" t="str">
        <f aca="false">IF(AND($A681="",$B681="",$C681="",$E681=""),"",IF($A681="","⚠ Date missing",IF(OR($B681="",$C681=""),"⚠ Site / material missing",IF(COUNTIFS(CI_Site,$B681,CI_Mat,$C681)=0,"⚠ No Current Inventory row for this site + material",IF($G681="","⚠ Status missing",IF(AND($G681="Scheduled",$A681&lt;=AsOfDate),"⚠ Scheduled date reached – mark Received or re-date",IF(AND($G681="Received",$A681&gt;AsOfDate),"Future-dated – added on its date",IF(AND($G681="Received",$A681&lt;SUMIFS(CI_Count,CI_Site,$B681,CI_Mat,$C681)),"Before count date – already in the count","OK"))))))))</f>
        <v/>
      </c>
    </row>
    <row r="682" customFormat="false" ht="15" hidden="false" customHeight="false" outlineLevel="0" collapsed="false">
      <c r="A682" s="65"/>
      <c r="B682" s="63"/>
      <c r="C682" s="70"/>
      <c r="D682" s="16" t="str">
        <f aca="false">IF($C682="","",IFERROR(INDEX(Mat_Short,MATCH($C682,Mat_Code,0)),"⚠ Unknown code"))</f>
        <v/>
      </c>
      <c r="E682" s="66"/>
      <c r="F682" s="64" t="str">
        <f aca="false">IF($C682="","",IFERROR(INDEX(Mat_Unit,MATCH($C682,Mat_Code,0)),""))</f>
        <v/>
      </c>
      <c r="G682" s="70"/>
      <c r="H682" s="63"/>
      <c r="I682" s="63"/>
      <c r="J682" s="63"/>
      <c r="K682" s="16" t="str">
        <f aca="false">IF(AND($A682="",$B682="",$C682="",$E682=""),"",IF($A682="","⚠ Date missing",IF(OR($B682="",$C682=""),"⚠ Site / material missing",IF(COUNTIFS(CI_Site,$B682,CI_Mat,$C682)=0,"⚠ No Current Inventory row for this site + material",IF($G682="","⚠ Status missing",IF(AND($G682="Scheduled",$A682&lt;=AsOfDate),"⚠ Scheduled date reached – mark Received or re-date",IF(AND($G682="Received",$A682&gt;AsOfDate),"Future-dated – added on its date",IF(AND($G682="Received",$A682&lt;SUMIFS(CI_Count,CI_Site,$B682,CI_Mat,$C682)),"Before count date – already in the count","OK"))))))))</f>
        <v/>
      </c>
    </row>
    <row r="683" customFormat="false" ht="15" hidden="false" customHeight="false" outlineLevel="0" collapsed="false">
      <c r="A683" s="65"/>
      <c r="B683" s="63"/>
      <c r="C683" s="70"/>
      <c r="D683" s="16" t="str">
        <f aca="false">IF($C683="","",IFERROR(INDEX(Mat_Short,MATCH($C683,Mat_Code,0)),"⚠ Unknown code"))</f>
        <v/>
      </c>
      <c r="E683" s="66"/>
      <c r="F683" s="64" t="str">
        <f aca="false">IF($C683="","",IFERROR(INDEX(Mat_Unit,MATCH($C683,Mat_Code,0)),""))</f>
        <v/>
      </c>
      <c r="G683" s="70"/>
      <c r="H683" s="63"/>
      <c r="I683" s="63"/>
      <c r="J683" s="63"/>
      <c r="K683" s="16" t="str">
        <f aca="false">IF(AND($A683="",$B683="",$C683="",$E683=""),"",IF($A683="","⚠ Date missing",IF(OR($B683="",$C683=""),"⚠ Site / material missing",IF(COUNTIFS(CI_Site,$B683,CI_Mat,$C683)=0,"⚠ No Current Inventory row for this site + material",IF($G683="","⚠ Status missing",IF(AND($G683="Scheduled",$A683&lt;=AsOfDate),"⚠ Scheduled date reached – mark Received or re-date",IF(AND($G683="Received",$A683&gt;AsOfDate),"Future-dated – added on its date",IF(AND($G683="Received",$A683&lt;SUMIFS(CI_Count,CI_Site,$B683,CI_Mat,$C683)),"Before count date – already in the count","OK"))))))))</f>
        <v/>
      </c>
    </row>
    <row r="684" customFormat="false" ht="15" hidden="false" customHeight="false" outlineLevel="0" collapsed="false">
      <c r="A684" s="65"/>
      <c r="B684" s="63"/>
      <c r="C684" s="70"/>
      <c r="D684" s="16" t="str">
        <f aca="false">IF($C684="","",IFERROR(INDEX(Mat_Short,MATCH($C684,Mat_Code,0)),"⚠ Unknown code"))</f>
        <v/>
      </c>
      <c r="E684" s="66"/>
      <c r="F684" s="64" t="str">
        <f aca="false">IF($C684="","",IFERROR(INDEX(Mat_Unit,MATCH($C684,Mat_Code,0)),""))</f>
        <v/>
      </c>
      <c r="G684" s="70"/>
      <c r="H684" s="63"/>
      <c r="I684" s="63"/>
      <c r="J684" s="63"/>
      <c r="K684" s="16" t="str">
        <f aca="false">IF(AND($A684="",$B684="",$C684="",$E684=""),"",IF($A684="","⚠ Date missing",IF(OR($B684="",$C684=""),"⚠ Site / material missing",IF(COUNTIFS(CI_Site,$B684,CI_Mat,$C684)=0,"⚠ No Current Inventory row for this site + material",IF($G684="","⚠ Status missing",IF(AND($G684="Scheduled",$A684&lt;=AsOfDate),"⚠ Scheduled date reached – mark Received or re-date",IF(AND($G684="Received",$A684&gt;AsOfDate),"Future-dated – added on its date",IF(AND($G684="Received",$A684&lt;SUMIFS(CI_Count,CI_Site,$B684,CI_Mat,$C684)),"Before count date – already in the count","OK"))))))))</f>
        <v/>
      </c>
    </row>
    <row r="685" customFormat="false" ht="15" hidden="false" customHeight="false" outlineLevel="0" collapsed="false">
      <c r="A685" s="65"/>
      <c r="B685" s="63"/>
      <c r="C685" s="70"/>
      <c r="D685" s="16" t="str">
        <f aca="false">IF($C685="","",IFERROR(INDEX(Mat_Short,MATCH($C685,Mat_Code,0)),"⚠ Unknown code"))</f>
        <v/>
      </c>
      <c r="E685" s="66"/>
      <c r="F685" s="64" t="str">
        <f aca="false">IF($C685="","",IFERROR(INDEX(Mat_Unit,MATCH($C685,Mat_Code,0)),""))</f>
        <v/>
      </c>
      <c r="G685" s="70"/>
      <c r="H685" s="63"/>
      <c r="I685" s="63"/>
      <c r="J685" s="63"/>
      <c r="K685" s="16" t="str">
        <f aca="false">IF(AND($A685="",$B685="",$C685="",$E685=""),"",IF($A685="","⚠ Date missing",IF(OR($B685="",$C685=""),"⚠ Site / material missing",IF(COUNTIFS(CI_Site,$B685,CI_Mat,$C685)=0,"⚠ No Current Inventory row for this site + material",IF($G685="","⚠ Status missing",IF(AND($G685="Scheduled",$A685&lt;=AsOfDate),"⚠ Scheduled date reached – mark Received or re-date",IF(AND($G685="Received",$A685&gt;AsOfDate),"Future-dated – added on its date",IF(AND($G685="Received",$A685&lt;SUMIFS(CI_Count,CI_Site,$B685,CI_Mat,$C685)),"Before count date – already in the count","OK"))))))))</f>
        <v/>
      </c>
    </row>
    <row r="686" customFormat="false" ht="15" hidden="false" customHeight="false" outlineLevel="0" collapsed="false">
      <c r="A686" s="65"/>
      <c r="B686" s="63"/>
      <c r="C686" s="70"/>
      <c r="D686" s="16" t="str">
        <f aca="false">IF($C686="","",IFERROR(INDEX(Mat_Short,MATCH($C686,Mat_Code,0)),"⚠ Unknown code"))</f>
        <v/>
      </c>
      <c r="E686" s="66"/>
      <c r="F686" s="64" t="str">
        <f aca="false">IF($C686="","",IFERROR(INDEX(Mat_Unit,MATCH($C686,Mat_Code,0)),""))</f>
        <v/>
      </c>
      <c r="G686" s="70"/>
      <c r="H686" s="63"/>
      <c r="I686" s="63"/>
      <c r="J686" s="63"/>
      <c r="K686" s="16" t="str">
        <f aca="false">IF(AND($A686="",$B686="",$C686="",$E686=""),"",IF($A686="","⚠ Date missing",IF(OR($B686="",$C686=""),"⚠ Site / material missing",IF(COUNTIFS(CI_Site,$B686,CI_Mat,$C686)=0,"⚠ No Current Inventory row for this site + material",IF($G686="","⚠ Status missing",IF(AND($G686="Scheduled",$A686&lt;=AsOfDate),"⚠ Scheduled date reached – mark Received or re-date",IF(AND($G686="Received",$A686&gt;AsOfDate),"Future-dated – added on its date",IF(AND($G686="Received",$A686&lt;SUMIFS(CI_Count,CI_Site,$B686,CI_Mat,$C686)),"Before count date – already in the count","OK"))))))))</f>
        <v/>
      </c>
    </row>
    <row r="687" customFormat="false" ht="15" hidden="false" customHeight="false" outlineLevel="0" collapsed="false">
      <c r="A687" s="65"/>
      <c r="B687" s="63"/>
      <c r="C687" s="70"/>
      <c r="D687" s="16" t="str">
        <f aca="false">IF($C687="","",IFERROR(INDEX(Mat_Short,MATCH($C687,Mat_Code,0)),"⚠ Unknown code"))</f>
        <v/>
      </c>
      <c r="E687" s="66"/>
      <c r="F687" s="64" t="str">
        <f aca="false">IF($C687="","",IFERROR(INDEX(Mat_Unit,MATCH($C687,Mat_Code,0)),""))</f>
        <v/>
      </c>
      <c r="G687" s="70"/>
      <c r="H687" s="63"/>
      <c r="I687" s="63"/>
      <c r="J687" s="63"/>
      <c r="K687" s="16" t="str">
        <f aca="false">IF(AND($A687="",$B687="",$C687="",$E687=""),"",IF($A687="","⚠ Date missing",IF(OR($B687="",$C687=""),"⚠ Site / material missing",IF(COUNTIFS(CI_Site,$B687,CI_Mat,$C687)=0,"⚠ No Current Inventory row for this site + material",IF($G687="","⚠ Status missing",IF(AND($G687="Scheduled",$A687&lt;=AsOfDate),"⚠ Scheduled date reached – mark Received or re-date",IF(AND($G687="Received",$A687&gt;AsOfDate),"Future-dated – added on its date",IF(AND($G687="Received",$A687&lt;SUMIFS(CI_Count,CI_Site,$B687,CI_Mat,$C687)),"Before count date – already in the count","OK"))))))))</f>
        <v/>
      </c>
    </row>
    <row r="688" customFormat="false" ht="15" hidden="false" customHeight="false" outlineLevel="0" collapsed="false">
      <c r="A688" s="65"/>
      <c r="B688" s="63"/>
      <c r="C688" s="70"/>
      <c r="D688" s="16" t="str">
        <f aca="false">IF($C688="","",IFERROR(INDEX(Mat_Short,MATCH($C688,Mat_Code,0)),"⚠ Unknown code"))</f>
        <v/>
      </c>
      <c r="E688" s="66"/>
      <c r="F688" s="64" t="str">
        <f aca="false">IF($C688="","",IFERROR(INDEX(Mat_Unit,MATCH($C688,Mat_Code,0)),""))</f>
        <v/>
      </c>
      <c r="G688" s="70"/>
      <c r="H688" s="63"/>
      <c r="I688" s="63"/>
      <c r="J688" s="63"/>
      <c r="K688" s="16" t="str">
        <f aca="false">IF(AND($A688="",$B688="",$C688="",$E688=""),"",IF($A688="","⚠ Date missing",IF(OR($B688="",$C688=""),"⚠ Site / material missing",IF(COUNTIFS(CI_Site,$B688,CI_Mat,$C688)=0,"⚠ No Current Inventory row for this site + material",IF($G688="","⚠ Status missing",IF(AND($G688="Scheduled",$A688&lt;=AsOfDate),"⚠ Scheduled date reached – mark Received or re-date",IF(AND($G688="Received",$A688&gt;AsOfDate),"Future-dated – added on its date",IF(AND($G688="Received",$A688&lt;SUMIFS(CI_Count,CI_Site,$B688,CI_Mat,$C688)),"Before count date – already in the count","OK"))))))))</f>
        <v/>
      </c>
    </row>
    <row r="689" customFormat="false" ht="15" hidden="false" customHeight="false" outlineLevel="0" collapsed="false">
      <c r="A689" s="65"/>
      <c r="B689" s="63"/>
      <c r="C689" s="70"/>
      <c r="D689" s="16" t="str">
        <f aca="false">IF($C689="","",IFERROR(INDEX(Mat_Short,MATCH($C689,Mat_Code,0)),"⚠ Unknown code"))</f>
        <v/>
      </c>
      <c r="E689" s="66"/>
      <c r="F689" s="64" t="str">
        <f aca="false">IF($C689="","",IFERROR(INDEX(Mat_Unit,MATCH($C689,Mat_Code,0)),""))</f>
        <v/>
      </c>
      <c r="G689" s="70"/>
      <c r="H689" s="63"/>
      <c r="I689" s="63"/>
      <c r="J689" s="63"/>
      <c r="K689" s="16" t="str">
        <f aca="false">IF(AND($A689="",$B689="",$C689="",$E689=""),"",IF($A689="","⚠ Date missing",IF(OR($B689="",$C689=""),"⚠ Site / material missing",IF(COUNTIFS(CI_Site,$B689,CI_Mat,$C689)=0,"⚠ No Current Inventory row for this site + material",IF($G689="","⚠ Status missing",IF(AND($G689="Scheduled",$A689&lt;=AsOfDate),"⚠ Scheduled date reached – mark Received or re-date",IF(AND($G689="Received",$A689&gt;AsOfDate),"Future-dated – added on its date",IF(AND($G689="Received",$A689&lt;SUMIFS(CI_Count,CI_Site,$B689,CI_Mat,$C689)),"Before count date – already in the count","OK"))))))))</f>
        <v/>
      </c>
    </row>
    <row r="690" customFormat="false" ht="15" hidden="false" customHeight="false" outlineLevel="0" collapsed="false">
      <c r="A690" s="65"/>
      <c r="B690" s="63"/>
      <c r="C690" s="70"/>
      <c r="D690" s="16" t="str">
        <f aca="false">IF($C690="","",IFERROR(INDEX(Mat_Short,MATCH($C690,Mat_Code,0)),"⚠ Unknown code"))</f>
        <v/>
      </c>
      <c r="E690" s="66"/>
      <c r="F690" s="64" t="str">
        <f aca="false">IF($C690="","",IFERROR(INDEX(Mat_Unit,MATCH($C690,Mat_Code,0)),""))</f>
        <v/>
      </c>
      <c r="G690" s="70"/>
      <c r="H690" s="63"/>
      <c r="I690" s="63"/>
      <c r="J690" s="63"/>
      <c r="K690" s="16" t="str">
        <f aca="false">IF(AND($A690="",$B690="",$C690="",$E690=""),"",IF($A690="","⚠ Date missing",IF(OR($B690="",$C690=""),"⚠ Site / material missing",IF(COUNTIFS(CI_Site,$B690,CI_Mat,$C690)=0,"⚠ No Current Inventory row for this site + material",IF($G690="","⚠ Status missing",IF(AND($G690="Scheduled",$A690&lt;=AsOfDate),"⚠ Scheduled date reached – mark Received or re-date",IF(AND($G690="Received",$A690&gt;AsOfDate),"Future-dated – added on its date",IF(AND($G690="Received",$A690&lt;SUMIFS(CI_Count,CI_Site,$B690,CI_Mat,$C690)),"Before count date – already in the count","OK"))))))))</f>
        <v/>
      </c>
    </row>
    <row r="691" customFormat="false" ht="15" hidden="false" customHeight="false" outlineLevel="0" collapsed="false">
      <c r="A691" s="65"/>
      <c r="B691" s="63"/>
      <c r="C691" s="70"/>
      <c r="D691" s="16" t="str">
        <f aca="false">IF($C691="","",IFERROR(INDEX(Mat_Short,MATCH($C691,Mat_Code,0)),"⚠ Unknown code"))</f>
        <v/>
      </c>
      <c r="E691" s="66"/>
      <c r="F691" s="64" t="str">
        <f aca="false">IF($C691="","",IFERROR(INDEX(Mat_Unit,MATCH($C691,Mat_Code,0)),""))</f>
        <v/>
      </c>
      <c r="G691" s="70"/>
      <c r="H691" s="63"/>
      <c r="I691" s="63"/>
      <c r="J691" s="63"/>
      <c r="K691" s="16" t="str">
        <f aca="false">IF(AND($A691="",$B691="",$C691="",$E691=""),"",IF($A691="","⚠ Date missing",IF(OR($B691="",$C691=""),"⚠ Site / material missing",IF(COUNTIFS(CI_Site,$B691,CI_Mat,$C691)=0,"⚠ No Current Inventory row for this site + material",IF($G691="","⚠ Status missing",IF(AND($G691="Scheduled",$A691&lt;=AsOfDate),"⚠ Scheduled date reached – mark Received or re-date",IF(AND($G691="Received",$A691&gt;AsOfDate),"Future-dated – added on its date",IF(AND($G691="Received",$A691&lt;SUMIFS(CI_Count,CI_Site,$B691,CI_Mat,$C691)),"Before count date – already in the count","OK"))))))))</f>
        <v/>
      </c>
    </row>
    <row r="692" customFormat="false" ht="15" hidden="false" customHeight="false" outlineLevel="0" collapsed="false">
      <c r="A692" s="65"/>
      <c r="B692" s="63"/>
      <c r="C692" s="70"/>
      <c r="D692" s="16" t="str">
        <f aca="false">IF($C692="","",IFERROR(INDEX(Mat_Short,MATCH($C692,Mat_Code,0)),"⚠ Unknown code"))</f>
        <v/>
      </c>
      <c r="E692" s="66"/>
      <c r="F692" s="64" t="str">
        <f aca="false">IF($C692="","",IFERROR(INDEX(Mat_Unit,MATCH($C692,Mat_Code,0)),""))</f>
        <v/>
      </c>
      <c r="G692" s="70"/>
      <c r="H692" s="63"/>
      <c r="I692" s="63"/>
      <c r="J692" s="63"/>
      <c r="K692" s="16" t="str">
        <f aca="false">IF(AND($A692="",$B692="",$C692="",$E692=""),"",IF($A692="","⚠ Date missing",IF(OR($B692="",$C692=""),"⚠ Site / material missing",IF(COUNTIFS(CI_Site,$B692,CI_Mat,$C692)=0,"⚠ No Current Inventory row for this site + material",IF($G692="","⚠ Status missing",IF(AND($G692="Scheduled",$A692&lt;=AsOfDate),"⚠ Scheduled date reached – mark Received or re-date",IF(AND($G692="Received",$A692&gt;AsOfDate),"Future-dated – added on its date",IF(AND($G692="Received",$A692&lt;SUMIFS(CI_Count,CI_Site,$B692,CI_Mat,$C692)),"Before count date – already in the count","OK"))))))))</f>
        <v/>
      </c>
    </row>
    <row r="693" customFormat="false" ht="15" hidden="false" customHeight="false" outlineLevel="0" collapsed="false">
      <c r="A693" s="65"/>
      <c r="B693" s="63"/>
      <c r="C693" s="70"/>
      <c r="D693" s="16" t="str">
        <f aca="false">IF($C693="","",IFERROR(INDEX(Mat_Short,MATCH($C693,Mat_Code,0)),"⚠ Unknown code"))</f>
        <v/>
      </c>
      <c r="E693" s="66"/>
      <c r="F693" s="64" t="str">
        <f aca="false">IF($C693="","",IFERROR(INDEX(Mat_Unit,MATCH($C693,Mat_Code,0)),""))</f>
        <v/>
      </c>
      <c r="G693" s="70"/>
      <c r="H693" s="63"/>
      <c r="I693" s="63"/>
      <c r="J693" s="63"/>
      <c r="K693" s="16" t="str">
        <f aca="false">IF(AND($A693="",$B693="",$C693="",$E693=""),"",IF($A693="","⚠ Date missing",IF(OR($B693="",$C693=""),"⚠ Site / material missing",IF(COUNTIFS(CI_Site,$B693,CI_Mat,$C693)=0,"⚠ No Current Inventory row for this site + material",IF($G693="","⚠ Status missing",IF(AND($G693="Scheduled",$A693&lt;=AsOfDate),"⚠ Scheduled date reached – mark Received or re-date",IF(AND($G693="Received",$A693&gt;AsOfDate),"Future-dated – added on its date",IF(AND($G693="Received",$A693&lt;SUMIFS(CI_Count,CI_Site,$B693,CI_Mat,$C693)),"Before count date – already in the count","OK"))))))))</f>
        <v/>
      </c>
    </row>
    <row r="694" customFormat="false" ht="15" hidden="false" customHeight="false" outlineLevel="0" collapsed="false">
      <c r="A694" s="65"/>
      <c r="B694" s="63"/>
      <c r="C694" s="70"/>
      <c r="D694" s="16" t="str">
        <f aca="false">IF($C694="","",IFERROR(INDEX(Mat_Short,MATCH($C694,Mat_Code,0)),"⚠ Unknown code"))</f>
        <v/>
      </c>
      <c r="E694" s="66"/>
      <c r="F694" s="64" t="str">
        <f aca="false">IF($C694="","",IFERROR(INDEX(Mat_Unit,MATCH($C694,Mat_Code,0)),""))</f>
        <v/>
      </c>
      <c r="G694" s="70"/>
      <c r="H694" s="63"/>
      <c r="I694" s="63"/>
      <c r="J694" s="63"/>
      <c r="K694" s="16" t="str">
        <f aca="false">IF(AND($A694="",$B694="",$C694="",$E694=""),"",IF($A694="","⚠ Date missing",IF(OR($B694="",$C694=""),"⚠ Site / material missing",IF(COUNTIFS(CI_Site,$B694,CI_Mat,$C694)=0,"⚠ No Current Inventory row for this site + material",IF($G694="","⚠ Status missing",IF(AND($G694="Scheduled",$A694&lt;=AsOfDate),"⚠ Scheduled date reached – mark Received or re-date",IF(AND($G694="Received",$A694&gt;AsOfDate),"Future-dated – added on its date",IF(AND($G694="Received",$A694&lt;SUMIFS(CI_Count,CI_Site,$B694,CI_Mat,$C694)),"Before count date – already in the count","OK"))))))))</f>
        <v/>
      </c>
    </row>
    <row r="695" customFormat="false" ht="15" hidden="false" customHeight="false" outlineLevel="0" collapsed="false">
      <c r="A695" s="65"/>
      <c r="B695" s="63"/>
      <c r="C695" s="70"/>
      <c r="D695" s="16" t="str">
        <f aca="false">IF($C695="","",IFERROR(INDEX(Mat_Short,MATCH($C695,Mat_Code,0)),"⚠ Unknown code"))</f>
        <v/>
      </c>
      <c r="E695" s="66"/>
      <c r="F695" s="64" t="str">
        <f aca="false">IF($C695="","",IFERROR(INDEX(Mat_Unit,MATCH($C695,Mat_Code,0)),""))</f>
        <v/>
      </c>
      <c r="G695" s="70"/>
      <c r="H695" s="63"/>
      <c r="I695" s="63"/>
      <c r="J695" s="63"/>
      <c r="K695" s="16" t="str">
        <f aca="false">IF(AND($A695="",$B695="",$C695="",$E695=""),"",IF($A695="","⚠ Date missing",IF(OR($B695="",$C695=""),"⚠ Site / material missing",IF(COUNTIFS(CI_Site,$B695,CI_Mat,$C695)=0,"⚠ No Current Inventory row for this site + material",IF($G695="","⚠ Status missing",IF(AND($G695="Scheduled",$A695&lt;=AsOfDate),"⚠ Scheduled date reached – mark Received or re-date",IF(AND($G695="Received",$A695&gt;AsOfDate),"Future-dated – added on its date",IF(AND($G695="Received",$A695&lt;SUMIFS(CI_Count,CI_Site,$B695,CI_Mat,$C695)),"Before count date – already in the count","OK"))))))))</f>
        <v/>
      </c>
    </row>
    <row r="696" customFormat="false" ht="15" hidden="false" customHeight="false" outlineLevel="0" collapsed="false">
      <c r="A696" s="65"/>
      <c r="B696" s="63"/>
      <c r="C696" s="70"/>
      <c r="D696" s="16" t="str">
        <f aca="false">IF($C696="","",IFERROR(INDEX(Mat_Short,MATCH($C696,Mat_Code,0)),"⚠ Unknown code"))</f>
        <v/>
      </c>
      <c r="E696" s="66"/>
      <c r="F696" s="64" t="str">
        <f aca="false">IF($C696="","",IFERROR(INDEX(Mat_Unit,MATCH($C696,Mat_Code,0)),""))</f>
        <v/>
      </c>
      <c r="G696" s="70"/>
      <c r="H696" s="63"/>
      <c r="I696" s="63"/>
      <c r="J696" s="63"/>
      <c r="K696" s="16" t="str">
        <f aca="false">IF(AND($A696="",$B696="",$C696="",$E696=""),"",IF($A696="","⚠ Date missing",IF(OR($B696="",$C696=""),"⚠ Site / material missing",IF(COUNTIFS(CI_Site,$B696,CI_Mat,$C696)=0,"⚠ No Current Inventory row for this site + material",IF($G696="","⚠ Status missing",IF(AND($G696="Scheduled",$A696&lt;=AsOfDate),"⚠ Scheduled date reached – mark Received or re-date",IF(AND($G696="Received",$A696&gt;AsOfDate),"Future-dated – added on its date",IF(AND($G696="Received",$A696&lt;SUMIFS(CI_Count,CI_Site,$B696,CI_Mat,$C696)),"Before count date – already in the count","OK"))))))))</f>
        <v/>
      </c>
    </row>
    <row r="697" customFormat="false" ht="15" hidden="false" customHeight="false" outlineLevel="0" collapsed="false">
      <c r="A697" s="65"/>
      <c r="B697" s="63"/>
      <c r="C697" s="70"/>
      <c r="D697" s="16" t="str">
        <f aca="false">IF($C697="","",IFERROR(INDEX(Mat_Short,MATCH($C697,Mat_Code,0)),"⚠ Unknown code"))</f>
        <v/>
      </c>
      <c r="E697" s="66"/>
      <c r="F697" s="64" t="str">
        <f aca="false">IF($C697="","",IFERROR(INDEX(Mat_Unit,MATCH($C697,Mat_Code,0)),""))</f>
        <v/>
      </c>
      <c r="G697" s="70"/>
      <c r="H697" s="63"/>
      <c r="I697" s="63"/>
      <c r="J697" s="63"/>
      <c r="K697" s="16" t="str">
        <f aca="false">IF(AND($A697="",$B697="",$C697="",$E697=""),"",IF($A697="","⚠ Date missing",IF(OR($B697="",$C697=""),"⚠ Site / material missing",IF(COUNTIFS(CI_Site,$B697,CI_Mat,$C697)=0,"⚠ No Current Inventory row for this site + material",IF($G697="","⚠ Status missing",IF(AND($G697="Scheduled",$A697&lt;=AsOfDate),"⚠ Scheduled date reached – mark Received or re-date",IF(AND($G697="Received",$A697&gt;AsOfDate),"Future-dated – added on its date",IF(AND($G697="Received",$A697&lt;SUMIFS(CI_Count,CI_Site,$B697,CI_Mat,$C697)),"Before count date – already in the count","OK"))))))))</f>
        <v/>
      </c>
    </row>
    <row r="698" customFormat="false" ht="15" hidden="false" customHeight="false" outlineLevel="0" collapsed="false">
      <c r="A698" s="65"/>
      <c r="B698" s="63"/>
      <c r="C698" s="70"/>
      <c r="D698" s="16" t="str">
        <f aca="false">IF($C698="","",IFERROR(INDEX(Mat_Short,MATCH($C698,Mat_Code,0)),"⚠ Unknown code"))</f>
        <v/>
      </c>
      <c r="E698" s="66"/>
      <c r="F698" s="64" t="str">
        <f aca="false">IF($C698="","",IFERROR(INDEX(Mat_Unit,MATCH($C698,Mat_Code,0)),""))</f>
        <v/>
      </c>
      <c r="G698" s="70"/>
      <c r="H698" s="63"/>
      <c r="I698" s="63"/>
      <c r="J698" s="63"/>
      <c r="K698" s="16" t="str">
        <f aca="false">IF(AND($A698="",$B698="",$C698="",$E698=""),"",IF($A698="","⚠ Date missing",IF(OR($B698="",$C698=""),"⚠ Site / material missing",IF(COUNTIFS(CI_Site,$B698,CI_Mat,$C698)=0,"⚠ No Current Inventory row for this site + material",IF($G698="","⚠ Status missing",IF(AND($G698="Scheduled",$A698&lt;=AsOfDate),"⚠ Scheduled date reached – mark Received or re-date",IF(AND($G698="Received",$A698&gt;AsOfDate),"Future-dated – added on its date",IF(AND($G698="Received",$A698&lt;SUMIFS(CI_Count,CI_Site,$B698,CI_Mat,$C698)),"Before count date – already in the count","OK"))))))))</f>
        <v/>
      </c>
    </row>
    <row r="699" customFormat="false" ht="15" hidden="false" customHeight="false" outlineLevel="0" collapsed="false">
      <c r="A699" s="65"/>
      <c r="B699" s="63"/>
      <c r="C699" s="70"/>
      <c r="D699" s="16" t="str">
        <f aca="false">IF($C699="","",IFERROR(INDEX(Mat_Short,MATCH($C699,Mat_Code,0)),"⚠ Unknown code"))</f>
        <v/>
      </c>
      <c r="E699" s="66"/>
      <c r="F699" s="64" t="str">
        <f aca="false">IF($C699="","",IFERROR(INDEX(Mat_Unit,MATCH($C699,Mat_Code,0)),""))</f>
        <v/>
      </c>
      <c r="G699" s="70"/>
      <c r="H699" s="63"/>
      <c r="I699" s="63"/>
      <c r="J699" s="63"/>
      <c r="K699" s="16" t="str">
        <f aca="false">IF(AND($A699="",$B699="",$C699="",$E699=""),"",IF($A699="","⚠ Date missing",IF(OR($B699="",$C699=""),"⚠ Site / material missing",IF(COUNTIFS(CI_Site,$B699,CI_Mat,$C699)=0,"⚠ No Current Inventory row for this site + material",IF($G699="","⚠ Status missing",IF(AND($G699="Scheduled",$A699&lt;=AsOfDate),"⚠ Scheduled date reached – mark Received or re-date",IF(AND($G699="Received",$A699&gt;AsOfDate),"Future-dated – added on its date",IF(AND($G699="Received",$A699&lt;SUMIFS(CI_Count,CI_Site,$B699,CI_Mat,$C699)),"Before count date – already in the count","OK"))))))))</f>
        <v/>
      </c>
    </row>
    <row r="700" customFormat="false" ht="15" hidden="false" customHeight="false" outlineLevel="0" collapsed="false">
      <c r="A700" s="65"/>
      <c r="B700" s="63"/>
      <c r="C700" s="70"/>
      <c r="D700" s="16" t="str">
        <f aca="false">IF($C700="","",IFERROR(INDEX(Mat_Short,MATCH($C700,Mat_Code,0)),"⚠ Unknown code"))</f>
        <v/>
      </c>
      <c r="E700" s="66"/>
      <c r="F700" s="64" t="str">
        <f aca="false">IF($C700="","",IFERROR(INDEX(Mat_Unit,MATCH($C700,Mat_Code,0)),""))</f>
        <v/>
      </c>
      <c r="G700" s="70"/>
      <c r="H700" s="63"/>
      <c r="I700" s="63"/>
      <c r="J700" s="63"/>
      <c r="K700" s="16" t="str">
        <f aca="false">IF(AND($A700="",$B700="",$C700="",$E700=""),"",IF($A700="","⚠ Date missing",IF(OR($B700="",$C700=""),"⚠ Site / material missing",IF(COUNTIFS(CI_Site,$B700,CI_Mat,$C700)=0,"⚠ No Current Inventory row for this site + material",IF($G700="","⚠ Status missing",IF(AND($G700="Scheduled",$A700&lt;=AsOfDate),"⚠ Scheduled date reached – mark Received or re-date",IF(AND($G700="Received",$A700&gt;AsOfDate),"Future-dated – added on its date",IF(AND($G700="Received",$A700&lt;SUMIFS(CI_Count,CI_Site,$B700,CI_Mat,$C700)),"Before count date – already in the count","OK"))))))))</f>
        <v/>
      </c>
    </row>
    <row r="701" customFormat="false" ht="15" hidden="false" customHeight="false" outlineLevel="0" collapsed="false">
      <c r="A701" s="65"/>
      <c r="B701" s="63"/>
      <c r="C701" s="70"/>
      <c r="D701" s="16" t="str">
        <f aca="false">IF($C701="","",IFERROR(INDEX(Mat_Short,MATCH($C701,Mat_Code,0)),"⚠ Unknown code"))</f>
        <v/>
      </c>
      <c r="E701" s="66"/>
      <c r="F701" s="64" t="str">
        <f aca="false">IF($C701="","",IFERROR(INDEX(Mat_Unit,MATCH($C701,Mat_Code,0)),""))</f>
        <v/>
      </c>
      <c r="G701" s="70"/>
      <c r="H701" s="63"/>
      <c r="I701" s="63"/>
      <c r="J701" s="63"/>
      <c r="K701" s="16" t="str">
        <f aca="false">IF(AND($A701="",$B701="",$C701="",$E701=""),"",IF($A701="","⚠ Date missing",IF(OR($B701="",$C701=""),"⚠ Site / material missing",IF(COUNTIFS(CI_Site,$B701,CI_Mat,$C701)=0,"⚠ No Current Inventory row for this site + material",IF($G701="","⚠ Status missing",IF(AND($G701="Scheduled",$A701&lt;=AsOfDate),"⚠ Scheduled date reached – mark Received or re-date",IF(AND($G701="Received",$A701&gt;AsOfDate),"Future-dated – added on its date",IF(AND($G701="Received",$A701&lt;SUMIFS(CI_Count,CI_Site,$B701,CI_Mat,$C701)),"Before count date – already in the count","OK"))))))))</f>
        <v/>
      </c>
    </row>
    <row r="702" customFormat="false" ht="15" hidden="false" customHeight="false" outlineLevel="0" collapsed="false">
      <c r="A702" s="65"/>
      <c r="B702" s="63"/>
      <c r="C702" s="70"/>
      <c r="D702" s="16" t="str">
        <f aca="false">IF($C702="","",IFERROR(INDEX(Mat_Short,MATCH($C702,Mat_Code,0)),"⚠ Unknown code"))</f>
        <v/>
      </c>
      <c r="E702" s="66"/>
      <c r="F702" s="64" t="str">
        <f aca="false">IF($C702="","",IFERROR(INDEX(Mat_Unit,MATCH($C702,Mat_Code,0)),""))</f>
        <v/>
      </c>
      <c r="G702" s="70"/>
      <c r="H702" s="63"/>
      <c r="I702" s="63"/>
      <c r="J702" s="63"/>
      <c r="K702" s="16" t="str">
        <f aca="false">IF(AND($A702="",$B702="",$C702="",$E702=""),"",IF($A702="","⚠ Date missing",IF(OR($B702="",$C702=""),"⚠ Site / material missing",IF(COUNTIFS(CI_Site,$B702,CI_Mat,$C702)=0,"⚠ No Current Inventory row for this site + material",IF($G702="","⚠ Status missing",IF(AND($G702="Scheduled",$A702&lt;=AsOfDate),"⚠ Scheduled date reached – mark Received or re-date",IF(AND($G702="Received",$A702&gt;AsOfDate),"Future-dated – added on its date",IF(AND($G702="Received",$A702&lt;SUMIFS(CI_Count,CI_Site,$B702,CI_Mat,$C702)),"Before count date – already in the count","OK"))))))))</f>
        <v/>
      </c>
    </row>
    <row r="703" customFormat="false" ht="15" hidden="false" customHeight="false" outlineLevel="0" collapsed="false">
      <c r="A703" s="65"/>
      <c r="B703" s="63"/>
      <c r="C703" s="70"/>
      <c r="D703" s="16" t="str">
        <f aca="false">IF($C703="","",IFERROR(INDEX(Mat_Short,MATCH($C703,Mat_Code,0)),"⚠ Unknown code"))</f>
        <v/>
      </c>
      <c r="E703" s="66"/>
      <c r="F703" s="64" t="str">
        <f aca="false">IF($C703="","",IFERROR(INDEX(Mat_Unit,MATCH($C703,Mat_Code,0)),""))</f>
        <v/>
      </c>
      <c r="G703" s="70"/>
      <c r="H703" s="63"/>
      <c r="I703" s="63"/>
      <c r="J703" s="63"/>
      <c r="K703" s="16" t="str">
        <f aca="false">IF(AND($A703="",$B703="",$C703="",$E703=""),"",IF($A703="","⚠ Date missing",IF(OR($B703="",$C703=""),"⚠ Site / material missing",IF(COUNTIFS(CI_Site,$B703,CI_Mat,$C703)=0,"⚠ No Current Inventory row for this site + material",IF($G703="","⚠ Status missing",IF(AND($G703="Scheduled",$A703&lt;=AsOfDate),"⚠ Scheduled date reached – mark Received or re-date",IF(AND($G703="Received",$A703&gt;AsOfDate),"Future-dated – added on its date",IF(AND($G703="Received",$A703&lt;SUMIFS(CI_Count,CI_Site,$B703,CI_Mat,$C703)),"Before count date – already in the count","OK"))))))))</f>
        <v/>
      </c>
    </row>
    <row r="704" customFormat="false" ht="15" hidden="false" customHeight="false" outlineLevel="0" collapsed="false">
      <c r="A704" s="65"/>
      <c r="B704" s="63"/>
      <c r="C704" s="70"/>
      <c r="D704" s="16" t="str">
        <f aca="false">IF($C704="","",IFERROR(INDEX(Mat_Short,MATCH($C704,Mat_Code,0)),"⚠ Unknown code"))</f>
        <v/>
      </c>
      <c r="E704" s="66"/>
      <c r="F704" s="64" t="str">
        <f aca="false">IF($C704="","",IFERROR(INDEX(Mat_Unit,MATCH($C704,Mat_Code,0)),""))</f>
        <v/>
      </c>
      <c r="G704" s="70"/>
      <c r="H704" s="63"/>
      <c r="I704" s="63"/>
      <c r="J704" s="63"/>
      <c r="K704" s="16" t="str">
        <f aca="false">IF(AND($A704="",$B704="",$C704="",$E704=""),"",IF($A704="","⚠ Date missing",IF(OR($B704="",$C704=""),"⚠ Site / material missing",IF(COUNTIFS(CI_Site,$B704,CI_Mat,$C704)=0,"⚠ No Current Inventory row for this site + material",IF($G704="","⚠ Status missing",IF(AND($G704="Scheduled",$A704&lt;=AsOfDate),"⚠ Scheduled date reached – mark Received or re-date",IF(AND($G704="Received",$A704&gt;AsOfDate),"Future-dated – added on its date",IF(AND($G704="Received",$A704&lt;SUMIFS(CI_Count,CI_Site,$B704,CI_Mat,$C704)),"Before count date – already in the count","OK"))))))))</f>
        <v/>
      </c>
    </row>
    <row r="705" customFormat="false" ht="15" hidden="false" customHeight="false" outlineLevel="0" collapsed="false">
      <c r="A705" s="65"/>
      <c r="B705" s="63"/>
      <c r="C705" s="70"/>
      <c r="D705" s="16" t="str">
        <f aca="false">IF($C705="","",IFERROR(INDEX(Mat_Short,MATCH($C705,Mat_Code,0)),"⚠ Unknown code"))</f>
        <v/>
      </c>
      <c r="E705" s="66"/>
      <c r="F705" s="64" t="str">
        <f aca="false">IF($C705="","",IFERROR(INDEX(Mat_Unit,MATCH($C705,Mat_Code,0)),""))</f>
        <v/>
      </c>
      <c r="G705" s="70"/>
      <c r="H705" s="63"/>
      <c r="I705" s="63"/>
      <c r="J705" s="63"/>
      <c r="K705" s="16" t="str">
        <f aca="false">IF(AND($A705="",$B705="",$C705="",$E705=""),"",IF($A705="","⚠ Date missing",IF(OR($B705="",$C705=""),"⚠ Site / material missing",IF(COUNTIFS(CI_Site,$B705,CI_Mat,$C705)=0,"⚠ No Current Inventory row for this site + material",IF($G705="","⚠ Status missing",IF(AND($G705="Scheduled",$A705&lt;=AsOfDate),"⚠ Scheduled date reached – mark Received or re-date",IF(AND($G705="Received",$A705&gt;AsOfDate),"Future-dated – added on its date",IF(AND($G705="Received",$A705&lt;SUMIFS(CI_Count,CI_Site,$B705,CI_Mat,$C705)),"Before count date – already in the count","OK"))))))))</f>
        <v/>
      </c>
    </row>
    <row r="706" customFormat="false" ht="15" hidden="false" customHeight="false" outlineLevel="0" collapsed="false">
      <c r="A706" s="65"/>
      <c r="B706" s="63"/>
      <c r="C706" s="70"/>
      <c r="D706" s="16" t="str">
        <f aca="false">IF($C706="","",IFERROR(INDEX(Mat_Short,MATCH($C706,Mat_Code,0)),"⚠ Unknown code"))</f>
        <v/>
      </c>
      <c r="E706" s="66"/>
      <c r="F706" s="64" t="str">
        <f aca="false">IF($C706="","",IFERROR(INDEX(Mat_Unit,MATCH($C706,Mat_Code,0)),""))</f>
        <v/>
      </c>
      <c r="G706" s="70"/>
      <c r="H706" s="63"/>
      <c r="I706" s="63"/>
      <c r="J706" s="63"/>
      <c r="K706" s="16" t="str">
        <f aca="false">IF(AND($A706="",$B706="",$C706="",$E706=""),"",IF($A706="","⚠ Date missing",IF(OR($B706="",$C706=""),"⚠ Site / material missing",IF(COUNTIFS(CI_Site,$B706,CI_Mat,$C706)=0,"⚠ No Current Inventory row for this site + material",IF($G706="","⚠ Status missing",IF(AND($G706="Scheduled",$A706&lt;=AsOfDate),"⚠ Scheduled date reached – mark Received or re-date",IF(AND($G706="Received",$A706&gt;AsOfDate),"Future-dated – added on its date",IF(AND($G706="Received",$A706&lt;SUMIFS(CI_Count,CI_Site,$B706,CI_Mat,$C706)),"Before count date – already in the count","OK"))))))))</f>
        <v/>
      </c>
    </row>
    <row r="707" customFormat="false" ht="15" hidden="false" customHeight="false" outlineLevel="0" collapsed="false">
      <c r="A707" s="65"/>
      <c r="B707" s="63"/>
      <c r="C707" s="70"/>
      <c r="D707" s="16" t="str">
        <f aca="false">IF($C707="","",IFERROR(INDEX(Mat_Short,MATCH($C707,Mat_Code,0)),"⚠ Unknown code"))</f>
        <v/>
      </c>
      <c r="E707" s="66"/>
      <c r="F707" s="64" t="str">
        <f aca="false">IF($C707="","",IFERROR(INDEX(Mat_Unit,MATCH($C707,Mat_Code,0)),""))</f>
        <v/>
      </c>
      <c r="G707" s="70"/>
      <c r="H707" s="63"/>
      <c r="I707" s="63"/>
      <c r="J707" s="63"/>
      <c r="K707" s="16" t="str">
        <f aca="false">IF(AND($A707="",$B707="",$C707="",$E707=""),"",IF($A707="","⚠ Date missing",IF(OR($B707="",$C707=""),"⚠ Site / material missing",IF(COUNTIFS(CI_Site,$B707,CI_Mat,$C707)=0,"⚠ No Current Inventory row for this site + material",IF($G707="","⚠ Status missing",IF(AND($G707="Scheduled",$A707&lt;=AsOfDate),"⚠ Scheduled date reached – mark Received or re-date",IF(AND($G707="Received",$A707&gt;AsOfDate),"Future-dated – added on its date",IF(AND($G707="Received",$A707&lt;SUMIFS(CI_Count,CI_Site,$B707,CI_Mat,$C707)),"Before count date – already in the count","OK"))))))))</f>
        <v/>
      </c>
    </row>
    <row r="708" customFormat="false" ht="15" hidden="false" customHeight="false" outlineLevel="0" collapsed="false">
      <c r="A708" s="65"/>
      <c r="B708" s="63"/>
      <c r="C708" s="70"/>
      <c r="D708" s="16" t="str">
        <f aca="false">IF($C708="","",IFERROR(INDEX(Mat_Short,MATCH($C708,Mat_Code,0)),"⚠ Unknown code"))</f>
        <v/>
      </c>
      <c r="E708" s="66"/>
      <c r="F708" s="64" t="str">
        <f aca="false">IF($C708="","",IFERROR(INDEX(Mat_Unit,MATCH($C708,Mat_Code,0)),""))</f>
        <v/>
      </c>
      <c r="G708" s="70"/>
      <c r="H708" s="63"/>
      <c r="I708" s="63"/>
      <c r="J708" s="63"/>
      <c r="K708" s="16" t="str">
        <f aca="false">IF(AND($A708="",$B708="",$C708="",$E708=""),"",IF($A708="","⚠ Date missing",IF(OR($B708="",$C708=""),"⚠ Site / material missing",IF(COUNTIFS(CI_Site,$B708,CI_Mat,$C708)=0,"⚠ No Current Inventory row for this site + material",IF($G708="","⚠ Status missing",IF(AND($G708="Scheduled",$A708&lt;=AsOfDate),"⚠ Scheduled date reached – mark Received or re-date",IF(AND($G708="Received",$A708&gt;AsOfDate),"Future-dated – added on its date",IF(AND($G708="Received",$A708&lt;SUMIFS(CI_Count,CI_Site,$B708,CI_Mat,$C708)),"Before count date – already in the count","OK"))))))))</f>
        <v/>
      </c>
    </row>
    <row r="709" customFormat="false" ht="15" hidden="false" customHeight="false" outlineLevel="0" collapsed="false">
      <c r="A709" s="65"/>
      <c r="B709" s="63"/>
      <c r="C709" s="70"/>
      <c r="D709" s="16" t="str">
        <f aca="false">IF($C709="","",IFERROR(INDEX(Mat_Short,MATCH($C709,Mat_Code,0)),"⚠ Unknown code"))</f>
        <v/>
      </c>
      <c r="E709" s="66"/>
      <c r="F709" s="64" t="str">
        <f aca="false">IF($C709="","",IFERROR(INDEX(Mat_Unit,MATCH($C709,Mat_Code,0)),""))</f>
        <v/>
      </c>
      <c r="G709" s="70"/>
      <c r="H709" s="63"/>
      <c r="I709" s="63"/>
      <c r="J709" s="63"/>
      <c r="K709" s="16" t="str">
        <f aca="false">IF(AND($A709="",$B709="",$C709="",$E709=""),"",IF($A709="","⚠ Date missing",IF(OR($B709="",$C709=""),"⚠ Site / material missing",IF(COUNTIFS(CI_Site,$B709,CI_Mat,$C709)=0,"⚠ No Current Inventory row for this site + material",IF($G709="","⚠ Status missing",IF(AND($G709="Scheduled",$A709&lt;=AsOfDate),"⚠ Scheduled date reached – mark Received or re-date",IF(AND($G709="Received",$A709&gt;AsOfDate),"Future-dated – added on its date",IF(AND($G709="Received",$A709&lt;SUMIFS(CI_Count,CI_Site,$B709,CI_Mat,$C709)),"Before count date – already in the count","OK"))))))))</f>
        <v/>
      </c>
    </row>
    <row r="710" customFormat="false" ht="15" hidden="false" customHeight="false" outlineLevel="0" collapsed="false">
      <c r="A710" s="65"/>
      <c r="B710" s="63"/>
      <c r="C710" s="70"/>
      <c r="D710" s="16" t="str">
        <f aca="false">IF($C710="","",IFERROR(INDEX(Mat_Short,MATCH($C710,Mat_Code,0)),"⚠ Unknown code"))</f>
        <v/>
      </c>
      <c r="E710" s="66"/>
      <c r="F710" s="64" t="str">
        <f aca="false">IF($C710="","",IFERROR(INDEX(Mat_Unit,MATCH($C710,Mat_Code,0)),""))</f>
        <v/>
      </c>
      <c r="G710" s="70"/>
      <c r="H710" s="63"/>
      <c r="I710" s="63"/>
      <c r="J710" s="63"/>
      <c r="K710" s="16" t="str">
        <f aca="false">IF(AND($A710="",$B710="",$C710="",$E710=""),"",IF($A710="","⚠ Date missing",IF(OR($B710="",$C710=""),"⚠ Site / material missing",IF(COUNTIFS(CI_Site,$B710,CI_Mat,$C710)=0,"⚠ No Current Inventory row for this site + material",IF($G710="","⚠ Status missing",IF(AND($G710="Scheduled",$A710&lt;=AsOfDate),"⚠ Scheduled date reached – mark Received or re-date",IF(AND($G710="Received",$A710&gt;AsOfDate),"Future-dated – added on its date",IF(AND($G710="Received",$A710&lt;SUMIFS(CI_Count,CI_Site,$B710,CI_Mat,$C710)),"Before count date – already in the count","OK"))))))))</f>
        <v/>
      </c>
    </row>
    <row r="711" customFormat="false" ht="15" hidden="false" customHeight="false" outlineLevel="0" collapsed="false">
      <c r="A711" s="65"/>
      <c r="B711" s="63"/>
      <c r="C711" s="70"/>
      <c r="D711" s="16" t="str">
        <f aca="false">IF($C711="","",IFERROR(INDEX(Mat_Short,MATCH($C711,Mat_Code,0)),"⚠ Unknown code"))</f>
        <v/>
      </c>
      <c r="E711" s="66"/>
      <c r="F711" s="64" t="str">
        <f aca="false">IF($C711="","",IFERROR(INDEX(Mat_Unit,MATCH($C711,Mat_Code,0)),""))</f>
        <v/>
      </c>
      <c r="G711" s="70"/>
      <c r="H711" s="63"/>
      <c r="I711" s="63"/>
      <c r="J711" s="63"/>
      <c r="K711" s="16" t="str">
        <f aca="false">IF(AND($A711="",$B711="",$C711="",$E711=""),"",IF($A711="","⚠ Date missing",IF(OR($B711="",$C711=""),"⚠ Site / material missing",IF(COUNTIFS(CI_Site,$B711,CI_Mat,$C711)=0,"⚠ No Current Inventory row for this site + material",IF($G711="","⚠ Status missing",IF(AND($G711="Scheduled",$A711&lt;=AsOfDate),"⚠ Scheduled date reached – mark Received or re-date",IF(AND($G711="Received",$A711&gt;AsOfDate),"Future-dated – added on its date",IF(AND($G711="Received",$A711&lt;SUMIFS(CI_Count,CI_Site,$B711,CI_Mat,$C711)),"Before count date – already in the count","OK"))))))))</f>
        <v/>
      </c>
    </row>
    <row r="712" customFormat="false" ht="15" hidden="false" customHeight="false" outlineLevel="0" collapsed="false">
      <c r="A712" s="65"/>
      <c r="B712" s="63"/>
      <c r="C712" s="70"/>
      <c r="D712" s="16" t="str">
        <f aca="false">IF($C712="","",IFERROR(INDEX(Mat_Short,MATCH($C712,Mat_Code,0)),"⚠ Unknown code"))</f>
        <v/>
      </c>
      <c r="E712" s="66"/>
      <c r="F712" s="64" t="str">
        <f aca="false">IF($C712="","",IFERROR(INDEX(Mat_Unit,MATCH($C712,Mat_Code,0)),""))</f>
        <v/>
      </c>
      <c r="G712" s="70"/>
      <c r="H712" s="63"/>
      <c r="I712" s="63"/>
      <c r="J712" s="63"/>
      <c r="K712" s="16" t="str">
        <f aca="false">IF(AND($A712="",$B712="",$C712="",$E712=""),"",IF($A712="","⚠ Date missing",IF(OR($B712="",$C712=""),"⚠ Site / material missing",IF(COUNTIFS(CI_Site,$B712,CI_Mat,$C712)=0,"⚠ No Current Inventory row for this site + material",IF($G712="","⚠ Status missing",IF(AND($G712="Scheduled",$A712&lt;=AsOfDate),"⚠ Scheduled date reached – mark Received or re-date",IF(AND($G712="Received",$A712&gt;AsOfDate),"Future-dated – added on its date",IF(AND($G712="Received",$A712&lt;SUMIFS(CI_Count,CI_Site,$B712,CI_Mat,$C712)),"Before count date – already in the count","OK"))))))))</f>
        <v/>
      </c>
    </row>
    <row r="713" customFormat="false" ht="15" hidden="false" customHeight="false" outlineLevel="0" collapsed="false">
      <c r="A713" s="65"/>
      <c r="B713" s="63"/>
      <c r="C713" s="70"/>
      <c r="D713" s="16" t="str">
        <f aca="false">IF($C713="","",IFERROR(INDEX(Mat_Short,MATCH($C713,Mat_Code,0)),"⚠ Unknown code"))</f>
        <v/>
      </c>
      <c r="E713" s="66"/>
      <c r="F713" s="64" t="str">
        <f aca="false">IF($C713="","",IFERROR(INDEX(Mat_Unit,MATCH($C713,Mat_Code,0)),""))</f>
        <v/>
      </c>
      <c r="G713" s="70"/>
      <c r="H713" s="63"/>
      <c r="I713" s="63"/>
      <c r="J713" s="63"/>
      <c r="K713" s="16" t="str">
        <f aca="false">IF(AND($A713="",$B713="",$C713="",$E713=""),"",IF($A713="","⚠ Date missing",IF(OR($B713="",$C713=""),"⚠ Site / material missing",IF(COUNTIFS(CI_Site,$B713,CI_Mat,$C713)=0,"⚠ No Current Inventory row for this site + material",IF($G713="","⚠ Status missing",IF(AND($G713="Scheduled",$A713&lt;=AsOfDate),"⚠ Scheduled date reached – mark Received or re-date",IF(AND($G713="Received",$A713&gt;AsOfDate),"Future-dated – added on its date",IF(AND($G713="Received",$A713&lt;SUMIFS(CI_Count,CI_Site,$B713,CI_Mat,$C713)),"Before count date – already in the count","OK"))))))))</f>
        <v/>
      </c>
    </row>
    <row r="714" customFormat="false" ht="15" hidden="false" customHeight="false" outlineLevel="0" collapsed="false">
      <c r="A714" s="65"/>
      <c r="B714" s="63"/>
      <c r="C714" s="70"/>
      <c r="D714" s="16" t="str">
        <f aca="false">IF($C714="","",IFERROR(INDEX(Mat_Short,MATCH($C714,Mat_Code,0)),"⚠ Unknown code"))</f>
        <v/>
      </c>
      <c r="E714" s="66"/>
      <c r="F714" s="64" t="str">
        <f aca="false">IF($C714="","",IFERROR(INDEX(Mat_Unit,MATCH($C714,Mat_Code,0)),""))</f>
        <v/>
      </c>
      <c r="G714" s="70"/>
      <c r="H714" s="63"/>
      <c r="I714" s="63"/>
      <c r="J714" s="63"/>
      <c r="K714" s="16" t="str">
        <f aca="false">IF(AND($A714="",$B714="",$C714="",$E714=""),"",IF($A714="","⚠ Date missing",IF(OR($B714="",$C714=""),"⚠ Site / material missing",IF(COUNTIFS(CI_Site,$B714,CI_Mat,$C714)=0,"⚠ No Current Inventory row for this site + material",IF($G714="","⚠ Status missing",IF(AND($G714="Scheduled",$A714&lt;=AsOfDate),"⚠ Scheduled date reached – mark Received or re-date",IF(AND($G714="Received",$A714&gt;AsOfDate),"Future-dated – added on its date",IF(AND($G714="Received",$A714&lt;SUMIFS(CI_Count,CI_Site,$B714,CI_Mat,$C714)),"Before count date – already in the count","OK"))))))))</f>
        <v/>
      </c>
    </row>
    <row r="715" customFormat="false" ht="15" hidden="false" customHeight="false" outlineLevel="0" collapsed="false">
      <c r="A715" s="65"/>
      <c r="B715" s="63"/>
      <c r="C715" s="70"/>
      <c r="D715" s="16" t="str">
        <f aca="false">IF($C715="","",IFERROR(INDEX(Mat_Short,MATCH($C715,Mat_Code,0)),"⚠ Unknown code"))</f>
        <v/>
      </c>
      <c r="E715" s="66"/>
      <c r="F715" s="64" t="str">
        <f aca="false">IF($C715="","",IFERROR(INDEX(Mat_Unit,MATCH($C715,Mat_Code,0)),""))</f>
        <v/>
      </c>
      <c r="G715" s="70"/>
      <c r="H715" s="63"/>
      <c r="I715" s="63"/>
      <c r="J715" s="63"/>
      <c r="K715" s="16" t="str">
        <f aca="false">IF(AND($A715="",$B715="",$C715="",$E715=""),"",IF($A715="","⚠ Date missing",IF(OR($B715="",$C715=""),"⚠ Site / material missing",IF(COUNTIFS(CI_Site,$B715,CI_Mat,$C715)=0,"⚠ No Current Inventory row for this site + material",IF($G715="","⚠ Status missing",IF(AND($G715="Scheduled",$A715&lt;=AsOfDate),"⚠ Scheduled date reached – mark Received or re-date",IF(AND($G715="Received",$A715&gt;AsOfDate),"Future-dated – added on its date",IF(AND($G715="Received",$A715&lt;SUMIFS(CI_Count,CI_Site,$B715,CI_Mat,$C715)),"Before count date – already in the count","OK"))))))))</f>
        <v/>
      </c>
    </row>
    <row r="716" customFormat="false" ht="15" hidden="false" customHeight="false" outlineLevel="0" collapsed="false">
      <c r="A716" s="65"/>
      <c r="B716" s="63"/>
      <c r="C716" s="70"/>
      <c r="D716" s="16" t="str">
        <f aca="false">IF($C716="","",IFERROR(INDEX(Mat_Short,MATCH($C716,Mat_Code,0)),"⚠ Unknown code"))</f>
        <v/>
      </c>
      <c r="E716" s="66"/>
      <c r="F716" s="64" t="str">
        <f aca="false">IF($C716="","",IFERROR(INDEX(Mat_Unit,MATCH($C716,Mat_Code,0)),""))</f>
        <v/>
      </c>
      <c r="G716" s="70"/>
      <c r="H716" s="63"/>
      <c r="I716" s="63"/>
      <c r="J716" s="63"/>
      <c r="K716" s="16" t="str">
        <f aca="false">IF(AND($A716="",$B716="",$C716="",$E716=""),"",IF($A716="","⚠ Date missing",IF(OR($B716="",$C716=""),"⚠ Site / material missing",IF(COUNTIFS(CI_Site,$B716,CI_Mat,$C716)=0,"⚠ No Current Inventory row for this site + material",IF($G716="","⚠ Status missing",IF(AND($G716="Scheduled",$A716&lt;=AsOfDate),"⚠ Scheduled date reached – mark Received or re-date",IF(AND($G716="Received",$A716&gt;AsOfDate),"Future-dated – added on its date",IF(AND($G716="Received",$A716&lt;SUMIFS(CI_Count,CI_Site,$B716,CI_Mat,$C716)),"Before count date – already in the count","OK"))))))))</f>
        <v/>
      </c>
    </row>
    <row r="717" customFormat="false" ht="15" hidden="false" customHeight="false" outlineLevel="0" collapsed="false">
      <c r="A717" s="65"/>
      <c r="B717" s="63"/>
      <c r="C717" s="70"/>
      <c r="D717" s="16" t="str">
        <f aca="false">IF($C717="","",IFERROR(INDEX(Mat_Short,MATCH($C717,Mat_Code,0)),"⚠ Unknown code"))</f>
        <v/>
      </c>
      <c r="E717" s="66"/>
      <c r="F717" s="64" t="str">
        <f aca="false">IF($C717="","",IFERROR(INDEX(Mat_Unit,MATCH($C717,Mat_Code,0)),""))</f>
        <v/>
      </c>
      <c r="G717" s="70"/>
      <c r="H717" s="63"/>
      <c r="I717" s="63"/>
      <c r="J717" s="63"/>
      <c r="K717" s="16" t="str">
        <f aca="false">IF(AND($A717="",$B717="",$C717="",$E717=""),"",IF($A717="","⚠ Date missing",IF(OR($B717="",$C717=""),"⚠ Site / material missing",IF(COUNTIFS(CI_Site,$B717,CI_Mat,$C717)=0,"⚠ No Current Inventory row for this site + material",IF($G717="","⚠ Status missing",IF(AND($G717="Scheduled",$A717&lt;=AsOfDate),"⚠ Scheduled date reached – mark Received or re-date",IF(AND($G717="Received",$A717&gt;AsOfDate),"Future-dated – added on its date",IF(AND($G717="Received",$A717&lt;SUMIFS(CI_Count,CI_Site,$B717,CI_Mat,$C717)),"Before count date – already in the count","OK"))))))))</f>
        <v/>
      </c>
    </row>
    <row r="718" customFormat="false" ht="15" hidden="false" customHeight="false" outlineLevel="0" collapsed="false">
      <c r="A718" s="65"/>
      <c r="B718" s="63"/>
      <c r="C718" s="70"/>
      <c r="D718" s="16" t="str">
        <f aca="false">IF($C718="","",IFERROR(INDEX(Mat_Short,MATCH($C718,Mat_Code,0)),"⚠ Unknown code"))</f>
        <v/>
      </c>
      <c r="E718" s="66"/>
      <c r="F718" s="64" t="str">
        <f aca="false">IF($C718="","",IFERROR(INDEX(Mat_Unit,MATCH($C718,Mat_Code,0)),""))</f>
        <v/>
      </c>
      <c r="G718" s="70"/>
      <c r="H718" s="63"/>
      <c r="I718" s="63"/>
      <c r="J718" s="63"/>
      <c r="K718" s="16" t="str">
        <f aca="false">IF(AND($A718="",$B718="",$C718="",$E718=""),"",IF($A718="","⚠ Date missing",IF(OR($B718="",$C718=""),"⚠ Site / material missing",IF(COUNTIFS(CI_Site,$B718,CI_Mat,$C718)=0,"⚠ No Current Inventory row for this site + material",IF($G718="","⚠ Status missing",IF(AND($G718="Scheduled",$A718&lt;=AsOfDate),"⚠ Scheduled date reached – mark Received or re-date",IF(AND($G718="Received",$A718&gt;AsOfDate),"Future-dated – added on its date",IF(AND($G718="Received",$A718&lt;SUMIFS(CI_Count,CI_Site,$B718,CI_Mat,$C718)),"Before count date – already in the count","OK"))))))))</f>
        <v/>
      </c>
    </row>
    <row r="719" customFormat="false" ht="15" hidden="false" customHeight="false" outlineLevel="0" collapsed="false">
      <c r="A719" s="65"/>
      <c r="B719" s="63"/>
      <c r="C719" s="70"/>
      <c r="D719" s="16" t="str">
        <f aca="false">IF($C719="","",IFERROR(INDEX(Mat_Short,MATCH($C719,Mat_Code,0)),"⚠ Unknown code"))</f>
        <v/>
      </c>
      <c r="E719" s="66"/>
      <c r="F719" s="64" t="str">
        <f aca="false">IF($C719="","",IFERROR(INDEX(Mat_Unit,MATCH($C719,Mat_Code,0)),""))</f>
        <v/>
      </c>
      <c r="G719" s="70"/>
      <c r="H719" s="63"/>
      <c r="I719" s="63"/>
      <c r="J719" s="63"/>
      <c r="K719" s="16" t="str">
        <f aca="false">IF(AND($A719="",$B719="",$C719="",$E719=""),"",IF($A719="","⚠ Date missing",IF(OR($B719="",$C719=""),"⚠ Site / material missing",IF(COUNTIFS(CI_Site,$B719,CI_Mat,$C719)=0,"⚠ No Current Inventory row for this site + material",IF($G719="","⚠ Status missing",IF(AND($G719="Scheduled",$A719&lt;=AsOfDate),"⚠ Scheduled date reached – mark Received or re-date",IF(AND($G719="Received",$A719&gt;AsOfDate),"Future-dated – added on its date",IF(AND($G719="Received",$A719&lt;SUMIFS(CI_Count,CI_Site,$B719,CI_Mat,$C719)),"Before count date – already in the count","OK"))))))))</f>
        <v/>
      </c>
    </row>
    <row r="720" customFormat="false" ht="15" hidden="false" customHeight="false" outlineLevel="0" collapsed="false">
      <c r="A720" s="65"/>
      <c r="B720" s="63"/>
      <c r="C720" s="70"/>
      <c r="D720" s="16" t="str">
        <f aca="false">IF($C720="","",IFERROR(INDEX(Mat_Short,MATCH($C720,Mat_Code,0)),"⚠ Unknown code"))</f>
        <v/>
      </c>
      <c r="E720" s="66"/>
      <c r="F720" s="64" t="str">
        <f aca="false">IF($C720="","",IFERROR(INDEX(Mat_Unit,MATCH($C720,Mat_Code,0)),""))</f>
        <v/>
      </c>
      <c r="G720" s="70"/>
      <c r="H720" s="63"/>
      <c r="I720" s="63"/>
      <c r="J720" s="63"/>
      <c r="K720" s="16" t="str">
        <f aca="false">IF(AND($A720="",$B720="",$C720="",$E720=""),"",IF($A720="","⚠ Date missing",IF(OR($B720="",$C720=""),"⚠ Site / material missing",IF(COUNTIFS(CI_Site,$B720,CI_Mat,$C720)=0,"⚠ No Current Inventory row for this site + material",IF($G720="","⚠ Status missing",IF(AND($G720="Scheduled",$A720&lt;=AsOfDate),"⚠ Scheduled date reached – mark Received or re-date",IF(AND($G720="Received",$A720&gt;AsOfDate),"Future-dated – added on its date",IF(AND($G720="Received",$A720&lt;SUMIFS(CI_Count,CI_Site,$B720,CI_Mat,$C720)),"Before count date – already in the count","OK"))))))))</f>
        <v/>
      </c>
    </row>
    <row r="721" customFormat="false" ht="15" hidden="false" customHeight="false" outlineLevel="0" collapsed="false">
      <c r="A721" s="65"/>
      <c r="B721" s="63"/>
      <c r="C721" s="70"/>
      <c r="D721" s="16" t="str">
        <f aca="false">IF($C721="","",IFERROR(INDEX(Mat_Short,MATCH($C721,Mat_Code,0)),"⚠ Unknown code"))</f>
        <v/>
      </c>
      <c r="E721" s="66"/>
      <c r="F721" s="64" t="str">
        <f aca="false">IF($C721="","",IFERROR(INDEX(Mat_Unit,MATCH($C721,Mat_Code,0)),""))</f>
        <v/>
      </c>
      <c r="G721" s="70"/>
      <c r="H721" s="63"/>
      <c r="I721" s="63"/>
      <c r="J721" s="63"/>
      <c r="K721" s="16" t="str">
        <f aca="false">IF(AND($A721="",$B721="",$C721="",$E721=""),"",IF($A721="","⚠ Date missing",IF(OR($B721="",$C721=""),"⚠ Site / material missing",IF(COUNTIFS(CI_Site,$B721,CI_Mat,$C721)=0,"⚠ No Current Inventory row for this site + material",IF($G721="","⚠ Status missing",IF(AND($G721="Scheduled",$A721&lt;=AsOfDate),"⚠ Scheduled date reached – mark Received or re-date",IF(AND($G721="Received",$A721&gt;AsOfDate),"Future-dated – added on its date",IF(AND($G721="Received",$A721&lt;SUMIFS(CI_Count,CI_Site,$B721,CI_Mat,$C721)),"Before count date – already in the count","OK"))))))))</f>
        <v/>
      </c>
    </row>
    <row r="722" customFormat="false" ht="15" hidden="false" customHeight="false" outlineLevel="0" collapsed="false">
      <c r="A722" s="65"/>
      <c r="B722" s="63"/>
      <c r="C722" s="70"/>
      <c r="D722" s="16" t="str">
        <f aca="false">IF($C722="","",IFERROR(INDEX(Mat_Short,MATCH($C722,Mat_Code,0)),"⚠ Unknown code"))</f>
        <v/>
      </c>
      <c r="E722" s="66"/>
      <c r="F722" s="64" t="str">
        <f aca="false">IF($C722="","",IFERROR(INDEX(Mat_Unit,MATCH($C722,Mat_Code,0)),""))</f>
        <v/>
      </c>
      <c r="G722" s="70"/>
      <c r="H722" s="63"/>
      <c r="I722" s="63"/>
      <c r="J722" s="63"/>
      <c r="K722" s="16" t="str">
        <f aca="false">IF(AND($A722="",$B722="",$C722="",$E722=""),"",IF($A722="","⚠ Date missing",IF(OR($B722="",$C722=""),"⚠ Site / material missing",IF(COUNTIFS(CI_Site,$B722,CI_Mat,$C722)=0,"⚠ No Current Inventory row for this site + material",IF($G722="","⚠ Status missing",IF(AND($G722="Scheduled",$A722&lt;=AsOfDate),"⚠ Scheduled date reached – mark Received or re-date",IF(AND($G722="Received",$A722&gt;AsOfDate),"Future-dated – added on its date",IF(AND($G722="Received",$A722&lt;SUMIFS(CI_Count,CI_Site,$B722,CI_Mat,$C722)),"Before count date – already in the count","OK"))))))))</f>
        <v/>
      </c>
    </row>
    <row r="723" customFormat="false" ht="15" hidden="false" customHeight="false" outlineLevel="0" collapsed="false">
      <c r="A723" s="65"/>
      <c r="B723" s="63"/>
      <c r="C723" s="70"/>
      <c r="D723" s="16" t="str">
        <f aca="false">IF($C723="","",IFERROR(INDEX(Mat_Short,MATCH($C723,Mat_Code,0)),"⚠ Unknown code"))</f>
        <v/>
      </c>
      <c r="E723" s="66"/>
      <c r="F723" s="64" t="str">
        <f aca="false">IF($C723="","",IFERROR(INDEX(Mat_Unit,MATCH($C723,Mat_Code,0)),""))</f>
        <v/>
      </c>
      <c r="G723" s="70"/>
      <c r="H723" s="63"/>
      <c r="I723" s="63"/>
      <c r="J723" s="63"/>
      <c r="K723" s="16" t="str">
        <f aca="false">IF(AND($A723="",$B723="",$C723="",$E723=""),"",IF($A723="","⚠ Date missing",IF(OR($B723="",$C723=""),"⚠ Site / material missing",IF(COUNTIFS(CI_Site,$B723,CI_Mat,$C723)=0,"⚠ No Current Inventory row for this site + material",IF($G723="","⚠ Status missing",IF(AND($G723="Scheduled",$A723&lt;=AsOfDate),"⚠ Scheduled date reached – mark Received or re-date",IF(AND($G723="Received",$A723&gt;AsOfDate),"Future-dated – added on its date",IF(AND($G723="Received",$A723&lt;SUMIFS(CI_Count,CI_Site,$B723,CI_Mat,$C723)),"Before count date – already in the count","OK"))))))))</f>
        <v/>
      </c>
    </row>
    <row r="724" customFormat="false" ht="15" hidden="false" customHeight="false" outlineLevel="0" collapsed="false">
      <c r="A724" s="65"/>
      <c r="B724" s="63"/>
      <c r="C724" s="70"/>
      <c r="D724" s="16" t="str">
        <f aca="false">IF($C724="","",IFERROR(INDEX(Mat_Short,MATCH($C724,Mat_Code,0)),"⚠ Unknown code"))</f>
        <v/>
      </c>
      <c r="E724" s="66"/>
      <c r="F724" s="64" t="str">
        <f aca="false">IF($C724="","",IFERROR(INDEX(Mat_Unit,MATCH($C724,Mat_Code,0)),""))</f>
        <v/>
      </c>
      <c r="G724" s="70"/>
      <c r="H724" s="63"/>
      <c r="I724" s="63"/>
      <c r="J724" s="63"/>
      <c r="K724" s="16" t="str">
        <f aca="false">IF(AND($A724="",$B724="",$C724="",$E724=""),"",IF($A724="","⚠ Date missing",IF(OR($B724="",$C724=""),"⚠ Site / material missing",IF(COUNTIFS(CI_Site,$B724,CI_Mat,$C724)=0,"⚠ No Current Inventory row for this site + material",IF($G724="","⚠ Status missing",IF(AND($G724="Scheduled",$A724&lt;=AsOfDate),"⚠ Scheduled date reached – mark Received or re-date",IF(AND($G724="Received",$A724&gt;AsOfDate),"Future-dated – added on its date",IF(AND($G724="Received",$A724&lt;SUMIFS(CI_Count,CI_Site,$B724,CI_Mat,$C724)),"Before count date – already in the count","OK"))))))))</f>
        <v/>
      </c>
    </row>
    <row r="725" customFormat="false" ht="15" hidden="false" customHeight="false" outlineLevel="0" collapsed="false">
      <c r="A725" s="65"/>
      <c r="B725" s="63"/>
      <c r="C725" s="70"/>
      <c r="D725" s="16" t="str">
        <f aca="false">IF($C725="","",IFERROR(INDEX(Mat_Short,MATCH($C725,Mat_Code,0)),"⚠ Unknown code"))</f>
        <v/>
      </c>
      <c r="E725" s="66"/>
      <c r="F725" s="64" t="str">
        <f aca="false">IF($C725="","",IFERROR(INDEX(Mat_Unit,MATCH($C725,Mat_Code,0)),""))</f>
        <v/>
      </c>
      <c r="G725" s="70"/>
      <c r="H725" s="63"/>
      <c r="I725" s="63"/>
      <c r="J725" s="63"/>
      <c r="K725" s="16" t="str">
        <f aca="false">IF(AND($A725="",$B725="",$C725="",$E725=""),"",IF($A725="","⚠ Date missing",IF(OR($B725="",$C725=""),"⚠ Site / material missing",IF(COUNTIFS(CI_Site,$B725,CI_Mat,$C725)=0,"⚠ No Current Inventory row for this site + material",IF($G725="","⚠ Status missing",IF(AND($G725="Scheduled",$A725&lt;=AsOfDate),"⚠ Scheduled date reached – mark Received or re-date",IF(AND($G725="Received",$A725&gt;AsOfDate),"Future-dated – added on its date",IF(AND($G725="Received",$A725&lt;SUMIFS(CI_Count,CI_Site,$B725,CI_Mat,$C725)),"Before count date – already in the count","OK"))))))))</f>
        <v/>
      </c>
    </row>
    <row r="726" customFormat="false" ht="15" hidden="false" customHeight="false" outlineLevel="0" collapsed="false">
      <c r="A726" s="65"/>
      <c r="B726" s="63"/>
      <c r="C726" s="70"/>
      <c r="D726" s="16" t="str">
        <f aca="false">IF($C726="","",IFERROR(INDEX(Mat_Short,MATCH($C726,Mat_Code,0)),"⚠ Unknown code"))</f>
        <v/>
      </c>
      <c r="E726" s="66"/>
      <c r="F726" s="64" t="str">
        <f aca="false">IF($C726="","",IFERROR(INDEX(Mat_Unit,MATCH($C726,Mat_Code,0)),""))</f>
        <v/>
      </c>
      <c r="G726" s="70"/>
      <c r="H726" s="63"/>
      <c r="I726" s="63"/>
      <c r="J726" s="63"/>
      <c r="K726" s="16" t="str">
        <f aca="false">IF(AND($A726="",$B726="",$C726="",$E726=""),"",IF($A726="","⚠ Date missing",IF(OR($B726="",$C726=""),"⚠ Site / material missing",IF(COUNTIFS(CI_Site,$B726,CI_Mat,$C726)=0,"⚠ No Current Inventory row for this site + material",IF($G726="","⚠ Status missing",IF(AND($G726="Scheduled",$A726&lt;=AsOfDate),"⚠ Scheduled date reached – mark Received or re-date",IF(AND($G726="Received",$A726&gt;AsOfDate),"Future-dated – added on its date",IF(AND($G726="Received",$A726&lt;SUMIFS(CI_Count,CI_Site,$B726,CI_Mat,$C726)),"Before count date – already in the count","OK"))))))))</f>
        <v/>
      </c>
    </row>
    <row r="727" customFormat="false" ht="15" hidden="false" customHeight="false" outlineLevel="0" collapsed="false">
      <c r="A727" s="65"/>
      <c r="B727" s="63"/>
      <c r="C727" s="70"/>
      <c r="D727" s="16" t="str">
        <f aca="false">IF($C727="","",IFERROR(INDEX(Mat_Short,MATCH($C727,Mat_Code,0)),"⚠ Unknown code"))</f>
        <v/>
      </c>
      <c r="E727" s="66"/>
      <c r="F727" s="64" t="str">
        <f aca="false">IF($C727="","",IFERROR(INDEX(Mat_Unit,MATCH($C727,Mat_Code,0)),""))</f>
        <v/>
      </c>
      <c r="G727" s="70"/>
      <c r="H727" s="63"/>
      <c r="I727" s="63"/>
      <c r="J727" s="63"/>
      <c r="K727" s="16" t="str">
        <f aca="false">IF(AND($A727="",$B727="",$C727="",$E727=""),"",IF($A727="","⚠ Date missing",IF(OR($B727="",$C727=""),"⚠ Site / material missing",IF(COUNTIFS(CI_Site,$B727,CI_Mat,$C727)=0,"⚠ No Current Inventory row for this site + material",IF($G727="","⚠ Status missing",IF(AND($G727="Scheduled",$A727&lt;=AsOfDate),"⚠ Scheduled date reached – mark Received or re-date",IF(AND($G727="Received",$A727&gt;AsOfDate),"Future-dated – added on its date",IF(AND($G727="Received",$A727&lt;SUMIFS(CI_Count,CI_Site,$B727,CI_Mat,$C727)),"Before count date – already in the count","OK"))))))))</f>
        <v/>
      </c>
    </row>
    <row r="728" customFormat="false" ht="15" hidden="false" customHeight="false" outlineLevel="0" collapsed="false">
      <c r="A728" s="65"/>
      <c r="B728" s="63"/>
      <c r="C728" s="70"/>
      <c r="D728" s="16" t="str">
        <f aca="false">IF($C728="","",IFERROR(INDEX(Mat_Short,MATCH($C728,Mat_Code,0)),"⚠ Unknown code"))</f>
        <v/>
      </c>
      <c r="E728" s="66"/>
      <c r="F728" s="64" t="str">
        <f aca="false">IF($C728="","",IFERROR(INDEX(Mat_Unit,MATCH($C728,Mat_Code,0)),""))</f>
        <v/>
      </c>
      <c r="G728" s="70"/>
      <c r="H728" s="63"/>
      <c r="I728" s="63"/>
      <c r="J728" s="63"/>
      <c r="K728" s="16" t="str">
        <f aca="false">IF(AND($A728="",$B728="",$C728="",$E728=""),"",IF($A728="","⚠ Date missing",IF(OR($B728="",$C728=""),"⚠ Site / material missing",IF(COUNTIFS(CI_Site,$B728,CI_Mat,$C728)=0,"⚠ No Current Inventory row for this site + material",IF($G728="","⚠ Status missing",IF(AND($G728="Scheduled",$A728&lt;=AsOfDate),"⚠ Scheduled date reached – mark Received or re-date",IF(AND($G728="Received",$A728&gt;AsOfDate),"Future-dated – added on its date",IF(AND($G728="Received",$A728&lt;SUMIFS(CI_Count,CI_Site,$B728,CI_Mat,$C728)),"Before count date – already in the count","OK"))))))))</f>
        <v/>
      </c>
    </row>
    <row r="729" customFormat="false" ht="15" hidden="false" customHeight="false" outlineLevel="0" collapsed="false">
      <c r="A729" s="65"/>
      <c r="B729" s="63"/>
      <c r="C729" s="70"/>
      <c r="D729" s="16" t="str">
        <f aca="false">IF($C729="","",IFERROR(INDEX(Mat_Short,MATCH($C729,Mat_Code,0)),"⚠ Unknown code"))</f>
        <v/>
      </c>
      <c r="E729" s="66"/>
      <c r="F729" s="64" t="str">
        <f aca="false">IF($C729="","",IFERROR(INDEX(Mat_Unit,MATCH($C729,Mat_Code,0)),""))</f>
        <v/>
      </c>
      <c r="G729" s="70"/>
      <c r="H729" s="63"/>
      <c r="I729" s="63"/>
      <c r="J729" s="63"/>
      <c r="K729" s="16" t="str">
        <f aca="false">IF(AND($A729="",$B729="",$C729="",$E729=""),"",IF($A729="","⚠ Date missing",IF(OR($B729="",$C729=""),"⚠ Site / material missing",IF(COUNTIFS(CI_Site,$B729,CI_Mat,$C729)=0,"⚠ No Current Inventory row for this site + material",IF($G729="","⚠ Status missing",IF(AND($G729="Scheduled",$A729&lt;=AsOfDate),"⚠ Scheduled date reached – mark Received or re-date",IF(AND($G729="Received",$A729&gt;AsOfDate),"Future-dated – added on its date",IF(AND($G729="Received",$A729&lt;SUMIFS(CI_Count,CI_Site,$B729,CI_Mat,$C729)),"Before count date – already in the count","OK"))))))))</f>
        <v/>
      </c>
    </row>
    <row r="730" customFormat="false" ht="15" hidden="false" customHeight="false" outlineLevel="0" collapsed="false">
      <c r="A730" s="65"/>
      <c r="B730" s="63"/>
      <c r="C730" s="70"/>
      <c r="D730" s="16" t="str">
        <f aca="false">IF($C730="","",IFERROR(INDEX(Mat_Short,MATCH($C730,Mat_Code,0)),"⚠ Unknown code"))</f>
        <v/>
      </c>
      <c r="E730" s="66"/>
      <c r="F730" s="64" t="str">
        <f aca="false">IF($C730="","",IFERROR(INDEX(Mat_Unit,MATCH($C730,Mat_Code,0)),""))</f>
        <v/>
      </c>
      <c r="G730" s="70"/>
      <c r="H730" s="63"/>
      <c r="I730" s="63"/>
      <c r="J730" s="63"/>
      <c r="K730" s="16" t="str">
        <f aca="false">IF(AND($A730="",$B730="",$C730="",$E730=""),"",IF($A730="","⚠ Date missing",IF(OR($B730="",$C730=""),"⚠ Site / material missing",IF(COUNTIFS(CI_Site,$B730,CI_Mat,$C730)=0,"⚠ No Current Inventory row for this site + material",IF($G730="","⚠ Status missing",IF(AND($G730="Scheduled",$A730&lt;=AsOfDate),"⚠ Scheduled date reached – mark Received or re-date",IF(AND($G730="Received",$A730&gt;AsOfDate),"Future-dated – added on its date",IF(AND($G730="Received",$A730&lt;SUMIFS(CI_Count,CI_Site,$B730,CI_Mat,$C730)),"Before count date – already in the count","OK"))))))))</f>
        <v/>
      </c>
    </row>
    <row r="731" customFormat="false" ht="15" hidden="false" customHeight="false" outlineLevel="0" collapsed="false">
      <c r="A731" s="65"/>
      <c r="B731" s="63"/>
      <c r="C731" s="70"/>
      <c r="D731" s="16" t="str">
        <f aca="false">IF($C731="","",IFERROR(INDEX(Mat_Short,MATCH($C731,Mat_Code,0)),"⚠ Unknown code"))</f>
        <v/>
      </c>
      <c r="E731" s="66"/>
      <c r="F731" s="64" t="str">
        <f aca="false">IF($C731="","",IFERROR(INDEX(Mat_Unit,MATCH($C731,Mat_Code,0)),""))</f>
        <v/>
      </c>
      <c r="G731" s="70"/>
      <c r="H731" s="63"/>
      <c r="I731" s="63"/>
      <c r="J731" s="63"/>
      <c r="K731" s="16" t="str">
        <f aca="false">IF(AND($A731="",$B731="",$C731="",$E731=""),"",IF($A731="","⚠ Date missing",IF(OR($B731="",$C731=""),"⚠ Site / material missing",IF(COUNTIFS(CI_Site,$B731,CI_Mat,$C731)=0,"⚠ No Current Inventory row for this site + material",IF($G731="","⚠ Status missing",IF(AND($G731="Scheduled",$A731&lt;=AsOfDate),"⚠ Scheduled date reached – mark Received or re-date",IF(AND($G731="Received",$A731&gt;AsOfDate),"Future-dated – added on its date",IF(AND($G731="Received",$A731&lt;SUMIFS(CI_Count,CI_Site,$B731,CI_Mat,$C731)),"Before count date – already in the count","OK"))))))))</f>
        <v/>
      </c>
    </row>
    <row r="732" customFormat="false" ht="15" hidden="false" customHeight="false" outlineLevel="0" collapsed="false">
      <c r="A732" s="65"/>
      <c r="B732" s="63"/>
      <c r="C732" s="70"/>
      <c r="D732" s="16" t="str">
        <f aca="false">IF($C732="","",IFERROR(INDEX(Mat_Short,MATCH($C732,Mat_Code,0)),"⚠ Unknown code"))</f>
        <v/>
      </c>
      <c r="E732" s="66"/>
      <c r="F732" s="64" t="str">
        <f aca="false">IF($C732="","",IFERROR(INDEX(Mat_Unit,MATCH($C732,Mat_Code,0)),""))</f>
        <v/>
      </c>
      <c r="G732" s="70"/>
      <c r="H732" s="63"/>
      <c r="I732" s="63"/>
      <c r="J732" s="63"/>
      <c r="K732" s="16" t="str">
        <f aca="false">IF(AND($A732="",$B732="",$C732="",$E732=""),"",IF($A732="","⚠ Date missing",IF(OR($B732="",$C732=""),"⚠ Site / material missing",IF(COUNTIFS(CI_Site,$B732,CI_Mat,$C732)=0,"⚠ No Current Inventory row for this site + material",IF($G732="","⚠ Status missing",IF(AND($G732="Scheduled",$A732&lt;=AsOfDate),"⚠ Scheduled date reached – mark Received or re-date",IF(AND($G732="Received",$A732&gt;AsOfDate),"Future-dated – added on its date",IF(AND($G732="Received",$A732&lt;SUMIFS(CI_Count,CI_Site,$B732,CI_Mat,$C732)),"Before count date – already in the count","OK"))))))))</f>
        <v/>
      </c>
    </row>
    <row r="733" customFormat="false" ht="15" hidden="false" customHeight="false" outlineLevel="0" collapsed="false">
      <c r="A733" s="65"/>
      <c r="B733" s="63"/>
      <c r="C733" s="70"/>
      <c r="D733" s="16" t="str">
        <f aca="false">IF($C733="","",IFERROR(INDEX(Mat_Short,MATCH($C733,Mat_Code,0)),"⚠ Unknown code"))</f>
        <v/>
      </c>
      <c r="E733" s="66"/>
      <c r="F733" s="64" t="str">
        <f aca="false">IF($C733="","",IFERROR(INDEX(Mat_Unit,MATCH($C733,Mat_Code,0)),""))</f>
        <v/>
      </c>
      <c r="G733" s="70"/>
      <c r="H733" s="63"/>
      <c r="I733" s="63"/>
      <c r="J733" s="63"/>
      <c r="K733" s="16" t="str">
        <f aca="false">IF(AND($A733="",$B733="",$C733="",$E733=""),"",IF($A733="","⚠ Date missing",IF(OR($B733="",$C733=""),"⚠ Site / material missing",IF(COUNTIFS(CI_Site,$B733,CI_Mat,$C733)=0,"⚠ No Current Inventory row for this site + material",IF($G733="","⚠ Status missing",IF(AND($G733="Scheduled",$A733&lt;=AsOfDate),"⚠ Scheduled date reached – mark Received or re-date",IF(AND($G733="Received",$A733&gt;AsOfDate),"Future-dated – added on its date",IF(AND($G733="Received",$A733&lt;SUMIFS(CI_Count,CI_Site,$B733,CI_Mat,$C733)),"Before count date – already in the count","OK"))))))))</f>
        <v/>
      </c>
    </row>
    <row r="734" customFormat="false" ht="15" hidden="false" customHeight="false" outlineLevel="0" collapsed="false">
      <c r="A734" s="65"/>
      <c r="B734" s="63"/>
      <c r="C734" s="70"/>
      <c r="D734" s="16" t="str">
        <f aca="false">IF($C734="","",IFERROR(INDEX(Mat_Short,MATCH($C734,Mat_Code,0)),"⚠ Unknown code"))</f>
        <v/>
      </c>
      <c r="E734" s="66"/>
      <c r="F734" s="64" t="str">
        <f aca="false">IF($C734="","",IFERROR(INDEX(Mat_Unit,MATCH($C734,Mat_Code,0)),""))</f>
        <v/>
      </c>
      <c r="G734" s="70"/>
      <c r="H734" s="63"/>
      <c r="I734" s="63"/>
      <c r="J734" s="63"/>
      <c r="K734" s="16" t="str">
        <f aca="false">IF(AND($A734="",$B734="",$C734="",$E734=""),"",IF($A734="","⚠ Date missing",IF(OR($B734="",$C734=""),"⚠ Site / material missing",IF(COUNTIFS(CI_Site,$B734,CI_Mat,$C734)=0,"⚠ No Current Inventory row for this site + material",IF($G734="","⚠ Status missing",IF(AND($G734="Scheduled",$A734&lt;=AsOfDate),"⚠ Scheduled date reached – mark Received or re-date",IF(AND($G734="Received",$A734&gt;AsOfDate),"Future-dated – added on its date",IF(AND($G734="Received",$A734&lt;SUMIFS(CI_Count,CI_Site,$B734,CI_Mat,$C734)),"Before count date – already in the count","OK"))))))))</f>
        <v/>
      </c>
    </row>
    <row r="735" customFormat="false" ht="15" hidden="false" customHeight="false" outlineLevel="0" collapsed="false">
      <c r="A735" s="65"/>
      <c r="B735" s="63"/>
      <c r="C735" s="70"/>
      <c r="D735" s="16" t="str">
        <f aca="false">IF($C735="","",IFERROR(INDEX(Mat_Short,MATCH($C735,Mat_Code,0)),"⚠ Unknown code"))</f>
        <v/>
      </c>
      <c r="E735" s="66"/>
      <c r="F735" s="64" t="str">
        <f aca="false">IF($C735="","",IFERROR(INDEX(Mat_Unit,MATCH($C735,Mat_Code,0)),""))</f>
        <v/>
      </c>
      <c r="G735" s="70"/>
      <c r="H735" s="63"/>
      <c r="I735" s="63"/>
      <c r="J735" s="63"/>
      <c r="K735" s="16" t="str">
        <f aca="false">IF(AND($A735="",$B735="",$C735="",$E735=""),"",IF($A735="","⚠ Date missing",IF(OR($B735="",$C735=""),"⚠ Site / material missing",IF(COUNTIFS(CI_Site,$B735,CI_Mat,$C735)=0,"⚠ No Current Inventory row for this site + material",IF($G735="","⚠ Status missing",IF(AND($G735="Scheduled",$A735&lt;=AsOfDate),"⚠ Scheduled date reached – mark Received or re-date",IF(AND($G735="Received",$A735&gt;AsOfDate),"Future-dated – added on its date",IF(AND($G735="Received",$A735&lt;SUMIFS(CI_Count,CI_Site,$B735,CI_Mat,$C735)),"Before count date – already in the count","OK"))))))))</f>
        <v/>
      </c>
    </row>
    <row r="736" customFormat="false" ht="15" hidden="false" customHeight="false" outlineLevel="0" collapsed="false">
      <c r="A736" s="65"/>
      <c r="B736" s="63"/>
      <c r="C736" s="70"/>
      <c r="D736" s="16" t="str">
        <f aca="false">IF($C736="","",IFERROR(INDEX(Mat_Short,MATCH($C736,Mat_Code,0)),"⚠ Unknown code"))</f>
        <v/>
      </c>
      <c r="E736" s="66"/>
      <c r="F736" s="64" t="str">
        <f aca="false">IF($C736="","",IFERROR(INDEX(Mat_Unit,MATCH($C736,Mat_Code,0)),""))</f>
        <v/>
      </c>
      <c r="G736" s="70"/>
      <c r="H736" s="63"/>
      <c r="I736" s="63"/>
      <c r="J736" s="63"/>
      <c r="K736" s="16" t="str">
        <f aca="false">IF(AND($A736="",$B736="",$C736="",$E736=""),"",IF($A736="","⚠ Date missing",IF(OR($B736="",$C736=""),"⚠ Site / material missing",IF(COUNTIFS(CI_Site,$B736,CI_Mat,$C736)=0,"⚠ No Current Inventory row for this site + material",IF($G736="","⚠ Status missing",IF(AND($G736="Scheduled",$A736&lt;=AsOfDate),"⚠ Scheduled date reached – mark Received or re-date",IF(AND($G736="Received",$A736&gt;AsOfDate),"Future-dated – added on its date",IF(AND($G736="Received",$A736&lt;SUMIFS(CI_Count,CI_Site,$B736,CI_Mat,$C736)),"Before count date – already in the count","OK"))))))))</f>
        <v/>
      </c>
    </row>
    <row r="737" customFormat="false" ht="15" hidden="false" customHeight="false" outlineLevel="0" collapsed="false">
      <c r="A737" s="65"/>
      <c r="B737" s="63"/>
      <c r="C737" s="70"/>
      <c r="D737" s="16" t="str">
        <f aca="false">IF($C737="","",IFERROR(INDEX(Mat_Short,MATCH($C737,Mat_Code,0)),"⚠ Unknown code"))</f>
        <v/>
      </c>
      <c r="E737" s="66"/>
      <c r="F737" s="64" t="str">
        <f aca="false">IF($C737="","",IFERROR(INDEX(Mat_Unit,MATCH($C737,Mat_Code,0)),""))</f>
        <v/>
      </c>
      <c r="G737" s="70"/>
      <c r="H737" s="63"/>
      <c r="I737" s="63"/>
      <c r="J737" s="63"/>
      <c r="K737" s="16" t="str">
        <f aca="false">IF(AND($A737="",$B737="",$C737="",$E737=""),"",IF($A737="","⚠ Date missing",IF(OR($B737="",$C737=""),"⚠ Site / material missing",IF(COUNTIFS(CI_Site,$B737,CI_Mat,$C737)=0,"⚠ No Current Inventory row for this site + material",IF($G737="","⚠ Status missing",IF(AND($G737="Scheduled",$A737&lt;=AsOfDate),"⚠ Scheduled date reached – mark Received or re-date",IF(AND($G737="Received",$A737&gt;AsOfDate),"Future-dated – added on its date",IF(AND($G737="Received",$A737&lt;SUMIFS(CI_Count,CI_Site,$B737,CI_Mat,$C737)),"Before count date – already in the count","OK"))))))))</f>
        <v/>
      </c>
    </row>
    <row r="738" customFormat="false" ht="15" hidden="false" customHeight="false" outlineLevel="0" collapsed="false">
      <c r="A738" s="65"/>
      <c r="B738" s="63"/>
      <c r="C738" s="70"/>
      <c r="D738" s="16" t="str">
        <f aca="false">IF($C738="","",IFERROR(INDEX(Mat_Short,MATCH($C738,Mat_Code,0)),"⚠ Unknown code"))</f>
        <v/>
      </c>
      <c r="E738" s="66"/>
      <c r="F738" s="64" t="str">
        <f aca="false">IF($C738="","",IFERROR(INDEX(Mat_Unit,MATCH($C738,Mat_Code,0)),""))</f>
        <v/>
      </c>
      <c r="G738" s="70"/>
      <c r="H738" s="63"/>
      <c r="I738" s="63"/>
      <c r="J738" s="63"/>
      <c r="K738" s="16" t="str">
        <f aca="false">IF(AND($A738="",$B738="",$C738="",$E738=""),"",IF($A738="","⚠ Date missing",IF(OR($B738="",$C738=""),"⚠ Site / material missing",IF(COUNTIFS(CI_Site,$B738,CI_Mat,$C738)=0,"⚠ No Current Inventory row for this site + material",IF($G738="","⚠ Status missing",IF(AND($G738="Scheduled",$A738&lt;=AsOfDate),"⚠ Scheduled date reached – mark Received or re-date",IF(AND($G738="Received",$A738&gt;AsOfDate),"Future-dated – added on its date",IF(AND($G738="Received",$A738&lt;SUMIFS(CI_Count,CI_Site,$B738,CI_Mat,$C738)),"Before count date – already in the count","OK"))))))))</f>
        <v/>
      </c>
    </row>
    <row r="739" customFormat="false" ht="15" hidden="false" customHeight="false" outlineLevel="0" collapsed="false">
      <c r="A739" s="65"/>
      <c r="B739" s="63"/>
      <c r="C739" s="70"/>
      <c r="D739" s="16" t="str">
        <f aca="false">IF($C739="","",IFERROR(INDEX(Mat_Short,MATCH($C739,Mat_Code,0)),"⚠ Unknown code"))</f>
        <v/>
      </c>
      <c r="E739" s="66"/>
      <c r="F739" s="64" t="str">
        <f aca="false">IF($C739="","",IFERROR(INDEX(Mat_Unit,MATCH($C739,Mat_Code,0)),""))</f>
        <v/>
      </c>
      <c r="G739" s="70"/>
      <c r="H739" s="63"/>
      <c r="I739" s="63"/>
      <c r="J739" s="63"/>
      <c r="K739" s="16" t="str">
        <f aca="false">IF(AND($A739="",$B739="",$C739="",$E739=""),"",IF($A739="","⚠ Date missing",IF(OR($B739="",$C739=""),"⚠ Site / material missing",IF(COUNTIFS(CI_Site,$B739,CI_Mat,$C739)=0,"⚠ No Current Inventory row for this site + material",IF($G739="","⚠ Status missing",IF(AND($G739="Scheduled",$A739&lt;=AsOfDate),"⚠ Scheduled date reached – mark Received or re-date",IF(AND($G739="Received",$A739&gt;AsOfDate),"Future-dated – added on its date",IF(AND($G739="Received",$A739&lt;SUMIFS(CI_Count,CI_Site,$B739,CI_Mat,$C739)),"Before count date – already in the count","OK"))))))))</f>
        <v/>
      </c>
    </row>
    <row r="740" customFormat="false" ht="15" hidden="false" customHeight="false" outlineLevel="0" collapsed="false">
      <c r="A740" s="65"/>
      <c r="B740" s="63"/>
      <c r="C740" s="70"/>
      <c r="D740" s="16" t="str">
        <f aca="false">IF($C740="","",IFERROR(INDEX(Mat_Short,MATCH($C740,Mat_Code,0)),"⚠ Unknown code"))</f>
        <v/>
      </c>
      <c r="E740" s="66"/>
      <c r="F740" s="64" t="str">
        <f aca="false">IF($C740="","",IFERROR(INDEX(Mat_Unit,MATCH($C740,Mat_Code,0)),""))</f>
        <v/>
      </c>
      <c r="G740" s="70"/>
      <c r="H740" s="63"/>
      <c r="I740" s="63"/>
      <c r="J740" s="63"/>
      <c r="K740" s="16" t="str">
        <f aca="false">IF(AND($A740="",$B740="",$C740="",$E740=""),"",IF($A740="","⚠ Date missing",IF(OR($B740="",$C740=""),"⚠ Site / material missing",IF(COUNTIFS(CI_Site,$B740,CI_Mat,$C740)=0,"⚠ No Current Inventory row for this site + material",IF($G740="","⚠ Status missing",IF(AND($G740="Scheduled",$A740&lt;=AsOfDate),"⚠ Scheduled date reached – mark Received or re-date",IF(AND($G740="Received",$A740&gt;AsOfDate),"Future-dated – added on its date",IF(AND($G740="Received",$A740&lt;SUMIFS(CI_Count,CI_Site,$B740,CI_Mat,$C740)),"Before count date – already in the count","OK"))))))))</f>
        <v/>
      </c>
    </row>
    <row r="741" customFormat="false" ht="15" hidden="false" customHeight="false" outlineLevel="0" collapsed="false">
      <c r="A741" s="65"/>
      <c r="B741" s="63"/>
      <c r="C741" s="70"/>
      <c r="D741" s="16" t="str">
        <f aca="false">IF($C741="","",IFERROR(INDEX(Mat_Short,MATCH($C741,Mat_Code,0)),"⚠ Unknown code"))</f>
        <v/>
      </c>
      <c r="E741" s="66"/>
      <c r="F741" s="64" t="str">
        <f aca="false">IF($C741="","",IFERROR(INDEX(Mat_Unit,MATCH($C741,Mat_Code,0)),""))</f>
        <v/>
      </c>
      <c r="G741" s="70"/>
      <c r="H741" s="63"/>
      <c r="I741" s="63"/>
      <c r="J741" s="63"/>
      <c r="K741" s="16" t="str">
        <f aca="false">IF(AND($A741="",$B741="",$C741="",$E741=""),"",IF($A741="","⚠ Date missing",IF(OR($B741="",$C741=""),"⚠ Site / material missing",IF(COUNTIFS(CI_Site,$B741,CI_Mat,$C741)=0,"⚠ No Current Inventory row for this site + material",IF($G741="","⚠ Status missing",IF(AND($G741="Scheduled",$A741&lt;=AsOfDate),"⚠ Scheduled date reached – mark Received or re-date",IF(AND($G741="Received",$A741&gt;AsOfDate),"Future-dated – added on its date",IF(AND($G741="Received",$A741&lt;SUMIFS(CI_Count,CI_Site,$B741,CI_Mat,$C741)),"Before count date – already in the count","OK"))))))))</f>
        <v/>
      </c>
    </row>
    <row r="742" customFormat="false" ht="15" hidden="false" customHeight="false" outlineLevel="0" collapsed="false">
      <c r="A742" s="65"/>
      <c r="B742" s="63"/>
      <c r="C742" s="70"/>
      <c r="D742" s="16" t="str">
        <f aca="false">IF($C742="","",IFERROR(INDEX(Mat_Short,MATCH($C742,Mat_Code,0)),"⚠ Unknown code"))</f>
        <v/>
      </c>
      <c r="E742" s="66"/>
      <c r="F742" s="64" t="str">
        <f aca="false">IF($C742="","",IFERROR(INDEX(Mat_Unit,MATCH($C742,Mat_Code,0)),""))</f>
        <v/>
      </c>
      <c r="G742" s="70"/>
      <c r="H742" s="63"/>
      <c r="I742" s="63"/>
      <c r="J742" s="63"/>
      <c r="K742" s="16" t="str">
        <f aca="false">IF(AND($A742="",$B742="",$C742="",$E742=""),"",IF($A742="","⚠ Date missing",IF(OR($B742="",$C742=""),"⚠ Site / material missing",IF(COUNTIFS(CI_Site,$B742,CI_Mat,$C742)=0,"⚠ No Current Inventory row for this site + material",IF($G742="","⚠ Status missing",IF(AND($G742="Scheduled",$A742&lt;=AsOfDate),"⚠ Scheduled date reached – mark Received or re-date",IF(AND($G742="Received",$A742&gt;AsOfDate),"Future-dated – added on its date",IF(AND($G742="Received",$A742&lt;SUMIFS(CI_Count,CI_Site,$B742,CI_Mat,$C742)),"Before count date – already in the count","OK"))))))))</f>
        <v/>
      </c>
    </row>
    <row r="743" customFormat="false" ht="15" hidden="false" customHeight="false" outlineLevel="0" collapsed="false">
      <c r="A743" s="65"/>
      <c r="B743" s="63"/>
      <c r="C743" s="70"/>
      <c r="D743" s="16" t="str">
        <f aca="false">IF($C743="","",IFERROR(INDEX(Mat_Short,MATCH($C743,Mat_Code,0)),"⚠ Unknown code"))</f>
        <v/>
      </c>
      <c r="E743" s="66"/>
      <c r="F743" s="64" t="str">
        <f aca="false">IF($C743="","",IFERROR(INDEX(Mat_Unit,MATCH($C743,Mat_Code,0)),""))</f>
        <v/>
      </c>
      <c r="G743" s="70"/>
      <c r="H743" s="63"/>
      <c r="I743" s="63"/>
      <c r="J743" s="63"/>
      <c r="K743" s="16" t="str">
        <f aca="false">IF(AND($A743="",$B743="",$C743="",$E743=""),"",IF($A743="","⚠ Date missing",IF(OR($B743="",$C743=""),"⚠ Site / material missing",IF(COUNTIFS(CI_Site,$B743,CI_Mat,$C743)=0,"⚠ No Current Inventory row for this site + material",IF($G743="","⚠ Status missing",IF(AND($G743="Scheduled",$A743&lt;=AsOfDate),"⚠ Scheduled date reached – mark Received or re-date",IF(AND($G743="Received",$A743&gt;AsOfDate),"Future-dated – added on its date",IF(AND($G743="Received",$A743&lt;SUMIFS(CI_Count,CI_Site,$B743,CI_Mat,$C743)),"Before count date – already in the count","OK"))))))))</f>
        <v/>
      </c>
    </row>
    <row r="744" customFormat="false" ht="15" hidden="false" customHeight="false" outlineLevel="0" collapsed="false">
      <c r="A744" s="65"/>
      <c r="B744" s="63"/>
      <c r="C744" s="70"/>
      <c r="D744" s="16" t="str">
        <f aca="false">IF($C744="","",IFERROR(INDEX(Mat_Short,MATCH($C744,Mat_Code,0)),"⚠ Unknown code"))</f>
        <v/>
      </c>
      <c r="E744" s="66"/>
      <c r="F744" s="64" t="str">
        <f aca="false">IF($C744="","",IFERROR(INDEX(Mat_Unit,MATCH($C744,Mat_Code,0)),""))</f>
        <v/>
      </c>
      <c r="G744" s="70"/>
      <c r="H744" s="63"/>
      <c r="I744" s="63"/>
      <c r="J744" s="63"/>
      <c r="K744" s="16" t="str">
        <f aca="false">IF(AND($A744="",$B744="",$C744="",$E744=""),"",IF($A744="","⚠ Date missing",IF(OR($B744="",$C744=""),"⚠ Site / material missing",IF(COUNTIFS(CI_Site,$B744,CI_Mat,$C744)=0,"⚠ No Current Inventory row for this site + material",IF($G744="","⚠ Status missing",IF(AND($G744="Scheduled",$A744&lt;=AsOfDate),"⚠ Scheduled date reached – mark Received or re-date",IF(AND($G744="Received",$A744&gt;AsOfDate),"Future-dated – added on its date",IF(AND($G744="Received",$A744&lt;SUMIFS(CI_Count,CI_Site,$B744,CI_Mat,$C744)),"Before count date – already in the count","OK"))))))))</f>
        <v/>
      </c>
    </row>
    <row r="745" customFormat="false" ht="15" hidden="false" customHeight="false" outlineLevel="0" collapsed="false">
      <c r="A745" s="65"/>
      <c r="B745" s="63"/>
      <c r="C745" s="70"/>
      <c r="D745" s="16" t="str">
        <f aca="false">IF($C745="","",IFERROR(INDEX(Mat_Short,MATCH($C745,Mat_Code,0)),"⚠ Unknown code"))</f>
        <v/>
      </c>
      <c r="E745" s="66"/>
      <c r="F745" s="64" t="str">
        <f aca="false">IF($C745="","",IFERROR(INDEX(Mat_Unit,MATCH($C745,Mat_Code,0)),""))</f>
        <v/>
      </c>
      <c r="G745" s="70"/>
      <c r="H745" s="63"/>
      <c r="I745" s="63"/>
      <c r="J745" s="63"/>
      <c r="K745" s="16" t="str">
        <f aca="false">IF(AND($A745="",$B745="",$C745="",$E745=""),"",IF($A745="","⚠ Date missing",IF(OR($B745="",$C745=""),"⚠ Site / material missing",IF(COUNTIFS(CI_Site,$B745,CI_Mat,$C745)=0,"⚠ No Current Inventory row for this site + material",IF($G745="","⚠ Status missing",IF(AND($G745="Scheduled",$A745&lt;=AsOfDate),"⚠ Scheduled date reached – mark Received or re-date",IF(AND($G745="Received",$A745&gt;AsOfDate),"Future-dated – added on its date",IF(AND($G745="Received",$A745&lt;SUMIFS(CI_Count,CI_Site,$B745,CI_Mat,$C745)),"Before count date – already in the count","OK"))))))))</f>
        <v/>
      </c>
    </row>
    <row r="746" customFormat="false" ht="15" hidden="false" customHeight="false" outlineLevel="0" collapsed="false">
      <c r="A746" s="65"/>
      <c r="B746" s="63"/>
      <c r="C746" s="70"/>
      <c r="D746" s="16" t="str">
        <f aca="false">IF($C746="","",IFERROR(INDEX(Mat_Short,MATCH($C746,Mat_Code,0)),"⚠ Unknown code"))</f>
        <v/>
      </c>
      <c r="E746" s="66"/>
      <c r="F746" s="64" t="str">
        <f aca="false">IF($C746="","",IFERROR(INDEX(Mat_Unit,MATCH($C746,Mat_Code,0)),""))</f>
        <v/>
      </c>
      <c r="G746" s="70"/>
      <c r="H746" s="63"/>
      <c r="I746" s="63"/>
      <c r="J746" s="63"/>
      <c r="K746" s="16" t="str">
        <f aca="false">IF(AND($A746="",$B746="",$C746="",$E746=""),"",IF($A746="","⚠ Date missing",IF(OR($B746="",$C746=""),"⚠ Site / material missing",IF(COUNTIFS(CI_Site,$B746,CI_Mat,$C746)=0,"⚠ No Current Inventory row for this site + material",IF($G746="","⚠ Status missing",IF(AND($G746="Scheduled",$A746&lt;=AsOfDate),"⚠ Scheduled date reached – mark Received or re-date",IF(AND($G746="Received",$A746&gt;AsOfDate),"Future-dated – added on its date",IF(AND($G746="Received",$A746&lt;SUMIFS(CI_Count,CI_Site,$B746,CI_Mat,$C746)),"Before count date – already in the count","OK"))))))))</f>
        <v/>
      </c>
    </row>
    <row r="747" customFormat="false" ht="15" hidden="false" customHeight="false" outlineLevel="0" collapsed="false">
      <c r="A747" s="65"/>
      <c r="B747" s="63"/>
      <c r="C747" s="70"/>
      <c r="D747" s="16" t="str">
        <f aca="false">IF($C747="","",IFERROR(INDEX(Mat_Short,MATCH($C747,Mat_Code,0)),"⚠ Unknown code"))</f>
        <v/>
      </c>
      <c r="E747" s="66"/>
      <c r="F747" s="64" t="str">
        <f aca="false">IF($C747="","",IFERROR(INDEX(Mat_Unit,MATCH($C747,Mat_Code,0)),""))</f>
        <v/>
      </c>
      <c r="G747" s="70"/>
      <c r="H747" s="63"/>
      <c r="I747" s="63"/>
      <c r="J747" s="63"/>
      <c r="K747" s="16" t="str">
        <f aca="false">IF(AND($A747="",$B747="",$C747="",$E747=""),"",IF($A747="","⚠ Date missing",IF(OR($B747="",$C747=""),"⚠ Site / material missing",IF(COUNTIFS(CI_Site,$B747,CI_Mat,$C747)=0,"⚠ No Current Inventory row for this site + material",IF($G747="","⚠ Status missing",IF(AND($G747="Scheduled",$A747&lt;=AsOfDate),"⚠ Scheduled date reached – mark Received or re-date",IF(AND($G747="Received",$A747&gt;AsOfDate),"Future-dated – added on its date",IF(AND($G747="Received",$A747&lt;SUMIFS(CI_Count,CI_Site,$B747,CI_Mat,$C747)),"Before count date – already in the count","OK"))))))))</f>
        <v/>
      </c>
    </row>
    <row r="748" customFormat="false" ht="15" hidden="false" customHeight="false" outlineLevel="0" collapsed="false">
      <c r="A748" s="65"/>
      <c r="B748" s="63"/>
      <c r="C748" s="70"/>
      <c r="D748" s="16" t="str">
        <f aca="false">IF($C748="","",IFERROR(INDEX(Mat_Short,MATCH($C748,Mat_Code,0)),"⚠ Unknown code"))</f>
        <v/>
      </c>
      <c r="E748" s="66"/>
      <c r="F748" s="64" t="str">
        <f aca="false">IF($C748="","",IFERROR(INDEX(Mat_Unit,MATCH($C748,Mat_Code,0)),""))</f>
        <v/>
      </c>
      <c r="G748" s="70"/>
      <c r="H748" s="63"/>
      <c r="I748" s="63"/>
      <c r="J748" s="63"/>
      <c r="K748" s="16" t="str">
        <f aca="false">IF(AND($A748="",$B748="",$C748="",$E748=""),"",IF($A748="","⚠ Date missing",IF(OR($B748="",$C748=""),"⚠ Site / material missing",IF(COUNTIFS(CI_Site,$B748,CI_Mat,$C748)=0,"⚠ No Current Inventory row for this site + material",IF($G748="","⚠ Status missing",IF(AND($G748="Scheduled",$A748&lt;=AsOfDate),"⚠ Scheduled date reached – mark Received or re-date",IF(AND($G748="Received",$A748&gt;AsOfDate),"Future-dated – added on its date",IF(AND($G748="Received",$A748&lt;SUMIFS(CI_Count,CI_Site,$B748,CI_Mat,$C748)),"Before count date – already in the count","OK"))))))))</f>
        <v/>
      </c>
    </row>
    <row r="749" customFormat="false" ht="15" hidden="false" customHeight="false" outlineLevel="0" collapsed="false">
      <c r="A749" s="65"/>
      <c r="B749" s="63"/>
      <c r="C749" s="70"/>
      <c r="D749" s="16" t="str">
        <f aca="false">IF($C749="","",IFERROR(INDEX(Mat_Short,MATCH($C749,Mat_Code,0)),"⚠ Unknown code"))</f>
        <v/>
      </c>
      <c r="E749" s="66"/>
      <c r="F749" s="64" t="str">
        <f aca="false">IF($C749="","",IFERROR(INDEX(Mat_Unit,MATCH($C749,Mat_Code,0)),""))</f>
        <v/>
      </c>
      <c r="G749" s="70"/>
      <c r="H749" s="63"/>
      <c r="I749" s="63"/>
      <c r="J749" s="63"/>
      <c r="K749" s="16" t="str">
        <f aca="false">IF(AND($A749="",$B749="",$C749="",$E749=""),"",IF($A749="","⚠ Date missing",IF(OR($B749="",$C749=""),"⚠ Site / material missing",IF(COUNTIFS(CI_Site,$B749,CI_Mat,$C749)=0,"⚠ No Current Inventory row for this site + material",IF($G749="","⚠ Status missing",IF(AND($G749="Scheduled",$A749&lt;=AsOfDate),"⚠ Scheduled date reached – mark Received or re-date",IF(AND($G749="Received",$A749&gt;AsOfDate),"Future-dated – added on its date",IF(AND($G749="Received",$A749&lt;SUMIFS(CI_Count,CI_Site,$B749,CI_Mat,$C749)),"Before count date – already in the count","OK"))))))))</f>
        <v/>
      </c>
    </row>
    <row r="750" customFormat="false" ht="15" hidden="false" customHeight="false" outlineLevel="0" collapsed="false">
      <c r="A750" s="65"/>
      <c r="B750" s="63"/>
      <c r="C750" s="70"/>
      <c r="D750" s="16" t="str">
        <f aca="false">IF($C750="","",IFERROR(INDEX(Mat_Short,MATCH($C750,Mat_Code,0)),"⚠ Unknown code"))</f>
        <v/>
      </c>
      <c r="E750" s="66"/>
      <c r="F750" s="64" t="str">
        <f aca="false">IF($C750="","",IFERROR(INDEX(Mat_Unit,MATCH($C750,Mat_Code,0)),""))</f>
        <v/>
      </c>
      <c r="G750" s="70"/>
      <c r="H750" s="63"/>
      <c r="I750" s="63"/>
      <c r="J750" s="63"/>
      <c r="K750" s="16" t="str">
        <f aca="false">IF(AND($A750="",$B750="",$C750="",$E750=""),"",IF($A750="","⚠ Date missing",IF(OR($B750="",$C750=""),"⚠ Site / material missing",IF(COUNTIFS(CI_Site,$B750,CI_Mat,$C750)=0,"⚠ No Current Inventory row for this site + material",IF($G750="","⚠ Status missing",IF(AND($G750="Scheduled",$A750&lt;=AsOfDate),"⚠ Scheduled date reached – mark Received or re-date",IF(AND($G750="Received",$A750&gt;AsOfDate),"Future-dated – added on its date",IF(AND($G750="Received",$A750&lt;SUMIFS(CI_Count,CI_Site,$B750,CI_Mat,$C750)),"Before count date – already in the count","OK"))))))))</f>
        <v/>
      </c>
    </row>
    <row r="751" customFormat="false" ht="15" hidden="false" customHeight="false" outlineLevel="0" collapsed="false">
      <c r="A751" s="65"/>
      <c r="B751" s="63"/>
      <c r="C751" s="70"/>
      <c r="D751" s="16" t="str">
        <f aca="false">IF($C751="","",IFERROR(INDEX(Mat_Short,MATCH($C751,Mat_Code,0)),"⚠ Unknown code"))</f>
        <v/>
      </c>
      <c r="E751" s="66"/>
      <c r="F751" s="64" t="str">
        <f aca="false">IF($C751="","",IFERROR(INDEX(Mat_Unit,MATCH($C751,Mat_Code,0)),""))</f>
        <v/>
      </c>
      <c r="G751" s="70"/>
      <c r="H751" s="63"/>
      <c r="I751" s="63"/>
      <c r="J751" s="63"/>
      <c r="K751" s="16" t="str">
        <f aca="false">IF(AND($A751="",$B751="",$C751="",$E751=""),"",IF($A751="","⚠ Date missing",IF(OR($B751="",$C751=""),"⚠ Site / material missing",IF(COUNTIFS(CI_Site,$B751,CI_Mat,$C751)=0,"⚠ No Current Inventory row for this site + material",IF($G751="","⚠ Status missing",IF(AND($G751="Scheduled",$A751&lt;=AsOfDate),"⚠ Scheduled date reached – mark Received or re-date",IF(AND($G751="Received",$A751&gt;AsOfDate),"Future-dated – added on its date",IF(AND($G751="Received",$A751&lt;SUMIFS(CI_Count,CI_Site,$B751,CI_Mat,$C751)),"Before count date – already in the count","OK"))))))))</f>
        <v/>
      </c>
    </row>
    <row r="752" customFormat="false" ht="15" hidden="false" customHeight="false" outlineLevel="0" collapsed="false">
      <c r="A752" s="65"/>
      <c r="B752" s="63"/>
      <c r="C752" s="70"/>
      <c r="D752" s="16" t="str">
        <f aca="false">IF($C752="","",IFERROR(INDEX(Mat_Short,MATCH($C752,Mat_Code,0)),"⚠ Unknown code"))</f>
        <v/>
      </c>
      <c r="E752" s="66"/>
      <c r="F752" s="64" t="str">
        <f aca="false">IF($C752="","",IFERROR(INDEX(Mat_Unit,MATCH($C752,Mat_Code,0)),""))</f>
        <v/>
      </c>
      <c r="G752" s="70"/>
      <c r="H752" s="63"/>
      <c r="I752" s="63"/>
      <c r="J752" s="63"/>
      <c r="K752" s="16" t="str">
        <f aca="false">IF(AND($A752="",$B752="",$C752="",$E752=""),"",IF($A752="","⚠ Date missing",IF(OR($B752="",$C752=""),"⚠ Site / material missing",IF(COUNTIFS(CI_Site,$B752,CI_Mat,$C752)=0,"⚠ No Current Inventory row for this site + material",IF($G752="","⚠ Status missing",IF(AND($G752="Scheduled",$A752&lt;=AsOfDate),"⚠ Scheduled date reached – mark Received or re-date",IF(AND($G752="Received",$A752&gt;AsOfDate),"Future-dated – added on its date",IF(AND($G752="Received",$A752&lt;SUMIFS(CI_Count,CI_Site,$B752,CI_Mat,$C752)),"Before count date – already in the count","OK"))))))))</f>
        <v/>
      </c>
    </row>
    <row r="753" customFormat="false" ht="15" hidden="false" customHeight="false" outlineLevel="0" collapsed="false">
      <c r="A753" s="65"/>
      <c r="B753" s="63"/>
      <c r="C753" s="70"/>
      <c r="D753" s="16" t="str">
        <f aca="false">IF($C753="","",IFERROR(INDEX(Mat_Short,MATCH($C753,Mat_Code,0)),"⚠ Unknown code"))</f>
        <v/>
      </c>
      <c r="E753" s="66"/>
      <c r="F753" s="64" t="str">
        <f aca="false">IF($C753="","",IFERROR(INDEX(Mat_Unit,MATCH($C753,Mat_Code,0)),""))</f>
        <v/>
      </c>
      <c r="G753" s="70"/>
      <c r="H753" s="63"/>
      <c r="I753" s="63"/>
      <c r="J753" s="63"/>
      <c r="K753" s="16" t="str">
        <f aca="false">IF(AND($A753="",$B753="",$C753="",$E753=""),"",IF($A753="","⚠ Date missing",IF(OR($B753="",$C753=""),"⚠ Site / material missing",IF(COUNTIFS(CI_Site,$B753,CI_Mat,$C753)=0,"⚠ No Current Inventory row for this site + material",IF($G753="","⚠ Status missing",IF(AND($G753="Scheduled",$A753&lt;=AsOfDate),"⚠ Scheduled date reached – mark Received or re-date",IF(AND($G753="Received",$A753&gt;AsOfDate),"Future-dated – added on its date",IF(AND($G753="Received",$A753&lt;SUMIFS(CI_Count,CI_Site,$B753,CI_Mat,$C753)),"Before count date – already in the count","OK"))))))))</f>
        <v/>
      </c>
    </row>
    <row r="754" customFormat="false" ht="15" hidden="false" customHeight="false" outlineLevel="0" collapsed="false">
      <c r="A754" s="65"/>
      <c r="B754" s="63"/>
      <c r="C754" s="70"/>
      <c r="D754" s="16" t="str">
        <f aca="false">IF($C754="","",IFERROR(INDEX(Mat_Short,MATCH($C754,Mat_Code,0)),"⚠ Unknown code"))</f>
        <v/>
      </c>
      <c r="E754" s="66"/>
      <c r="F754" s="64" t="str">
        <f aca="false">IF($C754="","",IFERROR(INDEX(Mat_Unit,MATCH($C754,Mat_Code,0)),""))</f>
        <v/>
      </c>
      <c r="G754" s="70"/>
      <c r="H754" s="63"/>
      <c r="I754" s="63"/>
      <c r="J754" s="63"/>
      <c r="K754" s="16" t="str">
        <f aca="false">IF(AND($A754="",$B754="",$C754="",$E754=""),"",IF($A754="","⚠ Date missing",IF(OR($B754="",$C754=""),"⚠ Site / material missing",IF(COUNTIFS(CI_Site,$B754,CI_Mat,$C754)=0,"⚠ No Current Inventory row for this site + material",IF($G754="","⚠ Status missing",IF(AND($G754="Scheduled",$A754&lt;=AsOfDate),"⚠ Scheduled date reached – mark Received or re-date",IF(AND($G754="Received",$A754&gt;AsOfDate),"Future-dated – added on its date",IF(AND($G754="Received",$A754&lt;SUMIFS(CI_Count,CI_Site,$B754,CI_Mat,$C754)),"Before count date – already in the count","OK"))))))))</f>
        <v/>
      </c>
    </row>
    <row r="755" customFormat="false" ht="15" hidden="false" customHeight="false" outlineLevel="0" collapsed="false">
      <c r="A755" s="65"/>
      <c r="B755" s="63"/>
      <c r="C755" s="70"/>
      <c r="D755" s="16" t="str">
        <f aca="false">IF($C755="","",IFERROR(INDEX(Mat_Short,MATCH($C755,Mat_Code,0)),"⚠ Unknown code"))</f>
        <v/>
      </c>
      <c r="E755" s="66"/>
      <c r="F755" s="64" t="str">
        <f aca="false">IF($C755="","",IFERROR(INDEX(Mat_Unit,MATCH($C755,Mat_Code,0)),""))</f>
        <v/>
      </c>
      <c r="G755" s="70"/>
      <c r="H755" s="63"/>
      <c r="I755" s="63"/>
      <c r="J755" s="63"/>
      <c r="K755" s="16" t="str">
        <f aca="false">IF(AND($A755="",$B755="",$C755="",$E755=""),"",IF($A755="","⚠ Date missing",IF(OR($B755="",$C755=""),"⚠ Site / material missing",IF(COUNTIFS(CI_Site,$B755,CI_Mat,$C755)=0,"⚠ No Current Inventory row for this site + material",IF($G755="","⚠ Status missing",IF(AND($G755="Scheduled",$A755&lt;=AsOfDate),"⚠ Scheduled date reached – mark Received or re-date",IF(AND($G755="Received",$A755&gt;AsOfDate),"Future-dated – added on its date",IF(AND($G755="Received",$A755&lt;SUMIFS(CI_Count,CI_Site,$B755,CI_Mat,$C755)),"Before count date – already in the count","OK"))))))))</f>
        <v/>
      </c>
    </row>
    <row r="756" customFormat="false" ht="15" hidden="false" customHeight="false" outlineLevel="0" collapsed="false">
      <c r="A756" s="65"/>
      <c r="B756" s="63"/>
      <c r="C756" s="70"/>
      <c r="D756" s="16" t="str">
        <f aca="false">IF($C756="","",IFERROR(INDEX(Mat_Short,MATCH($C756,Mat_Code,0)),"⚠ Unknown code"))</f>
        <v/>
      </c>
      <c r="E756" s="66"/>
      <c r="F756" s="64" t="str">
        <f aca="false">IF($C756="","",IFERROR(INDEX(Mat_Unit,MATCH($C756,Mat_Code,0)),""))</f>
        <v/>
      </c>
      <c r="G756" s="70"/>
      <c r="H756" s="63"/>
      <c r="I756" s="63"/>
      <c r="J756" s="63"/>
      <c r="K756" s="16" t="str">
        <f aca="false">IF(AND($A756="",$B756="",$C756="",$E756=""),"",IF($A756="","⚠ Date missing",IF(OR($B756="",$C756=""),"⚠ Site / material missing",IF(COUNTIFS(CI_Site,$B756,CI_Mat,$C756)=0,"⚠ No Current Inventory row for this site + material",IF($G756="","⚠ Status missing",IF(AND($G756="Scheduled",$A756&lt;=AsOfDate),"⚠ Scheduled date reached – mark Received or re-date",IF(AND($G756="Received",$A756&gt;AsOfDate),"Future-dated – added on its date",IF(AND($G756="Received",$A756&lt;SUMIFS(CI_Count,CI_Site,$B756,CI_Mat,$C756)),"Before count date – already in the count","OK"))))))))</f>
        <v/>
      </c>
    </row>
    <row r="757" customFormat="false" ht="15" hidden="false" customHeight="false" outlineLevel="0" collapsed="false">
      <c r="A757" s="65"/>
      <c r="B757" s="63"/>
      <c r="C757" s="70"/>
      <c r="D757" s="16" t="str">
        <f aca="false">IF($C757="","",IFERROR(INDEX(Mat_Short,MATCH($C757,Mat_Code,0)),"⚠ Unknown code"))</f>
        <v/>
      </c>
      <c r="E757" s="66"/>
      <c r="F757" s="64" t="str">
        <f aca="false">IF($C757="","",IFERROR(INDEX(Mat_Unit,MATCH($C757,Mat_Code,0)),""))</f>
        <v/>
      </c>
      <c r="G757" s="70"/>
      <c r="H757" s="63"/>
      <c r="I757" s="63"/>
      <c r="J757" s="63"/>
      <c r="K757" s="16" t="str">
        <f aca="false">IF(AND($A757="",$B757="",$C757="",$E757=""),"",IF($A757="","⚠ Date missing",IF(OR($B757="",$C757=""),"⚠ Site / material missing",IF(COUNTIFS(CI_Site,$B757,CI_Mat,$C757)=0,"⚠ No Current Inventory row for this site + material",IF($G757="","⚠ Status missing",IF(AND($G757="Scheduled",$A757&lt;=AsOfDate),"⚠ Scheduled date reached – mark Received or re-date",IF(AND($G757="Received",$A757&gt;AsOfDate),"Future-dated – added on its date",IF(AND($G757="Received",$A757&lt;SUMIFS(CI_Count,CI_Site,$B757,CI_Mat,$C757)),"Before count date – already in the count","OK"))))))))</f>
        <v/>
      </c>
    </row>
    <row r="758" customFormat="false" ht="15" hidden="false" customHeight="false" outlineLevel="0" collapsed="false">
      <c r="A758" s="65"/>
      <c r="B758" s="63"/>
      <c r="C758" s="70"/>
      <c r="D758" s="16" t="str">
        <f aca="false">IF($C758="","",IFERROR(INDEX(Mat_Short,MATCH($C758,Mat_Code,0)),"⚠ Unknown code"))</f>
        <v/>
      </c>
      <c r="E758" s="66"/>
      <c r="F758" s="64" t="str">
        <f aca="false">IF($C758="","",IFERROR(INDEX(Mat_Unit,MATCH($C758,Mat_Code,0)),""))</f>
        <v/>
      </c>
      <c r="G758" s="70"/>
      <c r="H758" s="63"/>
      <c r="I758" s="63"/>
      <c r="J758" s="63"/>
      <c r="K758" s="16" t="str">
        <f aca="false">IF(AND($A758="",$B758="",$C758="",$E758=""),"",IF($A758="","⚠ Date missing",IF(OR($B758="",$C758=""),"⚠ Site / material missing",IF(COUNTIFS(CI_Site,$B758,CI_Mat,$C758)=0,"⚠ No Current Inventory row for this site + material",IF($G758="","⚠ Status missing",IF(AND($G758="Scheduled",$A758&lt;=AsOfDate),"⚠ Scheduled date reached – mark Received or re-date",IF(AND($G758="Received",$A758&gt;AsOfDate),"Future-dated – added on its date",IF(AND($G758="Received",$A758&lt;SUMIFS(CI_Count,CI_Site,$B758,CI_Mat,$C758)),"Before count date – already in the count","OK"))))))))</f>
        <v/>
      </c>
    </row>
    <row r="759" customFormat="false" ht="15" hidden="false" customHeight="false" outlineLevel="0" collapsed="false">
      <c r="A759" s="65"/>
      <c r="B759" s="63"/>
      <c r="C759" s="70"/>
      <c r="D759" s="16" t="str">
        <f aca="false">IF($C759="","",IFERROR(INDEX(Mat_Short,MATCH($C759,Mat_Code,0)),"⚠ Unknown code"))</f>
        <v/>
      </c>
      <c r="E759" s="66"/>
      <c r="F759" s="64" t="str">
        <f aca="false">IF($C759="","",IFERROR(INDEX(Mat_Unit,MATCH($C759,Mat_Code,0)),""))</f>
        <v/>
      </c>
      <c r="G759" s="70"/>
      <c r="H759" s="63"/>
      <c r="I759" s="63"/>
      <c r="J759" s="63"/>
      <c r="K759" s="16" t="str">
        <f aca="false">IF(AND($A759="",$B759="",$C759="",$E759=""),"",IF($A759="","⚠ Date missing",IF(OR($B759="",$C759=""),"⚠ Site / material missing",IF(COUNTIFS(CI_Site,$B759,CI_Mat,$C759)=0,"⚠ No Current Inventory row for this site + material",IF($G759="","⚠ Status missing",IF(AND($G759="Scheduled",$A759&lt;=AsOfDate),"⚠ Scheduled date reached – mark Received or re-date",IF(AND($G759="Received",$A759&gt;AsOfDate),"Future-dated – added on its date",IF(AND($G759="Received",$A759&lt;SUMIFS(CI_Count,CI_Site,$B759,CI_Mat,$C759)),"Before count date – already in the count","OK"))))))))</f>
        <v/>
      </c>
    </row>
    <row r="760" customFormat="false" ht="15" hidden="false" customHeight="false" outlineLevel="0" collapsed="false">
      <c r="A760" s="65"/>
      <c r="B760" s="63"/>
      <c r="C760" s="70"/>
      <c r="D760" s="16" t="str">
        <f aca="false">IF($C760="","",IFERROR(INDEX(Mat_Short,MATCH($C760,Mat_Code,0)),"⚠ Unknown code"))</f>
        <v/>
      </c>
      <c r="E760" s="66"/>
      <c r="F760" s="64" t="str">
        <f aca="false">IF($C760="","",IFERROR(INDEX(Mat_Unit,MATCH($C760,Mat_Code,0)),""))</f>
        <v/>
      </c>
      <c r="G760" s="70"/>
      <c r="H760" s="63"/>
      <c r="I760" s="63"/>
      <c r="J760" s="63"/>
      <c r="K760" s="16" t="str">
        <f aca="false">IF(AND($A760="",$B760="",$C760="",$E760=""),"",IF($A760="","⚠ Date missing",IF(OR($B760="",$C760=""),"⚠ Site / material missing",IF(COUNTIFS(CI_Site,$B760,CI_Mat,$C760)=0,"⚠ No Current Inventory row for this site + material",IF($G760="","⚠ Status missing",IF(AND($G760="Scheduled",$A760&lt;=AsOfDate),"⚠ Scheduled date reached – mark Received or re-date",IF(AND($G760="Received",$A760&gt;AsOfDate),"Future-dated – added on its date",IF(AND($G760="Received",$A760&lt;SUMIFS(CI_Count,CI_Site,$B760,CI_Mat,$C760)),"Before count date – already in the count","OK"))))))))</f>
        <v/>
      </c>
    </row>
    <row r="761" customFormat="false" ht="15" hidden="false" customHeight="false" outlineLevel="0" collapsed="false">
      <c r="A761" s="65"/>
      <c r="B761" s="63"/>
      <c r="C761" s="70"/>
      <c r="D761" s="16" t="str">
        <f aca="false">IF($C761="","",IFERROR(INDEX(Mat_Short,MATCH($C761,Mat_Code,0)),"⚠ Unknown code"))</f>
        <v/>
      </c>
      <c r="E761" s="66"/>
      <c r="F761" s="64" t="str">
        <f aca="false">IF($C761="","",IFERROR(INDEX(Mat_Unit,MATCH($C761,Mat_Code,0)),""))</f>
        <v/>
      </c>
      <c r="G761" s="70"/>
      <c r="H761" s="63"/>
      <c r="I761" s="63"/>
      <c r="J761" s="63"/>
      <c r="K761" s="16" t="str">
        <f aca="false">IF(AND($A761="",$B761="",$C761="",$E761=""),"",IF($A761="","⚠ Date missing",IF(OR($B761="",$C761=""),"⚠ Site / material missing",IF(COUNTIFS(CI_Site,$B761,CI_Mat,$C761)=0,"⚠ No Current Inventory row for this site + material",IF($G761="","⚠ Status missing",IF(AND($G761="Scheduled",$A761&lt;=AsOfDate),"⚠ Scheduled date reached – mark Received or re-date",IF(AND($G761="Received",$A761&gt;AsOfDate),"Future-dated – added on its date",IF(AND($G761="Received",$A761&lt;SUMIFS(CI_Count,CI_Site,$B761,CI_Mat,$C761)),"Before count date – already in the count","OK"))))))))</f>
        <v/>
      </c>
    </row>
    <row r="762" customFormat="false" ht="15" hidden="false" customHeight="false" outlineLevel="0" collapsed="false">
      <c r="A762" s="65"/>
      <c r="B762" s="63"/>
      <c r="C762" s="70"/>
      <c r="D762" s="16" t="str">
        <f aca="false">IF($C762="","",IFERROR(INDEX(Mat_Short,MATCH($C762,Mat_Code,0)),"⚠ Unknown code"))</f>
        <v/>
      </c>
      <c r="E762" s="66"/>
      <c r="F762" s="64" t="str">
        <f aca="false">IF($C762="","",IFERROR(INDEX(Mat_Unit,MATCH($C762,Mat_Code,0)),""))</f>
        <v/>
      </c>
      <c r="G762" s="70"/>
      <c r="H762" s="63"/>
      <c r="I762" s="63"/>
      <c r="J762" s="63"/>
      <c r="K762" s="16" t="str">
        <f aca="false">IF(AND($A762="",$B762="",$C762="",$E762=""),"",IF($A762="","⚠ Date missing",IF(OR($B762="",$C762=""),"⚠ Site / material missing",IF(COUNTIFS(CI_Site,$B762,CI_Mat,$C762)=0,"⚠ No Current Inventory row for this site + material",IF($G762="","⚠ Status missing",IF(AND($G762="Scheduled",$A762&lt;=AsOfDate),"⚠ Scheduled date reached – mark Received or re-date",IF(AND($G762="Received",$A762&gt;AsOfDate),"Future-dated – added on its date",IF(AND($G762="Received",$A762&lt;SUMIFS(CI_Count,CI_Site,$B762,CI_Mat,$C762)),"Before count date – already in the count","OK"))))))))</f>
        <v/>
      </c>
    </row>
    <row r="763" customFormat="false" ht="15" hidden="false" customHeight="false" outlineLevel="0" collapsed="false">
      <c r="A763" s="65"/>
      <c r="B763" s="63"/>
      <c r="C763" s="70"/>
      <c r="D763" s="16" t="str">
        <f aca="false">IF($C763="","",IFERROR(INDEX(Mat_Short,MATCH($C763,Mat_Code,0)),"⚠ Unknown code"))</f>
        <v/>
      </c>
      <c r="E763" s="66"/>
      <c r="F763" s="64" t="str">
        <f aca="false">IF($C763="","",IFERROR(INDEX(Mat_Unit,MATCH($C763,Mat_Code,0)),""))</f>
        <v/>
      </c>
      <c r="G763" s="70"/>
      <c r="H763" s="63"/>
      <c r="I763" s="63"/>
      <c r="J763" s="63"/>
      <c r="K763" s="16" t="str">
        <f aca="false">IF(AND($A763="",$B763="",$C763="",$E763=""),"",IF($A763="","⚠ Date missing",IF(OR($B763="",$C763=""),"⚠ Site / material missing",IF(COUNTIFS(CI_Site,$B763,CI_Mat,$C763)=0,"⚠ No Current Inventory row for this site + material",IF($G763="","⚠ Status missing",IF(AND($G763="Scheduled",$A763&lt;=AsOfDate),"⚠ Scheduled date reached – mark Received or re-date",IF(AND($G763="Received",$A763&gt;AsOfDate),"Future-dated – added on its date",IF(AND($G763="Received",$A763&lt;SUMIFS(CI_Count,CI_Site,$B763,CI_Mat,$C763)),"Before count date – already in the count","OK"))))))))</f>
        <v/>
      </c>
    </row>
    <row r="764" customFormat="false" ht="15" hidden="false" customHeight="false" outlineLevel="0" collapsed="false">
      <c r="A764" s="65"/>
      <c r="B764" s="63"/>
      <c r="C764" s="70"/>
      <c r="D764" s="16" t="str">
        <f aca="false">IF($C764="","",IFERROR(INDEX(Mat_Short,MATCH($C764,Mat_Code,0)),"⚠ Unknown code"))</f>
        <v/>
      </c>
      <c r="E764" s="66"/>
      <c r="F764" s="64" t="str">
        <f aca="false">IF($C764="","",IFERROR(INDEX(Mat_Unit,MATCH($C764,Mat_Code,0)),""))</f>
        <v/>
      </c>
      <c r="G764" s="70"/>
      <c r="H764" s="63"/>
      <c r="I764" s="63"/>
      <c r="J764" s="63"/>
      <c r="K764" s="16" t="str">
        <f aca="false">IF(AND($A764="",$B764="",$C764="",$E764=""),"",IF($A764="","⚠ Date missing",IF(OR($B764="",$C764=""),"⚠ Site / material missing",IF(COUNTIFS(CI_Site,$B764,CI_Mat,$C764)=0,"⚠ No Current Inventory row for this site + material",IF($G764="","⚠ Status missing",IF(AND($G764="Scheduled",$A764&lt;=AsOfDate),"⚠ Scheduled date reached – mark Received or re-date",IF(AND($G764="Received",$A764&gt;AsOfDate),"Future-dated – added on its date",IF(AND($G764="Received",$A764&lt;SUMIFS(CI_Count,CI_Site,$B764,CI_Mat,$C764)),"Before count date – already in the count","OK"))))))))</f>
        <v/>
      </c>
    </row>
    <row r="765" customFormat="false" ht="15" hidden="false" customHeight="false" outlineLevel="0" collapsed="false">
      <c r="A765" s="65"/>
      <c r="B765" s="63"/>
      <c r="C765" s="70"/>
      <c r="D765" s="16" t="str">
        <f aca="false">IF($C765="","",IFERROR(INDEX(Mat_Short,MATCH($C765,Mat_Code,0)),"⚠ Unknown code"))</f>
        <v/>
      </c>
      <c r="E765" s="66"/>
      <c r="F765" s="64" t="str">
        <f aca="false">IF($C765="","",IFERROR(INDEX(Mat_Unit,MATCH($C765,Mat_Code,0)),""))</f>
        <v/>
      </c>
      <c r="G765" s="70"/>
      <c r="H765" s="63"/>
      <c r="I765" s="63"/>
      <c r="J765" s="63"/>
      <c r="K765" s="16" t="str">
        <f aca="false">IF(AND($A765="",$B765="",$C765="",$E765=""),"",IF($A765="","⚠ Date missing",IF(OR($B765="",$C765=""),"⚠ Site / material missing",IF(COUNTIFS(CI_Site,$B765,CI_Mat,$C765)=0,"⚠ No Current Inventory row for this site + material",IF($G765="","⚠ Status missing",IF(AND($G765="Scheduled",$A765&lt;=AsOfDate),"⚠ Scheduled date reached – mark Received or re-date",IF(AND($G765="Received",$A765&gt;AsOfDate),"Future-dated – added on its date",IF(AND($G765="Received",$A765&lt;SUMIFS(CI_Count,CI_Site,$B765,CI_Mat,$C765)),"Before count date – already in the count","OK"))))))))</f>
        <v/>
      </c>
    </row>
    <row r="766" customFormat="false" ht="15" hidden="false" customHeight="false" outlineLevel="0" collapsed="false">
      <c r="A766" s="65"/>
      <c r="B766" s="63"/>
      <c r="C766" s="70"/>
      <c r="D766" s="16" t="str">
        <f aca="false">IF($C766="","",IFERROR(INDEX(Mat_Short,MATCH($C766,Mat_Code,0)),"⚠ Unknown code"))</f>
        <v/>
      </c>
      <c r="E766" s="66"/>
      <c r="F766" s="64" t="str">
        <f aca="false">IF($C766="","",IFERROR(INDEX(Mat_Unit,MATCH($C766,Mat_Code,0)),""))</f>
        <v/>
      </c>
      <c r="G766" s="70"/>
      <c r="H766" s="63"/>
      <c r="I766" s="63"/>
      <c r="J766" s="63"/>
      <c r="K766" s="16" t="str">
        <f aca="false">IF(AND($A766="",$B766="",$C766="",$E766=""),"",IF($A766="","⚠ Date missing",IF(OR($B766="",$C766=""),"⚠ Site / material missing",IF(COUNTIFS(CI_Site,$B766,CI_Mat,$C766)=0,"⚠ No Current Inventory row for this site + material",IF($G766="","⚠ Status missing",IF(AND($G766="Scheduled",$A766&lt;=AsOfDate),"⚠ Scheduled date reached – mark Received or re-date",IF(AND($G766="Received",$A766&gt;AsOfDate),"Future-dated – added on its date",IF(AND($G766="Received",$A766&lt;SUMIFS(CI_Count,CI_Site,$B766,CI_Mat,$C766)),"Before count date – already in the count","OK"))))))))</f>
        <v/>
      </c>
    </row>
    <row r="767" customFormat="false" ht="15" hidden="false" customHeight="false" outlineLevel="0" collapsed="false">
      <c r="A767" s="65"/>
      <c r="B767" s="63"/>
      <c r="C767" s="70"/>
      <c r="D767" s="16" t="str">
        <f aca="false">IF($C767="","",IFERROR(INDEX(Mat_Short,MATCH($C767,Mat_Code,0)),"⚠ Unknown code"))</f>
        <v/>
      </c>
      <c r="E767" s="66"/>
      <c r="F767" s="64" t="str">
        <f aca="false">IF($C767="","",IFERROR(INDEX(Mat_Unit,MATCH($C767,Mat_Code,0)),""))</f>
        <v/>
      </c>
      <c r="G767" s="70"/>
      <c r="H767" s="63"/>
      <c r="I767" s="63"/>
      <c r="J767" s="63"/>
      <c r="K767" s="16" t="str">
        <f aca="false">IF(AND($A767="",$B767="",$C767="",$E767=""),"",IF($A767="","⚠ Date missing",IF(OR($B767="",$C767=""),"⚠ Site / material missing",IF(COUNTIFS(CI_Site,$B767,CI_Mat,$C767)=0,"⚠ No Current Inventory row for this site + material",IF($G767="","⚠ Status missing",IF(AND($G767="Scheduled",$A767&lt;=AsOfDate),"⚠ Scheduled date reached – mark Received or re-date",IF(AND($G767="Received",$A767&gt;AsOfDate),"Future-dated – added on its date",IF(AND($G767="Received",$A767&lt;SUMIFS(CI_Count,CI_Site,$B767,CI_Mat,$C767)),"Before count date – already in the count","OK"))))))))</f>
        <v/>
      </c>
    </row>
    <row r="768" customFormat="false" ht="15" hidden="false" customHeight="false" outlineLevel="0" collapsed="false">
      <c r="A768" s="65"/>
      <c r="B768" s="63"/>
      <c r="C768" s="70"/>
      <c r="D768" s="16" t="str">
        <f aca="false">IF($C768="","",IFERROR(INDEX(Mat_Short,MATCH($C768,Mat_Code,0)),"⚠ Unknown code"))</f>
        <v/>
      </c>
      <c r="E768" s="66"/>
      <c r="F768" s="64" t="str">
        <f aca="false">IF($C768="","",IFERROR(INDEX(Mat_Unit,MATCH($C768,Mat_Code,0)),""))</f>
        <v/>
      </c>
      <c r="G768" s="70"/>
      <c r="H768" s="63"/>
      <c r="I768" s="63"/>
      <c r="J768" s="63"/>
      <c r="K768" s="16" t="str">
        <f aca="false">IF(AND($A768="",$B768="",$C768="",$E768=""),"",IF($A768="","⚠ Date missing",IF(OR($B768="",$C768=""),"⚠ Site / material missing",IF(COUNTIFS(CI_Site,$B768,CI_Mat,$C768)=0,"⚠ No Current Inventory row for this site + material",IF($G768="","⚠ Status missing",IF(AND($G768="Scheduled",$A768&lt;=AsOfDate),"⚠ Scheduled date reached – mark Received or re-date",IF(AND($G768="Received",$A768&gt;AsOfDate),"Future-dated – added on its date",IF(AND($G768="Received",$A768&lt;SUMIFS(CI_Count,CI_Site,$B768,CI_Mat,$C768)),"Before count date – already in the count","OK"))))))))</f>
        <v/>
      </c>
    </row>
    <row r="769" customFormat="false" ht="15" hidden="false" customHeight="false" outlineLevel="0" collapsed="false">
      <c r="A769" s="65"/>
      <c r="B769" s="63"/>
      <c r="C769" s="70"/>
      <c r="D769" s="16" t="str">
        <f aca="false">IF($C769="","",IFERROR(INDEX(Mat_Short,MATCH($C769,Mat_Code,0)),"⚠ Unknown code"))</f>
        <v/>
      </c>
      <c r="E769" s="66"/>
      <c r="F769" s="64" t="str">
        <f aca="false">IF($C769="","",IFERROR(INDEX(Mat_Unit,MATCH($C769,Mat_Code,0)),""))</f>
        <v/>
      </c>
      <c r="G769" s="70"/>
      <c r="H769" s="63"/>
      <c r="I769" s="63"/>
      <c r="J769" s="63"/>
      <c r="K769" s="16" t="str">
        <f aca="false">IF(AND($A769="",$B769="",$C769="",$E769=""),"",IF($A769="","⚠ Date missing",IF(OR($B769="",$C769=""),"⚠ Site / material missing",IF(COUNTIFS(CI_Site,$B769,CI_Mat,$C769)=0,"⚠ No Current Inventory row for this site + material",IF($G769="","⚠ Status missing",IF(AND($G769="Scheduled",$A769&lt;=AsOfDate),"⚠ Scheduled date reached – mark Received or re-date",IF(AND($G769="Received",$A769&gt;AsOfDate),"Future-dated – added on its date",IF(AND($G769="Received",$A769&lt;SUMIFS(CI_Count,CI_Site,$B769,CI_Mat,$C769)),"Before count date – already in the count","OK"))))))))</f>
        <v/>
      </c>
    </row>
    <row r="770" customFormat="false" ht="15" hidden="false" customHeight="false" outlineLevel="0" collapsed="false">
      <c r="A770" s="65"/>
      <c r="B770" s="63"/>
      <c r="C770" s="70"/>
      <c r="D770" s="16" t="str">
        <f aca="false">IF($C770="","",IFERROR(INDEX(Mat_Short,MATCH($C770,Mat_Code,0)),"⚠ Unknown code"))</f>
        <v/>
      </c>
      <c r="E770" s="66"/>
      <c r="F770" s="64" t="str">
        <f aca="false">IF($C770="","",IFERROR(INDEX(Mat_Unit,MATCH($C770,Mat_Code,0)),""))</f>
        <v/>
      </c>
      <c r="G770" s="70"/>
      <c r="H770" s="63"/>
      <c r="I770" s="63"/>
      <c r="J770" s="63"/>
      <c r="K770" s="16" t="str">
        <f aca="false">IF(AND($A770="",$B770="",$C770="",$E770=""),"",IF($A770="","⚠ Date missing",IF(OR($B770="",$C770=""),"⚠ Site / material missing",IF(COUNTIFS(CI_Site,$B770,CI_Mat,$C770)=0,"⚠ No Current Inventory row for this site + material",IF($G770="","⚠ Status missing",IF(AND($G770="Scheduled",$A770&lt;=AsOfDate),"⚠ Scheduled date reached – mark Received or re-date",IF(AND($G770="Received",$A770&gt;AsOfDate),"Future-dated – added on its date",IF(AND($G770="Received",$A770&lt;SUMIFS(CI_Count,CI_Site,$B770,CI_Mat,$C770)),"Before count date – already in the count","OK"))))))))</f>
        <v/>
      </c>
    </row>
    <row r="771" customFormat="false" ht="15" hidden="false" customHeight="false" outlineLevel="0" collapsed="false">
      <c r="A771" s="65"/>
      <c r="B771" s="63"/>
      <c r="C771" s="70"/>
      <c r="D771" s="16" t="str">
        <f aca="false">IF($C771="","",IFERROR(INDEX(Mat_Short,MATCH($C771,Mat_Code,0)),"⚠ Unknown code"))</f>
        <v/>
      </c>
      <c r="E771" s="66"/>
      <c r="F771" s="64" t="str">
        <f aca="false">IF($C771="","",IFERROR(INDEX(Mat_Unit,MATCH($C771,Mat_Code,0)),""))</f>
        <v/>
      </c>
      <c r="G771" s="70"/>
      <c r="H771" s="63"/>
      <c r="I771" s="63"/>
      <c r="J771" s="63"/>
      <c r="K771" s="16" t="str">
        <f aca="false">IF(AND($A771="",$B771="",$C771="",$E771=""),"",IF($A771="","⚠ Date missing",IF(OR($B771="",$C771=""),"⚠ Site / material missing",IF(COUNTIFS(CI_Site,$B771,CI_Mat,$C771)=0,"⚠ No Current Inventory row for this site + material",IF($G771="","⚠ Status missing",IF(AND($G771="Scheduled",$A771&lt;=AsOfDate),"⚠ Scheduled date reached – mark Received or re-date",IF(AND($G771="Received",$A771&gt;AsOfDate),"Future-dated – added on its date",IF(AND($G771="Received",$A771&lt;SUMIFS(CI_Count,CI_Site,$B771,CI_Mat,$C771)),"Before count date – already in the count","OK"))))))))</f>
        <v/>
      </c>
    </row>
    <row r="772" customFormat="false" ht="15" hidden="false" customHeight="false" outlineLevel="0" collapsed="false">
      <c r="A772" s="65"/>
      <c r="B772" s="63"/>
      <c r="C772" s="70"/>
      <c r="D772" s="16" t="str">
        <f aca="false">IF($C772="","",IFERROR(INDEX(Mat_Short,MATCH($C772,Mat_Code,0)),"⚠ Unknown code"))</f>
        <v/>
      </c>
      <c r="E772" s="66"/>
      <c r="F772" s="64" t="str">
        <f aca="false">IF($C772="","",IFERROR(INDEX(Mat_Unit,MATCH($C772,Mat_Code,0)),""))</f>
        <v/>
      </c>
      <c r="G772" s="70"/>
      <c r="H772" s="63"/>
      <c r="I772" s="63"/>
      <c r="J772" s="63"/>
      <c r="K772" s="16" t="str">
        <f aca="false">IF(AND($A772="",$B772="",$C772="",$E772=""),"",IF($A772="","⚠ Date missing",IF(OR($B772="",$C772=""),"⚠ Site / material missing",IF(COUNTIFS(CI_Site,$B772,CI_Mat,$C772)=0,"⚠ No Current Inventory row for this site + material",IF($G772="","⚠ Status missing",IF(AND($G772="Scheduled",$A772&lt;=AsOfDate),"⚠ Scheduled date reached – mark Received or re-date",IF(AND($G772="Received",$A772&gt;AsOfDate),"Future-dated – added on its date",IF(AND($G772="Received",$A772&lt;SUMIFS(CI_Count,CI_Site,$B772,CI_Mat,$C772)),"Before count date – already in the count","OK"))))))))</f>
        <v/>
      </c>
    </row>
    <row r="773" customFormat="false" ht="15" hidden="false" customHeight="false" outlineLevel="0" collapsed="false">
      <c r="A773" s="65"/>
      <c r="B773" s="63"/>
      <c r="C773" s="70"/>
      <c r="D773" s="16" t="str">
        <f aca="false">IF($C773="","",IFERROR(INDEX(Mat_Short,MATCH($C773,Mat_Code,0)),"⚠ Unknown code"))</f>
        <v/>
      </c>
      <c r="E773" s="66"/>
      <c r="F773" s="64" t="str">
        <f aca="false">IF($C773="","",IFERROR(INDEX(Mat_Unit,MATCH($C773,Mat_Code,0)),""))</f>
        <v/>
      </c>
      <c r="G773" s="70"/>
      <c r="H773" s="63"/>
      <c r="I773" s="63"/>
      <c r="J773" s="63"/>
      <c r="K773" s="16" t="str">
        <f aca="false">IF(AND($A773="",$B773="",$C773="",$E773=""),"",IF($A773="","⚠ Date missing",IF(OR($B773="",$C773=""),"⚠ Site / material missing",IF(COUNTIFS(CI_Site,$B773,CI_Mat,$C773)=0,"⚠ No Current Inventory row for this site + material",IF($G773="","⚠ Status missing",IF(AND($G773="Scheduled",$A773&lt;=AsOfDate),"⚠ Scheduled date reached – mark Received or re-date",IF(AND($G773="Received",$A773&gt;AsOfDate),"Future-dated – added on its date",IF(AND($G773="Received",$A773&lt;SUMIFS(CI_Count,CI_Site,$B773,CI_Mat,$C773)),"Before count date – already in the count","OK"))))))))</f>
        <v/>
      </c>
    </row>
    <row r="774" customFormat="false" ht="15" hidden="false" customHeight="false" outlineLevel="0" collapsed="false">
      <c r="A774" s="65"/>
      <c r="B774" s="63"/>
      <c r="C774" s="70"/>
      <c r="D774" s="16" t="str">
        <f aca="false">IF($C774="","",IFERROR(INDEX(Mat_Short,MATCH($C774,Mat_Code,0)),"⚠ Unknown code"))</f>
        <v/>
      </c>
      <c r="E774" s="66"/>
      <c r="F774" s="64" t="str">
        <f aca="false">IF($C774="","",IFERROR(INDEX(Mat_Unit,MATCH($C774,Mat_Code,0)),""))</f>
        <v/>
      </c>
      <c r="G774" s="70"/>
      <c r="H774" s="63"/>
      <c r="I774" s="63"/>
      <c r="J774" s="63"/>
      <c r="K774" s="16" t="str">
        <f aca="false">IF(AND($A774="",$B774="",$C774="",$E774=""),"",IF($A774="","⚠ Date missing",IF(OR($B774="",$C774=""),"⚠ Site / material missing",IF(COUNTIFS(CI_Site,$B774,CI_Mat,$C774)=0,"⚠ No Current Inventory row for this site + material",IF($G774="","⚠ Status missing",IF(AND($G774="Scheduled",$A774&lt;=AsOfDate),"⚠ Scheduled date reached – mark Received or re-date",IF(AND($G774="Received",$A774&gt;AsOfDate),"Future-dated – added on its date",IF(AND($G774="Received",$A774&lt;SUMIFS(CI_Count,CI_Site,$B774,CI_Mat,$C774)),"Before count date – already in the count","OK"))))))))</f>
        <v/>
      </c>
    </row>
    <row r="775" customFormat="false" ht="15" hidden="false" customHeight="false" outlineLevel="0" collapsed="false">
      <c r="A775" s="65"/>
      <c r="B775" s="63"/>
      <c r="C775" s="70"/>
      <c r="D775" s="16" t="str">
        <f aca="false">IF($C775="","",IFERROR(INDEX(Mat_Short,MATCH($C775,Mat_Code,0)),"⚠ Unknown code"))</f>
        <v/>
      </c>
      <c r="E775" s="66"/>
      <c r="F775" s="64" t="str">
        <f aca="false">IF($C775="","",IFERROR(INDEX(Mat_Unit,MATCH($C775,Mat_Code,0)),""))</f>
        <v/>
      </c>
      <c r="G775" s="70"/>
      <c r="H775" s="63"/>
      <c r="I775" s="63"/>
      <c r="J775" s="63"/>
      <c r="K775" s="16" t="str">
        <f aca="false">IF(AND($A775="",$B775="",$C775="",$E775=""),"",IF($A775="","⚠ Date missing",IF(OR($B775="",$C775=""),"⚠ Site / material missing",IF(COUNTIFS(CI_Site,$B775,CI_Mat,$C775)=0,"⚠ No Current Inventory row for this site + material",IF($G775="","⚠ Status missing",IF(AND($G775="Scheduled",$A775&lt;=AsOfDate),"⚠ Scheduled date reached – mark Received or re-date",IF(AND($G775="Received",$A775&gt;AsOfDate),"Future-dated – added on its date",IF(AND($G775="Received",$A775&lt;SUMIFS(CI_Count,CI_Site,$B775,CI_Mat,$C775)),"Before count date – already in the count","OK"))))))))</f>
        <v/>
      </c>
    </row>
    <row r="776" customFormat="false" ht="15" hidden="false" customHeight="false" outlineLevel="0" collapsed="false">
      <c r="A776" s="65"/>
      <c r="B776" s="63"/>
      <c r="C776" s="70"/>
      <c r="D776" s="16" t="str">
        <f aca="false">IF($C776="","",IFERROR(INDEX(Mat_Short,MATCH($C776,Mat_Code,0)),"⚠ Unknown code"))</f>
        <v/>
      </c>
      <c r="E776" s="66"/>
      <c r="F776" s="64" t="str">
        <f aca="false">IF($C776="","",IFERROR(INDEX(Mat_Unit,MATCH($C776,Mat_Code,0)),""))</f>
        <v/>
      </c>
      <c r="G776" s="70"/>
      <c r="H776" s="63"/>
      <c r="I776" s="63"/>
      <c r="J776" s="63"/>
      <c r="K776" s="16" t="str">
        <f aca="false">IF(AND($A776="",$B776="",$C776="",$E776=""),"",IF($A776="","⚠ Date missing",IF(OR($B776="",$C776=""),"⚠ Site / material missing",IF(COUNTIFS(CI_Site,$B776,CI_Mat,$C776)=0,"⚠ No Current Inventory row for this site + material",IF($G776="","⚠ Status missing",IF(AND($G776="Scheduled",$A776&lt;=AsOfDate),"⚠ Scheduled date reached – mark Received or re-date",IF(AND($G776="Received",$A776&gt;AsOfDate),"Future-dated – added on its date",IF(AND($G776="Received",$A776&lt;SUMIFS(CI_Count,CI_Site,$B776,CI_Mat,$C776)),"Before count date – already in the count","OK"))))))))</f>
        <v/>
      </c>
    </row>
    <row r="777" customFormat="false" ht="15" hidden="false" customHeight="false" outlineLevel="0" collapsed="false">
      <c r="A777" s="65"/>
      <c r="B777" s="63"/>
      <c r="C777" s="70"/>
      <c r="D777" s="16" t="str">
        <f aca="false">IF($C777="","",IFERROR(INDEX(Mat_Short,MATCH($C777,Mat_Code,0)),"⚠ Unknown code"))</f>
        <v/>
      </c>
      <c r="E777" s="66"/>
      <c r="F777" s="64" t="str">
        <f aca="false">IF($C777="","",IFERROR(INDEX(Mat_Unit,MATCH($C777,Mat_Code,0)),""))</f>
        <v/>
      </c>
      <c r="G777" s="70"/>
      <c r="H777" s="63"/>
      <c r="I777" s="63"/>
      <c r="J777" s="63"/>
      <c r="K777" s="16" t="str">
        <f aca="false">IF(AND($A777="",$B777="",$C777="",$E777=""),"",IF($A777="","⚠ Date missing",IF(OR($B777="",$C777=""),"⚠ Site / material missing",IF(COUNTIFS(CI_Site,$B777,CI_Mat,$C777)=0,"⚠ No Current Inventory row for this site + material",IF($G777="","⚠ Status missing",IF(AND($G777="Scheduled",$A777&lt;=AsOfDate),"⚠ Scheduled date reached – mark Received or re-date",IF(AND($G777="Received",$A777&gt;AsOfDate),"Future-dated – added on its date",IF(AND($G777="Received",$A777&lt;SUMIFS(CI_Count,CI_Site,$B777,CI_Mat,$C777)),"Before count date – already in the count","OK"))))))))</f>
        <v/>
      </c>
    </row>
    <row r="778" customFormat="false" ht="15" hidden="false" customHeight="false" outlineLevel="0" collapsed="false">
      <c r="A778" s="65"/>
      <c r="B778" s="63"/>
      <c r="C778" s="70"/>
      <c r="D778" s="16" t="str">
        <f aca="false">IF($C778="","",IFERROR(INDEX(Mat_Short,MATCH($C778,Mat_Code,0)),"⚠ Unknown code"))</f>
        <v/>
      </c>
      <c r="E778" s="66"/>
      <c r="F778" s="64" t="str">
        <f aca="false">IF($C778="","",IFERROR(INDEX(Mat_Unit,MATCH($C778,Mat_Code,0)),""))</f>
        <v/>
      </c>
      <c r="G778" s="70"/>
      <c r="H778" s="63"/>
      <c r="I778" s="63"/>
      <c r="J778" s="63"/>
      <c r="K778" s="16" t="str">
        <f aca="false">IF(AND($A778="",$B778="",$C778="",$E778=""),"",IF($A778="","⚠ Date missing",IF(OR($B778="",$C778=""),"⚠ Site / material missing",IF(COUNTIFS(CI_Site,$B778,CI_Mat,$C778)=0,"⚠ No Current Inventory row for this site + material",IF($G778="","⚠ Status missing",IF(AND($G778="Scheduled",$A778&lt;=AsOfDate),"⚠ Scheduled date reached – mark Received or re-date",IF(AND($G778="Received",$A778&gt;AsOfDate),"Future-dated – added on its date",IF(AND($G778="Received",$A778&lt;SUMIFS(CI_Count,CI_Site,$B778,CI_Mat,$C778)),"Before count date – already in the count","OK"))))))))</f>
        <v/>
      </c>
    </row>
    <row r="779" customFormat="false" ht="15" hidden="false" customHeight="false" outlineLevel="0" collapsed="false">
      <c r="A779" s="65"/>
      <c r="B779" s="63"/>
      <c r="C779" s="70"/>
      <c r="D779" s="16" t="str">
        <f aca="false">IF($C779="","",IFERROR(INDEX(Mat_Short,MATCH($C779,Mat_Code,0)),"⚠ Unknown code"))</f>
        <v/>
      </c>
      <c r="E779" s="66"/>
      <c r="F779" s="64" t="str">
        <f aca="false">IF($C779="","",IFERROR(INDEX(Mat_Unit,MATCH($C779,Mat_Code,0)),""))</f>
        <v/>
      </c>
      <c r="G779" s="70"/>
      <c r="H779" s="63"/>
      <c r="I779" s="63"/>
      <c r="J779" s="63"/>
      <c r="K779" s="16" t="str">
        <f aca="false">IF(AND($A779="",$B779="",$C779="",$E779=""),"",IF($A779="","⚠ Date missing",IF(OR($B779="",$C779=""),"⚠ Site / material missing",IF(COUNTIFS(CI_Site,$B779,CI_Mat,$C779)=0,"⚠ No Current Inventory row for this site + material",IF($G779="","⚠ Status missing",IF(AND($G779="Scheduled",$A779&lt;=AsOfDate),"⚠ Scheduled date reached – mark Received or re-date",IF(AND($G779="Received",$A779&gt;AsOfDate),"Future-dated – added on its date",IF(AND($G779="Received",$A779&lt;SUMIFS(CI_Count,CI_Site,$B779,CI_Mat,$C779)),"Before count date – already in the count","OK"))))))))</f>
        <v/>
      </c>
    </row>
    <row r="780" customFormat="false" ht="15" hidden="false" customHeight="false" outlineLevel="0" collapsed="false">
      <c r="A780" s="65"/>
      <c r="B780" s="63"/>
      <c r="C780" s="70"/>
      <c r="D780" s="16" t="str">
        <f aca="false">IF($C780="","",IFERROR(INDEX(Mat_Short,MATCH($C780,Mat_Code,0)),"⚠ Unknown code"))</f>
        <v/>
      </c>
      <c r="E780" s="66"/>
      <c r="F780" s="64" t="str">
        <f aca="false">IF($C780="","",IFERROR(INDEX(Mat_Unit,MATCH($C780,Mat_Code,0)),""))</f>
        <v/>
      </c>
      <c r="G780" s="70"/>
      <c r="H780" s="63"/>
      <c r="I780" s="63"/>
      <c r="J780" s="63"/>
      <c r="K780" s="16" t="str">
        <f aca="false">IF(AND($A780="",$B780="",$C780="",$E780=""),"",IF($A780="","⚠ Date missing",IF(OR($B780="",$C780=""),"⚠ Site / material missing",IF(COUNTIFS(CI_Site,$B780,CI_Mat,$C780)=0,"⚠ No Current Inventory row for this site + material",IF($G780="","⚠ Status missing",IF(AND($G780="Scheduled",$A780&lt;=AsOfDate),"⚠ Scheduled date reached – mark Received or re-date",IF(AND($G780="Received",$A780&gt;AsOfDate),"Future-dated – added on its date",IF(AND($G780="Received",$A780&lt;SUMIFS(CI_Count,CI_Site,$B780,CI_Mat,$C780)),"Before count date – already in the count","OK"))))))))</f>
        <v/>
      </c>
    </row>
    <row r="781" customFormat="false" ht="15" hidden="false" customHeight="false" outlineLevel="0" collapsed="false">
      <c r="A781" s="65"/>
      <c r="B781" s="63"/>
      <c r="C781" s="70"/>
      <c r="D781" s="16" t="str">
        <f aca="false">IF($C781="","",IFERROR(INDEX(Mat_Short,MATCH($C781,Mat_Code,0)),"⚠ Unknown code"))</f>
        <v/>
      </c>
      <c r="E781" s="66"/>
      <c r="F781" s="64" t="str">
        <f aca="false">IF($C781="","",IFERROR(INDEX(Mat_Unit,MATCH($C781,Mat_Code,0)),""))</f>
        <v/>
      </c>
      <c r="G781" s="70"/>
      <c r="H781" s="63"/>
      <c r="I781" s="63"/>
      <c r="J781" s="63"/>
      <c r="K781" s="16" t="str">
        <f aca="false">IF(AND($A781="",$B781="",$C781="",$E781=""),"",IF($A781="","⚠ Date missing",IF(OR($B781="",$C781=""),"⚠ Site / material missing",IF(COUNTIFS(CI_Site,$B781,CI_Mat,$C781)=0,"⚠ No Current Inventory row for this site + material",IF($G781="","⚠ Status missing",IF(AND($G781="Scheduled",$A781&lt;=AsOfDate),"⚠ Scheduled date reached – mark Received or re-date",IF(AND($G781="Received",$A781&gt;AsOfDate),"Future-dated – added on its date",IF(AND($G781="Received",$A781&lt;SUMIFS(CI_Count,CI_Site,$B781,CI_Mat,$C781)),"Before count date – already in the count","OK"))))))))</f>
        <v/>
      </c>
    </row>
    <row r="782" customFormat="false" ht="15" hidden="false" customHeight="false" outlineLevel="0" collapsed="false">
      <c r="A782" s="65"/>
      <c r="B782" s="63"/>
      <c r="C782" s="70"/>
      <c r="D782" s="16" t="str">
        <f aca="false">IF($C782="","",IFERROR(INDEX(Mat_Short,MATCH($C782,Mat_Code,0)),"⚠ Unknown code"))</f>
        <v/>
      </c>
      <c r="E782" s="66"/>
      <c r="F782" s="64" t="str">
        <f aca="false">IF($C782="","",IFERROR(INDEX(Mat_Unit,MATCH($C782,Mat_Code,0)),""))</f>
        <v/>
      </c>
      <c r="G782" s="70"/>
      <c r="H782" s="63"/>
      <c r="I782" s="63"/>
      <c r="J782" s="63"/>
      <c r="K782" s="16" t="str">
        <f aca="false">IF(AND($A782="",$B782="",$C782="",$E782=""),"",IF($A782="","⚠ Date missing",IF(OR($B782="",$C782=""),"⚠ Site / material missing",IF(COUNTIFS(CI_Site,$B782,CI_Mat,$C782)=0,"⚠ No Current Inventory row for this site + material",IF($G782="","⚠ Status missing",IF(AND($G782="Scheduled",$A782&lt;=AsOfDate),"⚠ Scheduled date reached – mark Received or re-date",IF(AND($G782="Received",$A782&gt;AsOfDate),"Future-dated – added on its date",IF(AND($G782="Received",$A782&lt;SUMIFS(CI_Count,CI_Site,$B782,CI_Mat,$C782)),"Before count date – already in the count","OK"))))))))</f>
        <v/>
      </c>
    </row>
    <row r="783" customFormat="false" ht="15" hidden="false" customHeight="false" outlineLevel="0" collapsed="false">
      <c r="A783" s="65"/>
      <c r="B783" s="63"/>
      <c r="C783" s="70"/>
      <c r="D783" s="16" t="str">
        <f aca="false">IF($C783="","",IFERROR(INDEX(Mat_Short,MATCH($C783,Mat_Code,0)),"⚠ Unknown code"))</f>
        <v/>
      </c>
      <c r="E783" s="66"/>
      <c r="F783" s="64" t="str">
        <f aca="false">IF($C783="","",IFERROR(INDEX(Mat_Unit,MATCH($C783,Mat_Code,0)),""))</f>
        <v/>
      </c>
      <c r="G783" s="70"/>
      <c r="H783" s="63"/>
      <c r="I783" s="63"/>
      <c r="J783" s="63"/>
      <c r="K783" s="16" t="str">
        <f aca="false">IF(AND($A783="",$B783="",$C783="",$E783=""),"",IF($A783="","⚠ Date missing",IF(OR($B783="",$C783=""),"⚠ Site / material missing",IF(COUNTIFS(CI_Site,$B783,CI_Mat,$C783)=0,"⚠ No Current Inventory row for this site + material",IF($G783="","⚠ Status missing",IF(AND($G783="Scheduled",$A783&lt;=AsOfDate),"⚠ Scheduled date reached – mark Received or re-date",IF(AND($G783="Received",$A783&gt;AsOfDate),"Future-dated – added on its date",IF(AND($G783="Received",$A783&lt;SUMIFS(CI_Count,CI_Site,$B783,CI_Mat,$C783)),"Before count date – already in the count","OK"))))))))</f>
        <v/>
      </c>
    </row>
    <row r="784" customFormat="false" ht="15" hidden="false" customHeight="false" outlineLevel="0" collapsed="false">
      <c r="A784" s="65"/>
      <c r="B784" s="63"/>
      <c r="C784" s="70"/>
      <c r="D784" s="16" t="str">
        <f aca="false">IF($C784="","",IFERROR(INDEX(Mat_Short,MATCH($C784,Mat_Code,0)),"⚠ Unknown code"))</f>
        <v/>
      </c>
      <c r="E784" s="66"/>
      <c r="F784" s="64" t="str">
        <f aca="false">IF($C784="","",IFERROR(INDEX(Mat_Unit,MATCH($C784,Mat_Code,0)),""))</f>
        <v/>
      </c>
      <c r="G784" s="70"/>
      <c r="H784" s="63"/>
      <c r="I784" s="63"/>
      <c r="J784" s="63"/>
      <c r="K784" s="16" t="str">
        <f aca="false">IF(AND($A784="",$B784="",$C784="",$E784=""),"",IF($A784="","⚠ Date missing",IF(OR($B784="",$C784=""),"⚠ Site / material missing",IF(COUNTIFS(CI_Site,$B784,CI_Mat,$C784)=0,"⚠ No Current Inventory row for this site + material",IF($G784="","⚠ Status missing",IF(AND($G784="Scheduled",$A784&lt;=AsOfDate),"⚠ Scheduled date reached – mark Received or re-date",IF(AND($G784="Received",$A784&gt;AsOfDate),"Future-dated – added on its date",IF(AND($G784="Received",$A784&lt;SUMIFS(CI_Count,CI_Site,$B784,CI_Mat,$C784)),"Before count date – already in the count","OK"))))))))</f>
        <v/>
      </c>
    </row>
    <row r="785" customFormat="false" ht="15" hidden="false" customHeight="false" outlineLevel="0" collapsed="false">
      <c r="A785" s="65"/>
      <c r="B785" s="63"/>
      <c r="C785" s="70"/>
      <c r="D785" s="16" t="str">
        <f aca="false">IF($C785="","",IFERROR(INDEX(Mat_Short,MATCH($C785,Mat_Code,0)),"⚠ Unknown code"))</f>
        <v/>
      </c>
      <c r="E785" s="66"/>
      <c r="F785" s="64" t="str">
        <f aca="false">IF($C785="","",IFERROR(INDEX(Mat_Unit,MATCH($C785,Mat_Code,0)),""))</f>
        <v/>
      </c>
      <c r="G785" s="70"/>
      <c r="H785" s="63"/>
      <c r="I785" s="63"/>
      <c r="J785" s="63"/>
      <c r="K785" s="16" t="str">
        <f aca="false">IF(AND($A785="",$B785="",$C785="",$E785=""),"",IF($A785="","⚠ Date missing",IF(OR($B785="",$C785=""),"⚠ Site / material missing",IF(COUNTIFS(CI_Site,$B785,CI_Mat,$C785)=0,"⚠ No Current Inventory row for this site + material",IF($G785="","⚠ Status missing",IF(AND($G785="Scheduled",$A785&lt;=AsOfDate),"⚠ Scheduled date reached – mark Received or re-date",IF(AND($G785="Received",$A785&gt;AsOfDate),"Future-dated – added on its date",IF(AND($G785="Received",$A785&lt;SUMIFS(CI_Count,CI_Site,$B785,CI_Mat,$C785)),"Before count date – already in the count","OK"))))))))</f>
        <v/>
      </c>
    </row>
    <row r="786" customFormat="false" ht="15" hidden="false" customHeight="false" outlineLevel="0" collapsed="false">
      <c r="A786" s="65"/>
      <c r="B786" s="63"/>
      <c r="C786" s="70"/>
      <c r="D786" s="16" t="str">
        <f aca="false">IF($C786="","",IFERROR(INDEX(Mat_Short,MATCH($C786,Mat_Code,0)),"⚠ Unknown code"))</f>
        <v/>
      </c>
      <c r="E786" s="66"/>
      <c r="F786" s="64" t="str">
        <f aca="false">IF($C786="","",IFERROR(INDEX(Mat_Unit,MATCH($C786,Mat_Code,0)),""))</f>
        <v/>
      </c>
      <c r="G786" s="70"/>
      <c r="H786" s="63"/>
      <c r="I786" s="63"/>
      <c r="J786" s="63"/>
      <c r="K786" s="16" t="str">
        <f aca="false">IF(AND($A786="",$B786="",$C786="",$E786=""),"",IF($A786="","⚠ Date missing",IF(OR($B786="",$C786=""),"⚠ Site / material missing",IF(COUNTIFS(CI_Site,$B786,CI_Mat,$C786)=0,"⚠ No Current Inventory row for this site + material",IF($G786="","⚠ Status missing",IF(AND($G786="Scheduled",$A786&lt;=AsOfDate),"⚠ Scheduled date reached – mark Received or re-date",IF(AND($G786="Received",$A786&gt;AsOfDate),"Future-dated – added on its date",IF(AND($G786="Received",$A786&lt;SUMIFS(CI_Count,CI_Site,$B786,CI_Mat,$C786)),"Before count date – already in the count","OK"))))))))</f>
        <v/>
      </c>
    </row>
    <row r="787" customFormat="false" ht="15" hidden="false" customHeight="false" outlineLevel="0" collapsed="false">
      <c r="A787" s="65"/>
      <c r="B787" s="63"/>
      <c r="C787" s="70"/>
      <c r="D787" s="16" t="str">
        <f aca="false">IF($C787="","",IFERROR(INDEX(Mat_Short,MATCH($C787,Mat_Code,0)),"⚠ Unknown code"))</f>
        <v/>
      </c>
      <c r="E787" s="66"/>
      <c r="F787" s="64" t="str">
        <f aca="false">IF($C787="","",IFERROR(INDEX(Mat_Unit,MATCH($C787,Mat_Code,0)),""))</f>
        <v/>
      </c>
      <c r="G787" s="70"/>
      <c r="H787" s="63"/>
      <c r="I787" s="63"/>
      <c r="J787" s="63"/>
      <c r="K787" s="16" t="str">
        <f aca="false">IF(AND($A787="",$B787="",$C787="",$E787=""),"",IF($A787="","⚠ Date missing",IF(OR($B787="",$C787=""),"⚠ Site / material missing",IF(COUNTIFS(CI_Site,$B787,CI_Mat,$C787)=0,"⚠ No Current Inventory row for this site + material",IF($G787="","⚠ Status missing",IF(AND($G787="Scheduled",$A787&lt;=AsOfDate),"⚠ Scheduled date reached – mark Received or re-date",IF(AND($G787="Received",$A787&gt;AsOfDate),"Future-dated – added on its date",IF(AND($G787="Received",$A787&lt;SUMIFS(CI_Count,CI_Site,$B787,CI_Mat,$C787)),"Before count date – already in the count","OK"))))))))</f>
        <v/>
      </c>
    </row>
    <row r="788" customFormat="false" ht="15" hidden="false" customHeight="false" outlineLevel="0" collapsed="false">
      <c r="A788" s="65"/>
      <c r="B788" s="63"/>
      <c r="C788" s="70"/>
      <c r="D788" s="16" t="str">
        <f aca="false">IF($C788="","",IFERROR(INDEX(Mat_Short,MATCH($C788,Mat_Code,0)),"⚠ Unknown code"))</f>
        <v/>
      </c>
      <c r="E788" s="66"/>
      <c r="F788" s="64" t="str">
        <f aca="false">IF($C788="","",IFERROR(INDEX(Mat_Unit,MATCH($C788,Mat_Code,0)),""))</f>
        <v/>
      </c>
      <c r="G788" s="70"/>
      <c r="H788" s="63"/>
      <c r="I788" s="63"/>
      <c r="J788" s="63"/>
      <c r="K788" s="16" t="str">
        <f aca="false">IF(AND($A788="",$B788="",$C788="",$E788=""),"",IF($A788="","⚠ Date missing",IF(OR($B788="",$C788=""),"⚠ Site / material missing",IF(COUNTIFS(CI_Site,$B788,CI_Mat,$C788)=0,"⚠ No Current Inventory row for this site + material",IF($G788="","⚠ Status missing",IF(AND($G788="Scheduled",$A788&lt;=AsOfDate),"⚠ Scheduled date reached – mark Received or re-date",IF(AND($G788="Received",$A788&gt;AsOfDate),"Future-dated – added on its date",IF(AND($G788="Received",$A788&lt;SUMIFS(CI_Count,CI_Site,$B788,CI_Mat,$C788)),"Before count date – already in the count","OK"))))))))</f>
        <v/>
      </c>
    </row>
    <row r="789" customFormat="false" ht="15" hidden="false" customHeight="false" outlineLevel="0" collapsed="false">
      <c r="A789" s="65"/>
      <c r="B789" s="63"/>
      <c r="C789" s="70"/>
      <c r="D789" s="16" t="str">
        <f aca="false">IF($C789="","",IFERROR(INDEX(Mat_Short,MATCH($C789,Mat_Code,0)),"⚠ Unknown code"))</f>
        <v/>
      </c>
      <c r="E789" s="66"/>
      <c r="F789" s="64" t="str">
        <f aca="false">IF($C789="","",IFERROR(INDEX(Mat_Unit,MATCH($C789,Mat_Code,0)),""))</f>
        <v/>
      </c>
      <c r="G789" s="70"/>
      <c r="H789" s="63"/>
      <c r="I789" s="63"/>
      <c r="J789" s="63"/>
      <c r="K789" s="16" t="str">
        <f aca="false">IF(AND($A789="",$B789="",$C789="",$E789=""),"",IF($A789="","⚠ Date missing",IF(OR($B789="",$C789=""),"⚠ Site / material missing",IF(COUNTIFS(CI_Site,$B789,CI_Mat,$C789)=0,"⚠ No Current Inventory row for this site + material",IF($G789="","⚠ Status missing",IF(AND($G789="Scheduled",$A789&lt;=AsOfDate),"⚠ Scheduled date reached – mark Received or re-date",IF(AND($G789="Received",$A789&gt;AsOfDate),"Future-dated – added on its date",IF(AND($G789="Received",$A789&lt;SUMIFS(CI_Count,CI_Site,$B789,CI_Mat,$C789)),"Before count date – already in the count","OK"))))))))</f>
        <v/>
      </c>
    </row>
    <row r="790" customFormat="false" ht="15" hidden="false" customHeight="false" outlineLevel="0" collapsed="false">
      <c r="A790" s="65"/>
      <c r="B790" s="63"/>
      <c r="C790" s="70"/>
      <c r="D790" s="16" t="str">
        <f aca="false">IF($C790="","",IFERROR(INDEX(Mat_Short,MATCH($C790,Mat_Code,0)),"⚠ Unknown code"))</f>
        <v/>
      </c>
      <c r="E790" s="66"/>
      <c r="F790" s="64" t="str">
        <f aca="false">IF($C790="","",IFERROR(INDEX(Mat_Unit,MATCH($C790,Mat_Code,0)),""))</f>
        <v/>
      </c>
      <c r="G790" s="70"/>
      <c r="H790" s="63"/>
      <c r="I790" s="63"/>
      <c r="J790" s="63"/>
      <c r="K790" s="16" t="str">
        <f aca="false">IF(AND($A790="",$B790="",$C790="",$E790=""),"",IF($A790="","⚠ Date missing",IF(OR($B790="",$C790=""),"⚠ Site / material missing",IF(COUNTIFS(CI_Site,$B790,CI_Mat,$C790)=0,"⚠ No Current Inventory row for this site + material",IF($G790="","⚠ Status missing",IF(AND($G790="Scheduled",$A790&lt;=AsOfDate),"⚠ Scheduled date reached – mark Received or re-date",IF(AND($G790="Received",$A790&gt;AsOfDate),"Future-dated – added on its date",IF(AND($G790="Received",$A790&lt;SUMIFS(CI_Count,CI_Site,$B790,CI_Mat,$C790)),"Before count date – already in the count","OK"))))))))</f>
        <v/>
      </c>
    </row>
    <row r="791" customFormat="false" ht="15" hidden="false" customHeight="false" outlineLevel="0" collapsed="false">
      <c r="A791" s="65"/>
      <c r="B791" s="63"/>
      <c r="C791" s="70"/>
      <c r="D791" s="16" t="str">
        <f aca="false">IF($C791="","",IFERROR(INDEX(Mat_Short,MATCH($C791,Mat_Code,0)),"⚠ Unknown code"))</f>
        <v/>
      </c>
      <c r="E791" s="66"/>
      <c r="F791" s="64" t="str">
        <f aca="false">IF($C791="","",IFERROR(INDEX(Mat_Unit,MATCH($C791,Mat_Code,0)),""))</f>
        <v/>
      </c>
      <c r="G791" s="70"/>
      <c r="H791" s="63"/>
      <c r="I791" s="63"/>
      <c r="J791" s="63"/>
      <c r="K791" s="16" t="str">
        <f aca="false">IF(AND($A791="",$B791="",$C791="",$E791=""),"",IF($A791="","⚠ Date missing",IF(OR($B791="",$C791=""),"⚠ Site / material missing",IF(COUNTIFS(CI_Site,$B791,CI_Mat,$C791)=0,"⚠ No Current Inventory row for this site + material",IF($G791="","⚠ Status missing",IF(AND($G791="Scheduled",$A791&lt;=AsOfDate),"⚠ Scheduled date reached – mark Received or re-date",IF(AND($G791="Received",$A791&gt;AsOfDate),"Future-dated – added on its date",IF(AND($G791="Received",$A791&lt;SUMIFS(CI_Count,CI_Site,$B791,CI_Mat,$C791)),"Before count date – already in the count","OK"))))))))</f>
        <v/>
      </c>
    </row>
    <row r="792" customFormat="false" ht="15" hidden="false" customHeight="false" outlineLevel="0" collapsed="false">
      <c r="A792" s="65"/>
      <c r="B792" s="63"/>
      <c r="C792" s="70"/>
      <c r="D792" s="16" t="str">
        <f aca="false">IF($C792="","",IFERROR(INDEX(Mat_Short,MATCH($C792,Mat_Code,0)),"⚠ Unknown code"))</f>
        <v/>
      </c>
      <c r="E792" s="66"/>
      <c r="F792" s="64" t="str">
        <f aca="false">IF($C792="","",IFERROR(INDEX(Mat_Unit,MATCH($C792,Mat_Code,0)),""))</f>
        <v/>
      </c>
      <c r="G792" s="70"/>
      <c r="H792" s="63"/>
      <c r="I792" s="63"/>
      <c r="J792" s="63"/>
      <c r="K792" s="16" t="str">
        <f aca="false">IF(AND($A792="",$B792="",$C792="",$E792=""),"",IF($A792="","⚠ Date missing",IF(OR($B792="",$C792=""),"⚠ Site / material missing",IF(COUNTIFS(CI_Site,$B792,CI_Mat,$C792)=0,"⚠ No Current Inventory row for this site + material",IF($G792="","⚠ Status missing",IF(AND($G792="Scheduled",$A792&lt;=AsOfDate),"⚠ Scheduled date reached – mark Received or re-date",IF(AND($G792="Received",$A792&gt;AsOfDate),"Future-dated – added on its date",IF(AND($G792="Received",$A792&lt;SUMIFS(CI_Count,CI_Site,$B792,CI_Mat,$C792)),"Before count date – already in the count","OK"))))))))</f>
        <v/>
      </c>
    </row>
    <row r="793" customFormat="false" ht="15" hidden="false" customHeight="false" outlineLevel="0" collapsed="false">
      <c r="A793" s="65"/>
      <c r="B793" s="63"/>
      <c r="C793" s="70"/>
      <c r="D793" s="16" t="str">
        <f aca="false">IF($C793="","",IFERROR(INDEX(Mat_Short,MATCH($C793,Mat_Code,0)),"⚠ Unknown code"))</f>
        <v/>
      </c>
      <c r="E793" s="66"/>
      <c r="F793" s="64" t="str">
        <f aca="false">IF($C793="","",IFERROR(INDEX(Mat_Unit,MATCH($C793,Mat_Code,0)),""))</f>
        <v/>
      </c>
      <c r="G793" s="70"/>
      <c r="H793" s="63"/>
      <c r="I793" s="63"/>
      <c r="J793" s="63"/>
      <c r="K793" s="16" t="str">
        <f aca="false">IF(AND($A793="",$B793="",$C793="",$E793=""),"",IF($A793="","⚠ Date missing",IF(OR($B793="",$C793=""),"⚠ Site / material missing",IF(COUNTIFS(CI_Site,$B793,CI_Mat,$C793)=0,"⚠ No Current Inventory row for this site + material",IF($G793="","⚠ Status missing",IF(AND($G793="Scheduled",$A793&lt;=AsOfDate),"⚠ Scheduled date reached – mark Received or re-date",IF(AND($G793="Received",$A793&gt;AsOfDate),"Future-dated – added on its date",IF(AND($G793="Received",$A793&lt;SUMIFS(CI_Count,CI_Site,$B793,CI_Mat,$C793)),"Before count date – already in the count","OK"))))))))</f>
        <v/>
      </c>
    </row>
    <row r="794" customFormat="false" ht="15" hidden="false" customHeight="false" outlineLevel="0" collapsed="false">
      <c r="A794" s="65"/>
      <c r="B794" s="63"/>
      <c r="C794" s="70"/>
      <c r="D794" s="16" t="str">
        <f aca="false">IF($C794="","",IFERROR(INDEX(Mat_Short,MATCH($C794,Mat_Code,0)),"⚠ Unknown code"))</f>
        <v/>
      </c>
      <c r="E794" s="66"/>
      <c r="F794" s="64" t="str">
        <f aca="false">IF($C794="","",IFERROR(INDEX(Mat_Unit,MATCH($C794,Mat_Code,0)),""))</f>
        <v/>
      </c>
      <c r="G794" s="70"/>
      <c r="H794" s="63"/>
      <c r="I794" s="63"/>
      <c r="J794" s="63"/>
      <c r="K794" s="16" t="str">
        <f aca="false">IF(AND($A794="",$B794="",$C794="",$E794=""),"",IF($A794="","⚠ Date missing",IF(OR($B794="",$C794=""),"⚠ Site / material missing",IF(COUNTIFS(CI_Site,$B794,CI_Mat,$C794)=0,"⚠ No Current Inventory row for this site + material",IF($G794="","⚠ Status missing",IF(AND($G794="Scheduled",$A794&lt;=AsOfDate),"⚠ Scheduled date reached – mark Received or re-date",IF(AND($G794="Received",$A794&gt;AsOfDate),"Future-dated – added on its date",IF(AND($G794="Received",$A794&lt;SUMIFS(CI_Count,CI_Site,$B794,CI_Mat,$C794)),"Before count date – already in the count","OK"))))))))</f>
        <v/>
      </c>
    </row>
    <row r="795" customFormat="false" ht="15" hidden="false" customHeight="false" outlineLevel="0" collapsed="false">
      <c r="A795" s="65"/>
      <c r="B795" s="63"/>
      <c r="C795" s="70"/>
      <c r="D795" s="16" t="str">
        <f aca="false">IF($C795="","",IFERROR(INDEX(Mat_Short,MATCH($C795,Mat_Code,0)),"⚠ Unknown code"))</f>
        <v/>
      </c>
      <c r="E795" s="66"/>
      <c r="F795" s="64" t="str">
        <f aca="false">IF($C795="","",IFERROR(INDEX(Mat_Unit,MATCH($C795,Mat_Code,0)),""))</f>
        <v/>
      </c>
      <c r="G795" s="70"/>
      <c r="H795" s="63"/>
      <c r="I795" s="63"/>
      <c r="J795" s="63"/>
      <c r="K795" s="16" t="str">
        <f aca="false">IF(AND($A795="",$B795="",$C795="",$E795=""),"",IF($A795="","⚠ Date missing",IF(OR($B795="",$C795=""),"⚠ Site / material missing",IF(COUNTIFS(CI_Site,$B795,CI_Mat,$C795)=0,"⚠ No Current Inventory row for this site + material",IF($G795="","⚠ Status missing",IF(AND($G795="Scheduled",$A795&lt;=AsOfDate),"⚠ Scheduled date reached – mark Received or re-date",IF(AND($G795="Received",$A795&gt;AsOfDate),"Future-dated – added on its date",IF(AND($G795="Received",$A795&lt;SUMIFS(CI_Count,CI_Site,$B795,CI_Mat,$C795)),"Before count date – already in the count","OK"))))))))</f>
        <v/>
      </c>
    </row>
    <row r="796" customFormat="false" ht="15" hidden="false" customHeight="false" outlineLevel="0" collapsed="false">
      <c r="A796" s="65"/>
      <c r="B796" s="63"/>
      <c r="C796" s="70"/>
      <c r="D796" s="16" t="str">
        <f aca="false">IF($C796="","",IFERROR(INDEX(Mat_Short,MATCH($C796,Mat_Code,0)),"⚠ Unknown code"))</f>
        <v/>
      </c>
      <c r="E796" s="66"/>
      <c r="F796" s="64" t="str">
        <f aca="false">IF($C796="","",IFERROR(INDEX(Mat_Unit,MATCH($C796,Mat_Code,0)),""))</f>
        <v/>
      </c>
      <c r="G796" s="70"/>
      <c r="H796" s="63"/>
      <c r="I796" s="63"/>
      <c r="J796" s="63"/>
      <c r="K796" s="16" t="str">
        <f aca="false">IF(AND($A796="",$B796="",$C796="",$E796=""),"",IF($A796="","⚠ Date missing",IF(OR($B796="",$C796=""),"⚠ Site / material missing",IF(COUNTIFS(CI_Site,$B796,CI_Mat,$C796)=0,"⚠ No Current Inventory row for this site + material",IF($G796="","⚠ Status missing",IF(AND($G796="Scheduled",$A796&lt;=AsOfDate),"⚠ Scheduled date reached – mark Received or re-date",IF(AND($G796="Received",$A796&gt;AsOfDate),"Future-dated – added on its date",IF(AND($G796="Received",$A796&lt;SUMIFS(CI_Count,CI_Site,$B796,CI_Mat,$C796)),"Before count date – already in the count","OK"))))))))</f>
        <v/>
      </c>
    </row>
    <row r="797" customFormat="false" ht="15" hidden="false" customHeight="false" outlineLevel="0" collapsed="false">
      <c r="A797" s="65"/>
      <c r="B797" s="63"/>
      <c r="C797" s="70"/>
      <c r="D797" s="16" t="str">
        <f aca="false">IF($C797="","",IFERROR(INDEX(Mat_Short,MATCH($C797,Mat_Code,0)),"⚠ Unknown code"))</f>
        <v/>
      </c>
      <c r="E797" s="66"/>
      <c r="F797" s="64" t="str">
        <f aca="false">IF($C797="","",IFERROR(INDEX(Mat_Unit,MATCH($C797,Mat_Code,0)),""))</f>
        <v/>
      </c>
      <c r="G797" s="70"/>
      <c r="H797" s="63"/>
      <c r="I797" s="63"/>
      <c r="J797" s="63"/>
      <c r="K797" s="16" t="str">
        <f aca="false">IF(AND($A797="",$B797="",$C797="",$E797=""),"",IF($A797="","⚠ Date missing",IF(OR($B797="",$C797=""),"⚠ Site / material missing",IF(COUNTIFS(CI_Site,$B797,CI_Mat,$C797)=0,"⚠ No Current Inventory row for this site + material",IF($G797="","⚠ Status missing",IF(AND($G797="Scheduled",$A797&lt;=AsOfDate),"⚠ Scheduled date reached – mark Received or re-date",IF(AND($G797="Received",$A797&gt;AsOfDate),"Future-dated – added on its date",IF(AND($G797="Received",$A797&lt;SUMIFS(CI_Count,CI_Site,$B797,CI_Mat,$C797)),"Before count date – already in the count","OK"))))))))</f>
        <v/>
      </c>
    </row>
    <row r="798" customFormat="false" ht="15" hidden="false" customHeight="false" outlineLevel="0" collapsed="false">
      <c r="A798" s="65"/>
      <c r="B798" s="63"/>
      <c r="C798" s="70"/>
      <c r="D798" s="16" t="str">
        <f aca="false">IF($C798="","",IFERROR(INDEX(Mat_Short,MATCH($C798,Mat_Code,0)),"⚠ Unknown code"))</f>
        <v/>
      </c>
      <c r="E798" s="66"/>
      <c r="F798" s="64" t="str">
        <f aca="false">IF($C798="","",IFERROR(INDEX(Mat_Unit,MATCH($C798,Mat_Code,0)),""))</f>
        <v/>
      </c>
      <c r="G798" s="70"/>
      <c r="H798" s="63"/>
      <c r="I798" s="63"/>
      <c r="J798" s="63"/>
      <c r="K798" s="16" t="str">
        <f aca="false">IF(AND($A798="",$B798="",$C798="",$E798=""),"",IF($A798="","⚠ Date missing",IF(OR($B798="",$C798=""),"⚠ Site / material missing",IF(COUNTIFS(CI_Site,$B798,CI_Mat,$C798)=0,"⚠ No Current Inventory row for this site + material",IF($G798="","⚠ Status missing",IF(AND($G798="Scheduled",$A798&lt;=AsOfDate),"⚠ Scheduled date reached – mark Received or re-date",IF(AND($G798="Received",$A798&gt;AsOfDate),"Future-dated – added on its date",IF(AND($G798="Received",$A798&lt;SUMIFS(CI_Count,CI_Site,$B798,CI_Mat,$C798)),"Before count date – already in the count","OK"))))))))</f>
        <v/>
      </c>
    </row>
    <row r="799" customFormat="false" ht="15" hidden="false" customHeight="false" outlineLevel="0" collapsed="false">
      <c r="A799" s="65"/>
      <c r="B799" s="63"/>
      <c r="C799" s="70"/>
      <c r="D799" s="16" t="str">
        <f aca="false">IF($C799="","",IFERROR(INDEX(Mat_Short,MATCH($C799,Mat_Code,0)),"⚠ Unknown code"))</f>
        <v/>
      </c>
      <c r="E799" s="66"/>
      <c r="F799" s="64" t="str">
        <f aca="false">IF($C799="","",IFERROR(INDEX(Mat_Unit,MATCH($C799,Mat_Code,0)),""))</f>
        <v/>
      </c>
      <c r="G799" s="70"/>
      <c r="H799" s="63"/>
      <c r="I799" s="63"/>
      <c r="J799" s="63"/>
      <c r="K799" s="16" t="str">
        <f aca="false">IF(AND($A799="",$B799="",$C799="",$E799=""),"",IF($A799="","⚠ Date missing",IF(OR($B799="",$C799=""),"⚠ Site / material missing",IF(COUNTIFS(CI_Site,$B799,CI_Mat,$C799)=0,"⚠ No Current Inventory row for this site + material",IF($G799="","⚠ Status missing",IF(AND($G799="Scheduled",$A799&lt;=AsOfDate),"⚠ Scheduled date reached – mark Received or re-date",IF(AND($G799="Received",$A799&gt;AsOfDate),"Future-dated – added on its date",IF(AND($G799="Received",$A799&lt;SUMIFS(CI_Count,CI_Site,$B799,CI_Mat,$C799)),"Before count date – already in the count","OK"))))))))</f>
        <v/>
      </c>
    </row>
    <row r="800" customFormat="false" ht="15" hidden="false" customHeight="false" outlineLevel="0" collapsed="false">
      <c r="A800" s="65"/>
      <c r="B800" s="63"/>
      <c r="C800" s="70"/>
      <c r="D800" s="16" t="str">
        <f aca="false">IF($C800="","",IFERROR(INDEX(Mat_Short,MATCH($C800,Mat_Code,0)),"⚠ Unknown code"))</f>
        <v/>
      </c>
      <c r="E800" s="66"/>
      <c r="F800" s="64" t="str">
        <f aca="false">IF($C800="","",IFERROR(INDEX(Mat_Unit,MATCH($C800,Mat_Code,0)),""))</f>
        <v/>
      </c>
      <c r="G800" s="70"/>
      <c r="H800" s="63"/>
      <c r="I800" s="63"/>
      <c r="J800" s="63"/>
      <c r="K800" s="16" t="str">
        <f aca="false">IF(AND($A800="",$B800="",$C800="",$E800=""),"",IF($A800="","⚠ Date missing",IF(OR($B800="",$C800=""),"⚠ Site / material missing",IF(COUNTIFS(CI_Site,$B800,CI_Mat,$C800)=0,"⚠ No Current Inventory row for this site + material",IF($G800="","⚠ Status missing",IF(AND($G800="Scheduled",$A800&lt;=AsOfDate),"⚠ Scheduled date reached – mark Received or re-date",IF(AND($G800="Received",$A800&gt;AsOfDate),"Future-dated – added on its date",IF(AND($G800="Received",$A800&lt;SUMIFS(CI_Count,CI_Site,$B800,CI_Mat,$C800)),"Before count date – already in the count","OK"))))))))</f>
        <v/>
      </c>
    </row>
    <row r="801" customFormat="false" ht="15" hidden="false" customHeight="false" outlineLevel="0" collapsed="false">
      <c r="A801" s="65"/>
      <c r="B801" s="63"/>
      <c r="C801" s="70"/>
      <c r="D801" s="16" t="str">
        <f aca="false">IF($C801="","",IFERROR(INDEX(Mat_Short,MATCH($C801,Mat_Code,0)),"⚠ Unknown code"))</f>
        <v/>
      </c>
      <c r="E801" s="66"/>
      <c r="F801" s="64" t="str">
        <f aca="false">IF($C801="","",IFERROR(INDEX(Mat_Unit,MATCH($C801,Mat_Code,0)),""))</f>
        <v/>
      </c>
      <c r="G801" s="70"/>
      <c r="H801" s="63"/>
      <c r="I801" s="63"/>
      <c r="J801" s="63"/>
      <c r="K801" s="16" t="str">
        <f aca="false">IF(AND($A801="",$B801="",$C801="",$E801=""),"",IF($A801="","⚠ Date missing",IF(OR($B801="",$C801=""),"⚠ Site / material missing",IF(COUNTIFS(CI_Site,$B801,CI_Mat,$C801)=0,"⚠ No Current Inventory row for this site + material",IF($G801="","⚠ Status missing",IF(AND($G801="Scheduled",$A801&lt;=AsOfDate),"⚠ Scheduled date reached – mark Received or re-date",IF(AND($G801="Received",$A801&gt;AsOfDate),"Future-dated – added on its date",IF(AND($G801="Received",$A801&lt;SUMIFS(CI_Count,CI_Site,$B801,CI_Mat,$C801)),"Before count date – already in the count","OK"))))))))</f>
        <v/>
      </c>
    </row>
    <row r="802" customFormat="false" ht="15" hidden="false" customHeight="false" outlineLevel="0" collapsed="false">
      <c r="A802" s="65"/>
      <c r="B802" s="63"/>
      <c r="C802" s="70"/>
      <c r="D802" s="16" t="str">
        <f aca="false">IF($C802="","",IFERROR(INDEX(Mat_Short,MATCH($C802,Mat_Code,0)),"⚠ Unknown code"))</f>
        <v/>
      </c>
      <c r="E802" s="66"/>
      <c r="F802" s="64" t="str">
        <f aca="false">IF($C802="","",IFERROR(INDEX(Mat_Unit,MATCH($C802,Mat_Code,0)),""))</f>
        <v/>
      </c>
      <c r="G802" s="70"/>
      <c r="H802" s="63"/>
      <c r="I802" s="63"/>
      <c r="J802" s="63"/>
      <c r="K802" s="16" t="str">
        <f aca="false">IF(AND($A802="",$B802="",$C802="",$E802=""),"",IF($A802="","⚠ Date missing",IF(OR($B802="",$C802=""),"⚠ Site / material missing",IF(COUNTIFS(CI_Site,$B802,CI_Mat,$C802)=0,"⚠ No Current Inventory row for this site + material",IF($G802="","⚠ Status missing",IF(AND($G802="Scheduled",$A802&lt;=AsOfDate),"⚠ Scheduled date reached – mark Received or re-date",IF(AND($G802="Received",$A802&gt;AsOfDate),"Future-dated – added on its date",IF(AND($G802="Received",$A802&lt;SUMIFS(CI_Count,CI_Site,$B802,CI_Mat,$C802)),"Before count date – already in the count","OK"))))))))</f>
        <v/>
      </c>
    </row>
    <row r="803" customFormat="false" ht="15" hidden="false" customHeight="false" outlineLevel="0" collapsed="false">
      <c r="A803" s="65"/>
      <c r="B803" s="63"/>
      <c r="C803" s="70"/>
      <c r="D803" s="16" t="str">
        <f aca="false">IF($C803="","",IFERROR(INDEX(Mat_Short,MATCH($C803,Mat_Code,0)),"⚠ Unknown code"))</f>
        <v/>
      </c>
      <c r="E803" s="66"/>
      <c r="F803" s="64" t="str">
        <f aca="false">IF($C803="","",IFERROR(INDEX(Mat_Unit,MATCH($C803,Mat_Code,0)),""))</f>
        <v/>
      </c>
      <c r="G803" s="70"/>
      <c r="H803" s="63"/>
      <c r="I803" s="63"/>
      <c r="J803" s="63"/>
      <c r="K803" s="16" t="str">
        <f aca="false">IF(AND($A803="",$B803="",$C803="",$E803=""),"",IF($A803="","⚠ Date missing",IF(OR($B803="",$C803=""),"⚠ Site / material missing",IF(COUNTIFS(CI_Site,$B803,CI_Mat,$C803)=0,"⚠ No Current Inventory row for this site + material",IF($G803="","⚠ Status missing",IF(AND($G803="Scheduled",$A803&lt;=AsOfDate),"⚠ Scheduled date reached – mark Received or re-date",IF(AND($G803="Received",$A803&gt;AsOfDate),"Future-dated – added on its date",IF(AND($G803="Received",$A803&lt;SUMIFS(CI_Count,CI_Site,$B803,CI_Mat,$C803)),"Before count date – already in the count","OK"))))))))</f>
        <v/>
      </c>
    </row>
    <row r="804" customFormat="false" ht="15" hidden="false" customHeight="false" outlineLevel="0" collapsed="false">
      <c r="A804" s="65"/>
      <c r="B804" s="63"/>
      <c r="C804" s="70"/>
      <c r="D804" s="16" t="str">
        <f aca="false">IF($C804="","",IFERROR(INDEX(Mat_Short,MATCH($C804,Mat_Code,0)),"⚠ Unknown code"))</f>
        <v/>
      </c>
      <c r="E804" s="66"/>
      <c r="F804" s="64" t="str">
        <f aca="false">IF($C804="","",IFERROR(INDEX(Mat_Unit,MATCH($C804,Mat_Code,0)),""))</f>
        <v/>
      </c>
      <c r="G804" s="70"/>
      <c r="H804" s="63"/>
      <c r="I804" s="63"/>
      <c r="J804" s="63"/>
      <c r="K804" s="16" t="str">
        <f aca="false">IF(AND($A804="",$B804="",$C804="",$E804=""),"",IF($A804="","⚠ Date missing",IF(OR($B804="",$C804=""),"⚠ Site / material missing",IF(COUNTIFS(CI_Site,$B804,CI_Mat,$C804)=0,"⚠ No Current Inventory row for this site + material",IF($G804="","⚠ Status missing",IF(AND($G804="Scheduled",$A804&lt;=AsOfDate),"⚠ Scheduled date reached – mark Received or re-date",IF(AND($G804="Received",$A804&gt;AsOfDate),"Future-dated – added on its date",IF(AND($G804="Received",$A804&lt;SUMIFS(CI_Count,CI_Site,$B804,CI_Mat,$C804)),"Before count date – already in the count","OK"))))))))</f>
        <v/>
      </c>
    </row>
    <row r="805" customFormat="false" ht="15" hidden="false" customHeight="false" outlineLevel="0" collapsed="false">
      <c r="A805" s="65"/>
      <c r="B805" s="63"/>
      <c r="C805" s="70"/>
      <c r="D805" s="16" t="str">
        <f aca="false">IF($C805="","",IFERROR(INDEX(Mat_Short,MATCH($C805,Mat_Code,0)),"⚠ Unknown code"))</f>
        <v/>
      </c>
      <c r="E805" s="66"/>
      <c r="F805" s="64" t="str">
        <f aca="false">IF($C805="","",IFERROR(INDEX(Mat_Unit,MATCH($C805,Mat_Code,0)),""))</f>
        <v/>
      </c>
      <c r="G805" s="70"/>
      <c r="H805" s="63"/>
      <c r="I805" s="63"/>
      <c r="J805" s="63"/>
      <c r="K805" s="16" t="str">
        <f aca="false">IF(AND($A805="",$B805="",$C805="",$E805=""),"",IF($A805="","⚠ Date missing",IF(OR($B805="",$C805=""),"⚠ Site / material missing",IF(COUNTIFS(CI_Site,$B805,CI_Mat,$C805)=0,"⚠ No Current Inventory row for this site + material",IF($G805="","⚠ Status missing",IF(AND($G805="Scheduled",$A805&lt;=AsOfDate),"⚠ Scheduled date reached – mark Received or re-date",IF(AND($G805="Received",$A805&gt;AsOfDate),"Future-dated – added on its date",IF(AND($G805="Received",$A805&lt;SUMIFS(CI_Count,CI_Site,$B805,CI_Mat,$C805)),"Before count date – already in the count","OK"))))))))</f>
        <v/>
      </c>
    </row>
    <row r="806" customFormat="false" ht="15" hidden="false" customHeight="false" outlineLevel="0" collapsed="false">
      <c r="A806" s="65"/>
      <c r="B806" s="63"/>
      <c r="C806" s="70"/>
      <c r="D806" s="16" t="str">
        <f aca="false">IF($C806="","",IFERROR(INDEX(Mat_Short,MATCH($C806,Mat_Code,0)),"⚠ Unknown code"))</f>
        <v/>
      </c>
      <c r="E806" s="66"/>
      <c r="F806" s="64" t="str">
        <f aca="false">IF($C806="","",IFERROR(INDEX(Mat_Unit,MATCH($C806,Mat_Code,0)),""))</f>
        <v/>
      </c>
      <c r="G806" s="70"/>
      <c r="H806" s="63"/>
      <c r="I806" s="63"/>
      <c r="J806" s="63"/>
      <c r="K806" s="16" t="str">
        <f aca="false">IF(AND($A806="",$B806="",$C806="",$E806=""),"",IF($A806="","⚠ Date missing",IF(OR($B806="",$C806=""),"⚠ Site / material missing",IF(COUNTIFS(CI_Site,$B806,CI_Mat,$C806)=0,"⚠ No Current Inventory row for this site + material",IF($G806="","⚠ Status missing",IF(AND($G806="Scheduled",$A806&lt;=AsOfDate),"⚠ Scheduled date reached – mark Received or re-date",IF(AND($G806="Received",$A806&gt;AsOfDate),"Future-dated – added on its date",IF(AND($G806="Received",$A806&lt;SUMIFS(CI_Count,CI_Site,$B806,CI_Mat,$C806)),"Before count date – already in the count","OK"))))))))</f>
        <v/>
      </c>
    </row>
    <row r="807" customFormat="false" ht="15" hidden="false" customHeight="false" outlineLevel="0" collapsed="false">
      <c r="A807" s="65"/>
      <c r="B807" s="63"/>
      <c r="C807" s="70"/>
      <c r="D807" s="16" t="str">
        <f aca="false">IF($C807="","",IFERROR(INDEX(Mat_Short,MATCH($C807,Mat_Code,0)),"⚠ Unknown code"))</f>
        <v/>
      </c>
      <c r="E807" s="66"/>
      <c r="F807" s="64" t="str">
        <f aca="false">IF($C807="","",IFERROR(INDEX(Mat_Unit,MATCH($C807,Mat_Code,0)),""))</f>
        <v/>
      </c>
      <c r="G807" s="70"/>
      <c r="H807" s="63"/>
      <c r="I807" s="63"/>
      <c r="J807" s="63"/>
      <c r="K807" s="16" t="str">
        <f aca="false">IF(AND($A807="",$B807="",$C807="",$E807=""),"",IF($A807="","⚠ Date missing",IF(OR($B807="",$C807=""),"⚠ Site / material missing",IF(COUNTIFS(CI_Site,$B807,CI_Mat,$C807)=0,"⚠ No Current Inventory row for this site + material",IF($G807="","⚠ Status missing",IF(AND($G807="Scheduled",$A807&lt;=AsOfDate),"⚠ Scheduled date reached – mark Received or re-date",IF(AND($G807="Received",$A807&gt;AsOfDate),"Future-dated – added on its date",IF(AND($G807="Received",$A807&lt;SUMIFS(CI_Count,CI_Site,$B807,CI_Mat,$C807)),"Before count date – already in the count","OK"))))))))</f>
        <v/>
      </c>
    </row>
    <row r="808" customFormat="false" ht="15" hidden="false" customHeight="false" outlineLevel="0" collapsed="false">
      <c r="A808" s="65"/>
      <c r="B808" s="63"/>
      <c r="C808" s="70"/>
      <c r="D808" s="16" t="str">
        <f aca="false">IF($C808="","",IFERROR(INDEX(Mat_Short,MATCH($C808,Mat_Code,0)),"⚠ Unknown code"))</f>
        <v/>
      </c>
      <c r="E808" s="66"/>
      <c r="F808" s="64" t="str">
        <f aca="false">IF($C808="","",IFERROR(INDEX(Mat_Unit,MATCH($C808,Mat_Code,0)),""))</f>
        <v/>
      </c>
      <c r="G808" s="70"/>
      <c r="H808" s="63"/>
      <c r="I808" s="63"/>
      <c r="J808" s="63"/>
      <c r="K808" s="16" t="str">
        <f aca="false">IF(AND($A808="",$B808="",$C808="",$E808=""),"",IF($A808="","⚠ Date missing",IF(OR($B808="",$C808=""),"⚠ Site / material missing",IF(COUNTIFS(CI_Site,$B808,CI_Mat,$C808)=0,"⚠ No Current Inventory row for this site + material",IF($G808="","⚠ Status missing",IF(AND($G808="Scheduled",$A808&lt;=AsOfDate),"⚠ Scheduled date reached – mark Received or re-date",IF(AND($G808="Received",$A808&gt;AsOfDate),"Future-dated – added on its date",IF(AND($G808="Received",$A808&lt;SUMIFS(CI_Count,CI_Site,$B808,CI_Mat,$C808)),"Before count date – already in the count","OK"))))))))</f>
        <v/>
      </c>
    </row>
    <row r="809" customFormat="false" ht="15" hidden="false" customHeight="false" outlineLevel="0" collapsed="false">
      <c r="A809" s="65"/>
      <c r="B809" s="63"/>
      <c r="C809" s="70"/>
      <c r="D809" s="16" t="str">
        <f aca="false">IF($C809="","",IFERROR(INDEX(Mat_Short,MATCH($C809,Mat_Code,0)),"⚠ Unknown code"))</f>
        <v/>
      </c>
      <c r="E809" s="66"/>
      <c r="F809" s="64" t="str">
        <f aca="false">IF($C809="","",IFERROR(INDEX(Mat_Unit,MATCH($C809,Mat_Code,0)),""))</f>
        <v/>
      </c>
      <c r="G809" s="70"/>
      <c r="H809" s="63"/>
      <c r="I809" s="63"/>
      <c r="J809" s="63"/>
      <c r="K809" s="16" t="str">
        <f aca="false">IF(AND($A809="",$B809="",$C809="",$E809=""),"",IF($A809="","⚠ Date missing",IF(OR($B809="",$C809=""),"⚠ Site / material missing",IF(COUNTIFS(CI_Site,$B809,CI_Mat,$C809)=0,"⚠ No Current Inventory row for this site + material",IF($G809="","⚠ Status missing",IF(AND($G809="Scheduled",$A809&lt;=AsOfDate),"⚠ Scheduled date reached – mark Received or re-date",IF(AND($G809="Received",$A809&gt;AsOfDate),"Future-dated – added on its date",IF(AND($G809="Received",$A809&lt;SUMIFS(CI_Count,CI_Site,$B809,CI_Mat,$C809)),"Before count date – already in the count","OK"))))))))</f>
        <v/>
      </c>
    </row>
    <row r="810" customFormat="false" ht="15" hidden="false" customHeight="false" outlineLevel="0" collapsed="false">
      <c r="A810" s="65"/>
      <c r="B810" s="63"/>
      <c r="C810" s="70"/>
      <c r="D810" s="16" t="str">
        <f aca="false">IF($C810="","",IFERROR(INDEX(Mat_Short,MATCH($C810,Mat_Code,0)),"⚠ Unknown code"))</f>
        <v/>
      </c>
      <c r="E810" s="66"/>
      <c r="F810" s="64" t="str">
        <f aca="false">IF($C810="","",IFERROR(INDEX(Mat_Unit,MATCH($C810,Mat_Code,0)),""))</f>
        <v/>
      </c>
      <c r="G810" s="70"/>
      <c r="H810" s="63"/>
      <c r="I810" s="63"/>
      <c r="J810" s="63"/>
      <c r="K810" s="16" t="str">
        <f aca="false">IF(AND($A810="",$B810="",$C810="",$E810=""),"",IF($A810="","⚠ Date missing",IF(OR($B810="",$C810=""),"⚠ Site / material missing",IF(COUNTIFS(CI_Site,$B810,CI_Mat,$C810)=0,"⚠ No Current Inventory row for this site + material",IF($G810="","⚠ Status missing",IF(AND($G810="Scheduled",$A810&lt;=AsOfDate),"⚠ Scheduled date reached – mark Received or re-date",IF(AND($G810="Received",$A810&gt;AsOfDate),"Future-dated – added on its date",IF(AND($G810="Received",$A810&lt;SUMIFS(CI_Count,CI_Site,$B810,CI_Mat,$C810)),"Before count date – already in the count","OK"))))))))</f>
        <v/>
      </c>
    </row>
    <row r="811" customFormat="false" ht="15" hidden="false" customHeight="false" outlineLevel="0" collapsed="false">
      <c r="A811" s="65"/>
      <c r="B811" s="63"/>
      <c r="C811" s="70"/>
      <c r="D811" s="16" t="str">
        <f aca="false">IF($C811="","",IFERROR(INDEX(Mat_Short,MATCH($C811,Mat_Code,0)),"⚠ Unknown code"))</f>
        <v/>
      </c>
      <c r="E811" s="66"/>
      <c r="F811" s="64" t="str">
        <f aca="false">IF($C811="","",IFERROR(INDEX(Mat_Unit,MATCH($C811,Mat_Code,0)),""))</f>
        <v/>
      </c>
      <c r="G811" s="70"/>
      <c r="H811" s="63"/>
      <c r="I811" s="63"/>
      <c r="J811" s="63"/>
      <c r="K811" s="16" t="str">
        <f aca="false">IF(AND($A811="",$B811="",$C811="",$E811=""),"",IF($A811="","⚠ Date missing",IF(OR($B811="",$C811=""),"⚠ Site / material missing",IF(COUNTIFS(CI_Site,$B811,CI_Mat,$C811)=0,"⚠ No Current Inventory row for this site + material",IF($G811="","⚠ Status missing",IF(AND($G811="Scheduled",$A811&lt;=AsOfDate),"⚠ Scheduled date reached – mark Received or re-date",IF(AND($G811="Received",$A811&gt;AsOfDate),"Future-dated – added on its date",IF(AND($G811="Received",$A811&lt;SUMIFS(CI_Count,CI_Site,$B811,CI_Mat,$C811)),"Before count date – already in the count","OK"))))))))</f>
        <v/>
      </c>
    </row>
    <row r="812" customFormat="false" ht="15" hidden="false" customHeight="false" outlineLevel="0" collapsed="false">
      <c r="A812" s="65"/>
      <c r="B812" s="63"/>
      <c r="C812" s="70"/>
      <c r="D812" s="16" t="str">
        <f aca="false">IF($C812="","",IFERROR(INDEX(Mat_Short,MATCH($C812,Mat_Code,0)),"⚠ Unknown code"))</f>
        <v/>
      </c>
      <c r="E812" s="66"/>
      <c r="F812" s="64" t="str">
        <f aca="false">IF($C812="","",IFERROR(INDEX(Mat_Unit,MATCH($C812,Mat_Code,0)),""))</f>
        <v/>
      </c>
      <c r="G812" s="70"/>
      <c r="H812" s="63"/>
      <c r="I812" s="63"/>
      <c r="J812" s="63"/>
      <c r="K812" s="16" t="str">
        <f aca="false">IF(AND($A812="",$B812="",$C812="",$E812=""),"",IF($A812="","⚠ Date missing",IF(OR($B812="",$C812=""),"⚠ Site / material missing",IF(COUNTIFS(CI_Site,$B812,CI_Mat,$C812)=0,"⚠ No Current Inventory row for this site + material",IF($G812="","⚠ Status missing",IF(AND($G812="Scheduled",$A812&lt;=AsOfDate),"⚠ Scheduled date reached – mark Received or re-date",IF(AND($G812="Received",$A812&gt;AsOfDate),"Future-dated – added on its date",IF(AND($G812="Received",$A812&lt;SUMIFS(CI_Count,CI_Site,$B812,CI_Mat,$C812)),"Before count date – already in the count","OK"))))))))</f>
        <v/>
      </c>
    </row>
    <row r="813" customFormat="false" ht="15" hidden="false" customHeight="false" outlineLevel="0" collapsed="false">
      <c r="A813" s="65"/>
      <c r="B813" s="63"/>
      <c r="C813" s="70"/>
      <c r="D813" s="16" t="str">
        <f aca="false">IF($C813="","",IFERROR(INDEX(Mat_Short,MATCH($C813,Mat_Code,0)),"⚠ Unknown code"))</f>
        <v/>
      </c>
      <c r="E813" s="66"/>
      <c r="F813" s="64" t="str">
        <f aca="false">IF($C813="","",IFERROR(INDEX(Mat_Unit,MATCH($C813,Mat_Code,0)),""))</f>
        <v/>
      </c>
      <c r="G813" s="70"/>
      <c r="H813" s="63"/>
      <c r="I813" s="63"/>
      <c r="J813" s="63"/>
      <c r="K813" s="16" t="str">
        <f aca="false">IF(AND($A813="",$B813="",$C813="",$E813=""),"",IF($A813="","⚠ Date missing",IF(OR($B813="",$C813=""),"⚠ Site / material missing",IF(COUNTIFS(CI_Site,$B813,CI_Mat,$C813)=0,"⚠ No Current Inventory row for this site + material",IF($G813="","⚠ Status missing",IF(AND($G813="Scheduled",$A813&lt;=AsOfDate),"⚠ Scheduled date reached – mark Received or re-date",IF(AND($G813="Received",$A813&gt;AsOfDate),"Future-dated – added on its date",IF(AND($G813="Received",$A813&lt;SUMIFS(CI_Count,CI_Site,$B813,CI_Mat,$C813)),"Before count date – already in the count","OK"))))))))</f>
        <v/>
      </c>
    </row>
    <row r="814" customFormat="false" ht="15" hidden="false" customHeight="false" outlineLevel="0" collapsed="false">
      <c r="A814" s="65"/>
      <c r="B814" s="63"/>
      <c r="C814" s="70"/>
      <c r="D814" s="16" t="str">
        <f aca="false">IF($C814="","",IFERROR(INDEX(Mat_Short,MATCH($C814,Mat_Code,0)),"⚠ Unknown code"))</f>
        <v/>
      </c>
      <c r="E814" s="66"/>
      <c r="F814" s="64" t="str">
        <f aca="false">IF($C814="","",IFERROR(INDEX(Mat_Unit,MATCH($C814,Mat_Code,0)),""))</f>
        <v/>
      </c>
      <c r="G814" s="70"/>
      <c r="H814" s="63"/>
      <c r="I814" s="63"/>
      <c r="J814" s="63"/>
      <c r="K814" s="16" t="str">
        <f aca="false">IF(AND($A814="",$B814="",$C814="",$E814=""),"",IF($A814="","⚠ Date missing",IF(OR($B814="",$C814=""),"⚠ Site / material missing",IF(COUNTIFS(CI_Site,$B814,CI_Mat,$C814)=0,"⚠ No Current Inventory row for this site + material",IF($G814="","⚠ Status missing",IF(AND($G814="Scheduled",$A814&lt;=AsOfDate),"⚠ Scheduled date reached – mark Received or re-date",IF(AND($G814="Received",$A814&gt;AsOfDate),"Future-dated – added on its date",IF(AND($G814="Received",$A814&lt;SUMIFS(CI_Count,CI_Site,$B814,CI_Mat,$C814)),"Before count date – already in the count","OK"))))))))</f>
        <v/>
      </c>
    </row>
    <row r="815" customFormat="false" ht="15" hidden="false" customHeight="false" outlineLevel="0" collapsed="false">
      <c r="A815" s="65"/>
      <c r="B815" s="63"/>
      <c r="C815" s="70"/>
      <c r="D815" s="16" t="str">
        <f aca="false">IF($C815="","",IFERROR(INDEX(Mat_Short,MATCH($C815,Mat_Code,0)),"⚠ Unknown code"))</f>
        <v/>
      </c>
      <c r="E815" s="66"/>
      <c r="F815" s="64" t="str">
        <f aca="false">IF($C815="","",IFERROR(INDEX(Mat_Unit,MATCH($C815,Mat_Code,0)),""))</f>
        <v/>
      </c>
      <c r="G815" s="70"/>
      <c r="H815" s="63"/>
      <c r="I815" s="63"/>
      <c r="J815" s="63"/>
      <c r="K815" s="16" t="str">
        <f aca="false">IF(AND($A815="",$B815="",$C815="",$E815=""),"",IF($A815="","⚠ Date missing",IF(OR($B815="",$C815=""),"⚠ Site / material missing",IF(COUNTIFS(CI_Site,$B815,CI_Mat,$C815)=0,"⚠ No Current Inventory row for this site + material",IF($G815="","⚠ Status missing",IF(AND($G815="Scheduled",$A815&lt;=AsOfDate),"⚠ Scheduled date reached – mark Received or re-date",IF(AND($G815="Received",$A815&gt;AsOfDate),"Future-dated – added on its date",IF(AND($G815="Received",$A815&lt;SUMIFS(CI_Count,CI_Site,$B815,CI_Mat,$C815)),"Before count date – already in the count","OK"))))))))</f>
        <v/>
      </c>
    </row>
    <row r="816" customFormat="false" ht="15" hidden="false" customHeight="false" outlineLevel="0" collapsed="false">
      <c r="A816" s="65"/>
      <c r="B816" s="63"/>
      <c r="C816" s="70"/>
      <c r="D816" s="16" t="str">
        <f aca="false">IF($C816="","",IFERROR(INDEX(Mat_Short,MATCH($C816,Mat_Code,0)),"⚠ Unknown code"))</f>
        <v/>
      </c>
      <c r="E816" s="66"/>
      <c r="F816" s="64" t="str">
        <f aca="false">IF($C816="","",IFERROR(INDEX(Mat_Unit,MATCH($C816,Mat_Code,0)),""))</f>
        <v/>
      </c>
      <c r="G816" s="70"/>
      <c r="H816" s="63"/>
      <c r="I816" s="63"/>
      <c r="J816" s="63"/>
      <c r="K816" s="16" t="str">
        <f aca="false">IF(AND($A816="",$B816="",$C816="",$E816=""),"",IF($A816="","⚠ Date missing",IF(OR($B816="",$C816=""),"⚠ Site / material missing",IF(COUNTIFS(CI_Site,$B816,CI_Mat,$C816)=0,"⚠ No Current Inventory row for this site + material",IF($G816="","⚠ Status missing",IF(AND($G816="Scheduled",$A816&lt;=AsOfDate),"⚠ Scheduled date reached – mark Received or re-date",IF(AND($G816="Received",$A816&gt;AsOfDate),"Future-dated – added on its date",IF(AND($G816="Received",$A816&lt;SUMIFS(CI_Count,CI_Site,$B816,CI_Mat,$C816)),"Before count date – already in the count","OK"))))))))</f>
        <v/>
      </c>
    </row>
    <row r="817" customFormat="false" ht="15" hidden="false" customHeight="false" outlineLevel="0" collapsed="false">
      <c r="A817" s="65"/>
      <c r="B817" s="63"/>
      <c r="C817" s="70"/>
      <c r="D817" s="16" t="str">
        <f aca="false">IF($C817="","",IFERROR(INDEX(Mat_Short,MATCH($C817,Mat_Code,0)),"⚠ Unknown code"))</f>
        <v/>
      </c>
      <c r="E817" s="66"/>
      <c r="F817" s="64" t="str">
        <f aca="false">IF($C817="","",IFERROR(INDEX(Mat_Unit,MATCH($C817,Mat_Code,0)),""))</f>
        <v/>
      </c>
      <c r="G817" s="70"/>
      <c r="H817" s="63"/>
      <c r="I817" s="63"/>
      <c r="J817" s="63"/>
      <c r="K817" s="16" t="str">
        <f aca="false">IF(AND($A817="",$B817="",$C817="",$E817=""),"",IF($A817="","⚠ Date missing",IF(OR($B817="",$C817=""),"⚠ Site / material missing",IF(COUNTIFS(CI_Site,$B817,CI_Mat,$C817)=0,"⚠ No Current Inventory row for this site + material",IF($G817="","⚠ Status missing",IF(AND($G817="Scheduled",$A817&lt;=AsOfDate),"⚠ Scheduled date reached – mark Received or re-date",IF(AND($G817="Received",$A817&gt;AsOfDate),"Future-dated – added on its date",IF(AND($G817="Received",$A817&lt;SUMIFS(CI_Count,CI_Site,$B817,CI_Mat,$C817)),"Before count date – already in the count","OK"))))))))</f>
        <v/>
      </c>
    </row>
    <row r="818" customFormat="false" ht="15" hidden="false" customHeight="false" outlineLevel="0" collapsed="false">
      <c r="A818" s="65"/>
      <c r="B818" s="63"/>
      <c r="C818" s="70"/>
      <c r="D818" s="16" t="str">
        <f aca="false">IF($C818="","",IFERROR(INDEX(Mat_Short,MATCH($C818,Mat_Code,0)),"⚠ Unknown code"))</f>
        <v/>
      </c>
      <c r="E818" s="66"/>
      <c r="F818" s="64" t="str">
        <f aca="false">IF($C818="","",IFERROR(INDEX(Mat_Unit,MATCH($C818,Mat_Code,0)),""))</f>
        <v/>
      </c>
      <c r="G818" s="70"/>
      <c r="H818" s="63"/>
      <c r="I818" s="63"/>
      <c r="J818" s="63"/>
      <c r="K818" s="16" t="str">
        <f aca="false">IF(AND($A818="",$B818="",$C818="",$E818=""),"",IF($A818="","⚠ Date missing",IF(OR($B818="",$C818=""),"⚠ Site / material missing",IF(COUNTIFS(CI_Site,$B818,CI_Mat,$C818)=0,"⚠ No Current Inventory row for this site + material",IF($G818="","⚠ Status missing",IF(AND($G818="Scheduled",$A818&lt;=AsOfDate),"⚠ Scheduled date reached – mark Received or re-date",IF(AND($G818="Received",$A818&gt;AsOfDate),"Future-dated – added on its date",IF(AND($G818="Received",$A818&lt;SUMIFS(CI_Count,CI_Site,$B818,CI_Mat,$C818)),"Before count date – already in the count","OK"))))))))</f>
        <v/>
      </c>
    </row>
    <row r="819" customFormat="false" ht="15" hidden="false" customHeight="false" outlineLevel="0" collapsed="false">
      <c r="A819" s="65"/>
      <c r="B819" s="63"/>
      <c r="C819" s="70"/>
      <c r="D819" s="16" t="str">
        <f aca="false">IF($C819="","",IFERROR(INDEX(Mat_Short,MATCH($C819,Mat_Code,0)),"⚠ Unknown code"))</f>
        <v/>
      </c>
      <c r="E819" s="66"/>
      <c r="F819" s="64" t="str">
        <f aca="false">IF($C819="","",IFERROR(INDEX(Mat_Unit,MATCH($C819,Mat_Code,0)),""))</f>
        <v/>
      </c>
      <c r="G819" s="70"/>
      <c r="H819" s="63"/>
      <c r="I819" s="63"/>
      <c r="J819" s="63"/>
      <c r="K819" s="16" t="str">
        <f aca="false">IF(AND($A819="",$B819="",$C819="",$E819=""),"",IF($A819="","⚠ Date missing",IF(OR($B819="",$C819=""),"⚠ Site / material missing",IF(COUNTIFS(CI_Site,$B819,CI_Mat,$C819)=0,"⚠ No Current Inventory row for this site + material",IF($G819="","⚠ Status missing",IF(AND($G819="Scheduled",$A819&lt;=AsOfDate),"⚠ Scheduled date reached – mark Received or re-date",IF(AND($G819="Received",$A819&gt;AsOfDate),"Future-dated – added on its date",IF(AND($G819="Received",$A819&lt;SUMIFS(CI_Count,CI_Site,$B819,CI_Mat,$C819)),"Before count date – already in the count","OK"))))))))</f>
        <v/>
      </c>
    </row>
    <row r="820" customFormat="false" ht="15" hidden="false" customHeight="false" outlineLevel="0" collapsed="false">
      <c r="A820" s="65"/>
      <c r="B820" s="63"/>
      <c r="C820" s="70"/>
      <c r="D820" s="16" t="str">
        <f aca="false">IF($C820="","",IFERROR(INDEX(Mat_Short,MATCH($C820,Mat_Code,0)),"⚠ Unknown code"))</f>
        <v/>
      </c>
      <c r="E820" s="66"/>
      <c r="F820" s="64" t="str">
        <f aca="false">IF($C820="","",IFERROR(INDEX(Mat_Unit,MATCH($C820,Mat_Code,0)),""))</f>
        <v/>
      </c>
      <c r="G820" s="70"/>
      <c r="H820" s="63"/>
      <c r="I820" s="63"/>
      <c r="J820" s="63"/>
      <c r="K820" s="16" t="str">
        <f aca="false">IF(AND($A820="",$B820="",$C820="",$E820=""),"",IF($A820="","⚠ Date missing",IF(OR($B820="",$C820=""),"⚠ Site / material missing",IF(COUNTIFS(CI_Site,$B820,CI_Mat,$C820)=0,"⚠ No Current Inventory row for this site + material",IF($G820="","⚠ Status missing",IF(AND($G820="Scheduled",$A820&lt;=AsOfDate),"⚠ Scheduled date reached – mark Received or re-date",IF(AND($G820="Received",$A820&gt;AsOfDate),"Future-dated – added on its date",IF(AND($G820="Received",$A820&lt;SUMIFS(CI_Count,CI_Site,$B820,CI_Mat,$C820)),"Before count date – already in the count","OK"))))))))</f>
        <v/>
      </c>
    </row>
    <row r="821" customFormat="false" ht="15" hidden="false" customHeight="false" outlineLevel="0" collapsed="false">
      <c r="A821" s="65"/>
      <c r="B821" s="63"/>
      <c r="C821" s="70"/>
      <c r="D821" s="16" t="str">
        <f aca="false">IF($C821="","",IFERROR(INDEX(Mat_Short,MATCH($C821,Mat_Code,0)),"⚠ Unknown code"))</f>
        <v/>
      </c>
      <c r="E821" s="66"/>
      <c r="F821" s="64" t="str">
        <f aca="false">IF($C821="","",IFERROR(INDEX(Mat_Unit,MATCH($C821,Mat_Code,0)),""))</f>
        <v/>
      </c>
      <c r="G821" s="70"/>
      <c r="H821" s="63"/>
      <c r="I821" s="63"/>
      <c r="J821" s="63"/>
      <c r="K821" s="16" t="str">
        <f aca="false">IF(AND($A821="",$B821="",$C821="",$E821=""),"",IF($A821="","⚠ Date missing",IF(OR($B821="",$C821=""),"⚠ Site / material missing",IF(COUNTIFS(CI_Site,$B821,CI_Mat,$C821)=0,"⚠ No Current Inventory row for this site + material",IF($G821="","⚠ Status missing",IF(AND($G821="Scheduled",$A821&lt;=AsOfDate),"⚠ Scheduled date reached – mark Received or re-date",IF(AND($G821="Received",$A821&gt;AsOfDate),"Future-dated – added on its date",IF(AND($G821="Received",$A821&lt;SUMIFS(CI_Count,CI_Site,$B821,CI_Mat,$C821)),"Before count date – already in the count","OK"))))))))</f>
        <v/>
      </c>
    </row>
    <row r="822" customFormat="false" ht="15" hidden="false" customHeight="false" outlineLevel="0" collapsed="false">
      <c r="A822" s="65"/>
      <c r="B822" s="63"/>
      <c r="C822" s="70"/>
      <c r="D822" s="16" t="str">
        <f aca="false">IF($C822="","",IFERROR(INDEX(Mat_Short,MATCH($C822,Mat_Code,0)),"⚠ Unknown code"))</f>
        <v/>
      </c>
      <c r="E822" s="66"/>
      <c r="F822" s="64" t="str">
        <f aca="false">IF($C822="","",IFERROR(INDEX(Mat_Unit,MATCH($C822,Mat_Code,0)),""))</f>
        <v/>
      </c>
      <c r="G822" s="70"/>
      <c r="H822" s="63"/>
      <c r="I822" s="63"/>
      <c r="J822" s="63"/>
      <c r="K822" s="16" t="str">
        <f aca="false">IF(AND($A822="",$B822="",$C822="",$E822=""),"",IF($A822="","⚠ Date missing",IF(OR($B822="",$C822=""),"⚠ Site / material missing",IF(COUNTIFS(CI_Site,$B822,CI_Mat,$C822)=0,"⚠ No Current Inventory row for this site + material",IF($G822="","⚠ Status missing",IF(AND($G822="Scheduled",$A822&lt;=AsOfDate),"⚠ Scheduled date reached – mark Received or re-date",IF(AND($G822="Received",$A822&gt;AsOfDate),"Future-dated – added on its date",IF(AND($G822="Received",$A822&lt;SUMIFS(CI_Count,CI_Site,$B822,CI_Mat,$C822)),"Before count date – already in the count","OK"))))))))</f>
        <v/>
      </c>
    </row>
    <row r="823" customFormat="false" ht="15" hidden="false" customHeight="false" outlineLevel="0" collapsed="false">
      <c r="A823" s="65"/>
      <c r="B823" s="63"/>
      <c r="C823" s="70"/>
      <c r="D823" s="16" t="str">
        <f aca="false">IF($C823="","",IFERROR(INDEX(Mat_Short,MATCH($C823,Mat_Code,0)),"⚠ Unknown code"))</f>
        <v/>
      </c>
      <c r="E823" s="66"/>
      <c r="F823" s="64" t="str">
        <f aca="false">IF($C823="","",IFERROR(INDEX(Mat_Unit,MATCH($C823,Mat_Code,0)),""))</f>
        <v/>
      </c>
      <c r="G823" s="70"/>
      <c r="H823" s="63"/>
      <c r="I823" s="63"/>
      <c r="J823" s="63"/>
      <c r="K823" s="16" t="str">
        <f aca="false">IF(AND($A823="",$B823="",$C823="",$E823=""),"",IF($A823="","⚠ Date missing",IF(OR($B823="",$C823=""),"⚠ Site / material missing",IF(COUNTIFS(CI_Site,$B823,CI_Mat,$C823)=0,"⚠ No Current Inventory row for this site + material",IF($G823="","⚠ Status missing",IF(AND($G823="Scheduled",$A823&lt;=AsOfDate),"⚠ Scheduled date reached – mark Received or re-date",IF(AND($G823="Received",$A823&gt;AsOfDate),"Future-dated – added on its date",IF(AND($G823="Received",$A823&lt;SUMIFS(CI_Count,CI_Site,$B823,CI_Mat,$C823)),"Before count date – already in the count","OK"))))))))</f>
        <v/>
      </c>
    </row>
    <row r="824" customFormat="false" ht="15" hidden="false" customHeight="false" outlineLevel="0" collapsed="false">
      <c r="A824" s="65"/>
      <c r="B824" s="63"/>
      <c r="C824" s="70"/>
      <c r="D824" s="16" t="str">
        <f aca="false">IF($C824="","",IFERROR(INDEX(Mat_Short,MATCH($C824,Mat_Code,0)),"⚠ Unknown code"))</f>
        <v/>
      </c>
      <c r="E824" s="66"/>
      <c r="F824" s="64" t="str">
        <f aca="false">IF($C824="","",IFERROR(INDEX(Mat_Unit,MATCH($C824,Mat_Code,0)),""))</f>
        <v/>
      </c>
      <c r="G824" s="70"/>
      <c r="H824" s="63"/>
      <c r="I824" s="63"/>
      <c r="J824" s="63"/>
      <c r="K824" s="16" t="str">
        <f aca="false">IF(AND($A824="",$B824="",$C824="",$E824=""),"",IF($A824="","⚠ Date missing",IF(OR($B824="",$C824=""),"⚠ Site / material missing",IF(COUNTIFS(CI_Site,$B824,CI_Mat,$C824)=0,"⚠ No Current Inventory row for this site + material",IF($G824="","⚠ Status missing",IF(AND($G824="Scheduled",$A824&lt;=AsOfDate),"⚠ Scheduled date reached – mark Received or re-date",IF(AND($G824="Received",$A824&gt;AsOfDate),"Future-dated – added on its date",IF(AND($G824="Received",$A824&lt;SUMIFS(CI_Count,CI_Site,$B824,CI_Mat,$C824)),"Before count date – already in the count","OK"))))))))</f>
        <v/>
      </c>
    </row>
    <row r="825" customFormat="false" ht="15" hidden="false" customHeight="false" outlineLevel="0" collapsed="false">
      <c r="A825" s="65"/>
      <c r="B825" s="63"/>
      <c r="C825" s="70"/>
      <c r="D825" s="16" t="str">
        <f aca="false">IF($C825="","",IFERROR(INDEX(Mat_Short,MATCH($C825,Mat_Code,0)),"⚠ Unknown code"))</f>
        <v/>
      </c>
      <c r="E825" s="66"/>
      <c r="F825" s="64" t="str">
        <f aca="false">IF($C825="","",IFERROR(INDEX(Mat_Unit,MATCH($C825,Mat_Code,0)),""))</f>
        <v/>
      </c>
      <c r="G825" s="70"/>
      <c r="H825" s="63"/>
      <c r="I825" s="63"/>
      <c r="J825" s="63"/>
      <c r="K825" s="16" t="str">
        <f aca="false">IF(AND($A825="",$B825="",$C825="",$E825=""),"",IF($A825="","⚠ Date missing",IF(OR($B825="",$C825=""),"⚠ Site / material missing",IF(COUNTIFS(CI_Site,$B825,CI_Mat,$C825)=0,"⚠ No Current Inventory row for this site + material",IF($G825="","⚠ Status missing",IF(AND($G825="Scheduled",$A825&lt;=AsOfDate),"⚠ Scheduled date reached – mark Received or re-date",IF(AND($G825="Received",$A825&gt;AsOfDate),"Future-dated – added on its date",IF(AND($G825="Received",$A825&lt;SUMIFS(CI_Count,CI_Site,$B825,CI_Mat,$C825)),"Before count date – already in the count","OK"))))))))</f>
        <v/>
      </c>
    </row>
    <row r="826" customFormat="false" ht="15" hidden="false" customHeight="false" outlineLevel="0" collapsed="false">
      <c r="A826" s="65"/>
      <c r="B826" s="63"/>
      <c r="C826" s="70"/>
      <c r="D826" s="16" t="str">
        <f aca="false">IF($C826="","",IFERROR(INDEX(Mat_Short,MATCH($C826,Mat_Code,0)),"⚠ Unknown code"))</f>
        <v/>
      </c>
      <c r="E826" s="66"/>
      <c r="F826" s="64" t="str">
        <f aca="false">IF($C826="","",IFERROR(INDEX(Mat_Unit,MATCH($C826,Mat_Code,0)),""))</f>
        <v/>
      </c>
      <c r="G826" s="70"/>
      <c r="H826" s="63"/>
      <c r="I826" s="63"/>
      <c r="J826" s="63"/>
      <c r="K826" s="16" t="str">
        <f aca="false">IF(AND($A826="",$B826="",$C826="",$E826=""),"",IF($A826="","⚠ Date missing",IF(OR($B826="",$C826=""),"⚠ Site / material missing",IF(COUNTIFS(CI_Site,$B826,CI_Mat,$C826)=0,"⚠ No Current Inventory row for this site + material",IF($G826="","⚠ Status missing",IF(AND($G826="Scheduled",$A826&lt;=AsOfDate),"⚠ Scheduled date reached – mark Received or re-date",IF(AND($G826="Received",$A826&gt;AsOfDate),"Future-dated – added on its date",IF(AND($G826="Received",$A826&lt;SUMIFS(CI_Count,CI_Site,$B826,CI_Mat,$C826)),"Before count date – already in the count","OK"))))))))</f>
        <v/>
      </c>
    </row>
    <row r="827" customFormat="false" ht="15" hidden="false" customHeight="false" outlineLevel="0" collapsed="false">
      <c r="A827" s="65"/>
      <c r="B827" s="63"/>
      <c r="C827" s="70"/>
      <c r="D827" s="16" t="str">
        <f aca="false">IF($C827="","",IFERROR(INDEX(Mat_Short,MATCH($C827,Mat_Code,0)),"⚠ Unknown code"))</f>
        <v/>
      </c>
      <c r="E827" s="66"/>
      <c r="F827" s="64" t="str">
        <f aca="false">IF($C827="","",IFERROR(INDEX(Mat_Unit,MATCH($C827,Mat_Code,0)),""))</f>
        <v/>
      </c>
      <c r="G827" s="70"/>
      <c r="H827" s="63"/>
      <c r="I827" s="63"/>
      <c r="J827" s="63"/>
      <c r="K827" s="16" t="str">
        <f aca="false">IF(AND($A827="",$B827="",$C827="",$E827=""),"",IF($A827="","⚠ Date missing",IF(OR($B827="",$C827=""),"⚠ Site / material missing",IF(COUNTIFS(CI_Site,$B827,CI_Mat,$C827)=0,"⚠ No Current Inventory row for this site + material",IF($G827="","⚠ Status missing",IF(AND($G827="Scheduled",$A827&lt;=AsOfDate),"⚠ Scheduled date reached – mark Received or re-date",IF(AND($G827="Received",$A827&gt;AsOfDate),"Future-dated – added on its date",IF(AND($G827="Received",$A827&lt;SUMIFS(CI_Count,CI_Site,$B827,CI_Mat,$C827)),"Before count date – already in the count","OK"))))))))</f>
        <v/>
      </c>
    </row>
    <row r="828" customFormat="false" ht="15" hidden="false" customHeight="false" outlineLevel="0" collapsed="false">
      <c r="A828" s="65"/>
      <c r="B828" s="63"/>
      <c r="C828" s="70"/>
      <c r="D828" s="16" t="str">
        <f aca="false">IF($C828="","",IFERROR(INDEX(Mat_Short,MATCH($C828,Mat_Code,0)),"⚠ Unknown code"))</f>
        <v/>
      </c>
      <c r="E828" s="66"/>
      <c r="F828" s="64" t="str">
        <f aca="false">IF($C828="","",IFERROR(INDEX(Mat_Unit,MATCH($C828,Mat_Code,0)),""))</f>
        <v/>
      </c>
      <c r="G828" s="70"/>
      <c r="H828" s="63"/>
      <c r="I828" s="63"/>
      <c r="J828" s="63"/>
      <c r="K828" s="16" t="str">
        <f aca="false">IF(AND($A828="",$B828="",$C828="",$E828=""),"",IF($A828="","⚠ Date missing",IF(OR($B828="",$C828=""),"⚠ Site / material missing",IF(COUNTIFS(CI_Site,$B828,CI_Mat,$C828)=0,"⚠ No Current Inventory row for this site + material",IF($G828="","⚠ Status missing",IF(AND($G828="Scheduled",$A828&lt;=AsOfDate),"⚠ Scheduled date reached – mark Received or re-date",IF(AND($G828="Received",$A828&gt;AsOfDate),"Future-dated – added on its date",IF(AND($G828="Received",$A828&lt;SUMIFS(CI_Count,CI_Site,$B828,CI_Mat,$C828)),"Before count date – already in the count","OK"))))))))</f>
        <v/>
      </c>
    </row>
    <row r="829" customFormat="false" ht="15" hidden="false" customHeight="false" outlineLevel="0" collapsed="false">
      <c r="A829" s="65"/>
      <c r="B829" s="63"/>
      <c r="C829" s="70"/>
      <c r="D829" s="16" t="str">
        <f aca="false">IF($C829="","",IFERROR(INDEX(Mat_Short,MATCH($C829,Mat_Code,0)),"⚠ Unknown code"))</f>
        <v/>
      </c>
      <c r="E829" s="66"/>
      <c r="F829" s="64" t="str">
        <f aca="false">IF($C829="","",IFERROR(INDEX(Mat_Unit,MATCH($C829,Mat_Code,0)),""))</f>
        <v/>
      </c>
      <c r="G829" s="70"/>
      <c r="H829" s="63"/>
      <c r="I829" s="63"/>
      <c r="J829" s="63"/>
      <c r="K829" s="16" t="str">
        <f aca="false">IF(AND($A829="",$B829="",$C829="",$E829=""),"",IF($A829="","⚠ Date missing",IF(OR($B829="",$C829=""),"⚠ Site / material missing",IF(COUNTIFS(CI_Site,$B829,CI_Mat,$C829)=0,"⚠ No Current Inventory row for this site + material",IF($G829="","⚠ Status missing",IF(AND($G829="Scheduled",$A829&lt;=AsOfDate),"⚠ Scheduled date reached – mark Received or re-date",IF(AND($G829="Received",$A829&gt;AsOfDate),"Future-dated – added on its date",IF(AND($G829="Received",$A829&lt;SUMIFS(CI_Count,CI_Site,$B829,CI_Mat,$C829)),"Before count date – already in the count","OK"))))))))</f>
        <v/>
      </c>
    </row>
    <row r="830" customFormat="false" ht="15" hidden="false" customHeight="false" outlineLevel="0" collapsed="false">
      <c r="A830" s="65"/>
      <c r="B830" s="63"/>
      <c r="C830" s="70"/>
      <c r="D830" s="16" t="str">
        <f aca="false">IF($C830="","",IFERROR(INDEX(Mat_Short,MATCH($C830,Mat_Code,0)),"⚠ Unknown code"))</f>
        <v/>
      </c>
      <c r="E830" s="66"/>
      <c r="F830" s="64" t="str">
        <f aca="false">IF($C830="","",IFERROR(INDEX(Mat_Unit,MATCH($C830,Mat_Code,0)),""))</f>
        <v/>
      </c>
      <c r="G830" s="70"/>
      <c r="H830" s="63"/>
      <c r="I830" s="63"/>
      <c r="J830" s="63"/>
      <c r="K830" s="16" t="str">
        <f aca="false">IF(AND($A830="",$B830="",$C830="",$E830=""),"",IF($A830="","⚠ Date missing",IF(OR($B830="",$C830=""),"⚠ Site / material missing",IF(COUNTIFS(CI_Site,$B830,CI_Mat,$C830)=0,"⚠ No Current Inventory row for this site + material",IF($G830="","⚠ Status missing",IF(AND($G830="Scheduled",$A830&lt;=AsOfDate),"⚠ Scheduled date reached – mark Received or re-date",IF(AND($G830="Received",$A830&gt;AsOfDate),"Future-dated – added on its date",IF(AND($G830="Received",$A830&lt;SUMIFS(CI_Count,CI_Site,$B830,CI_Mat,$C830)),"Before count date – already in the count","OK"))))))))</f>
        <v/>
      </c>
    </row>
    <row r="831" customFormat="false" ht="15" hidden="false" customHeight="false" outlineLevel="0" collapsed="false">
      <c r="A831" s="65"/>
      <c r="B831" s="63"/>
      <c r="C831" s="70"/>
      <c r="D831" s="16" t="str">
        <f aca="false">IF($C831="","",IFERROR(INDEX(Mat_Short,MATCH($C831,Mat_Code,0)),"⚠ Unknown code"))</f>
        <v/>
      </c>
      <c r="E831" s="66"/>
      <c r="F831" s="64" t="str">
        <f aca="false">IF($C831="","",IFERROR(INDEX(Mat_Unit,MATCH($C831,Mat_Code,0)),""))</f>
        <v/>
      </c>
      <c r="G831" s="70"/>
      <c r="H831" s="63"/>
      <c r="I831" s="63"/>
      <c r="J831" s="63"/>
      <c r="K831" s="16" t="str">
        <f aca="false">IF(AND($A831="",$B831="",$C831="",$E831=""),"",IF($A831="","⚠ Date missing",IF(OR($B831="",$C831=""),"⚠ Site / material missing",IF(COUNTIFS(CI_Site,$B831,CI_Mat,$C831)=0,"⚠ No Current Inventory row for this site + material",IF($G831="","⚠ Status missing",IF(AND($G831="Scheduled",$A831&lt;=AsOfDate),"⚠ Scheduled date reached – mark Received or re-date",IF(AND($G831="Received",$A831&gt;AsOfDate),"Future-dated – added on its date",IF(AND($G831="Received",$A831&lt;SUMIFS(CI_Count,CI_Site,$B831,CI_Mat,$C831)),"Before count date – already in the count","OK"))))))))</f>
        <v/>
      </c>
    </row>
    <row r="832" customFormat="false" ht="15" hidden="false" customHeight="false" outlineLevel="0" collapsed="false">
      <c r="A832" s="65"/>
      <c r="B832" s="63"/>
      <c r="C832" s="70"/>
      <c r="D832" s="16" t="str">
        <f aca="false">IF($C832="","",IFERROR(INDEX(Mat_Short,MATCH($C832,Mat_Code,0)),"⚠ Unknown code"))</f>
        <v/>
      </c>
      <c r="E832" s="66"/>
      <c r="F832" s="64" t="str">
        <f aca="false">IF($C832="","",IFERROR(INDEX(Mat_Unit,MATCH($C832,Mat_Code,0)),""))</f>
        <v/>
      </c>
      <c r="G832" s="70"/>
      <c r="H832" s="63"/>
      <c r="I832" s="63"/>
      <c r="J832" s="63"/>
      <c r="K832" s="16" t="str">
        <f aca="false">IF(AND($A832="",$B832="",$C832="",$E832=""),"",IF($A832="","⚠ Date missing",IF(OR($B832="",$C832=""),"⚠ Site / material missing",IF(COUNTIFS(CI_Site,$B832,CI_Mat,$C832)=0,"⚠ No Current Inventory row for this site + material",IF($G832="","⚠ Status missing",IF(AND($G832="Scheduled",$A832&lt;=AsOfDate),"⚠ Scheduled date reached – mark Received or re-date",IF(AND($G832="Received",$A832&gt;AsOfDate),"Future-dated – added on its date",IF(AND($G832="Received",$A832&lt;SUMIFS(CI_Count,CI_Site,$B832,CI_Mat,$C832)),"Before count date – already in the count","OK"))))))))</f>
        <v/>
      </c>
    </row>
    <row r="833" customFormat="false" ht="15" hidden="false" customHeight="false" outlineLevel="0" collapsed="false">
      <c r="A833" s="65"/>
      <c r="B833" s="63"/>
      <c r="C833" s="70"/>
      <c r="D833" s="16" t="str">
        <f aca="false">IF($C833="","",IFERROR(INDEX(Mat_Short,MATCH($C833,Mat_Code,0)),"⚠ Unknown code"))</f>
        <v/>
      </c>
      <c r="E833" s="66"/>
      <c r="F833" s="64" t="str">
        <f aca="false">IF($C833="","",IFERROR(INDEX(Mat_Unit,MATCH($C833,Mat_Code,0)),""))</f>
        <v/>
      </c>
      <c r="G833" s="70"/>
      <c r="H833" s="63"/>
      <c r="I833" s="63"/>
      <c r="J833" s="63"/>
      <c r="K833" s="16" t="str">
        <f aca="false">IF(AND($A833="",$B833="",$C833="",$E833=""),"",IF($A833="","⚠ Date missing",IF(OR($B833="",$C833=""),"⚠ Site / material missing",IF(COUNTIFS(CI_Site,$B833,CI_Mat,$C833)=0,"⚠ No Current Inventory row for this site + material",IF($G833="","⚠ Status missing",IF(AND($G833="Scheduled",$A833&lt;=AsOfDate),"⚠ Scheduled date reached – mark Received or re-date",IF(AND($G833="Received",$A833&gt;AsOfDate),"Future-dated – added on its date",IF(AND($G833="Received",$A833&lt;SUMIFS(CI_Count,CI_Site,$B833,CI_Mat,$C833)),"Before count date – already in the count","OK"))))))))</f>
        <v/>
      </c>
    </row>
    <row r="834" customFormat="false" ht="15" hidden="false" customHeight="false" outlineLevel="0" collapsed="false">
      <c r="A834" s="65"/>
      <c r="B834" s="63"/>
      <c r="C834" s="70"/>
      <c r="D834" s="16" t="str">
        <f aca="false">IF($C834="","",IFERROR(INDEX(Mat_Short,MATCH($C834,Mat_Code,0)),"⚠ Unknown code"))</f>
        <v/>
      </c>
      <c r="E834" s="66"/>
      <c r="F834" s="64" t="str">
        <f aca="false">IF($C834="","",IFERROR(INDEX(Mat_Unit,MATCH($C834,Mat_Code,0)),""))</f>
        <v/>
      </c>
      <c r="G834" s="70"/>
      <c r="H834" s="63"/>
      <c r="I834" s="63"/>
      <c r="J834" s="63"/>
      <c r="K834" s="16" t="str">
        <f aca="false">IF(AND($A834="",$B834="",$C834="",$E834=""),"",IF($A834="","⚠ Date missing",IF(OR($B834="",$C834=""),"⚠ Site / material missing",IF(COUNTIFS(CI_Site,$B834,CI_Mat,$C834)=0,"⚠ No Current Inventory row for this site + material",IF($G834="","⚠ Status missing",IF(AND($G834="Scheduled",$A834&lt;=AsOfDate),"⚠ Scheduled date reached – mark Received or re-date",IF(AND($G834="Received",$A834&gt;AsOfDate),"Future-dated – added on its date",IF(AND($G834="Received",$A834&lt;SUMIFS(CI_Count,CI_Site,$B834,CI_Mat,$C834)),"Before count date – already in the count","OK"))))))))</f>
        <v/>
      </c>
    </row>
    <row r="835" customFormat="false" ht="15" hidden="false" customHeight="false" outlineLevel="0" collapsed="false">
      <c r="A835" s="65"/>
      <c r="B835" s="63"/>
      <c r="C835" s="70"/>
      <c r="D835" s="16" t="str">
        <f aca="false">IF($C835="","",IFERROR(INDEX(Mat_Short,MATCH($C835,Mat_Code,0)),"⚠ Unknown code"))</f>
        <v/>
      </c>
      <c r="E835" s="66"/>
      <c r="F835" s="64" t="str">
        <f aca="false">IF($C835="","",IFERROR(INDEX(Mat_Unit,MATCH($C835,Mat_Code,0)),""))</f>
        <v/>
      </c>
      <c r="G835" s="70"/>
      <c r="H835" s="63"/>
      <c r="I835" s="63"/>
      <c r="J835" s="63"/>
      <c r="K835" s="16" t="str">
        <f aca="false">IF(AND($A835="",$B835="",$C835="",$E835=""),"",IF($A835="","⚠ Date missing",IF(OR($B835="",$C835=""),"⚠ Site / material missing",IF(COUNTIFS(CI_Site,$B835,CI_Mat,$C835)=0,"⚠ No Current Inventory row for this site + material",IF($G835="","⚠ Status missing",IF(AND($G835="Scheduled",$A835&lt;=AsOfDate),"⚠ Scheduled date reached – mark Received or re-date",IF(AND($G835="Received",$A835&gt;AsOfDate),"Future-dated – added on its date",IF(AND($G835="Received",$A835&lt;SUMIFS(CI_Count,CI_Site,$B835,CI_Mat,$C835)),"Before count date – already in the count","OK"))))))))</f>
        <v/>
      </c>
    </row>
    <row r="836" customFormat="false" ht="15" hidden="false" customHeight="false" outlineLevel="0" collapsed="false">
      <c r="A836" s="65"/>
      <c r="B836" s="63"/>
      <c r="C836" s="70"/>
      <c r="D836" s="16" t="str">
        <f aca="false">IF($C836="","",IFERROR(INDEX(Mat_Short,MATCH($C836,Mat_Code,0)),"⚠ Unknown code"))</f>
        <v/>
      </c>
      <c r="E836" s="66"/>
      <c r="F836" s="64" t="str">
        <f aca="false">IF($C836="","",IFERROR(INDEX(Mat_Unit,MATCH($C836,Mat_Code,0)),""))</f>
        <v/>
      </c>
      <c r="G836" s="70"/>
      <c r="H836" s="63"/>
      <c r="I836" s="63"/>
      <c r="J836" s="63"/>
      <c r="K836" s="16" t="str">
        <f aca="false">IF(AND($A836="",$B836="",$C836="",$E836=""),"",IF($A836="","⚠ Date missing",IF(OR($B836="",$C836=""),"⚠ Site / material missing",IF(COUNTIFS(CI_Site,$B836,CI_Mat,$C836)=0,"⚠ No Current Inventory row for this site + material",IF($G836="","⚠ Status missing",IF(AND($G836="Scheduled",$A836&lt;=AsOfDate),"⚠ Scheduled date reached – mark Received or re-date",IF(AND($G836="Received",$A836&gt;AsOfDate),"Future-dated – added on its date",IF(AND($G836="Received",$A836&lt;SUMIFS(CI_Count,CI_Site,$B836,CI_Mat,$C836)),"Before count date – already in the count","OK"))))))))</f>
        <v/>
      </c>
    </row>
    <row r="837" customFormat="false" ht="15" hidden="false" customHeight="false" outlineLevel="0" collapsed="false">
      <c r="A837" s="65"/>
      <c r="B837" s="63"/>
      <c r="C837" s="70"/>
      <c r="D837" s="16" t="str">
        <f aca="false">IF($C837="","",IFERROR(INDEX(Mat_Short,MATCH($C837,Mat_Code,0)),"⚠ Unknown code"))</f>
        <v/>
      </c>
      <c r="E837" s="66"/>
      <c r="F837" s="64" t="str">
        <f aca="false">IF($C837="","",IFERROR(INDEX(Mat_Unit,MATCH($C837,Mat_Code,0)),""))</f>
        <v/>
      </c>
      <c r="G837" s="70"/>
      <c r="H837" s="63"/>
      <c r="I837" s="63"/>
      <c r="J837" s="63"/>
      <c r="K837" s="16" t="str">
        <f aca="false">IF(AND($A837="",$B837="",$C837="",$E837=""),"",IF($A837="","⚠ Date missing",IF(OR($B837="",$C837=""),"⚠ Site / material missing",IF(COUNTIFS(CI_Site,$B837,CI_Mat,$C837)=0,"⚠ No Current Inventory row for this site + material",IF($G837="","⚠ Status missing",IF(AND($G837="Scheduled",$A837&lt;=AsOfDate),"⚠ Scheduled date reached – mark Received or re-date",IF(AND($G837="Received",$A837&gt;AsOfDate),"Future-dated – added on its date",IF(AND($G837="Received",$A837&lt;SUMIFS(CI_Count,CI_Site,$B837,CI_Mat,$C837)),"Before count date – already in the count","OK"))))))))</f>
        <v/>
      </c>
    </row>
    <row r="838" customFormat="false" ht="15" hidden="false" customHeight="false" outlineLevel="0" collapsed="false">
      <c r="A838" s="65"/>
      <c r="B838" s="63"/>
      <c r="C838" s="70"/>
      <c r="D838" s="16" t="str">
        <f aca="false">IF($C838="","",IFERROR(INDEX(Mat_Short,MATCH($C838,Mat_Code,0)),"⚠ Unknown code"))</f>
        <v/>
      </c>
      <c r="E838" s="66"/>
      <c r="F838" s="64" t="str">
        <f aca="false">IF($C838="","",IFERROR(INDEX(Mat_Unit,MATCH($C838,Mat_Code,0)),""))</f>
        <v/>
      </c>
      <c r="G838" s="70"/>
      <c r="H838" s="63"/>
      <c r="I838" s="63"/>
      <c r="J838" s="63"/>
      <c r="K838" s="16" t="str">
        <f aca="false">IF(AND($A838="",$B838="",$C838="",$E838=""),"",IF($A838="","⚠ Date missing",IF(OR($B838="",$C838=""),"⚠ Site / material missing",IF(COUNTIFS(CI_Site,$B838,CI_Mat,$C838)=0,"⚠ No Current Inventory row for this site + material",IF($G838="","⚠ Status missing",IF(AND($G838="Scheduled",$A838&lt;=AsOfDate),"⚠ Scheduled date reached – mark Received or re-date",IF(AND($G838="Received",$A838&gt;AsOfDate),"Future-dated – added on its date",IF(AND($G838="Received",$A838&lt;SUMIFS(CI_Count,CI_Site,$B838,CI_Mat,$C838)),"Before count date – already in the count","OK"))))))))</f>
        <v/>
      </c>
    </row>
    <row r="839" customFormat="false" ht="15" hidden="false" customHeight="false" outlineLevel="0" collapsed="false">
      <c r="A839" s="65"/>
      <c r="B839" s="63"/>
      <c r="C839" s="70"/>
      <c r="D839" s="16" t="str">
        <f aca="false">IF($C839="","",IFERROR(INDEX(Mat_Short,MATCH($C839,Mat_Code,0)),"⚠ Unknown code"))</f>
        <v/>
      </c>
      <c r="E839" s="66"/>
      <c r="F839" s="64" t="str">
        <f aca="false">IF($C839="","",IFERROR(INDEX(Mat_Unit,MATCH($C839,Mat_Code,0)),""))</f>
        <v/>
      </c>
      <c r="G839" s="70"/>
      <c r="H839" s="63"/>
      <c r="I839" s="63"/>
      <c r="J839" s="63"/>
      <c r="K839" s="16" t="str">
        <f aca="false">IF(AND($A839="",$B839="",$C839="",$E839=""),"",IF($A839="","⚠ Date missing",IF(OR($B839="",$C839=""),"⚠ Site / material missing",IF(COUNTIFS(CI_Site,$B839,CI_Mat,$C839)=0,"⚠ No Current Inventory row for this site + material",IF($G839="","⚠ Status missing",IF(AND($G839="Scheduled",$A839&lt;=AsOfDate),"⚠ Scheduled date reached – mark Received or re-date",IF(AND($G839="Received",$A839&gt;AsOfDate),"Future-dated – added on its date",IF(AND($G839="Received",$A839&lt;SUMIFS(CI_Count,CI_Site,$B839,CI_Mat,$C839)),"Before count date – already in the count","OK"))))))))</f>
        <v/>
      </c>
    </row>
    <row r="840" customFormat="false" ht="15" hidden="false" customHeight="false" outlineLevel="0" collapsed="false">
      <c r="A840" s="65"/>
      <c r="B840" s="63"/>
      <c r="C840" s="70"/>
      <c r="D840" s="16" t="str">
        <f aca="false">IF($C840="","",IFERROR(INDEX(Mat_Short,MATCH($C840,Mat_Code,0)),"⚠ Unknown code"))</f>
        <v/>
      </c>
      <c r="E840" s="66"/>
      <c r="F840" s="64" t="str">
        <f aca="false">IF($C840="","",IFERROR(INDEX(Mat_Unit,MATCH($C840,Mat_Code,0)),""))</f>
        <v/>
      </c>
      <c r="G840" s="70"/>
      <c r="H840" s="63"/>
      <c r="I840" s="63"/>
      <c r="J840" s="63"/>
      <c r="K840" s="16" t="str">
        <f aca="false">IF(AND($A840="",$B840="",$C840="",$E840=""),"",IF($A840="","⚠ Date missing",IF(OR($B840="",$C840=""),"⚠ Site / material missing",IF(COUNTIFS(CI_Site,$B840,CI_Mat,$C840)=0,"⚠ No Current Inventory row for this site + material",IF($G840="","⚠ Status missing",IF(AND($G840="Scheduled",$A840&lt;=AsOfDate),"⚠ Scheduled date reached – mark Received or re-date",IF(AND($G840="Received",$A840&gt;AsOfDate),"Future-dated – added on its date",IF(AND($G840="Received",$A840&lt;SUMIFS(CI_Count,CI_Site,$B840,CI_Mat,$C840)),"Before count date – already in the count","OK"))))))))</f>
        <v/>
      </c>
    </row>
    <row r="841" customFormat="false" ht="15" hidden="false" customHeight="false" outlineLevel="0" collapsed="false">
      <c r="A841" s="65"/>
      <c r="B841" s="63"/>
      <c r="C841" s="70"/>
      <c r="D841" s="16" t="str">
        <f aca="false">IF($C841="","",IFERROR(INDEX(Mat_Short,MATCH($C841,Mat_Code,0)),"⚠ Unknown code"))</f>
        <v/>
      </c>
      <c r="E841" s="66"/>
      <c r="F841" s="64" t="str">
        <f aca="false">IF($C841="","",IFERROR(INDEX(Mat_Unit,MATCH($C841,Mat_Code,0)),""))</f>
        <v/>
      </c>
      <c r="G841" s="70"/>
      <c r="H841" s="63"/>
      <c r="I841" s="63"/>
      <c r="J841" s="63"/>
      <c r="K841" s="16" t="str">
        <f aca="false">IF(AND($A841="",$B841="",$C841="",$E841=""),"",IF($A841="","⚠ Date missing",IF(OR($B841="",$C841=""),"⚠ Site / material missing",IF(COUNTIFS(CI_Site,$B841,CI_Mat,$C841)=0,"⚠ No Current Inventory row for this site + material",IF($G841="","⚠ Status missing",IF(AND($G841="Scheduled",$A841&lt;=AsOfDate),"⚠ Scheduled date reached – mark Received or re-date",IF(AND($G841="Received",$A841&gt;AsOfDate),"Future-dated – added on its date",IF(AND($G841="Received",$A841&lt;SUMIFS(CI_Count,CI_Site,$B841,CI_Mat,$C841)),"Before count date – already in the count","OK"))))))))</f>
        <v/>
      </c>
    </row>
    <row r="842" customFormat="false" ht="15" hidden="false" customHeight="false" outlineLevel="0" collapsed="false">
      <c r="A842" s="65"/>
      <c r="B842" s="63"/>
      <c r="C842" s="70"/>
      <c r="D842" s="16" t="str">
        <f aca="false">IF($C842="","",IFERROR(INDEX(Mat_Short,MATCH($C842,Mat_Code,0)),"⚠ Unknown code"))</f>
        <v/>
      </c>
      <c r="E842" s="66"/>
      <c r="F842" s="64" t="str">
        <f aca="false">IF($C842="","",IFERROR(INDEX(Mat_Unit,MATCH($C842,Mat_Code,0)),""))</f>
        <v/>
      </c>
      <c r="G842" s="70"/>
      <c r="H842" s="63"/>
      <c r="I842" s="63"/>
      <c r="J842" s="63"/>
      <c r="K842" s="16" t="str">
        <f aca="false">IF(AND($A842="",$B842="",$C842="",$E842=""),"",IF($A842="","⚠ Date missing",IF(OR($B842="",$C842=""),"⚠ Site / material missing",IF(COUNTIFS(CI_Site,$B842,CI_Mat,$C842)=0,"⚠ No Current Inventory row for this site + material",IF($G842="","⚠ Status missing",IF(AND($G842="Scheduled",$A842&lt;=AsOfDate),"⚠ Scheduled date reached – mark Received or re-date",IF(AND($G842="Received",$A842&gt;AsOfDate),"Future-dated – added on its date",IF(AND($G842="Received",$A842&lt;SUMIFS(CI_Count,CI_Site,$B842,CI_Mat,$C842)),"Before count date – already in the count","OK"))))))))</f>
        <v/>
      </c>
    </row>
    <row r="843" customFormat="false" ht="15" hidden="false" customHeight="false" outlineLevel="0" collapsed="false">
      <c r="A843" s="65"/>
      <c r="B843" s="63"/>
      <c r="C843" s="70"/>
      <c r="D843" s="16" t="str">
        <f aca="false">IF($C843="","",IFERROR(INDEX(Mat_Short,MATCH($C843,Mat_Code,0)),"⚠ Unknown code"))</f>
        <v/>
      </c>
      <c r="E843" s="66"/>
      <c r="F843" s="64" t="str">
        <f aca="false">IF($C843="","",IFERROR(INDEX(Mat_Unit,MATCH($C843,Mat_Code,0)),""))</f>
        <v/>
      </c>
      <c r="G843" s="70"/>
      <c r="H843" s="63"/>
      <c r="I843" s="63"/>
      <c r="J843" s="63"/>
      <c r="K843" s="16" t="str">
        <f aca="false">IF(AND($A843="",$B843="",$C843="",$E843=""),"",IF($A843="","⚠ Date missing",IF(OR($B843="",$C843=""),"⚠ Site / material missing",IF(COUNTIFS(CI_Site,$B843,CI_Mat,$C843)=0,"⚠ No Current Inventory row for this site + material",IF($G843="","⚠ Status missing",IF(AND($G843="Scheduled",$A843&lt;=AsOfDate),"⚠ Scheduled date reached – mark Received or re-date",IF(AND($G843="Received",$A843&gt;AsOfDate),"Future-dated – added on its date",IF(AND($G843="Received",$A843&lt;SUMIFS(CI_Count,CI_Site,$B843,CI_Mat,$C843)),"Before count date – already in the count","OK"))))))))</f>
        <v/>
      </c>
    </row>
    <row r="844" customFormat="false" ht="15" hidden="false" customHeight="false" outlineLevel="0" collapsed="false">
      <c r="A844" s="65"/>
      <c r="B844" s="63"/>
      <c r="C844" s="70"/>
      <c r="D844" s="16" t="str">
        <f aca="false">IF($C844="","",IFERROR(INDEX(Mat_Short,MATCH($C844,Mat_Code,0)),"⚠ Unknown code"))</f>
        <v/>
      </c>
      <c r="E844" s="66"/>
      <c r="F844" s="64" t="str">
        <f aca="false">IF($C844="","",IFERROR(INDEX(Mat_Unit,MATCH($C844,Mat_Code,0)),""))</f>
        <v/>
      </c>
      <c r="G844" s="70"/>
      <c r="H844" s="63"/>
      <c r="I844" s="63"/>
      <c r="J844" s="63"/>
      <c r="K844" s="16" t="str">
        <f aca="false">IF(AND($A844="",$B844="",$C844="",$E844=""),"",IF($A844="","⚠ Date missing",IF(OR($B844="",$C844=""),"⚠ Site / material missing",IF(COUNTIFS(CI_Site,$B844,CI_Mat,$C844)=0,"⚠ No Current Inventory row for this site + material",IF($G844="","⚠ Status missing",IF(AND($G844="Scheduled",$A844&lt;=AsOfDate),"⚠ Scheduled date reached – mark Received or re-date",IF(AND($G844="Received",$A844&gt;AsOfDate),"Future-dated – added on its date",IF(AND($G844="Received",$A844&lt;SUMIFS(CI_Count,CI_Site,$B844,CI_Mat,$C844)),"Before count date – already in the count","OK"))))))))</f>
        <v/>
      </c>
    </row>
    <row r="845" customFormat="false" ht="15" hidden="false" customHeight="false" outlineLevel="0" collapsed="false">
      <c r="A845" s="65"/>
      <c r="B845" s="63"/>
      <c r="C845" s="70"/>
      <c r="D845" s="16" t="str">
        <f aca="false">IF($C845="","",IFERROR(INDEX(Mat_Short,MATCH($C845,Mat_Code,0)),"⚠ Unknown code"))</f>
        <v/>
      </c>
      <c r="E845" s="66"/>
      <c r="F845" s="64" t="str">
        <f aca="false">IF($C845="","",IFERROR(INDEX(Mat_Unit,MATCH($C845,Mat_Code,0)),""))</f>
        <v/>
      </c>
      <c r="G845" s="70"/>
      <c r="H845" s="63"/>
      <c r="I845" s="63"/>
      <c r="J845" s="63"/>
      <c r="K845" s="16" t="str">
        <f aca="false">IF(AND($A845="",$B845="",$C845="",$E845=""),"",IF($A845="","⚠ Date missing",IF(OR($B845="",$C845=""),"⚠ Site / material missing",IF(COUNTIFS(CI_Site,$B845,CI_Mat,$C845)=0,"⚠ No Current Inventory row for this site + material",IF($G845="","⚠ Status missing",IF(AND($G845="Scheduled",$A845&lt;=AsOfDate),"⚠ Scheduled date reached – mark Received or re-date",IF(AND($G845="Received",$A845&gt;AsOfDate),"Future-dated – added on its date",IF(AND($G845="Received",$A845&lt;SUMIFS(CI_Count,CI_Site,$B845,CI_Mat,$C845)),"Before count date – already in the count","OK"))))))))</f>
        <v/>
      </c>
    </row>
    <row r="846" customFormat="false" ht="15" hidden="false" customHeight="false" outlineLevel="0" collapsed="false">
      <c r="A846" s="65"/>
      <c r="B846" s="63"/>
      <c r="C846" s="70"/>
      <c r="D846" s="16" t="str">
        <f aca="false">IF($C846="","",IFERROR(INDEX(Mat_Short,MATCH($C846,Mat_Code,0)),"⚠ Unknown code"))</f>
        <v/>
      </c>
      <c r="E846" s="66"/>
      <c r="F846" s="64" t="str">
        <f aca="false">IF($C846="","",IFERROR(INDEX(Mat_Unit,MATCH($C846,Mat_Code,0)),""))</f>
        <v/>
      </c>
      <c r="G846" s="70"/>
      <c r="H846" s="63"/>
      <c r="I846" s="63"/>
      <c r="J846" s="63"/>
      <c r="K846" s="16" t="str">
        <f aca="false">IF(AND($A846="",$B846="",$C846="",$E846=""),"",IF($A846="","⚠ Date missing",IF(OR($B846="",$C846=""),"⚠ Site / material missing",IF(COUNTIFS(CI_Site,$B846,CI_Mat,$C846)=0,"⚠ No Current Inventory row for this site + material",IF($G846="","⚠ Status missing",IF(AND($G846="Scheduled",$A846&lt;=AsOfDate),"⚠ Scheduled date reached – mark Received or re-date",IF(AND($G846="Received",$A846&gt;AsOfDate),"Future-dated – added on its date",IF(AND($G846="Received",$A846&lt;SUMIFS(CI_Count,CI_Site,$B846,CI_Mat,$C846)),"Before count date – already in the count","OK"))))))))</f>
        <v/>
      </c>
    </row>
    <row r="847" customFormat="false" ht="15" hidden="false" customHeight="false" outlineLevel="0" collapsed="false">
      <c r="A847" s="65"/>
      <c r="B847" s="63"/>
      <c r="C847" s="70"/>
      <c r="D847" s="16" t="str">
        <f aca="false">IF($C847="","",IFERROR(INDEX(Mat_Short,MATCH($C847,Mat_Code,0)),"⚠ Unknown code"))</f>
        <v/>
      </c>
      <c r="E847" s="66"/>
      <c r="F847" s="64" t="str">
        <f aca="false">IF($C847="","",IFERROR(INDEX(Mat_Unit,MATCH($C847,Mat_Code,0)),""))</f>
        <v/>
      </c>
      <c r="G847" s="70"/>
      <c r="H847" s="63"/>
      <c r="I847" s="63"/>
      <c r="J847" s="63"/>
      <c r="K847" s="16" t="str">
        <f aca="false">IF(AND($A847="",$B847="",$C847="",$E847=""),"",IF($A847="","⚠ Date missing",IF(OR($B847="",$C847=""),"⚠ Site / material missing",IF(COUNTIFS(CI_Site,$B847,CI_Mat,$C847)=0,"⚠ No Current Inventory row for this site + material",IF($G847="","⚠ Status missing",IF(AND($G847="Scheduled",$A847&lt;=AsOfDate),"⚠ Scheduled date reached – mark Received or re-date",IF(AND($G847="Received",$A847&gt;AsOfDate),"Future-dated – added on its date",IF(AND($G847="Received",$A847&lt;SUMIFS(CI_Count,CI_Site,$B847,CI_Mat,$C847)),"Before count date – already in the count","OK"))))))))</f>
        <v/>
      </c>
    </row>
    <row r="848" customFormat="false" ht="15" hidden="false" customHeight="false" outlineLevel="0" collapsed="false">
      <c r="A848" s="65"/>
      <c r="B848" s="63"/>
      <c r="C848" s="70"/>
      <c r="D848" s="16" t="str">
        <f aca="false">IF($C848="","",IFERROR(INDEX(Mat_Short,MATCH($C848,Mat_Code,0)),"⚠ Unknown code"))</f>
        <v/>
      </c>
      <c r="E848" s="66"/>
      <c r="F848" s="64" t="str">
        <f aca="false">IF($C848="","",IFERROR(INDEX(Mat_Unit,MATCH($C848,Mat_Code,0)),""))</f>
        <v/>
      </c>
      <c r="G848" s="70"/>
      <c r="H848" s="63"/>
      <c r="I848" s="63"/>
      <c r="J848" s="63"/>
      <c r="K848" s="16" t="str">
        <f aca="false">IF(AND($A848="",$B848="",$C848="",$E848=""),"",IF($A848="","⚠ Date missing",IF(OR($B848="",$C848=""),"⚠ Site / material missing",IF(COUNTIFS(CI_Site,$B848,CI_Mat,$C848)=0,"⚠ No Current Inventory row for this site + material",IF($G848="","⚠ Status missing",IF(AND($G848="Scheduled",$A848&lt;=AsOfDate),"⚠ Scheduled date reached – mark Received or re-date",IF(AND($G848="Received",$A848&gt;AsOfDate),"Future-dated – added on its date",IF(AND($G848="Received",$A848&lt;SUMIFS(CI_Count,CI_Site,$B848,CI_Mat,$C848)),"Before count date – already in the count","OK"))))))))</f>
        <v/>
      </c>
    </row>
    <row r="849" customFormat="false" ht="15" hidden="false" customHeight="false" outlineLevel="0" collapsed="false">
      <c r="A849" s="65"/>
      <c r="B849" s="63"/>
      <c r="C849" s="70"/>
      <c r="D849" s="16" t="str">
        <f aca="false">IF($C849="","",IFERROR(INDEX(Mat_Short,MATCH($C849,Mat_Code,0)),"⚠ Unknown code"))</f>
        <v/>
      </c>
      <c r="E849" s="66"/>
      <c r="F849" s="64" t="str">
        <f aca="false">IF($C849="","",IFERROR(INDEX(Mat_Unit,MATCH($C849,Mat_Code,0)),""))</f>
        <v/>
      </c>
      <c r="G849" s="70"/>
      <c r="H849" s="63"/>
      <c r="I849" s="63"/>
      <c r="J849" s="63"/>
      <c r="K849" s="16" t="str">
        <f aca="false">IF(AND($A849="",$B849="",$C849="",$E849=""),"",IF($A849="","⚠ Date missing",IF(OR($B849="",$C849=""),"⚠ Site / material missing",IF(COUNTIFS(CI_Site,$B849,CI_Mat,$C849)=0,"⚠ No Current Inventory row for this site + material",IF($G849="","⚠ Status missing",IF(AND($G849="Scheduled",$A849&lt;=AsOfDate),"⚠ Scheduled date reached – mark Received or re-date",IF(AND($G849="Received",$A849&gt;AsOfDate),"Future-dated – added on its date",IF(AND($G849="Received",$A849&lt;SUMIFS(CI_Count,CI_Site,$B849,CI_Mat,$C849)),"Before count date – already in the count","OK"))))))))</f>
        <v/>
      </c>
    </row>
    <row r="850" customFormat="false" ht="15" hidden="false" customHeight="false" outlineLevel="0" collapsed="false">
      <c r="A850" s="65"/>
      <c r="B850" s="63"/>
      <c r="C850" s="70"/>
      <c r="D850" s="16" t="str">
        <f aca="false">IF($C850="","",IFERROR(INDEX(Mat_Short,MATCH($C850,Mat_Code,0)),"⚠ Unknown code"))</f>
        <v/>
      </c>
      <c r="E850" s="66"/>
      <c r="F850" s="64" t="str">
        <f aca="false">IF($C850="","",IFERROR(INDEX(Mat_Unit,MATCH($C850,Mat_Code,0)),""))</f>
        <v/>
      </c>
      <c r="G850" s="70"/>
      <c r="H850" s="63"/>
      <c r="I850" s="63"/>
      <c r="J850" s="63"/>
      <c r="K850" s="16" t="str">
        <f aca="false">IF(AND($A850="",$B850="",$C850="",$E850=""),"",IF($A850="","⚠ Date missing",IF(OR($B850="",$C850=""),"⚠ Site / material missing",IF(COUNTIFS(CI_Site,$B850,CI_Mat,$C850)=0,"⚠ No Current Inventory row for this site + material",IF($G850="","⚠ Status missing",IF(AND($G850="Scheduled",$A850&lt;=AsOfDate),"⚠ Scheduled date reached – mark Received or re-date",IF(AND($G850="Received",$A850&gt;AsOfDate),"Future-dated – added on its date",IF(AND($G850="Received",$A850&lt;SUMIFS(CI_Count,CI_Site,$B850,CI_Mat,$C850)),"Before count date – already in the count","OK"))))))))</f>
        <v/>
      </c>
    </row>
    <row r="851" customFormat="false" ht="15" hidden="false" customHeight="false" outlineLevel="0" collapsed="false">
      <c r="A851" s="65"/>
      <c r="B851" s="63"/>
      <c r="C851" s="70"/>
      <c r="D851" s="16" t="str">
        <f aca="false">IF($C851="","",IFERROR(INDEX(Mat_Short,MATCH($C851,Mat_Code,0)),"⚠ Unknown code"))</f>
        <v/>
      </c>
      <c r="E851" s="66"/>
      <c r="F851" s="64" t="str">
        <f aca="false">IF($C851="","",IFERROR(INDEX(Mat_Unit,MATCH($C851,Mat_Code,0)),""))</f>
        <v/>
      </c>
      <c r="G851" s="70"/>
      <c r="H851" s="63"/>
      <c r="I851" s="63"/>
      <c r="J851" s="63"/>
      <c r="K851" s="16" t="str">
        <f aca="false">IF(AND($A851="",$B851="",$C851="",$E851=""),"",IF($A851="","⚠ Date missing",IF(OR($B851="",$C851=""),"⚠ Site / material missing",IF(COUNTIFS(CI_Site,$B851,CI_Mat,$C851)=0,"⚠ No Current Inventory row for this site + material",IF($G851="","⚠ Status missing",IF(AND($G851="Scheduled",$A851&lt;=AsOfDate),"⚠ Scheduled date reached – mark Received or re-date",IF(AND($G851="Received",$A851&gt;AsOfDate),"Future-dated – added on its date",IF(AND($G851="Received",$A851&lt;SUMIFS(CI_Count,CI_Site,$B851,CI_Mat,$C851)),"Before count date – already in the count","OK"))))))))</f>
        <v/>
      </c>
    </row>
    <row r="852" customFormat="false" ht="15" hidden="false" customHeight="false" outlineLevel="0" collapsed="false">
      <c r="A852" s="65"/>
      <c r="B852" s="63"/>
      <c r="C852" s="70"/>
      <c r="D852" s="16" t="str">
        <f aca="false">IF($C852="","",IFERROR(INDEX(Mat_Short,MATCH($C852,Mat_Code,0)),"⚠ Unknown code"))</f>
        <v/>
      </c>
      <c r="E852" s="66"/>
      <c r="F852" s="64" t="str">
        <f aca="false">IF($C852="","",IFERROR(INDEX(Mat_Unit,MATCH($C852,Mat_Code,0)),""))</f>
        <v/>
      </c>
      <c r="G852" s="70"/>
      <c r="H852" s="63"/>
      <c r="I852" s="63"/>
      <c r="J852" s="63"/>
      <c r="K852" s="16" t="str">
        <f aca="false">IF(AND($A852="",$B852="",$C852="",$E852=""),"",IF($A852="","⚠ Date missing",IF(OR($B852="",$C852=""),"⚠ Site / material missing",IF(COUNTIFS(CI_Site,$B852,CI_Mat,$C852)=0,"⚠ No Current Inventory row for this site + material",IF($G852="","⚠ Status missing",IF(AND($G852="Scheduled",$A852&lt;=AsOfDate),"⚠ Scheduled date reached – mark Received or re-date",IF(AND($G852="Received",$A852&gt;AsOfDate),"Future-dated – added on its date",IF(AND($G852="Received",$A852&lt;SUMIFS(CI_Count,CI_Site,$B852,CI_Mat,$C852)),"Before count date – already in the count","OK"))))))))</f>
        <v/>
      </c>
    </row>
    <row r="853" customFormat="false" ht="15" hidden="false" customHeight="false" outlineLevel="0" collapsed="false">
      <c r="A853" s="65"/>
      <c r="B853" s="63"/>
      <c r="C853" s="70"/>
      <c r="D853" s="16" t="str">
        <f aca="false">IF($C853="","",IFERROR(INDEX(Mat_Short,MATCH($C853,Mat_Code,0)),"⚠ Unknown code"))</f>
        <v/>
      </c>
      <c r="E853" s="66"/>
      <c r="F853" s="64" t="str">
        <f aca="false">IF($C853="","",IFERROR(INDEX(Mat_Unit,MATCH($C853,Mat_Code,0)),""))</f>
        <v/>
      </c>
      <c r="G853" s="70"/>
      <c r="H853" s="63"/>
      <c r="I853" s="63"/>
      <c r="J853" s="63"/>
      <c r="K853" s="16" t="str">
        <f aca="false">IF(AND($A853="",$B853="",$C853="",$E853=""),"",IF($A853="","⚠ Date missing",IF(OR($B853="",$C853=""),"⚠ Site / material missing",IF(COUNTIFS(CI_Site,$B853,CI_Mat,$C853)=0,"⚠ No Current Inventory row for this site + material",IF($G853="","⚠ Status missing",IF(AND($G853="Scheduled",$A853&lt;=AsOfDate),"⚠ Scheduled date reached – mark Received or re-date",IF(AND($G853="Received",$A853&gt;AsOfDate),"Future-dated – added on its date",IF(AND($G853="Received",$A853&lt;SUMIFS(CI_Count,CI_Site,$B853,CI_Mat,$C853)),"Before count date – already in the count","OK"))))))))</f>
        <v/>
      </c>
    </row>
    <row r="854" customFormat="false" ht="15" hidden="false" customHeight="false" outlineLevel="0" collapsed="false">
      <c r="A854" s="65"/>
      <c r="B854" s="63"/>
      <c r="C854" s="70"/>
      <c r="D854" s="16" t="str">
        <f aca="false">IF($C854="","",IFERROR(INDEX(Mat_Short,MATCH($C854,Mat_Code,0)),"⚠ Unknown code"))</f>
        <v/>
      </c>
      <c r="E854" s="66"/>
      <c r="F854" s="64" t="str">
        <f aca="false">IF($C854="","",IFERROR(INDEX(Mat_Unit,MATCH($C854,Mat_Code,0)),""))</f>
        <v/>
      </c>
      <c r="G854" s="70"/>
      <c r="H854" s="63"/>
      <c r="I854" s="63"/>
      <c r="J854" s="63"/>
      <c r="K854" s="16" t="str">
        <f aca="false">IF(AND($A854="",$B854="",$C854="",$E854=""),"",IF($A854="","⚠ Date missing",IF(OR($B854="",$C854=""),"⚠ Site / material missing",IF(COUNTIFS(CI_Site,$B854,CI_Mat,$C854)=0,"⚠ No Current Inventory row for this site + material",IF($G854="","⚠ Status missing",IF(AND($G854="Scheduled",$A854&lt;=AsOfDate),"⚠ Scheduled date reached – mark Received or re-date",IF(AND($G854="Received",$A854&gt;AsOfDate),"Future-dated – added on its date",IF(AND($G854="Received",$A854&lt;SUMIFS(CI_Count,CI_Site,$B854,CI_Mat,$C854)),"Before count date – already in the count","OK"))))))))</f>
        <v/>
      </c>
    </row>
    <row r="855" customFormat="false" ht="15" hidden="false" customHeight="false" outlineLevel="0" collapsed="false">
      <c r="A855" s="65"/>
      <c r="B855" s="63"/>
      <c r="C855" s="70"/>
      <c r="D855" s="16" t="str">
        <f aca="false">IF($C855="","",IFERROR(INDEX(Mat_Short,MATCH($C855,Mat_Code,0)),"⚠ Unknown code"))</f>
        <v/>
      </c>
      <c r="E855" s="66"/>
      <c r="F855" s="64" t="str">
        <f aca="false">IF($C855="","",IFERROR(INDEX(Mat_Unit,MATCH($C855,Mat_Code,0)),""))</f>
        <v/>
      </c>
      <c r="G855" s="70"/>
      <c r="H855" s="63"/>
      <c r="I855" s="63"/>
      <c r="J855" s="63"/>
      <c r="K855" s="16" t="str">
        <f aca="false">IF(AND($A855="",$B855="",$C855="",$E855=""),"",IF($A855="","⚠ Date missing",IF(OR($B855="",$C855=""),"⚠ Site / material missing",IF(COUNTIFS(CI_Site,$B855,CI_Mat,$C855)=0,"⚠ No Current Inventory row for this site + material",IF($G855="","⚠ Status missing",IF(AND($G855="Scheduled",$A855&lt;=AsOfDate),"⚠ Scheduled date reached – mark Received or re-date",IF(AND($G855="Received",$A855&gt;AsOfDate),"Future-dated – added on its date",IF(AND($G855="Received",$A855&lt;SUMIFS(CI_Count,CI_Site,$B855,CI_Mat,$C855)),"Before count date – already in the count","OK"))))))))</f>
        <v/>
      </c>
    </row>
    <row r="856" customFormat="false" ht="15" hidden="false" customHeight="false" outlineLevel="0" collapsed="false">
      <c r="A856" s="65"/>
      <c r="B856" s="63"/>
      <c r="C856" s="70"/>
      <c r="D856" s="16" t="str">
        <f aca="false">IF($C856="","",IFERROR(INDEX(Mat_Short,MATCH($C856,Mat_Code,0)),"⚠ Unknown code"))</f>
        <v/>
      </c>
      <c r="E856" s="66"/>
      <c r="F856" s="64" t="str">
        <f aca="false">IF($C856="","",IFERROR(INDEX(Mat_Unit,MATCH($C856,Mat_Code,0)),""))</f>
        <v/>
      </c>
      <c r="G856" s="70"/>
      <c r="H856" s="63"/>
      <c r="I856" s="63"/>
      <c r="J856" s="63"/>
      <c r="K856" s="16" t="str">
        <f aca="false">IF(AND($A856="",$B856="",$C856="",$E856=""),"",IF($A856="","⚠ Date missing",IF(OR($B856="",$C856=""),"⚠ Site / material missing",IF(COUNTIFS(CI_Site,$B856,CI_Mat,$C856)=0,"⚠ No Current Inventory row for this site + material",IF($G856="","⚠ Status missing",IF(AND($G856="Scheduled",$A856&lt;=AsOfDate),"⚠ Scheduled date reached – mark Received or re-date",IF(AND($G856="Received",$A856&gt;AsOfDate),"Future-dated – added on its date",IF(AND($G856="Received",$A856&lt;SUMIFS(CI_Count,CI_Site,$B856,CI_Mat,$C856)),"Before count date – already in the count","OK"))))))))</f>
        <v/>
      </c>
    </row>
    <row r="857" customFormat="false" ht="15" hidden="false" customHeight="false" outlineLevel="0" collapsed="false">
      <c r="A857" s="65"/>
      <c r="B857" s="63"/>
      <c r="C857" s="70"/>
      <c r="D857" s="16" t="str">
        <f aca="false">IF($C857="","",IFERROR(INDEX(Mat_Short,MATCH($C857,Mat_Code,0)),"⚠ Unknown code"))</f>
        <v/>
      </c>
      <c r="E857" s="66"/>
      <c r="F857" s="64" t="str">
        <f aca="false">IF($C857="","",IFERROR(INDEX(Mat_Unit,MATCH($C857,Mat_Code,0)),""))</f>
        <v/>
      </c>
      <c r="G857" s="70"/>
      <c r="H857" s="63"/>
      <c r="I857" s="63"/>
      <c r="J857" s="63"/>
      <c r="K857" s="16" t="str">
        <f aca="false">IF(AND($A857="",$B857="",$C857="",$E857=""),"",IF($A857="","⚠ Date missing",IF(OR($B857="",$C857=""),"⚠ Site / material missing",IF(COUNTIFS(CI_Site,$B857,CI_Mat,$C857)=0,"⚠ No Current Inventory row for this site + material",IF($G857="","⚠ Status missing",IF(AND($G857="Scheduled",$A857&lt;=AsOfDate),"⚠ Scheduled date reached – mark Received or re-date",IF(AND($G857="Received",$A857&gt;AsOfDate),"Future-dated – added on its date",IF(AND($G857="Received",$A857&lt;SUMIFS(CI_Count,CI_Site,$B857,CI_Mat,$C857)),"Before count date – already in the count","OK"))))))))</f>
        <v/>
      </c>
    </row>
    <row r="858" customFormat="false" ht="15" hidden="false" customHeight="false" outlineLevel="0" collapsed="false">
      <c r="A858" s="65"/>
      <c r="B858" s="63"/>
      <c r="C858" s="70"/>
      <c r="D858" s="16" t="str">
        <f aca="false">IF($C858="","",IFERROR(INDEX(Mat_Short,MATCH($C858,Mat_Code,0)),"⚠ Unknown code"))</f>
        <v/>
      </c>
      <c r="E858" s="66"/>
      <c r="F858" s="64" t="str">
        <f aca="false">IF($C858="","",IFERROR(INDEX(Mat_Unit,MATCH($C858,Mat_Code,0)),""))</f>
        <v/>
      </c>
      <c r="G858" s="70"/>
      <c r="H858" s="63"/>
      <c r="I858" s="63"/>
      <c r="J858" s="63"/>
      <c r="K858" s="16" t="str">
        <f aca="false">IF(AND($A858="",$B858="",$C858="",$E858=""),"",IF($A858="","⚠ Date missing",IF(OR($B858="",$C858=""),"⚠ Site / material missing",IF(COUNTIFS(CI_Site,$B858,CI_Mat,$C858)=0,"⚠ No Current Inventory row for this site + material",IF($G858="","⚠ Status missing",IF(AND($G858="Scheduled",$A858&lt;=AsOfDate),"⚠ Scheduled date reached – mark Received or re-date",IF(AND($G858="Received",$A858&gt;AsOfDate),"Future-dated – added on its date",IF(AND($G858="Received",$A858&lt;SUMIFS(CI_Count,CI_Site,$B858,CI_Mat,$C858)),"Before count date – already in the count","OK"))))))))</f>
        <v/>
      </c>
    </row>
    <row r="859" customFormat="false" ht="15" hidden="false" customHeight="false" outlineLevel="0" collapsed="false">
      <c r="A859" s="65"/>
      <c r="B859" s="63"/>
      <c r="C859" s="70"/>
      <c r="D859" s="16" t="str">
        <f aca="false">IF($C859="","",IFERROR(INDEX(Mat_Short,MATCH($C859,Mat_Code,0)),"⚠ Unknown code"))</f>
        <v/>
      </c>
      <c r="E859" s="66"/>
      <c r="F859" s="64" t="str">
        <f aca="false">IF($C859="","",IFERROR(INDEX(Mat_Unit,MATCH($C859,Mat_Code,0)),""))</f>
        <v/>
      </c>
      <c r="G859" s="70"/>
      <c r="H859" s="63"/>
      <c r="I859" s="63"/>
      <c r="J859" s="63"/>
      <c r="K859" s="16" t="str">
        <f aca="false">IF(AND($A859="",$B859="",$C859="",$E859=""),"",IF($A859="","⚠ Date missing",IF(OR($B859="",$C859=""),"⚠ Site / material missing",IF(COUNTIFS(CI_Site,$B859,CI_Mat,$C859)=0,"⚠ No Current Inventory row for this site + material",IF($G859="","⚠ Status missing",IF(AND($G859="Scheduled",$A859&lt;=AsOfDate),"⚠ Scheduled date reached – mark Received or re-date",IF(AND($G859="Received",$A859&gt;AsOfDate),"Future-dated – added on its date",IF(AND($G859="Received",$A859&lt;SUMIFS(CI_Count,CI_Site,$B859,CI_Mat,$C859)),"Before count date – already in the count","OK"))))))))</f>
        <v/>
      </c>
    </row>
    <row r="860" customFormat="false" ht="15" hidden="false" customHeight="false" outlineLevel="0" collapsed="false">
      <c r="A860" s="65"/>
      <c r="B860" s="63"/>
      <c r="C860" s="70"/>
      <c r="D860" s="16" t="str">
        <f aca="false">IF($C860="","",IFERROR(INDEX(Mat_Short,MATCH($C860,Mat_Code,0)),"⚠ Unknown code"))</f>
        <v/>
      </c>
      <c r="E860" s="66"/>
      <c r="F860" s="64" t="str">
        <f aca="false">IF($C860="","",IFERROR(INDEX(Mat_Unit,MATCH($C860,Mat_Code,0)),""))</f>
        <v/>
      </c>
      <c r="G860" s="70"/>
      <c r="H860" s="63"/>
      <c r="I860" s="63"/>
      <c r="J860" s="63"/>
      <c r="K860" s="16" t="str">
        <f aca="false">IF(AND($A860="",$B860="",$C860="",$E860=""),"",IF($A860="","⚠ Date missing",IF(OR($B860="",$C860=""),"⚠ Site / material missing",IF(COUNTIFS(CI_Site,$B860,CI_Mat,$C860)=0,"⚠ No Current Inventory row for this site + material",IF($G860="","⚠ Status missing",IF(AND($G860="Scheduled",$A860&lt;=AsOfDate),"⚠ Scheduled date reached – mark Received or re-date",IF(AND($G860="Received",$A860&gt;AsOfDate),"Future-dated – added on its date",IF(AND($G860="Received",$A860&lt;SUMIFS(CI_Count,CI_Site,$B860,CI_Mat,$C860)),"Before count date – already in the count","OK"))))))))</f>
        <v/>
      </c>
    </row>
    <row r="861" customFormat="false" ht="15" hidden="false" customHeight="false" outlineLevel="0" collapsed="false">
      <c r="A861" s="65"/>
      <c r="B861" s="63"/>
      <c r="C861" s="70"/>
      <c r="D861" s="16" t="str">
        <f aca="false">IF($C861="","",IFERROR(INDEX(Mat_Short,MATCH($C861,Mat_Code,0)),"⚠ Unknown code"))</f>
        <v/>
      </c>
      <c r="E861" s="66"/>
      <c r="F861" s="64" t="str">
        <f aca="false">IF($C861="","",IFERROR(INDEX(Mat_Unit,MATCH($C861,Mat_Code,0)),""))</f>
        <v/>
      </c>
      <c r="G861" s="70"/>
      <c r="H861" s="63"/>
      <c r="I861" s="63"/>
      <c r="J861" s="63"/>
      <c r="K861" s="16" t="str">
        <f aca="false">IF(AND($A861="",$B861="",$C861="",$E861=""),"",IF($A861="","⚠ Date missing",IF(OR($B861="",$C861=""),"⚠ Site / material missing",IF(COUNTIFS(CI_Site,$B861,CI_Mat,$C861)=0,"⚠ No Current Inventory row for this site + material",IF($G861="","⚠ Status missing",IF(AND($G861="Scheduled",$A861&lt;=AsOfDate),"⚠ Scheduled date reached – mark Received or re-date",IF(AND($G861="Received",$A861&gt;AsOfDate),"Future-dated – added on its date",IF(AND($G861="Received",$A861&lt;SUMIFS(CI_Count,CI_Site,$B861,CI_Mat,$C861)),"Before count date – already in the count","OK"))))))))</f>
        <v/>
      </c>
    </row>
    <row r="862" customFormat="false" ht="15" hidden="false" customHeight="false" outlineLevel="0" collapsed="false">
      <c r="A862" s="65"/>
      <c r="B862" s="63"/>
      <c r="C862" s="70"/>
      <c r="D862" s="16" t="str">
        <f aca="false">IF($C862="","",IFERROR(INDEX(Mat_Short,MATCH($C862,Mat_Code,0)),"⚠ Unknown code"))</f>
        <v/>
      </c>
      <c r="E862" s="66"/>
      <c r="F862" s="64" t="str">
        <f aca="false">IF($C862="","",IFERROR(INDEX(Mat_Unit,MATCH($C862,Mat_Code,0)),""))</f>
        <v/>
      </c>
      <c r="G862" s="70"/>
      <c r="H862" s="63"/>
      <c r="I862" s="63"/>
      <c r="J862" s="63"/>
      <c r="K862" s="16" t="str">
        <f aca="false">IF(AND($A862="",$B862="",$C862="",$E862=""),"",IF($A862="","⚠ Date missing",IF(OR($B862="",$C862=""),"⚠ Site / material missing",IF(COUNTIFS(CI_Site,$B862,CI_Mat,$C862)=0,"⚠ No Current Inventory row for this site + material",IF($G862="","⚠ Status missing",IF(AND($G862="Scheduled",$A862&lt;=AsOfDate),"⚠ Scheduled date reached – mark Received or re-date",IF(AND($G862="Received",$A862&gt;AsOfDate),"Future-dated – added on its date",IF(AND($G862="Received",$A862&lt;SUMIFS(CI_Count,CI_Site,$B862,CI_Mat,$C862)),"Before count date – already in the count","OK"))))))))</f>
        <v/>
      </c>
    </row>
    <row r="863" customFormat="false" ht="15" hidden="false" customHeight="false" outlineLevel="0" collapsed="false">
      <c r="A863" s="65"/>
      <c r="B863" s="63"/>
      <c r="C863" s="70"/>
      <c r="D863" s="16" t="str">
        <f aca="false">IF($C863="","",IFERROR(INDEX(Mat_Short,MATCH($C863,Mat_Code,0)),"⚠ Unknown code"))</f>
        <v/>
      </c>
      <c r="E863" s="66"/>
      <c r="F863" s="64" t="str">
        <f aca="false">IF($C863="","",IFERROR(INDEX(Mat_Unit,MATCH($C863,Mat_Code,0)),""))</f>
        <v/>
      </c>
      <c r="G863" s="70"/>
      <c r="H863" s="63"/>
      <c r="I863" s="63"/>
      <c r="J863" s="63"/>
      <c r="K863" s="16" t="str">
        <f aca="false">IF(AND($A863="",$B863="",$C863="",$E863=""),"",IF($A863="","⚠ Date missing",IF(OR($B863="",$C863=""),"⚠ Site / material missing",IF(COUNTIFS(CI_Site,$B863,CI_Mat,$C863)=0,"⚠ No Current Inventory row for this site + material",IF($G863="","⚠ Status missing",IF(AND($G863="Scheduled",$A863&lt;=AsOfDate),"⚠ Scheduled date reached – mark Received or re-date",IF(AND($G863="Received",$A863&gt;AsOfDate),"Future-dated – added on its date",IF(AND($G863="Received",$A863&lt;SUMIFS(CI_Count,CI_Site,$B863,CI_Mat,$C863)),"Before count date – already in the count","OK"))))))))</f>
        <v/>
      </c>
    </row>
    <row r="864" customFormat="false" ht="15" hidden="false" customHeight="false" outlineLevel="0" collapsed="false">
      <c r="A864" s="65"/>
      <c r="B864" s="63"/>
      <c r="C864" s="70"/>
      <c r="D864" s="16" t="str">
        <f aca="false">IF($C864="","",IFERROR(INDEX(Mat_Short,MATCH($C864,Mat_Code,0)),"⚠ Unknown code"))</f>
        <v/>
      </c>
      <c r="E864" s="66"/>
      <c r="F864" s="64" t="str">
        <f aca="false">IF($C864="","",IFERROR(INDEX(Mat_Unit,MATCH($C864,Mat_Code,0)),""))</f>
        <v/>
      </c>
      <c r="G864" s="70"/>
      <c r="H864" s="63"/>
      <c r="I864" s="63"/>
      <c r="J864" s="63"/>
      <c r="K864" s="16" t="str">
        <f aca="false">IF(AND($A864="",$B864="",$C864="",$E864=""),"",IF($A864="","⚠ Date missing",IF(OR($B864="",$C864=""),"⚠ Site / material missing",IF(COUNTIFS(CI_Site,$B864,CI_Mat,$C864)=0,"⚠ No Current Inventory row for this site + material",IF($G864="","⚠ Status missing",IF(AND($G864="Scheduled",$A864&lt;=AsOfDate),"⚠ Scheduled date reached – mark Received or re-date",IF(AND($G864="Received",$A864&gt;AsOfDate),"Future-dated – added on its date",IF(AND($G864="Received",$A864&lt;SUMIFS(CI_Count,CI_Site,$B864,CI_Mat,$C864)),"Before count date – already in the count","OK"))))))))</f>
        <v/>
      </c>
    </row>
    <row r="865" customFormat="false" ht="15" hidden="false" customHeight="false" outlineLevel="0" collapsed="false">
      <c r="A865" s="65"/>
      <c r="B865" s="63"/>
      <c r="C865" s="70"/>
      <c r="D865" s="16" t="str">
        <f aca="false">IF($C865="","",IFERROR(INDEX(Mat_Short,MATCH($C865,Mat_Code,0)),"⚠ Unknown code"))</f>
        <v/>
      </c>
      <c r="E865" s="66"/>
      <c r="F865" s="64" t="str">
        <f aca="false">IF($C865="","",IFERROR(INDEX(Mat_Unit,MATCH($C865,Mat_Code,0)),""))</f>
        <v/>
      </c>
      <c r="G865" s="70"/>
      <c r="H865" s="63"/>
      <c r="I865" s="63"/>
      <c r="J865" s="63"/>
      <c r="K865" s="16" t="str">
        <f aca="false">IF(AND($A865="",$B865="",$C865="",$E865=""),"",IF($A865="","⚠ Date missing",IF(OR($B865="",$C865=""),"⚠ Site / material missing",IF(COUNTIFS(CI_Site,$B865,CI_Mat,$C865)=0,"⚠ No Current Inventory row for this site + material",IF($G865="","⚠ Status missing",IF(AND($G865="Scheduled",$A865&lt;=AsOfDate),"⚠ Scheduled date reached – mark Received or re-date",IF(AND($G865="Received",$A865&gt;AsOfDate),"Future-dated – added on its date",IF(AND($G865="Received",$A865&lt;SUMIFS(CI_Count,CI_Site,$B865,CI_Mat,$C865)),"Before count date – already in the count","OK"))))))))</f>
        <v/>
      </c>
    </row>
    <row r="866" customFormat="false" ht="15" hidden="false" customHeight="false" outlineLevel="0" collapsed="false">
      <c r="A866" s="65"/>
      <c r="B866" s="63"/>
      <c r="C866" s="70"/>
      <c r="D866" s="16" t="str">
        <f aca="false">IF($C866="","",IFERROR(INDEX(Mat_Short,MATCH($C866,Mat_Code,0)),"⚠ Unknown code"))</f>
        <v/>
      </c>
      <c r="E866" s="66"/>
      <c r="F866" s="64" t="str">
        <f aca="false">IF($C866="","",IFERROR(INDEX(Mat_Unit,MATCH($C866,Mat_Code,0)),""))</f>
        <v/>
      </c>
      <c r="G866" s="70"/>
      <c r="H866" s="63"/>
      <c r="I866" s="63"/>
      <c r="J866" s="63"/>
      <c r="K866" s="16" t="str">
        <f aca="false">IF(AND($A866="",$B866="",$C866="",$E866=""),"",IF($A866="","⚠ Date missing",IF(OR($B866="",$C866=""),"⚠ Site / material missing",IF(COUNTIFS(CI_Site,$B866,CI_Mat,$C866)=0,"⚠ No Current Inventory row for this site + material",IF($G866="","⚠ Status missing",IF(AND($G866="Scheduled",$A866&lt;=AsOfDate),"⚠ Scheduled date reached – mark Received or re-date",IF(AND($G866="Received",$A866&gt;AsOfDate),"Future-dated – added on its date",IF(AND($G866="Received",$A866&lt;SUMIFS(CI_Count,CI_Site,$B866,CI_Mat,$C866)),"Before count date – already in the count","OK"))))))))</f>
        <v/>
      </c>
    </row>
    <row r="867" customFormat="false" ht="15" hidden="false" customHeight="false" outlineLevel="0" collapsed="false">
      <c r="A867" s="65"/>
      <c r="B867" s="63"/>
      <c r="C867" s="70"/>
      <c r="D867" s="16" t="str">
        <f aca="false">IF($C867="","",IFERROR(INDEX(Mat_Short,MATCH($C867,Mat_Code,0)),"⚠ Unknown code"))</f>
        <v/>
      </c>
      <c r="E867" s="66"/>
      <c r="F867" s="64" t="str">
        <f aca="false">IF($C867="","",IFERROR(INDEX(Mat_Unit,MATCH($C867,Mat_Code,0)),""))</f>
        <v/>
      </c>
      <c r="G867" s="70"/>
      <c r="H867" s="63"/>
      <c r="I867" s="63"/>
      <c r="J867" s="63"/>
      <c r="K867" s="16" t="str">
        <f aca="false">IF(AND($A867="",$B867="",$C867="",$E867=""),"",IF($A867="","⚠ Date missing",IF(OR($B867="",$C867=""),"⚠ Site / material missing",IF(COUNTIFS(CI_Site,$B867,CI_Mat,$C867)=0,"⚠ No Current Inventory row for this site + material",IF($G867="","⚠ Status missing",IF(AND($G867="Scheduled",$A867&lt;=AsOfDate),"⚠ Scheduled date reached – mark Received or re-date",IF(AND($G867="Received",$A867&gt;AsOfDate),"Future-dated – added on its date",IF(AND($G867="Received",$A867&lt;SUMIFS(CI_Count,CI_Site,$B867,CI_Mat,$C867)),"Before count date – already in the count","OK"))))))))</f>
        <v/>
      </c>
    </row>
    <row r="868" customFormat="false" ht="15" hidden="false" customHeight="false" outlineLevel="0" collapsed="false">
      <c r="A868" s="65"/>
      <c r="B868" s="63"/>
      <c r="C868" s="70"/>
      <c r="D868" s="16" t="str">
        <f aca="false">IF($C868="","",IFERROR(INDEX(Mat_Short,MATCH($C868,Mat_Code,0)),"⚠ Unknown code"))</f>
        <v/>
      </c>
      <c r="E868" s="66"/>
      <c r="F868" s="64" t="str">
        <f aca="false">IF($C868="","",IFERROR(INDEX(Mat_Unit,MATCH($C868,Mat_Code,0)),""))</f>
        <v/>
      </c>
      <c r="G868" s="70"/>
      <c r="H868" s="63"/>
      <c r="I868" s="63"/>
      <c r="J868" s="63"/>
      <c r="K868" s="16" t="str">
        <f aca="false">IF(AND($A868="",$B868="",$C868="",$E868=""),"",IF($A868="","⚠ Date missing",IF(OR($B868="",$C868=""),"⚠ Site / material missing",IF(COUNTIFS(CI_Site,$B868,CI_Mat,$C868)=0,"⚠ No Current Inventory row for this site + material",IF($G868="","⚠ Status missing",IF(AND($G868="Scheduled",$A868&lt;=AsOfDate),"⚠ Scheduled date reached – mark Received or re-date",IF(AND($G868="Received",$A868&gt;AsOfDate),"Future-dated – added on its date",IF(AND($G868="Received",$A868&lt;SUMIFS(CI_Count,CI_Site,$B868,CI_Mat,$C868)),"Before count date – already in the count","OK"))))))))</f>
        <v/>
      </c>
    </row>
    <row r="869" customFormat="false" ht="15" hidden="false" customHeight="false" outlineLevel="0" collapsed="false">
      <c r="A869" s="65"/>
      <c r="B869" s="63"/>
      <c r="C869" s="70"/>
      <c r="D869" s="16" t="str">
        <f aca="false">IF($C869="","",IFERROR(INDEX(Mat_Short,MATCH($C869,Mat_Code,0)),"⚠ Unknown code"))</f>
        <v/>
      </c>
      <c r="E869" s="66"/>
      <c r="F869" s="64" t="str">
        <f aca="false">IF($C869="","",IFERROR(INDEX(Mat_Unit,MATCH($C869,Mat_Code,0)),""))</f>
        <v/>
      </c>
      <c r="G869" s="70"/>
      <c r="H869" s="63"/>
      <c r="I869" s="63"/>
      <c r="J869" s="63"/>
      <c r="K869" s="16" t="str">
        <f aca="false">IF(AND($A869="",$B869="",$C869="",$E869=""),"",IF($A869="","⚠ Date missing",IF(OR($B869="",$C869=""),"⚠ Site / material missing",IF(COUNTIFS(CI_Site,$B869,CI_Mat,$C869)=0,"⚠ No Current Inventory row for this site + material",IF($G869="","⚠ Status missing",IF(AND($G869="Scheduled",$A869&lt;=AsOfDate),"⚠ Scheduled date reached – mark Received or re-date",IF(AND($G869="Received",$A869&gt;AsOfDate),"Future-dated – added on its date",IF(AND($G869="Received",$A869&lt;SUMIFS(CI_Count,CI_Site,$B869,CI_Mat,$C869)),"Before count date – already in the count","OK"))))))))</f>
        <v/>
      </c>
    </row>
    <row r="870" customFormat="false" ht="15" hidden="false" customHeight="false" outlineLevel="0" collapsed="false">
      <c r="A870" s="65"/>
      <c r="B870" s="63"/>
      <c r="C870" s="70"/>
      <c r="D870" s="16" t="str">
        <f aca="false">IF($C870="","",IFERROR(INDEX(Mat_Short,MATCH($C870,Mat_Code,0)),"⚠ Unknown code"))</f>
        <v/>
      </c>
      <c r="E870" s="66"/>
      <c r="F870" s="64" t="str">
        <f aca="false">IF($C870="","",IFERROR(INDEX(Mat_Unit,MATCH($C870,Mat_Code,0)),""))</f>
        <v/>
      </c>
      <c r="G870" s="70"/>
      <c r="H870" s="63"/>
      <c r="I870" s="63"/>
      <c r="J870" s="63"/>
      <c r="K870" s="16" t="str">
        <f aca="false">IF(AND($A870="",$B870="",$C870="",$E870=""),"",IF($A870="","⚠ Date missing",IF(OR($B870="",$C870=""),"⚠ Site / material missing",IF(COUNTIFS(CI_Site,$B870,CI_Mat,$C870)=0,"⚠ No Current Inventory row for this site + material",IF($G870="","⚠ Status missing",IF(AND($G870="Scheduled",$A870&lt;=AsOfDate),"⚠ Scheduled date reached – mark Received or re-date",IF(AND($G870="Received",$A870&gt;AsOfDate),"Future-dated – added on its date",IF(AND($G870="Received",$A870&lt;SUMIFS(CI_Count,CI_Site,$B870,CI_Mat,$C870)),"Before count date – already in the count","OK"))))))))</f>
        <v/>
      </c>
    </row>
    <row r="871" customFormat="false" ht="15" hidden="false" customHeight="false" outlineLevel="0" collapsed="false">
      <c r="A871" s="65"/>
      <c r="B871" s="63"/>
      <c r="C871" s="70"/>
      <c r="D871" s="16" t="str">
        <f aca="false">IF($C871="","",IFERROR(INDEX(Mat_Short,MATCH($C871,Mat_Code,0)),"⚠ Unknown code"))</f>
        <v/>
      </c>
      <c r="E871" s="66"/>
      <c r="F871" s="64" t="str">
        <f aca="false">IF($C871="","",IFERROR(INDEX(Mat_Unit,MATCH($C871,Mat_Code,0)),""))</f>
        <v/>
      </c>
      <c r="G871" s="70"/>
      <c r="H871" s="63"/>
      <c r="I871" s="63"/>
      <c r="J871" s="63"/>
      <c r="K871" s="16" t="str">
        <f aca="false">IF(AND($A871="",$B871="",$C871="",$E871=""),"",IF($A871="","⚠ Date missing",IF(OR($B871="",$C871=""),"⚠ Site / material missing",IF(COUNTIFS(CI_Site,$B871,CI_Mat,$C871)=0,"⚠ No Current Inventory row for this site + material",IF($G871="","⚠ Status missing",IF(AND($G871="Scheduled",$A871&lt;=AsOfDate),"⚠ Scheduled date reached – mark Received or re-date",IF(AND($G871="Received",$A871&gt;AsOfDate),"Future-dated – added on its date",IF(AND($G871="Received",$A871&lt;SUMIFS(CI_Count,CI_Site,$B871,CI_Mat,$C871)),"Before count date – already in the count","OK"))))))))</f>
        <v/>
      </c>
    </row>
    <row r="872" customFormat="false" ht="15" hidden="false" customHeight="false" outlineLevel="0" collapsed="false">
      <c r="A872" s="65"/>
      <c r="B872" s="63"/>
      <c r="C872" s="70"/>
      <c r="D872" s="16" t="str">
        <f aca="false">IF($C872="","",IFERROR(INDEX(Mat_Short,MATCH($C872,Mat_Code,0)),"⚠ Unknown code"))</f>
        <v/>
      </c>
      <c r="E872" s="66"/>
      <c r="F872" s="64" t="str">
        <f aca="false">IF($C872="","",IFERROR(INDEX(Mat_Unit,MATCH($C872,Mat_Code,0)),""))</f>
        <v/>
      </c>
      <c r="G872" s="70"/>
      <c r="H872" s="63"/>
      <c r="I872" s="63"/>
      <c r="J872" s="63"/>
      <c r="K872" s="16" t="str">
        <f aca="false">IF(AND($A872="",$B872="",$C872="",$E872=""),"",IF($A872="","⚠ Date missing",IF(OR($B872="",$C872=""),"⚠ Site / material missing",IF(COUNTIFS(CI_Site,$B872,CI_Mat,$C872)=0,"⚠ No Current Inventory row for this site + material",IF($G872="","⚠ Status missing",IF(AND($G872="Scheduled",$A872&lt;=AsOfDate),"⚠ Scheduled date reached – mark Received or re-date",IF(AND($G872="Received",$A872&gt;AsOfDate),"Future-dated – added on its date",IF(AND($G872="Received",$A872&lt;SUMIFS(CI_Count,CI_Site,$B872,CI_Mat,$C872)),"Before count date – already in the count","OK"))))))))</f>
        <v/>
      </c>
    </row>
    <row r="873" customFormat="false" ht="15" hidden="false" customHeight="false" outlineLevel="0" collapsed="false">
      <c r="A873" s="65"/>
      <c r="B873" s="63"/>
      <c r="C873" s="70"/>
      <c r="D873" s="16" t="str">
        <f aca="false">IF($C873="","",IFERROR(INDEX(Mat_Short,MATCH($C873,Mat_Code,0)),"⚠ Unknown code"))</f>
        <v/>
      </c>
      <c r="E873" s="66"/>
      <c r="F873" s="64" t="str">
        <f aca="false">IF($C873="","",IFERROR(INDEX(Mat_Unit,MATCH($C873,Mat_Code,0)),""))</f>
        <v/>
      </c>
      <c r="G873" s="70"/>
      <c r="H873" s="63"/>
      <c r="I873" s="63"/>
      <c r="J873" s="63"/>
      <c r="K873" s="16" t="str">
        <f aca="false">IF(AND($A873="",$B873="",$C873="",$E873=""),"",IF($A873="","⚠ Date missing",IF(OR($B873="",$C873=""),"⚠ Site / material missing",IF(COUNTIFS(CI_Site,$B873,CI_Mat,$C873)=0,"⚠ No Current Inventory row for this site + material",IF($G873="","⚠ Status missing",IF(AND($G873="Scheduled",$A873&lt;=AsOfDate),"⚠ Scheduled date reached – mark Received or re-date",IF(AND($G873="Received",$A873&gt;AsOfDate),"Future-dated – added on its date",IF(AND($G873="Received",$A873&lt;SUMIFS(CI_Count,CI_Site,$B873,CI_Mat,$C873)),"Before count date – already in the count","OK"))))))))</f>
        <v/>
      </c>
    </row>
    <row r="874" customFormat="false" ht="15" hidden="false" customHeight="false" outlineLevel="0" collapsed="false">
      <c r="A874" s="65"/>
      <c r="B874" s="63"/>
      <c r="C874" s="70"/>
      <c r="D874" s="16" t="str">
        <f aca="false">IF($C874="","",IFERROR(INDEX(Mat_Short,MATCH($C874,Mat_Code,0)),"⚠ Unknown code"))</f>
        <v/>
      </c>
      <c r="E874" s="66"/>
      <c r="F874" s="64" t="str">
        <f aca="false">IF($C874="","",IFERROR(INDEX(Mat_Unit,MATCH($C874,Mat_Code,0)),""))</f>
        <v/>
      </c>
      <c r="G874" s="70"/>
      <c r="H874" s="63"/>
      <c r="I874" s="63"/>
      <c r="J874" s="63"/>
      <c r="K874" s="16" t="str">
        <f aca="false">IF(AND($A874="",$B874="",$C874="",$E874=""),"",IF($A874="","⚠ Date missing",IF(OR($B874="",$C874=""),"⚠ Site / material missing",IF(COUNTIFS(CI_Site,$B874,CI_Mat,$C874)=0,"⚠ No Current Inventory row for this site + material",IF($G874="","⚠ Status missing",IF(AND($G874="Scheduled",$A874&lt;=AsOfDate),"⚠ Scheduled date reached – mark Received or re-date",IF(AND($G874="Received",$A874&gt;AsOfDate),"Future-dated – added on its date",IF(AND($G874="Received",$A874&lt;SUMIFS(CI_Count,CI_Site,$B874,CI_Mat,$C874)),"Before count date – already in the count","OK"))))))))</f>
        <v/>
      </c>
    </row>
    <row r="875" customFormat="false" ht="15" hidden="false" customHeight="false" outlineLevel="0" collapsed="false">
      <c r="A875" s="65"/>
      <c r="B875" s="63"/>
      <c r="C875" s="70"/>
      <c r="D875" s="16" t="str">
        <f aca="false">IF($C875="","",IFERROR(INDEX(Mat_Short,MATCH($C875,Mat_Code,0)),"⚠ Unknown code"))</f>
        <v/>
      </c>
      <c r="E875" s="66"/>
      <c r="F875" s="64" t="str">
        <f aca="false">IF($C875="","",IFERROR(INDEX(Mat_Unit,MATCH($C875,Mat_Code,0)),""))</f>
        <v/>
      </c>
      <c r="G875" s="70"/>
      <c r="H875" s="63"/>
      <c r="I875" s="63"/>
      <c r="J875" s="63"/>
      <c r="K875" s="16" t="str">
        <f aca="false">IF(AND($A875="",$B875="",$C875="",$E875=""),"",IF($A875="","⚠ Date missing",IF(OR($B875="",$C875=""),"⚠ Site / material missing",IF(COUNTIFS(CI_Site,$B875,CI_Mat,$C875)=0,"⚠ No Current Inventory row for this site + material",IF($G875="","⚠ Status missing",IF(AND($G875="Scheduled",$A875&lt;=AsOfDate),"⚠ Scheduled date reached – mark Received or re-date",IF(AND($G875="Received",$A875&gt;AsOfDate),"Future-dated – added on its date",IF(AND($G875="Received",$A875&lt;SUMIFS(CI_Count,CI_Site,$B875,CI_Mat,$C875)),"Before count date – already in the count","OK"))))))))</f>
        <v/>
      </c>
    </row>
    <row r="876" customFormat="false" ht="15" hidden="false" customHeight="false" outlineLevel="0" collapsed="false">
      <c r="A876" s="65"/>
      <c r="B876" s="63"/>
      <c r="C876" s="70"/>
      <c r="D876" s="16" t="str">
        <f aca="false">IF($C876="","",IFERROR(INDEX(Mat_Short,MATCH($C876,Mat_Code,0)),"⚠ Unknown code"))</f>
        <v/>
      </c>
      <c r="E876" s="66"/>
      <c r="F876" s="64" t="str">
        <f aca="false">IF($C876="","",IFERROR(INDEX(Mat_Unit,MATCH($C876,Mat_Code,0)),""))</f>
        <v/>
      </c>
      <c r="G876" s="70"/>
      <c r="H876" s="63"/>
      <c r="I876" s="63"/>
      <c r="J876" s="63"/>
      <c r="K876" s="16" t="str">
        <f aca="false">IF(AND($A876="",$B876="",$C876="",$E876=""),"",IF($A876="","⚠ Date missing",IF(OR($B876="",$C876=""),"⚠ Site / material missing",IF(COUNTIFS(CI_Site,$B876,CI_Mat,$C876)=0,"⚠ No Current Inventory row for this site + material",IF($G876="","⚠ Status missing",IF(AND($G876="Scheduled",$A876&lt;=AsOfDate),"⚠ Scheduled date reached – mark Received or re-date",IF(AND($G876="Received",$A876&gt;AsOfDate),"Future-dated – added on its date",IF(AND($G876="Received",$A876&lt;SUMIFS(CI_Count,CI_Site,$B876,CI_Mat,$C876)),"Before count date – already in the count","OK"))))))))</f>
        <v/>
      </c>
    </row>
    <row r="877" customFormat="false" ht="15" hidden="false" customHeight="false" outlineLevel="0" collapsed="false">
      <c r="A877" s="65"/>
      <c r="B877" s="63"/>
      <c r="C877" s="70"/>
      <c r="D877" s="16" t="str">
        <f aca="false">IF($C877="","",IFERROR(INDEX(Mat_Short,MATCH($C877,Mat_Code,0)),"⚠ Unknown code"))</f>
        <v/>
      </c>
      <c r="E877" s="66"/>
      <c r="F877" s="64" t="str">
        <f aca="false">IF($C877="","",IFERROR(INDEX(Mat_Unit,MATCH($C877,Mat_Code,0)),""))</f>
        <v/>
      </c>
      <c r="G877" s="70"/>
      <c r="H877" s="63"/>
      <c r="I877" s="63"/>
      <c r="J877" s="63"/>
      <c r="K877" s="16" t="str">
        <f aca="false">IF(AND($A877="",$B877="",$C877="",$E877=""),"",IF($A877="","⚠ Date missing",IF(OR($B877="",$C877=""),"⚠ Site / material missing",IF(COUNTIFS(CI_Site,$B877,CI_Mat,$C877)=0,"⚠ No Current Inventory row for this site + material",IF($G877="","⚠ Status missing",IF(AND($G877="Scheduled",$A877&lt;=AsOfDate),"⚠ Scheduled date reached – mark Received or re-date",IF(AND($G877="Received",$A877&gt;AsOfDate),"Future-dated – added on its date",IF(AND($G877="Received",$A877&lt;SUMIFS(CI_Count,CI_Site,$B877,CI_Mat,$C877)),"Before count date – already in the count","OK"))))))))</f>
        <v/>
      </c>
    </row>
    <row r="878" customFormat="false" ht="15" hidden="false" customHeight="false" outlineLevel="0" collapsed="false">
      <c r="A878" s="65"/>
      <c r="B878" s="63"/>
      <c r="C878" s="70"/>
      <c r="D878" s="16" t="str">
        <f aca="false">IF($C878="","",IFERROR(INDEX(Mat_Short,MATCH($C878,Mat_Code,0)),"⚠ Unknown code"))</f>
        <v/>
      </c>
      <c r="E878" s="66"/>
      <c r="F878" s="64" t="str">
        <f aca="false">IF($C878="","",IFERROR(INDEX(Mat_Unit,MATCH($C878,Mat_Code,0)),""))</f>
        <v/>
      </c>
      <c r="G878" s="70"/>
      <c r="H878" s="63"/>
      <c r="I878" s="63"/>
      <c r="J878" s="63"/>
      <c r="K878" s="16" t="str">
        <f aca="false">IF(AND($A878="",$B878="",$C878="",$E878=""),"",IF($A878="","⚠ Date missing",IF(OR($B878="",$C878=""),"⚠ Site / material missing",IF(COUNTIFS(CI_Site,$B878,CI_Mat,$C878)=0,"⚠ No Current Inventory row for this site + material",IF($G878="","⚠ Status missing",IF(AND($G878="Scheduled",$A878&lt;=AsOfDate),"⚠ Scheduled date reached – mark Received or re-date",IF(AND($G878="Received",$A878&gt;AsOfDate),"Future-dated – added on its date",IF(AND($G878="Received",$A878&lt;SUMIFS(CI_Count,CI_Site,$B878,CI_Mat,$C878)),"Before count date – already in the count","OK"))))))))</f>
        <v/>
      </c>
    </row>
    <row r="879" customFormat="false" ht="15" hidden="false" customHeight="false" outlineLevel="0" collapsed="false">
      <c r="A879" s="65"/>
      <c r="B879" s="63"/>
      <c r="C879" s="70"/>
      <c r="D879" s="16" t="str">
        <f aca="false">IF($C879="","",IFERROR(INDEX(Mat_Short,MATCH($C879,Mat_Code,0)),"⚠ Unknown code"))</f>
        <v/>
      </c>
      <c r="E879" s="66"/>
      <c r="F879" s="64" t="str">
        <f aca="false">IF($C879="","",IFERROR(INDEX(Mat_Unit,MATCH($C879,Mat_Code,0)),""))</f>
        <v/>
      </c>
      <c r="G879" s="70"/>
      <c r="H879" s="63"/>
      <c r="I879" s="63"/>
      <c r="J879" s="63"/>
      <c r="K879" s="16" t="str">
        <f aca="false">IF(AND($A879="",$B879="",$C879="",$E879=""),"",IF($A879="","⚠ Date missing",IF(OR($B879="",$C879=""),"⚠ Site / material missing",IF(COUNTIFS(CI_Site,$B879,CI_Mat,$C879)=0,"⚠ No Current Inventory row for this site + material",IF($G879="","⚠ Status missing",IF(AND($G879="Scheduled",$A879&lt;=AsOfDate),"⚠ Scheduled date reached – mark Received or re-date",IF(AND($G879="Received",$A879&gt;AsOfDate),"Future-dated – added on its date",IF(AND($G879="Received",$A879&lt;SUMIFS(CI_Count,CI_Site,$B879,CI_Mat,$C879)),"Before count date – already in the count","OK"))))))))</f>
        <v/>
      </c>
    </row>
    <row r="880" customFormat="false" ht="15" hidden="false" customHeight="false" outlineLevel="0" collapsed="false">
      <c r="A880" s="65"/>
      <c r="B880" s="63"/>
      <c r="C880" s="70"/>
      <c r="D880" s="16" t="str">
        <f aca="false">IF($C880="","",IFERROR(INDEX(Mat_Short,MATCH($C880,Mat_Code,0)),"⚠ Unknown code"))</f>
        <v/>
      </c>
      <c r="E880" s="66"/>
      <c r="F880" s="64" t="str">
        <f aca="false">IF($C880="","",IFERROR(INDEX(Mat_Unit,MATCH($C880,Mat_Code,0)),""))</f>
        <v/>
      </c>
      <c r="G880" s="70"/>
      <c r="H880" s="63"/>
      <c r="I880" s="63"/>
      <c r="J880" s="63"/>
      <c r="K880" s="16" t="str">
        <f aca="false">IF(AND($A880="",$B880="",$C880="",$E880=""),"",IF($A880="","⚠ Date missing",IF(OR($B880="",$C880=""),"⚠ Site / material missing",IF(COUNTIFS(CI_Site,$B880,CI_Mat,$C880)=0,"⚠ No Current Inventory row for this site + material",IF($G880="","⚠ Status missing",IF(AND($G880="Scheduled",$A880&lt;=AsOfDate),"⚠ Scheduled date reached – mark Received or re-date",IF(AND($G880="Received",$A880&gt;AsOfDate),"Future-dated – added on its date",IF(AND($G880="Received",$A880&lt;SUMIFS(CI_Count,CI_Site,$B880,CI_Mat,$C880)),"Before count date – already in the count","OK"))))))))</f>
        <v/>
      </c>
    </row>
    <row r="881" customFormat="false" ht="15" hidden="false" customHeight="false" outlineLevel="0" collapsed="false">
      <c r="A881" s="65"/>
      <c r="B881" s="63"/>
      <c r="C881" s="70"/>
      <c r="D881" s="16" t="str">
        <f aca="false">IF($C881="","",IFERROR(INDEX(Mat_Short,MATCH($C881,Mat_Code,0)),"⚠ Unknown code"))</f>
        <v/>
      </c>
      <c r="E881" s="66"/>
      <c r="F881" s="64" t="str">
        <f aca="false">IF($C881="","",IFERROR(INDEX(Mat_Unit,MATCH($C881,Mat_Code,0)),""))</f>
        <v/>
      </c>
      <c r="G881" s="70"/>
      <c r="H881" s="63"/>
      <c r="I881" s="63"/>
      <c r="J881" s="63"/>
      <c r="K881" s="16" t="str">
        <f aca="false">IF(AND($A881="",$B881="",$C881="",$E881=""),"",IF($A881="","⚠ Date missing",IF(OR($B881="",$C881=""),"⚠ Site / material missing",IF(COUNTIFS(CI_Site,$B881,CI_Mat,$C881)=0,"⚠ No Current Inventory row for this site + material",IF($G881="","⚠ Status missing",IF(AND($G881="Scheduled",$A881&lt;=AsOfDate),"⚠ Scheduled date reached – mark Received or re-date",IF(AND($G881="Received",$A881&gt;AsOfDate),"Future-dated – added on its date",IF(AND($G881="Received",$A881&lt;SUMIFS(CI_Count,CI_Site,$B881,CI_Mat,$C881)),"Before count date – already in the count","OK"))))))))</f>
        <v/>
      </c>
    </row>
    <row r="882" customFormat="false" ht="15" hidden="false" customHeight="false" outlineLevel="0" collapsed="false">
      <c r="A882" s="65"/>
      <c r="B882" s="63"/>
      <c r="C882" s="70"/>
      <c r="D882" s="16" t="str">
        <f aca="false">IF($C882="","",IFERROR(INDEX(Mat_Short,MATCH($C882,Mat_Code,0)),"⚠ Unknown code"))</f>
        <v/>
      </c>
      <c r="E882" s="66"/>
      <c r="F882" s="64" t="str">
        <f aca="false">IF($C882="","",IFERROR(INDEX(Mat_Unit,MATCH($C882,Mat_Code,0)),""))</f>
        <v/>
      </c>
      <c r="G882" s="70"/>
      <c r="H882" s="63"/>
      <c r="I882" s="63"/>
      <c r="J882" s="63"/>
      <c r="K882" s="16" t="str">
        <f aca="false">IF(AND($A882="",$B882="",$C882="",$E882=""),"",IF($A882="","⚠ Date missing",IF(OR($B882="",$C882=""),"⚠ Site / material missing",IF(COUNTIFS(CI_Site,$B882,CI_Mat,$C882)=0,"⚠ No Current Inventory row for this site + material",IF($G882="","⚠ Status missing",IF(AND($G882="Scheduled",$A882&lt;=AsOfDate),"⚠ Scheduled date reached – mark Received or re-date",IF(AND($G882="Received",$A882&gt;AsOfDate),"Future-dated – added on its date",IF(AND($G882="Received",$A882&lt;SUMIFS(CI_Count,CI_Site,$B882,CI_Mat,$C882)),"Before count date – already in the count","OK"))))))))</f>
        <v/>
      </c>
    </row>
    <row r="883" customFormat="false" ht="15" hidden="false" customHeight="false" outlineLevel="0" collapsed="false">
      <c r="A883" s="65"/>
      <c r="B883" s="63"/>
      <c r="C883" s="70"/>
      <c r="D883" s="16" t="str">
        <f aca="false">IF($C883="","",IFERROR(INDEX(Mat_Short,MATCH($C883,Mat_Code,0)),"⚠ Unknown code"))</f>
        <v/>
      </c>
      <c r="E883" s="66"/>
      <c r="F883" s="64" t="str">
        <f aca="false">IF($C883="","",IFERROR(INDEX(Mat_Unit,MATCH($C883,Mat_Code,0)),""))</f>
        <v/>
      </c>
      <c r="G883" s="70"/>
      <c r="H883" s="63"/>
      <c r="I883" s="63"/>
      <c r="J883" s="63"/>
      <c r="K883" s="16" t="str">
        <f aca="false">IF(AND($A883="",$B883="",$C883="",$E883=""),"",IF($A883="","⚠ Date missing",IF(OR($B883="",$C883=""),"⚠ Site / material missing",IF(COUNTIFS(CI_Site,$B883,CI_Mat,$C883)=0,"⚠ No Current Inventory row for this site + material",IF($G883="","⚠ Status missing",IF(AND($G883="Scheduled",$A883&lt;=AsOfDate),"⚠ Scheduled date reached – mark Received or re-date",IF(AND($G883="Received",$A883&gt;AsOfDate),"Future-dated – added on its date",IF(AND($G883="Received",$A883&lt;SUMIFS(CI_Count,CI_Site,$B883,CI_Mat,$C883)),"Before count date – already in the count","OK"))))))))</f>
        <v/>
      </c>
    </row>
    <row r="884" customFormat="false" ht="15" hidden="false" customHeight="false" outlineLevel="0" collapsed="false">
      <c r="A884" s="65"/>
      <c r="B884" s="63"/>
      <c r="C884" s="70"/>
      <c r="D884" s="16" t="str">
        <f aca="false">IF($C884="","",IFERROR(INDEX(Mat_Short,MATCH($C884,Mat_Code,0)),"⚠ Unknown code"))</f>
        <v/>
      </c>
      <c r="E884" s="66"/>
      <c r="F884" s="64" t="str">
        <f aca="false">IF($C884="","",IFERROR(INDEX(Mat_Unit,MATCH($C884,Mat_Code,0)),""))</f>
        <v/>
      </c>
      <c r="G884" s="70"/>
      <c r="H884" s="63"/>
      <c r="I884" s="63"/>
      <c r="J884" s="63"/>
      <c r="K884" s="16" t="str">
        <f aca="false">IF(AND($A884="",$B884="",$C884="",$E884=""),"",IF($A884="","⚠ Date missing",IF(OR($B884="",$C884=""),"⚠ Site / material missing",IF(COUNTIFS(CI_Site,$B884,CI_Mat,$C884)=0,"⚠ No Current Inventory row for this site + material",IF($G884="","⚠ Status missing",IF(AND($G884="Scheduled",$A884&lt;=AsOfDate),"⚠ Scheduled date reached – mark Received or re-date",IF(AND($G884="Received",$A884&gt;AsOfDate),"Future-dated – added on its date",IF(AND($G884="Received",$A884&lt;SUMIFS(CI_Count,CI_Site,$B884,CI_Mat,$C884)),"Before count date – already in the count","OK"))))))))</f>
        <v/>
      </c>
    </row>
    <row r="885" customFormat="false" ht="15" hidden="false" customHeight="false" outlineLevel="0" collapsed="false">
      <c r="A885" s="65"/>
      <c r="B885" s="63"/>
      <c r="C885" s="70"/>
      <c r="D885" s="16" t="str">
        <f aca="false">IF($C885="","",IFERROR(INDEX(Mat_Short,MATCH($C885,Mat_Code,0)),"⚠ Unknown code"))</f>
        <v/>
      </c>
      <c r="E885" s="66"/>
      <c r="F885" s="64" t="str">
        <f aca="false">IF($C885="","",IFERROR(INDEX(Mat_Unit,MATCH($C885,Mat_Code,0)),""))</f>
        <v/>
      </c>
      <c r="G885" s="70"/>
      <c r="H885" s="63"/>
      <c r="I885" s="63"/>
      <c r="J885" s="63"/>
      <c r="K885" s="16" t="str">
        <f aca="false">IF(AND($A885="",$B885="",$C885="",$E885=""),"",IF($A885="","⚠ Date missing",IF(OR($B885="",$C885=""),"⚠ Site / material missing",IF(COUNTIFS(CI_Site,$B885,CI_Mat,$C885)=0,"⚠ No Current Inventory row for this site + material",IF($G885="","⚠ Status missing",IF(AND($G885="Scheduled",$A885&lt;=AsOfDate),"⚠ Scheduled date reached – mark Received or re-date",IF(AND($G885="Received",$A885&gt;AsOfDate),"Future-dated – added on its date",IF(AND($G885="Received",$A885&lt;SUMIFS(CI_Count,CI_Site,$B885,CI_Mat,$C885)),"Before count date – already in the count","OK"))))))))</f>
        <v/>
      </c>
    </row>
    <row r="886" customFormat="false" ht="15" hidden="false" customHeight="false" outlineLevel="0" collapsed="false">
      <c r="A886" s="65"/>
      <c r="B886" s="63"/>
      <c r="C886" s="70"/>
      <c r="D886" s="16" t="str">
        <f aca="false">IF($C886="","",IFERROR(INDEX(Mat_Short,MATCH($C886,Mat_Code,0)),"⚠ Unknown code"))</f>
        <v/>
      </c>
      <c r="E886" s="66"/>
      <c r="F886" s="64" t="str">
        <f aca="false">IF($C886="","",IFERROR(INDEX(Mat_Unit,MATCH($C886,Mat_Code,0)),""))</f>
        <v/>
      </c>
      <c r="G886" s="70"/>
      <c r="H886" s="63"/>
      <c r="I886" s="63"/>
      <c r="J886" s="63"/>
      <c r="K886" s="16" t="str">
        <f aca="false">IF(AND($A886="",$B886="",$C886="",$E886=""),"",IF($A886="","⚠ Date missing",IF(OR($B886="",$C886=""),"⚠ Site / material missing",IF(COUNTIFS(CI_Site,$B886,CI_Mat,$C886)=0,"⚠ No Current Inventory row for this site + material",IF($G886="","⚠ Status missing",IF(AND($G886="Scheduled",$A886&lt;=AsOfDate),"⚠ Scheduled date reached – mark Received or re-date",IF(AND($G886="Received",$A886&gt;AsOfDate),"Future-dated – added on its date",IF(AND($G886="Received",$A886&lt;SUMIFS(CI_Count,CI_Site,$B886,CI_Mat,$C886)),"Before count date – already in the count","OK"))))))))</f>
        <v/>
      </c>
    </row>
    <row r="887" customFormat="false" ht="15" hidden="false" customHeight="false" outlineLevel="0" collapsed="false">
      <c r="A887" s="65"/>
      <c r="B887" s="63"/>
      <c r="C887" s="70"/>
      <c r="D887" s="16" t="str">
        <f aca="false">IF($C887="","",IFERROR(INDEX(Mat_Short,MATCH($C887,Mat_Code,0)),"⚠ Unknown code"))</f>
        <v/>
      </c>
      <c r="E887" s="66"/>
      <c r="F887" s="64" t="str">
        <f aca="false">IF($C887="","",IFERROR(INDEX(Mat_Unit,MATCH($C887,Mat_Code,0)),""))</f>
        <v/>
      </c>
      <c r="G887" s="70"/>
      <c r="H887" s="63"/>
      <c r="I887" s="63"/>
      <c r="J887" s="63"/>
      <c r="K887" s="16" t="str">
        <f aca="false">IF(AND($A887="",$B887="",$C887="",$E887=""),"",IF($A887="","⚠ Date missing",IF(OR($B887="",$C887=""),"⚠ Site / material missing",IF(COUNTIFS(CI_Site,$B887,CI_Mat,$C887)=0,"⚠ No Current Inventory row for this site + material",IF($G887="","⚠ Status missing",IF(AND($G887="Scheduled",$A887&lt;=AsOfDate),"⚠ Scheduled date reached – mark Received or re-date",IF(AND($G887="Received",$A887&gt;AsOfDate),"Future-dated – added on its date",IF(AND($G887="Received",$A887&lt;SUMIFS(CI_Count,CI_Site,$B887,CI_Mat,$C887)),"Before count date – already in the count","OK"))))))))</f>
        <v/>
      </c>
    </row>
    <row r="888" customFormat="false" ht="15" hidden="false" customHeight="false" outlineLevel="0" collapsed="false">
      <c r="A888" s="65"/>
      <c r="B888" s="63"/>
      <c r="C888" s="70"/>
      <c r="D888" s="16" t="str">
        <f aca="false">IF($C888="","",IFERROR(INDEX(Mat_Short,MATCH($C888,Mat_Code,0)),"⚠ Unknown code"))</f>
        <v/>
      </c>
      <c r="E888" s="66"/>
      <c r="F888" s="64" t="str">
        <f aca="false">IF($C888="","",IFERROR(INDEX(Mat_Unit,MATCH($C888,Mat_Code,0)),""))</f>
        <v/>
      </c>
      <c r="G888" s="70"/>
      <c r="H888" s="63"/>
      <c r="I888" s="63"/>
      <c r="J888" s="63"/>
      <c r="K888" s="16" t="str">
        <f aca="false">IF(AND($A888="",$B888="",$C888="",$E888=""),"",IF($A888="","⚠ Date missing",IF(OR($B888="",$C888=""),"⚠ Site / material missing",IF(COUNTIFS(CI_Site,$B888,CI_Mat,$C888)=0,"⚠ No Current Inventory row for this site + material",IF($G888="","⚠ Status missing",IF(AND($G888="Scheduled",$A888&lt;=AsOfDate),"⚠ Scheduled date reached – mark Received or re-date",IF(AND($G888="Received",$A888&gt;AsOfDate),"Future-dated – added on its date",IF(AND($G888="Received",$A888&lt;SUMIFS(CI_Count,CI_Site,$B888,CI_Mat,$C888)),"Before count date – already in the count","OK"))))))))</f>
        <v/>
      </c>
    </row>
    <row r="889" customFormat="false" ht="15" hidden="false" customHeight="false" outlineLevel="0" collapsed="false">
      <c r="A889" s="65"/>
      <c r="B889" s="63"/>
      <c r="C889" s="70"/>
      <c r="D889" s="16" t="str">
        <f aca="false">IF($C889="","",IFERROR(INDEX(Mat_Short,MATCH($C889,Mat_Code,0)),"⚠ Unknown code"))</f>
        <v/>
      </c>
      <c r="E889" s="66"/>
      <c r="F889" s="64" t="str">
        <f aca="false">IF($C889="","",IFERROR(INDEX(Mat_Unit,MATCH($C889,Mat_Code,0)),""))</f>
        <v/>
      </c>
      <c r="G889" s="70"/>
      <c r="H889" s="63"/>
      <c r="I889" s="63"/>
      <c r="J889" s="63"/>
      <c r="K889" s="16" t="str">
        <f aca="false">IF(AND($A889="",$B889="",$C889="",$E889=""),"",IF($A889="","⚠ Date missing",IF(OR($B889="",$C889=""),"⚠ Site / material missing",IF(COUNTIFS(CI_Site,$B889,CI_Mat,$C889)=0,"⚠ No Current Inventory row for this site + material",IF($G889="","⚠ Status missing",IF(AND($G889="Scheduled",$A889&lt;=AsOfDate),"⚠ Scheduled date reached – mark Received or re-date",IF(AND($G889="Received",$A889&gt;AsOfDate),"Future-dated – added on its date",IF(AND($G889="Received",$A889&lt;SUMIFS(CI_Count,CI_Site,$B889,CI_Mat,$C889)),"Before count date – already in the count","OK"))))))))</f>
        <v/>
      </c>
    </row>
    <row r="890" customFormat="false" ht="15" hidden="false" customHeight="false" outlineLevel="0" collapsed="false">
      <c r="A890" s="65"/>
      <c r="B890" s="63"/>
      <c r="C890" s="70"/>
      <c r="D890" s="16" t="str">
        <f aca="false">IF($C890="","",IFERROR(INDEX(Mat_Short,MATCH($C890,Mat_Code,0)),"⚠ Unknown code"))</f>
        <v/>
      </c>
      <c r="E890" s="66"/>
      <c r="F890" s="64" t="str">
        <f aca="false">IF($C890="","",IFERROR(INDEX(Mat_Unit,MATCH($C890,Mat_Code,0)),""))</f>
        <v/>
      </c>
      <c r="G890" s="70"/>
      <c r="H890" s="63"/>
      <c r="I890" s="63"/>
      <c r="J890" s="63"/>
      <c r="K890" s="16" t="str">
        <f aca="false">IF(AND($A890="",$B890="",$C890="",$E890=""),"",IF($A890="","⚠ Date missing",IF(OR($B890="",$C890=""),"⚠ Site / material missing",IF(COUNTIFS(CI_Site,$B890,CI_Mat,$C890)=0,"⚠ No Current Inventory row for this site + material",IF($G890="","⚠ Status missing",IF(AND($G890="Scheduled",$A890&lt;=AsOfDate),"⚠ Scheduled date reached – mark Received or re-date",IF(AND($G890="Received",$A890&gt;AsOfDate),"Future-dated – added on its date",IF(AND($G890="Received",$A890&lt;SUMIFS(CI_Count,CI_Site,$B890,CI_Mat,$C890)),"Before count date – already in the count","OK"))))))))</f>
        <v/>
      </c>
    </row>
    <row r="891" customFormat="false" ht="15" hidden="false" customHeight="false" outlineLevel="0" collapsed="false">
      <c r="A891" s="65"/>
      <c r="B891" s="63"/>
      <c r="C891" s="70"/>
      <c r="D891" s="16" t="str">
        <f aca="false">IF($C891="","",IFERROR(INDEX(Mat_Short,MATCH($C891,Mat_Code,0)),"⚠ Unknown code"))</f>
        <v/>
      </c>
      <c r="E891" s="66"/>
      <c r="F891" s="64" t="str">
        <f aca="false">IF($C891="","",IFERROR(INDEX(Mat_Unit,MATCH($C891,Mat_Code,0)),""))</f>
        <v/>
      </c>
      <c r="G891" s="70"/>
      <c r="H891" s="63"/>
      <c r="I891" s="63"/>
      <c r="J891" s="63"/>
      <c r="K891" s="16" t="str">
        <f aca="false">IF(AND($A891="",$B891="",$C891="",$E891=""),"",IF($A891="","⚠ Date missing",IF(OR($B891="",$C891=""),"⚠ Site / material missing",IF(COUNTIFS(CI_Site,$B891,CI_Mat,$C891)=0,"⚠ No Current Inventory row for this site + material",IF($G891="","⚠ Status missing",IF(AND($G891="Scheduled",$A891&lt;=AsOfDate),"⚠ Scheduled date reached – mark Received or re-date",IF(AND($G891="Received",$A891&gt;AsOfDate),"Future-dated – added on its date",IF(AND($G891="Received",$A891&lt;SUMIFS(CI_Count,CI_Site,$B891,CI_Mat,$C891)),"Before count date – already in the count","OK"))))))))</f>
        <v/>
      </c>
    </row>
    <row r="892" customFormat="false" ht="15" hidden="false" customHeight="false" outlineLevel="0" collapsed="false">
      <c r="A892" s="65"/>
      <c r="B892" s="63"/>
      <c r="C892" s="70"/>
      <c r="D892" s="16" t="str">
        <f aca="false">IF($C892="","",IFERROR(INDEX(Mat_Short,MATCH($C892,Mat_Code,0)),"⚠ Unknown code"))</f>
        <v/>
      </c>
      <c r="E892" s="66"/>
      <c r="F892" s="64" t="str">
        <f aca="false">IF($C892="","",IFERROR(INDEX(Mat_Unit,MATCH($C892,Mat_Code,0)),""))</f>
        <v/>
      </c>
      <c r="G892" s="70"/>
      <c r="H892" s="63"/>
      <c r="I892" s="63"/>
      <c r="J892" s="63"/>
      <c r="K892" s="16" t="str">
        <f aca="false">IF(AND($A892="",$B892="",$C892="",$E892=""),"",IF($A892="","⚠ Date missing",IF(OR($B892="",$C892=""),"⚠ Site / material missing",IF(COUNTIFS(CI_Site,$B892,CI_Mat,$C892)=0,"⚠ No Current Inventory row for this site + material",IF($G892="","⚠ Status missing",IF(AND($G892="Scheduled",$A892&lt;=AsOfDate),"⚠ Scheduled date reached – mark Received or re-date",IF(AND($G892="Received",$A892&gt;AsOfDate),"Future-dated – added on its date",IF(AND($G892="Received",$A892&lt;SUMIFS(CI_Count,CI_Site,$B892,CI_Mat,$C892)),"Before count date – already in the count","OK"))))))))</f>
        <v/>
      </c>
    </row>
    <row r="893" customFormat="false" ht="15" hidden="false" customHeight="false" outlineLevel="0" collapsed="false">
      <c r="A893" s="65"/>
      <c r="B893" s="63"/>
      <c r="C893" s="70"/>
      <c r="D893" s="16" t="str">
        <f aca="false">IF($C893="","",IFERROR(INDEX(Mat_Short,MATCH($C893,Mat_Code,0)),"⚠ Unknown code"))</f>
        <v/>
      </c>
      <c r="E893" s="66"/>
      <c r="F893" s="64" t="str">
        <f aca="false">IF($C893="","",IFERROR(INDEX(Mat_Unit,MATCH($C893,Mat_Code,0)),""))</f>
        <v/>
      </c>
      <c r="G893" s="70"/>
      <c r="H893" s="63"/>
      <c r="I893" s="63"/>
      <c r="J893" s="63"/>
      <c r="K893" s="16" t="str">
        <f aca="false">IF(AND($A893="",$B893="",$C893="",$E893=""),"",IF($A893="","⚠ Date missing",IF(OR($B893="",$C893=""),"⚠ Site / material missing",IF(COUNTIFS(CI_Site,$B893,CI_Mat,$C893)=0,"⚠ No Current Inventory row for this site + material",IF($G893="","⚠ Status missing",IF(AND($G893="Scheduled",$A893&lt;=AsOfDate),"⚠ Scheduled date reached – mark Received or re-date",IF(AND($G893="Received",$A893&gt;AsOfDate),"Future-dated – added on its date",IF(AND($G893="Received",$A893&lt;SUMIFS(CI_Count,CI_Site,$B893,CI_Mat,$C893)),"Before count date – already in the count","OK"))))))))</f>
        <v/>
      </c>
    </row>
    <row r="894" customFormat="false" ht="15" hidden="false" customHeight="false" outlineLevel="0" collapsed="false">
      <c r="A894" s="65"/>
      <c r="B894" s="63"/>
      <c r="C894" s="70"/>
      <c r="D894" s="16" t="str">
        <f aca="false">IF($C894="","",IFERROR(INDEX(Mat_Short,MATCH($C894,Mat_Code,0)),"⚠ Unknown code"))</f>
        <v/>
      </c>
      <c r="E894" s="66"/>
      <c r="F894" s="64" t="str">
        <f aca="false">IF($C894="","",IFERROR(INDEX(Mat_Unit,MATCH($C894,Mat_Code,0)),""))</f>
        <v/>
      </c>
      <c r="G894" s="70"/>
      <c r="H894" s="63"/>
      <c r="I894" s="63"/>
      <c r="J894" s="63"/>
      <c r="K894" s="16" t="str">
        <f aca="false">IF(AND($A894="",$B894="",$C894="",$E894=""),"",IF($A894="","⚠ Date missing",IF(OR($B894="",$C894=""),"⚠ Site / material missing",IF(COUNTIFS(CI_Site,$B894,CI_Mat,$C894)=0,"⚠ No Current Inventory row for this site + material",IF($G894="","⚠ Status missing",IF(AND($G894="Scheduled",$A894&lt;=AsOfDate),"⚠ Scheduled date reached – mark Received or re-date",IF(AND($G894="Received",$A894&gt;AsOfDate),"Future-dated – added on its date",IF(AND($G894="Received",$A894&lt;SUMIFS(CI_Count,CI_Site,$B894,CI_Mat,$C894)),"Before count date – already in the count","OK"))))))))</f>
        <v/>
      </c>
    </row>
    <row r="895" customFormat="false" ht="15" hidden="false" customHeight="false" outlineLevel="0" collapsed="false">
      <c r="A895" s="65"/>
      <c r="B895" s="63"/>
      <c r="C895" s="70"/>
      <c r="D895" s="16" t="str">
        <f aca="false">IF($C895="","",IFERROR(INDEX(Mat_Short,MATCH($C895,Mat_Code,0)),"⚠ Unknown code"))</f>
        <v/>
      </c>
      <c r="E895" s="66"/>
      <c r="F895" s="64" t="str">
        <f aca="false">IF($C895="","",IFERROR(INDEX(Mat_Unit,MATCH($C895,Mat_Code,0)),""))</f>
        <v/>
      </c>
      <c r="G895" s="70"/>
      <c r="H895" s="63"/>
      <c r="I895" s="63"/>
      <c r="J895" s="63"/>
      <c r="K895" s="16" t="str">
        <f aca="false">IF(AND($A895="",$B895="",$C895="",$E895=""),"",IF($A895="","⚠ Date missing",IF(OR($B895="",$C895=""),"⚠ Site / material missing",IF(COUNTIFS(CI_Site,$B895,CI_Mat,$C895)=0,"⚠ No Current Inventory row for this site + material",IF($G895="","⚠ Status missing",IF(AND($G895="Scheduled",$A895&lt;=AsOfDate),"⚠ Scheduled date reached – mark Received or re-date",IF(AND($G895="Received",$A895&gt;AsOfDate),"Future-dated – added on its date",IF(AND($G895="Received",$A895&lt;SUMIFS(CI_Count,CI_Site,$B895,CI_Mat,$C895)),"Before count date – already in the count","OK"))))))))</f>
        <v/>
      </c>
    </row>
    <row r="896" customFormat="false" ht="15" hidden="false" customHeight="false" outlineLevel="0" collapsed="false">
      <c r="A896" s="65"/>
      <c r="B896" s="63"/>
      <c r="C896" s="70"/>
      <c r="D896" s="16" t="str">
        <f aca="false">IF($C896="","",IFERROR(INDEX(Mat_Short,MATCH($C896,Mat_Code,0)),"⚠ Unknown code"))</f>
        <v/>
      </c>
      <c r="E896" s="66"/>
      <c r="F896" s="64" t="str">
        <f aca="false">IF($C896="","",IFERROR(INDEX(Mat_Unit,MATCH($C896,Mat_Code,0)),""))</f>
        <v/>
      </c>
      <c r="G896" s="70"/>
      <c r="H896" s="63"/>
      <c r="I896" s="63"/>
      <c r="J896" s="63"/>
      <c r="K896" s="16" t="str">
        <f aca="false">IF(AND($A896="",$B896="",$C896="",$E896=""),"",IF($A896="","⚠ Date missing",IF(OR($B896="",$C896=""),"⚠ Site / material missing",IF(COUNTIFS(CI_Site,$B896,CI_Mat,$C896)=0,"⚠ No Current Inventory row for this site + material",IF($G896="","⚠ Status missing",IF(AND($G896="Scheduled",$A896&lt;=AsOfDate),"⚠ Scheduled date reached – mark Received or re-date",IF(AND($G896="Received",$A896&gt;AsOfDate),"Future-dated – added on its date",IF(AND($G896="Received",$A896&lt;SUMIFS(CI_Count,CI_Site,$B896,CI_Mat,$C896)),"Before count date – already in the count","OK"))))))))</f>
        <v/>
      </c>
    </row>
    <row r="897" customFormat="false" ht="15" hidden="false" customHeight="false" outlineLevel="0" collapsed="false">
      <c r="A897" s="65"/>
      <c r="B897" s="63"/>
      <c r="C897" s="70"/>
      <c r="D897" s="16" t="str">
        <f aca="false">IF($C897="","",IFERROR(INDEX(Mat_Short,MATCH($C897,Mat_Code,0)),"⚠ Unknown code"))</f>
        <v/>
      </c>
      <c r="E897" s="66"/>
      <c r="F897" s="64" t="str">
        <f aca="false">IF($C897="","",IFERROR(INDEX(Mat_Unit,MATCH($C897,Mat_Code,0)),""))</f>
        <v/>
      </c>
      <c r="G897" s="70"/>
      <c r="H897" s="63"/>
      <c r="I897" s="63"/>
      <c r="J897" s="63"/>
      <c r="K897" s="16" t="str">
        <f aca="false">IF(AND($A897="",$B897="",$C897="",$E897=""),"",IF($A897="","⚠ Date missing",IF(OR($B897="",$C897=""),"⚠ Site / material missing",IF(COUNTIFS(CI_Site,$B897,CI_Mat,$C897)=0,"⚠ No Current Inventory row for this site + material",IF($G897="","⚠ Status missing",IF(AND($G897="Scheduled",$A897&lt;=AsOfDate),"⚠ Scheduled date reached – mark Received or re-date",IF(AND($G897="Received",$A897&gt;AsOfDate),"Future-dated – added on its date",IF(AND($G897="Received",$A897&lt;SUMIFS(CI_Count,CI_Site,$B897,CI_Mat,$C897)),"Before count date – already in the count","OK"))))))))</f>
        <v/>
      </c>
    </row>
    <row r="898" customFormat="false" ht="15" hidden="false" customHeight="false" outlineLevel="0" collapsed="false">
      <c r="A898" s="65"/>
      <c r="B898" s="63"/>
      <c r="C898" s="70"/>
      <c r="D898" s="16" t="str">
        <f aca="false">IF($C898="","",IFERROR(INDEX(Mat_Short,MATCH($C898,Mat_Code,0)),"⚠ Unknown code"))</f>
        <v/>
      </c>
      <c r="E898" s="66"/>
      <c r="F898" s="64" t="str">
        <f aca="false">IF($C898="","",IFERROR(INDEX(Mat_Unit,MATCH($C898,Mat_Code,0)),""))</f>
        <v/>
      </c>
      <c r="G898" s="70"/>
      <c r="H898" s="63"/>
      <c r="I898" s="63"/>
      <c r="J898" s="63"/>
      <c r="K898" s="16" t="str">
        <f aca="false">IF(AND($A898="",$B898="",$C898="",$E898=""),"",IF($A898="","⚠ Date missing",IF(OR($B898="",$C898=""),"⚠ Site / material missing",IF(COUNTIFS(CI_Site,$B898,CI_Mat,$C898)=0,"⚠ No Current Inventory row for this site + material",IF($G898="","⚠ Status missing",IF(AND($G898="Scheduled",$A898&lt;=AsOfDate),"⚠ Scheduled date reached – mark Received or re-date",IF(AND($G898="Received",$A898&gt;AsOfDate),"Future-dated – added on its date",IF(AND($G898="Received",$A898&lt;SUMIFS(CI_Count,CI_Site,$B898,CI_Mat,$C898)),"Before count date – already in the count","OK"))))))))</f>
        <v/>
      </c>
    </row>
    <row r="899" customFormat="false" ht="15" hidden="false" customHeight="false" outlineLevel="0" collapsed="false">
      <c r="A899" s="65"/>
      <c r="B899" s="63"/>
      <c r="C899" s="70"/>
      <c r="D899" s="16" t="str">
        <f aca="false">IF($C899="","",IFERROR(INDEX(Mat_Short,MATCH($C899,Mat_Code,0)),"⚠ Unknown code"))</f>
        <v/>
      </c>
      <c r="E899" s="66"/>
      <c r="F899" s="64" t="str">
        <f aca="false">IF($C899="","",IFERROR(INDEX(Mat_Unit,MATCH($C899,Mat_Code,0)),""))</f>
        <v/>
      </c>
      <c r="G899" s="70"/>
      <c r="H899" s="63"/>
      <c r="I899" s="63"/>
      <c r="J899" s="63"/>
      <c r="K899" s="16" t="str">
        <f aca="false">IF(AND($A899="",$B899="",$C899="",$E899=""),"",IF($A899="","⚠ Date missing",IF(OR($B899="",$C899=""),"⚠ Site / material missing",IF(COUNTIFS(CI_Site,$B899,CI_Mat,$C899)=0,"⚠ No Current Inventory row for this site + material",IF($G899="","⚠ Status missing",IF(AND($G899="Scheduled",$A899&lt;=AsOfDate),"⚠ Scheduled date reached – mark Received or re-date",IF(AND($G899="Received",$A899&gt;AsOfDate),"Future-dated – added on its date",IF(AND($G899="Received",$A899&lt;SUMIFS(CI_Count,CI_Site,$B899,CI_Mat,$C899)),"Before count date – already in the count","OK"))))))))</f>
        <v/>
      </c>
    </row>
    <row r="900" customFormat="false" ht="15" hidden="false" customHeight="false" outlineLevel="0" collapsed="false">
      <c r="A900" s="65"/>
      <c r="B900" s="63"/>
      <c r="C900" s="70"/>
      <c r="D900" s="16" t="str">
        <f aca="false">IF($C900="","",IFERROR(INDEX(Mat_Short,MATCH($C900,Mat_Code,0)),"⚠ Unknown code"))</f>
        <v/>
      </c>
      <c r="E900" s="66"/>
      <c r="F900" s="64" t="str">
        <f aca="false">IF($C900="","",IFERROR(INDEX(Mat_Unit,MATCH($C900,Mat_Code,0)),""))</f>
        <v/>
      </c>
      <c r="G900" s="70"/>
      <c r="H900" s="63"/>
      <c r="I900" s="63"/>
      <c r="J900" s="63"/>
      <c r="K900" s="16" t="str">
        <f aca="false">IF(AND($A900="",$B900="",$C900="",$E900=""),"",IF($A900="","⚠ Date missing",IF(OR($B900="",$C900=""),"⚠ Site / material missing",IF(COUNTIFS(CI_Site,$B900,CI_Mat,$C900)=0,"⚠ No Current Inventory row for this site + material",IF($G900="","⚠ Status missing",IF(AND($G900="Scheduled",$A900&lt;=AsOfDate),"⚠ Scheduled date reached – mark Received or re-date",IF(AND($G900="Received",$A900&gt;AsOfDate),"Future-dated – added on its date",IF(AND($G900="Received",$A900&lt;SUMIFS(CI_Count,CI_Site,$B900,CI_Mat,$C900)),"Before count date – already in the count","OK"))))))))</f>
        <v/>
      </c>
    </row>
    <row r="901" customFormat="false" ht="15" hidden="false" customHeight="false" outlineLevel="0" collapsed="false">
      <c r="A901" s="65"/>
      <c r="B901" s="63"/>
      <c r="C901" s="70"/>
      <c r="D901" s="16" t="str">
        <f aca="false">IF($C901="","",IFERROR(INDEX(Mat_Short,MATCH($C901,Mat_Code,0)),"⚠ Unknown code"))</f>
        <v/>
      </c>
      <c r="E901" s="66"/>
      <c r="F901" s="64" t="str">
        <f aca="false">IF($C901="","",IFERROR(INDEX(Mat_Unit,MATCH($C901,Mat_Code,0)),""))</f>
        <v/>
      </c>
      <c r="G901" s="70"/>
      <c r="H901" s="63"/>
      <c r="I901" s="63"/>
      <c r="J901" s="63"/>
      <c r="K901" s="16" t="str">
        <f aca="false">IF(AND($A901="",$B901="",$C901="",$E901=""),"",IF($A901="","⚠ Date missing",IF(OR($B901="",$C901=""),"⚠ Site / material missing",IF(COUNTIFS(CI_Site,$B901,CI_Mat,$C901)=0,"⚠ No Current Inventory row for this site + material",IF($G901="","⚠ Status missing",IF(AND($G901="Scheduled",$A901&lt;=AsOfDate),"⚠ Scheduled date reached – mark Received or re-date",IF(AND($G901="Received",$A901&gt;AsOfDate),"Future-dated – added on its date",IF(AND($G901="Received",$A901&lt;SUMIFS(CI_Count,CI_Site,$B901,CI_Mat,$C901)),"Before count date – already in the count","OK"))))))))</f>
        <v/>
      </c>
    </row>
    <row r="902" customFormat="false" ht="15" hidden="false" customHeight="false" outlineLevel="0" collapsed="false">
      <c r="A902" s="65"/>
      <c r="B902" s="63"/>
      <c r="C902" s="70"/>
      <c r="D902" s="16" t="str">
        <f aca="false">IF($C902="","",IFERROR(INDEX(Mat_Short,MATCH($C902,Mat_Code,0)),"⚠ Unknown code"))</f>
        <v/>
      </c>
      <c r="E902" s="66"/>
      <c r="F902" s="64" t="str">
        <f aca="false">IF($C902="","",IFERROR(INDEX(Mat_Unit,MATCH($C902,Mat_Code,0)),""))</f>
        <v/>
      </c>
      <c r="G902" s="70"/>
      <c r="H902" s="63"/>
      <c r="I902" s="63"/>
      <c r="J902" s="63"/>
      <c r="K902" s="16" t="str">
        <f aca="false">IF(AND($A902="",$B902="",$C902="",$E902=""),"",IF($A902="","⚠ Date missing",IF(OR($B902="",$C902=""),"⚠ Site / material missing",IF(COUNTIFS(CI_Site,$B902,CI_Mat,$C902)=0,"⚠ No Current Inventory row for this site + material",IF($G902="","⚠ Status missing",IF(AND($G902="Scheduled",$A902&lt;=AsOfDate),"⚠ Scheduled date reached – mark Received or re-date",IF(AND($G902="Received",$A902&gt;AsOfDate),"Future-dated – added on its date",IF(AND($G902="Received",$A902&lt;SUMIFS(CI_Count,CI_Site,$B902,CI_Mat,$C902)),"Before count date – already in the count","OK"))))))))</f>
        <v/>
      </c>
    </row>
    <row r="903" customFormat="false" ht="15" hidden="false" customHeight="false" outlineLevel="0" collapsed="false">
      <c r="A903" s="65"/>
      <c r="B903" s="63"/>
      <c r="C903" s="70"/>
      <c r="D903" s="16" t="str">
        <f aca="false">IF($C903="","",IFERROR(INDEX(Mat_Short,MATCH($C903,Mat_Code,0)),"⚠ Unknown code"))</f>
        <v/>
      </c>
      <c r="E903" s="66"/>
      <c r="F903" s="64" t="str">
        <f aca="false">IF($C903="","",IFERROR(INDEX(Mat_Unit,MATCH($C903,Mat_Code,0)),""))</f>
        <v/>
      </c>
      <c r="G903" s="70"/>
      <c r="H903" s="63"/>
      <c r="I903" s="63"/>
      <c r="J903" s="63"/>
      <c r="K903" s="16" t="str">
        <f aca="false">IF(AND($A903="",$B903="",$C903="",$E903=""),"",IF($A903="","⚠ Date missing",IF(OR($B903="",$C903=""),"⚠ Site / material missing",IF(COUNTIFS(CI_Site,$B903,CI_Mat,$C903)=0,"⚠ No Current Inventory row for this site + material",IF($G903="","⚠ Status missing",IF(AND($G903="Scheduled",$A903&lt;=AsOfDate),"⚠ Scheduled date reached – mark Received or re-date",IF(AND($G903="Received",$A903&gt;AsOfDate),"Future-dated – added on its date",IF(AND($G903="Received",$A903&lt;SUMIFS(CI_Count,CI_Site,$B903,CI_Mat,$C903)),"Before count date – already in the count","OK"))))))))</f>
        <v/>
      </c>
    </row>
    <row r="904" customFormat="false" ht="15" hidden="false" customHeight="false" outlineLevel="0" collapsed="false">
      <c r="A904" s="65"/>
      <c r="B904" s="63"/>
      <c r="C904" s="70"/>
      <c r="D904" s="16" t="str">
        <f aca="false">IF($C904="","",IFERROR(INDEX(Mat_Short,MATCH($C904,Mat_Code,0)),"⚠ Unknown code"))</f>
        <v/>
      </c>
      <c r="E904" s="66"/>
      <c r="F904" s="64" t="str">
        <f aca="false">IF($C904="","",IFERROR(INDEX(Mat_Unit,MATCH($C904,Mat_Code,0)),""))</f>
        <v/>
      </c>
      <c r="G904" s="70"/>
      <c r="H904" s="63"/>
      <c r="I904" s="63"/>
      <c r="J904" s="63"/>
      <c r="K904" s="16" t="str">
        <f aca="false">IF(AND($A904="",$B904="",$C904="",$E904=""),"",IF($A904="","⚠ Date missing",IF(OR($B904="",$C904=""),"⚠ Site / material missing",IF(COUNTIFS(CI_Site,$B904,CI_Mat,$C904)=0,"⚠ No Current Inventory row for this site + material",IF($G904="","⚠ Status missing",IF(AND($G904="Scheduled",$A904&lt;=AsOfDate),"⚠ Scheduled date reached – mark Received or re-date",IF(AND($G904="Received",$A904&gt;AsOfDate),"Future-dated – added on its date",IF(AND($G904="Received",$A904&lt;SUMIFS(CI_Count,CI_Site,$B904,CI_Mat,$C904)),"Before count date – already in the count","OK"))))))))</f>
        <v/>
      </c>
    </row>
    <row r="905" customFormat="false" ht="15" hidden="false" customHeight="false" outlineLevel="0" collapsed="false">
      <c r="A905" s="65"/>
      <c r="B905" s="63"/>
      <c r="C905" s="70"/>
      <c r="D905" s="16" t="str">
        <f aca="false">IF($C905="","",IFERROR(INDEX(Mat_Short,MATCH($C905,Mat_Code,0)),"⚠ Unknown code"))</f>
        <v/>
      </c>
      <c r="E905" s="66"/>
      <c r="F905" s="64" t="str">
        <f aca="false">IF($C905="","",IFERROR(INDEX(Mat_Unit,MATCH($C905,Mat_Code,0)),""))</f>
        <v/>
      </c>
      <c r="G905" s="70"/>
      <c r="H905" s="63"/>
      <c r="I905" s="63"/>
      <c r="J905" s="63"/>
      <c r="K905" s="16" t="str">
        <f aca="false">IF(AND($A905="",$B905="",$C905="",$E905=""),"",IF($A905="","⚠ Date missing",IF(OR($B905="",$C905=""),"⚠ Site / material missing",IF(COUNTIFS(CI_Site,$B905,CI_Mat,$C905)=0,"⚠ No Current Inventory row for this site + material",IF($G905="","⚠ Status missing",IF(AND($G905="Scheduled",$A905&lt;=AsOfDate),"⚠ Scheduled date reached – mark Received or re-date",IF(AND($G905="Received",$A905&gt;AsOfDate),"Future-dated – added on its date",IF(AND($G905="Received",$A905&lt;SUMIFS(CI_Count,CI_Site,$B905,CI_Mat,$C905)),"Before count date – already in the count","OK"))))))))</f>
        <v/>
      </c>
    </row>
    <row r="906" customFormat="false" ht="15" hidden="false" customHeight="false" outlineLevel="0" collapsed="false">
      <c r="A906" s="65"/>
      <c r="B906" s="63"/>
      <c r="C906" s="70"/>
      <c r="D906" s="16" t="str">
        <f aca="false">IF($C906="","",IFERROR(INDEX(Mat_Short,MATCH($C906,Mat_Code,0)),"⚠ Unknown code"))</f>
        <v/>
      </c>
      <c r="E906" s="66"/>
      <c r="F906" s="64" t="str">
        <f aca="false">IF($C906="","",IFERROR(INDEX(Mat_Unit,MATCH($C906,Mat_Code,0)),""))</f>
        <v/>
      </c>
      <c r="G906" s="70"/>
      <c r="H906" s="63"/>
      <c r="I906" s="63"/>
      <c r="J906" s="63"/>
      <c r="K906" s="16" t="str">
        <f aca="false">IF(AND($A906="",$B906="",$C906="",$E906=""),"",IF($A906="","⚠ Date missing",IF(OR($B906="",$C906=""),"⚠ Site / material missing",IF(COUNTIFS(CI_Site,$B906,CI_Mat,$C906)=0,"⚠ No Current Inventory row for this site + material",IF($G906="","⚠ Status missing",IF(AND($G906="Scheduled",$A906&lt;=AsOfDate),"⚠ Scheduled date reached – mark Received or re-date",IF(AND($G906="Received",$A906&gt;AsOfDate),"Future-dated – added on its date",IF(AND($G906="Received",$A906&lt;SUMIFS(CI_Count,CI_Site,$B906,CI_Mat,$C906)),"Before count date – already in the count","OK"))))))))</f>
        <v/>
      </c>
    </row>
    <row r="907" customFormat="false" ht="15" hidden="false" customHeight="false" outlineLevel="0" collapsed="false">
      <c r="A907" s="65"/>
      <c r="B907" s="63"/>
      <c r="C907" s="70"/>
      <c r="D907" s="16" t="str">
        <f aca="false">IF($C907="","",IFERROR(INDEX(Mat_Short,MATCH($C907,Mat_Code,0)),"⚠ Unknown code"))</f>
        <v/>
      </c>
      <c r="E907" s="66"/>
      <c r="F907" s="64" t="str">
        <f aca="false">IF($C907="","",IFERROR(INDEX(Mat_Unit,MATCH($C907,Mat_Code,0)),""))</f>
        <v/>
      </c>
      <c r="G907" s="70"/>
      <c r="H907" s="63"/>
      <c r="I907" s="63"/>
      <c r="J907" s="63"/>
      <c r="K907" s="16" t="str">
        <f aca="false">IF(AND($A907="",$B907="",$C907="",$E907=""),"",IF($A907="","⚠ Date missing",IF(OR($B907="",$C907=""),"⚠ Site / material missing",IF(COUNTIFS(CI_Site,$B907,CI_Mat,$C907)=0,"⚠ No Current Inventory row for this site + material",IF($G907="","⚠ Status missing",IF(AND($G907="Scheduled",$A907&lt;=AsOfDate),"⚠ Scheduled date reached – mark Received or re-date",IF(AND($G907="Received",$A907&gt;AsOfDate),"Future-dated – added on its date",IF(AND($G907="Received",$A907&lt;SUMIFS(CI_Count,CI_Site,$B907,CI_Mat,$C907)),"Before count date – already in the count","OK"))))))))</f>
        <v/>
      </c>
    </row>
    <row r="908" customFormat="false" ht="15" hidden="false" customHeight="false" outlineLevel="0" collapsed="false">
      <c r="A908" s="65"/>
      <c r="B908" s="63"/>
      <c r="C908" s="70"/>
      <c r="D908" s="16" t="str">
        <f aca="false">IF($C908="","",IFERROR(INDEX(Mat_Short,MATCH($C908,Mat_Code,0)),"⚠ Unknown code"))</f>
        <v/>
      </c>
      <c r="E908" s="66"/>
      <c r="F908" s="64" t="str">
        <f aca="false">IF($C908="","",IFERROR(INDEX(Mat_Unit,MATCH($C908,Mat_Code,0)),""))</f>
        <v/>
      </c>
      <c r="G908" s="70"/>
      <c r="H908" s="63"/>
      <c r="I908" s="63"/>
      <c r="J908" s="63"/>
      <c r="K908" s="16" t="str">
        <f aca="false">IF(AND($A908="",$B908="",$C908="",$E908=""),"",IF($A908="","⚠ Date missing",IF(OR($B908="",$C908=""),"⚠ Site / material missing",IF(COUNTIFS(CI_Site,$B908,CI_Mat,$C908)=0,"⚠ No Current Inventory row for this site + material",IF($G908="","⚠ Status missing",IF(AND($G908="Scheduled",$A908&lt;=AsOfDate),"⚠ Scheduled date reached – mark Received or re-date",IF(AND($G908="Received",$A908&gt;AsOfDate),"Future-dated – added on its date",IF(AND($G908="Received",$A908&lt;SUMIFS(CI_Count,CI_Site,$B908,CI_Mat,$C908)),"Before count date – already in the count","OK"))))))))</f>
        <v/>
      </c>
    </row>
    <row r="909" customFormat="false" ht="15" hidden="false" customHeight="false" outlineLevel="0" collapsed="false">
      <c r="A909" s="65"/>
      <c r="B909" s="63"/>
      <c r="C909" s="70"/>
      <c r="D909" s="16" t="str">
        <f aca="false">IF($C909="","",IFERROR(INDEX(Mat_Short,MATCH($C909,Mat_Code,0)),"⚠ Unknown code"))</f>
        <v/>
      </c>
      <c r="E909" s="66"/>
      <c r="F909" s="64" t="str">
        <f aca="false">IF($C909="","",IFERROR(INDEX(Mat_Unit,MATCH($C909,Mat_Code,0)),""))</f>
        <v/>
      </c>
      <c r="G909" s="70"/>
      <c r="H909" s="63"/>
      <c r="I909" s="63"/>
      <c r="J909" s="63"/>
      <c r="K909" s="16" t="str">
        <f aca="false">IF(AND($A909="",$B909="",$C909="",$E909=""),"",IF($A909="","⚠ Date missing",IF(OR($B909="",$C909=""),"⚠ Site / material missing",IF(COUNTIFS(CI_Site,$B909,CI_Mat,$C909)=0,"⚠ No Current Inventory row for this site + material",IF($G909="","⚠ Status missing",IF(AND($G909="Scheduled",$A909&lt;=AsOfDate),"⚠ Scheduled date reached – mark Received or re-date",IF(AND($G909="Received",$A909&gt;AsOfDate),"Future-dated – added on its date",IF(AND($G909="Received",$A909&lt;SUMIFS(CI_Count,CI_Site,$B909,CI_Mat,$C909)),"Before count date – already in the count","OK"))))))))</f>
        <v/>
      </c>
    </row>
    <row r="910" customFormat="false" ht="15" hidden="false" customHeight="false" outlineLevel="0" collapsed="false">
      <c r="A910" s="65"/>
      <c r="B910" s="63"/>
      <c r="C910" s="70"/>
      <c r="D910" s="16" t="str">
        <f aca="false">IF($C910="","",IFERROR(INDEX(Mat_Short,MATCH($C910,Mat_Code,0)),"⚠ Unknown code"))</f>
        <v/>
      </c>
      <c r="E910" s="66"/>
      <c r="F910" s="64" t="str">
        <f aca="false">IF($C910="","",IFERROR(INDEX(Mat_Unit,MATCH($C910,Mat_Code,0)),""))</f>
        <v/>
      </c>
      <c r="G910" s="70"/>
      <c r="H910" s="63"/>
      <c r="I910" s="63"/>
      <c r="J910" s="63"/>
      <c r="K910" s="16" t="str">
        <f aca="false">IF(AND($A910="",$B910="",$C910="",$E910=""),"",IF($A910="","⚠ Date missing",IF(OR($B910="",$C910=""),"⚠ Site / material missing",IF(COUNTIFS(CI_Site,$B910,CI_Mat,$C910)=0,"⚠ No Current Inventory row for this site + material",IF($G910="","⚠ Status missing",IF(AND($G910="Scheduled",$A910&lt;=AsOfDate),"⚠ Scheduled date reached – mark Received or re-date",IF(AND($G910="Received",$A910&gt;AsOfDate),"Future-dated – added on its date",IF(AND($G910="Received",$A910&lt;SUMIFS(CI_Count,CI_Site,$B910,CI_Mat,$C910)),"Before count date – already in the count","OK"))))))))</f>
        <v/>
      </c>
    </row>
    <row r="911" customFormat="false" ht="15" hidden="false" customHeight="false" outlineLevel="0" collapsed="false">
      <c r="A911" s="65"/>
      <c r="B911" s="63"/>
      <c r="C911" s="70"/>
      <c r="D911" s="16" t="str">
        <f aca="false">IF($C911="","",IFERROR(INDEX(Mat_Short,MATCH($C911,Mat_Code,0)),"⚠ Unknown code"))</f>
        <v/>
      </c>
      <c r="E911" s="66"/>
      <c r="F911" s="64" t="str">
        <f aca="false">IF($C911="","",IFERROR(INDEX(Mat_Unit,MATCH($C911,Mat_Code,0)),""))</f>
        <v/>
      </c>
      <c r="G911" s="70"/>
      <c r="H911" s="63"/>
      <c r="I911" s="63"/>
      <c r="J911" s="63"/>
      <c r="K911" s="16" t="str">
        <f aca="false">IF(AND($A911="",$B911="",$C911="",$E911=""),"",IF($A911="","⚠ Date missing",IF(OR($B911="",$C911=""),"⚠ Site / material missing",IF(COUNTIFS(CI_Site,$B911,CI_Mat,$C911)=0,"⚠ No Current Inventory row for this site + material",IF($G911="","⚠ Status missing",IF(AND($G911="Scheduled",$A911&lt;=AsOfDate),"⚠ Scheduled date reached – mark Received or re-date",IF(AND($G911="Received",$A911&gt;AsOfDate),"Future-dated – added on its date",IF(AND($G911="Received",$A911&lt;SUMIFS(CI_Count,CI_Site,$B911,CI_Mat,$C911)),"Before count date – already in the count","OK"))))))))</f>
        <v/>
      </c>
    </row>
    <row r="912" customFormat="false" ht="15" hidden="false" customHeight="false" outlineLevel="0" collapsed="false">
      <c r="A912" s="65"/>
      <c r="B912" s="63"/>
      <c r="C912" s="70"/>
      <c r="D912" s="16" t="str">
        <f aca="false">IF($C912="","",IFERROR(INDEX(Mat_Short,MATCH($C912,Mat_Code,0)),"⚠ Unknown code"))</f>
        <v/>
      </c>
      <c r="E912" s="66"/>
      <c r="F912" s="64" t="str">
        <f aca="false">IF($C912="","",IFERROR(INDEX(Mat_Unit,MATCH($C912,Mat_Code,0)),""))</f>
        <v/>
      </c>
      <c r="G912" s="70"/>
      <c r="H912" s="63"/>
      <c r="I912" s="63"/>
      <c r="J912" s="63"/>
      <c r="K912" s="16" t="str">
        <f aca="false">IF(AND($A912="",$B912="",$C912="",$E912=""),"",IF($A912="","⚠ Date missing",IF(OR($B912="",$C912=""),"⚠ Site / material missing",IF(COUNTIFS(CI_Site,$B912,CI_Mat,$C912)=0,"⚠ No Current Inventory row for this site + material",IF($G912="","⚠ Status missing",IF(AND($G912="Scheduled",$A912&lt;=AsOfDate),"⚠ Scheduled date reached – mark Received or re-date",IF(AND($G912="Received",$A912&gt;AsOfDate),"Future-dated – added on its date",IF(AND($G912="Received",$A912&lt;SUMIFS(CI_Count,CI_Site,$B912,CI_Mat,$C912)),"Before count date – already in the count","OK"))))))))</f>
        <v/>
      </c>
    </row>
    <row r="913" customFormat="false" ht="15" hidden="false" customHeight="false" outlineLevel="0" collapsed="false">
      <c r="A913" s="65"/>
      <c r="B913" s="63"/>
      <c r="C913" s="70"/>
      <c r="D913" s="16" t="str">
        <f aca="false">IF($C913="","",IFERROR(INDEX(Mat_Short,MATCH($C913,Mat_Code,0)),"⚠ Unknown code"))</f>
        <v/>
      </c>
      <c r="E913" s="66"/>
      <c r="F913" s="64" t="str">
        <f aca="false">IF($C913="","",IFERROR(INDEX(Mat_Unit,MATCH($C913,Mat_Code,0)),""))</f>
        <v/>
      </c>
      <c r="G913" s="70"/>
      <c r="H913" s="63"/>
      <c r="I913" s="63"/>
      <c r="J913" s="63"/>
      <c r="K913" s="16" t="str">
        <f aca="false">IF(AND($A913="",$B913="",$C913="",$E913=""),"",IF($A913="","⚠ Date missing",IF(OR($B913="",$C913=""),"⚠ Site / material missing",IF(COUNTIFS(CI_Site,$B913,CI_Mat,$C913)=0,"⚠ No Current Inventory row for this site + material",IF($G913="","⚠ Status missing",IF(AND($G913="Scheduled",$A913&lt;=AsOfDate),"⚠ Scheduled date reached – mark Received or re-date",IF(AND($G913="Received",$A913&gt;AsOfDate),"Future-dated – added on its date",IF(AND($G913="Received",$A913&lt;SUMIFS(CI_Count,CI_Site,$B913,CI_Mat,$C913)),"Before count date – already in the count","OK"))))))))</f>
        <v/>
      </c>
    </row>
    <row r="914" customFormat="false" ht="15" hidden="false" customHeight="false" outlineLevel="0" collapsed="false">
      <c r="A914" s="65"/>
      <c r="B914" s="63"/>
      <c r="C914" s="70"/>
      <c r="D914" s="16" t="str">
        <f aca="false">IF($C914="","",IFERROR(INDEX(Mat_Short,MATCH($C914,Mat_Code,0)),"⚠ Unknown code"))</f>
        <v/>
      </c>
      <c r="E914" s="66"/>
      <c r="F914" s="64" t="str">
        <f aca="false">IF($C914="","",IFERROR(INDEX(Mat_Unit,MATCH($C914,Mat_Code,0)),""))</f>
        <v/>
      </c>
      <c r="G914" s="70"/>
      <c r="H914" s="63"/>
      <c r="I914" s="63"/>
      <c r="J914" s="63"/>
      <c r="K914" s="16" t="str">
        <f aca="false">IF(AND($A914="",$B914="",$C914="",$E914=""),"",IF($A914="","⚠ Date missing",IF(OR($B914="",$C914=""),"⚠ Site / material missing",IF(COUNTIFS(CI_Site,$B914,CI_Mat,$C914)=0,"⚠ No Current Inventory row for this site + material",IF($G914="","⚠ Status missing",IF(AND($G914="Scheduled",$A914&lt;=AsOfDate),"⚠ Scheduled date reached – mark Received or re-date",IF(AND($G914="Received",$A914&gt;AsOfDate),"Future-dated – added on its date",IF(AND($G914="Received",$A914&lt;SUMIFS(CI_Count,CI_Site,$B914,CI_Mat,$C914)),"Before count date – already in the count","OK"))))))))</f>
        <v/>
      </c>
    </row>
    <row r="915" customFormat="false" ht="15" hidden="false" customHeight="false" outlineLevel="0" collapsed="false">
      <c r="A915" s="65"/>
      <c r="B915" s="63"/>
      <c r="C915" s="70"/>
      <c r="D915" s="16" t="str">
        <f aca="false">IF($C915="","",IFERROR(INDEX(Mat_Short,MATCH($C915,Mat_Code,0)),"⚠ Unknown code"))</f>
        <v/>
      </c>
      <c r="E915" s="66"/>
      <c r="F915" s="64" t="str">
        <f aca="false">IF($C915="","",IFERROR(INDEX(Mat_Unit,MATCH($C915,Mat_Code,0)),""))</f>
        <v/>
      </c>
      <c r="G915" s="70"/>
      <c r="H915" s="63"/>
      <c r="I915" s="63"/>
      <c r="J915" s="63"/>
      <c r="K915" s="16" t="str">
        <f aca="false">IF(AND($A915="",$B915="",$C915="",$E915=""),"",IF($A915="","⚠ Date missing",IF(OR($B915="",$C915=""),"⚠ Site / material missing",IF(COUNTIFS(CI_Site,$B915,CI_Mat,$C915)=0,"⚠ No Current Inventory row for this site + material",IF($G915="","⚠ Status missing",IF(AND($G915="Scheduled",$A915&lt;=AsOfDate),"⚠ Scheduled date reached – mark Received or re-date",IF(AND($G915="Received",$A915&gt;AsOfDate),"Future-dated – added on its date",IF(AND($G915="Received",$A915&lt;SUMIFS(CI_Count,CI_Site,$B915,CI_Mat,$C915)),"Before count date – already in the count","OK"))))))))</f>
        <v/>
      </c>
    </row>
    <row r="916" customFormat="false" ht="15" hidden="false" customHeight="false" outlineLevel="0" collapsed="false">
      <c r="A916" s="65"/>
      <c r="B916" s="63"/>
      <c r="C916" s="70"/>
      <c r="D916" s="16" t="str">
        <f aca="false">IF($C916="","",IFERROR(INDEX(Mat_Short,MATCH($C916,Mat_Code,0)),"⚠ Unknown code"))</f>
        <v/>
      </c>
      <c r="E916" s="66"/>
      <c r="F916" s="64" t="str">
        <f aca="false">IF($C916="","",IFERROR(INDEX(Mat_Unit,MATCH($C916,Mat_Code,0)),""))</f>
        <v/>
      </c>
      <c r="G916" s="70"/>
      <c r="H916" s="63"/>
      <c r="I916" s="63"/>
      <c r="J916" s="63"/>
      <c r="K916" s="16" t="str">
        <f aca="false">IF(AND($A916="",$B916="",$C916="",$E916=""),"",IF($A916="","⚠ Date missing",IF(OR($B916="",$C916=""),"⚠ Site / material missing",IF(COUNTIFS(CI_Site,$B916,CI_Mat,$C916)=0,"⚠ No Current Inventory row for this site + material",IF($G916="","⚠ Status missing",IF(AND($G916="Scheduled",$A916&lt;=AsOfDate),"⚠ Scheduled date reached – mark Received or re-date",IF(AND($G916="Received",$A916&gt;AsOfDate),"Future-dated – added on its date",IF(AND($G916="Received",$A916&lt;SUMIFS(CI_Count,CI_Site,$B916,CI_Mat,$C916)),"Before count date – already in the count","OK"))))))))</f>
        <v/>
      </c>
    </row>
    <row r="917" customFormat="false" ht="15" hidden="false" customHeight="false" outlineLevel="0" collapsed="false">
      <c r="A917" s="65"/>
      <c r="B917" s="63"/>
      <c r="C917" s="70"/>
      <c r="D917" s="16" t="str">
        <f aca="false">IF($C917="","",IFERROR(INDEX(Mat_Short,MATCH($C917,Mat_Code,0)),"⚠ Unknown code"))</f>
        <v/>
      </c>
      <c r="E917" s="66"/>
      <c r="F917" s="64" t="str">
        <f aca="false">IF($C917="","",IFERROR(INDEX(Mat_Unit,MATCH($C917,Mat_Code,0)),""))</f>
        <v/>
      </c>
      <c r="G917" s="70"/>
      <c r="H917" s="63"/>
      <c r="I917" s="63"/>
      <c r="J917" s="63"/>
      <c r="K917" s="16" t="str">
        <f aca="false">IF(AND($A917="",$B917="",$C917="",$E917=""),"",IF($A917="","⚠ Date missing",IF(OR($B917="",$C917=""),"⚠ Site / material missing",IF(COUNTIFS(CI_Site,$B917,CI_Mat,$C917)=0,"⚠ No Current Inventory row for this site + material",IF($G917="","⚠ Status missing",IF(AND($G917="Scheduled",$A917&lt;=AsOfDate),"⚠ Scheduled date reached – mark Received or re-date",IF(AND($G917="Received",$A917&gt;AsOfDate),"Future-dated – added on its date",IF(AND($G917="Received",$A917&lt;SUMIFS(CI_Count,CI_Site,$B917,CI_Mat,$C917)),"Before count date – already in the count","OK"))))))))</f>
        <v/>
      </c>
    </row>
    <row r="918" customFormat="false" ht="15" hidden="false" customHeight="false" outlineLevel="0" collapsed="false">
      <c r="A918" s="65"/>
      <c r="B918" s="63"/>
      <c r="C918" s="70"/>
      <c r="D918" s="16" t="str">
        <f aca="false">IF($C918="","",IFERROR(INDEX(Mat_Short,MATCH($C918,Mat_Code,0)),"⚠ Unknown code"))</f>
        <v/>
      </c>
      <c r="E918" s="66"/>
      <c r="F918" s="64" t="str">
        <f aca="false">IF($C918="","",IFERROR(INDEX(Mat_Unit,MATCH($C918,Mat_Code,0)),""))</f>
        <v/>
      </c>
      <c r="G918" s="70"/>
      <c r="H918" s="63"/>
      <c r="I918" s="63"/>
      <c r="J918" s="63"/>
      <c r="K918" s="16" t="str">
        <f aca="false">IF(AND($A918="",$B918="",$C918="",$E918=""),"",IF($A918="","⚠ Date missing",IF(OR($B918="",$C918=""),"⚠ Site / material missing",IF(COUNTIFS(CI_Site,$B918,CI_Mat,$C918)=0,"⚠ No Current Inventory row for this site + material",IF($G918="","⚠ Status missing",IF(AND($G918="Scheduled",$A918&lt;=AsOfDate),"⚠ Scheduled date reached – mark Received or re-date",IF(AND($G918="Received",$A918&gt;AsOfDate),"Future-dated – added on its date",IF(AND($G918="Received",$A918&lt;SUMIFS(CI_Count,CI_Site,$B918,CI_Mat,$C918)),"Before count date – already in the count","OK"))))))))</f>
        <v/>
      </c>
    </row>
    <row r="919" customFormat="false" ht="15" hidden="false" customHeight="false" outlineLevel="0" collapsed="false">
      <c r="A919" s="65"/>
      <c r="B919" s="63"/>
      <c r="C919" s="70"/>
      <c r="D919" s="16" t="str">
        <f aca="false">IF($C919="","",IFERROR(INDEX(Mat_Short,MATCH($C919,Mat_Code,0)),"⚠ Unknown code"))</f>
        <v/>
      </c>
      <c r="E919" s="66"/>
      <c r="F919" s="64" t="str">
        <f aca="false">IF($C919="","",IFERROR(INDEX(Mat_Unit,MATCH($C919,Mat_Code,0)),""))</f>
        <v/>
      </c>
      <c r="G919" s="70"/>
      <c r="H919" s="63"/>
      <c r="I919" s="63"/>
      <c r="J919" s="63"/>
      <c r="K919" s="16" t="str">
        <f aca="false">IF(AND($A919="",$B919="",$C919="",$E919=""),"",IF($A919="","⚠ Date missing",IF(OR($B919="",$C919=""),"⚠ Site / material missing",IF(COUNTIFS(CI_Site,$B919,CI_Mat,$C919)=0,"⚠ No Current Inventory row for this site + material",IF($G919="","⚠ Status missing",IF(AND($G919="Scheduled",$A919&lt;=AsOfDate),"⚠ Scheduled date reached – mark Received or re-date",IF(AND($G919="Received",$A919&gt;AsOfDate),"Future-dated – added on its date",IF(AND($G919="Received",$A919&lt;SUMIFS(CI_Count,CI_Site,$B919,CI_Mat,$C919)),"Before count date – already in the count","OK"))))))))</f>
        <v/>
      </c>
    </row>
    <row r="920" customFormat="false" ht="15" hidden="false" customHeight="false" outlineLevel="0" collapsed="false">
      <c r="A920" s="65"/>
      <c r="B920" s="63"/>
      <c r="C920" s="70"/>
      <c r="D920" s="16" t="str">
        <f aca="false">IF($C920="","",IFERROR(INDEX(Mat_Short,MATCH($C920,Mat_Code,0)),"⚠ Unknown code"))</f>
        <v/>
      </c>
      <c r="E920" s="66"/>
      <c r="F920" s="64" t="str">
        <f aca="false">IF($C920="","",IFERROR(INDEX(Mat_Unit,MATCH($C920,Mat_Code,0)),""))</f>
        <v/>
      </c>
      <c r="G920" s="70"/>
      <c r="H920" s="63"/>
      <c r="I920" s="63"/>
      <c r="J920" s="63"/>
      <c r="K920" s="16" t="str">
        <f aca="false">IF(AND($A920="",$B920="",$C920="",$E920=""),"",IF($A920="","⚠ Date missing",IF(OR($B920="",$C920=""),"⚠ Site / material missing",IF(COUNTIFS(CI_Site,$B920,CI_Mat,$C920)=0,"⚠ No Current Inventory row for this site + material",IF($G920="","⚠ Status missing",IF(AND($G920="Scheduled",$A920&lt;=AsOfDate),"⚠ Scheduled date reached – mark Received or re-date",IF(AND($G920="Received",$A920&gt;AsOfDate),"Future-dated – added on its date",IF(AND($G920="Received",$A920&lt;SUMIFS(CI_Count,CI_Site,$B920,CI_Mat,$C920)),"Before count date – already in the count","OK"))))))))</f>
        <v/>
      </c>
    </row>
    <row r="921" customFormat="false" ht="15" hidden="false" customHeight="false" outlineLevel="0" collapsed="false">
      <c r="A921" s="65"/>
      <c r="B921" s="63"/>
      <c r="C921" s="70"/>
      <c r="D921" s="16" t="str">
        <f aca="false">IF($C921="","",IFERROR(INDEX(Mat_Short,MATCH($C921,Mat_Code,0)),"⚠ Unknown code"))</f>
        <v/>
      </c>
      <c r="E921" s="66"/>
      <c r="F921" s="64" t="str">
        <f aca="false">IF($C921="","",IFERROR(INDEX(Mat_Unit,MATCH($C921,Mat_Code,0)),""))</f>
        <v/>
      </c>
      <c r="G921" s="70"/>
      <c r="H921" s="63"/>
      <c r="I921" s="63"/>
      <c r="J921" s="63"/>
      <c r="K921" s="16" t="str">
        <f aca="false">IF(AND($A921="",$B921="",$C921="",$E921=""),"",IF($A921="","⚠ Date missing",IF(OR($B921="",$C921=""),"⚠ Site / material missing",IF(COUNTIFS(CI_Site,$B921,CI_Mat,$C921)=0,"⚠ No Current Inventory row for this site + material",IF($G921="","⚠ Status missing",IF(AND($G921="Scheduled",$A921&lt;=AsOfDate),"⚠ Scheduled date reached – mark Received or re-date",IF(AND($G921="Received",$A921&gt;AsOfDate),"Future-dated – added on its date",IF(AND($G921="Received",$A921&lt;SUMIFS(CI_Count,CI_Site,$B921,CI_Mat,$C921)),"Before count date – already in the count","OK"))))))))</f>
        <v/>
      </c>
    </row>
    <row r="922" customFormat="false" ht="15" hidden="false" customHeight="false" outlineLevel="0" collapsed="false">
      <c r="A922" s="65"/>
      <c r="B922" s="63"/>
      <c r="C922" s="70"/>
      <c r="D922" s="16" t="str">
        <f aca="false">IF($C922="","",IFERROR(INDEX(Mat_Short,MATCH($C922,Mat_Code,0)),"⚠ Unknown code"))</f>
        <v/>
      </c>
      <c r="E922" s="66"/>
      <c r="F922" s="64" t="str">
        <f aca="false">IF($C922="","",IFERROR(INDEX(Mat_Unit,MATCH($C922,Mat_Code,0)),""))</f>
        <v/>
      </c>
      <c r="G922" s="70"/>
      <c r="H922" s="63"/>
      <c r="I922" s="63"/>
      <c r="J922" s="63"/>
      <c r="K922" s="16" t="str">
        <f aca="false">IF(AND($A922="",$B922="",$C922="",$E922=""),"",IF($A922="","⚠ Date missing",IF(OR($B922="",$C922=""),"⚠ Site / material missing",IF(COUNTIFS(CI_Site,$B922,CI_Mat,$C922)=0,"⚠ No Current Inventory row for this site + material",IF($G922="","⚠ Status missing",IF(AND($G922="Scheduled",$A922&lt;=AsOfDate),"⚠ Scheduled date reached – mark Received or re-date",IF(AND($G922="Received",$A922&gt;AsOfDate),"Future-dated – added on its date",IF(AND($G922="Received",$A922&lt;SUMIFS(CI_Count,CI_Site,$B922,CI_Mat,$C922)),"Before count date – already in the count","OK"))))))))</f>
        <v/>
      </c>
    </row>
    <row r="923" customFormat="false" ht="15" hidden="false" customHeight="false" outlineLevel="0" collapsed="false">
      <c r="A923" s="65"/>
      <c r="B923" s="63"/>
      <c r="C923" s="70"/>
      <c r="D923" s="16" t="str">
        <f aca="false">IF($C923="","",IFERROR(INDEX(Mat_Short,MATCH($C923,Mat_Code,0)),"⚠ Unknown code"))</f>
        <v/>
      </c>
      <c r="E923" s="66"/>
      <c r="F923" s="64" t="str">
        <f aca="false">IF($C923="","",IFERROR(INDEX(Mat_Unit,MATCH($C923,Mat_Code,0)),""))</f>
        <v/>
      </c>
      <c r="G923" s="70"/>
      <c r="H923" s="63"/>
      <c r="I923" s="63"/>
      <c r="J923" s="63"/>
      <c r="K923" s="16" t="str">
        <f aca="false">IF(AND($A923="",$B923="",$C923="",$E923=""),"",IF($A923="","⚠ Date missing",IF(OR($B923="",$C923=""),"⚠ Site / material missing",IF(COUNTIFS(CI_Site,$B923,CI_Mat,$C923)=0,"⚠ No Current Inventory row for this site + material",IF($G923="","⚠ Status missing",IF(AND($G923="Scheduled",$A923&lt;=AsOfDate),"⚠ Scheduled date reached – mark Received or re-date",IF(AND($G923="Received",$A923&gt;AsOfDate),"Future-dated – added on its date",IF(AND($G923="Received",$A923&lt;SUMIFS(CI_Count,CI_Site,$B923,CI_Mat,$C923)),"Before count date – already in the count","OK"))))))))</f>
        <v/>
      </c>
    </row>
    <row r="924" customFormat="false" ht="15" hidden="false" customHeight="false" outlineLevel="0" collapsed="false">
      <c r="A924" s="65"/>
      <c r="B924" s="63"/>
      <c r="C924" s="70"/>
      <c r="D924" s="16" t="str">
        <f aca="false">IF($C924="","",IFERROR(INDEX(Mat_Short,MATCH($C924,Mat_Code,0)),"⚠ Unknown code"))</f>
        <v/>
      </c>
      <c r="E924" s="66"/>
      <c r="F924" s="64" t="str">
        <f aca="false">IF($C924="","",IFERROR(INDEX(Mat_Unit,MATCH($C924,Mat_Code,0)),""))</f>
        <v/>
      </c>
      <c r="G924" s="70"/>
      <c r="H924" s="63"/>
      <c r="I924" s="63"/>
      <c r="J924" s="63"/>
      <c r="K924" s="16" t="str">
        <f aca="false">IF(AND($A924="",$B924="",$C924="",$E924=""),"",IF($A924="","⚠ Date missing",IF(OR($B924="",$C924=""),"⚠ Site / material missing",IF(COUNTIFS(CI_Site,$B924,CI_Mat,$C924)=0,"⚠ No Current Inventory row for this site + material",IF($G924="","⚠ Status missing",IF(AND($G924="Scheduled",$A924&lt;=AsOfDate),"⚠ Scheduled date reached – mark Received or re-date",IF(AND($G924="Received",$A924&gt;AsOfDate),"Future-dated – added on its date",IF(AND($G924="Received",$A924&lt;SUMIFS(CI_Count,CI_Site,$B924,CI_Mat,$C924)),"Before count date – already in the count","OK"))))))))</f>
        <v/>
      </c>
    </row>
    <row r="925" customFormat="false" ht="15" hidden="false" customHeight="false" outlineLevel="0" collapsed="false">
      <c r="A925" s="65"/>
      <c r="B925" s="63"/>
      <c r="C925" s="70"/>
      <c r="D925" s="16" t="str">
        <f aca="false">IF($C925="","",IFERROR(INDEX(Mat_Short,MATCH($C925,Mat_Code,0)),"⚠ Unknown code"))</f>
        <v/>
      </c>
      <c r="E925" s="66"/>
      <c r="F925" s="64" t="str">
        <f aca="false">IF($C925="","",IFERROR(INDEX(Mat_Unit,MATCH($C925,Mat_Code,0)),""))</f>
        <v/>
      </c>
      <c r="G925" s="70"/>
      <c r="H925" s="63"/>
      <c r="I925" s="63"/>
      <c r="J925" s="63"/>
      <c r="K925" s="16" t="str">
        <f aca="false">IF(AND($A925="",$B925="",$C925="",$E925=""),"",IF($A925="","⚠ Date missing",IF(OR($B925="",$C925=""),"⚠ Site / material missing",IF(COUNTIFS(CI_Site,$B925,CI_Mat,$C925)=0,"⚠ No Current Inventory row for this site + material",IF($G925="","⚠ Status missing",IF(AND($G925="Scheduled",$A925&lt;=AsOfDate),"⚠ Scheduled date reached – mark Received or re-date",IF(AND($G925="Received",$A925&gt;AsOfDate),"Future-dated – added on its date",IF(AND($G925="Received",$A925&lt;SUMIFS(CI_Count,CI_Site,$B925,CI_Mat,$C925)),"Before count date – already in the count","OK"))))))))</f>
        <v/>
      </c>
    </row>
    <row r="926" customFormat="false" ht="15" hidden="false" customHeight="false" outlineLevel="0" collapsed="false">
      <c r="A926" s="65"/>
      <c r="B926" s="63"/>
      <c r="C926" s="70"/>
      <c r="D926" s="16" t="str">
        <f aca="false">IF($C926="","",IFERROR(INDEX(Mat_Short,MATCH($C926,Mat_Code,0)),"⚠ Unknown code"))</f>
        <v/>
      </c>
      <c r="E926" s="66"/>
      <c r="F926" s="64" t="str">
        <f aca="false">IF($C926="","",IFERROR(INDEX(Mat_Unit,MATCH($C926,Mat_Code,0)),""))</f>
        <v/>
      </c>
      <c r="G926" s="70"/>
      <c r="H926" s="63"/>
      <c r="I926" s="63"/>
      <c r="J926" s="63"/>
      <c r="K926" s="16" t="str">
        <f aca="false">IF(AND($A926="",$B926="",$C926="",$E926=""),"",IF($A926="","⚠ Date missing",IF(OR($B926="",$C926=""),"⚠ Site / material missing",IF(COUNTIFS(CI_Site,$B926,CI_Mat,$C926)=0,"⚠ No Current Inventory row for this site + material",IF($G926="","⚠ Status missing",IF(AND($G926="Scheduled",$A926&lt;=AsOfDate),"⚠ Scheduled date reached – mark Received or re-date",IF(AND($G926="Received",$A926&gt;AsOfDate),"Future-dated – added on its date",IF(AND($G926="Received",$A926&lt;SUMIFS(CI_Count,CI_Site,$B926,CI_Mat,$C926)),"Before count date – already in the count","OK"))))))))</f>
        <v/>
      </c>
    </row>
    <row r="927" customFormat="false" ht="15" hidden="false" customHeight="false" outlineLevel="0" collapsed="false">
      <c r="A927" s="65"/>
      <c r="B927" s="63"/>
      <c r="C927" s="70"/>
      <c r="D927" s="16" t="str">
        <f aca="false">IF($C927="","",IFERROR(INDEX(Mat_Short,MATCH($C927,Mat_Code,0)),"⚠ Unknown code"))</f>
        <v/>
      </c>
      <c r="E927" s="66"/>
      <c r="F927" s="64" t="str">
        <f aca="false">IF($C927="","",IFERROR(INDEX(Mat_Unit,MATCH($C927,Mat_Code,0)),""))</f>
        <v/>
      </c>
      <c r="G927" s="70"/>
      <c r="H927" s="63"/>
      <c r="I927" s="63"/>
      <c r="J927" s="63"/>
      <c r="K927" s="16" t="str">
        <f aca="false">IF(AND($A927="",$B927="",$C927="",$E927=""),"",IF($A927="","⚠ Date missing",IF(OR($B927="",$C927=""),"⚠ Site / material missing",IF(COUNTIFS(CI_Site,$B927,CI_Mat,$C927)=0,"⚠ No Current Inventory row for this site + material",IF($G927="","⚠ Status missing",IF(AND($G927="Scheduled",$A927&lt;=AsOfDate),"⚠ Scheduled date reached – mark Received or re-date",IF(AND($G927="Received",$A927&gt;AsOfDate),"Future-dated – added on its date",IF(AND($G927="Received",$A927&lt;SUMIFS(CI_Count,CI_Site,$B927,CI_Mat,$C927)),"Before count date – already in the count","OK"))))))))</f>
        <v/>
      </c>
    </row>
    <row r="928" customFormat="false" ht="15" hidden="false" customHeight="false" outlineLevel="0" collapsed="false">
      <c r="A928" s="65"/>
      <c r="B928" s="63"/>
      <c r="C928" s="70"/>
      <c r="D928" s="16" t="str">
        <f aca="false">IF($C928="","",IFERROR(INDEX(Mat_Short,MATCH($C928,Mat_Code,0)),"⚠ Unknown code"))</f>
        <v/>
      </c>
      <c r="E928" s="66"/>
      <c r="F928" s="64" t="str">
        <f aca="false">IF($C928="","",IFERROR(INDEX(Mat_Unit,MATCH($C928,Mat_Code,0)),""))</f>
        <v/>
      </c>
      <c r="G928" s="70"/>
      <c r="H928" s="63"/>
      <c r="I928" s="63"/>
      <c r="J928" s="63"/>
      <c r="K928" s="16" t="str">
        <f aca="false">IF(AND($A928="",$B928="",$C928="",$E928=""),"",IF($A928="","⚠ Date missing",IF(OR($B928="",$C928=""),"⚠ Site / material missing",IF(COUNTIFS(CI_Site,$B928,CI_Mat,$C928)=0,"⚠ No Current Inventory row for this site + material",IF($G928="","⚠ Status missing",IF(AND($G928="Scheduled",$A928&lt;=AsOfDate),"⚠ Scheduled date reached – mark Received or re-date",IF(AND($G928="Received",$A928&gt;AsOfDate),"Future-dated – added on its date",IF(AND($G928="Received",$A928&lt;SUMIFS(CI_Count,CI_Site,$B928,CI_Mat,$C928)),"Before count date – already in the count","OK"))))))))</f>
        <v/>
      </c>
    </row>
    <row r="929" customFormat="false" ht="15" hidden="false" customHeight="false" outlineLevel="0" collapsed="false">
      <c r="A929" s="65"/>
      <c r="B929" s="63"/>
      <c r="C929" s="70"/>
      <c r="D929" s="16" t="str">
        <f aca="false">IF($C929="","",IFERROR(INDEX(Mat_Short,MATCH($C929,Mat_Code,0)),"⚠ Unknown code"))</f>
        <v/>
      </c>
      <c r="E929" s="66"/>
      <c r="F929" s="64" t="str">
        <f aca="false">IF($C929="","",IFERROR(INDEX(Mat_Unit,MATCH($C929,Mat_Code,0)),""))</f>
        <v/>
      </c>
      <c r="G929" s="70"/>
      <c r="H929" s="63"/>
      <c r="I929" s="63"/>
      <c r="J929" s="63"/>
      <c r="K929" s="16" t="str">
        <f aca="false">IF(AND($A929="",$B929="",$C929="",$E929=""),"",IF($A929="","⚠ Date missing",IF(OR($B929="",$C929=""),"⚠ Site / material missing",IF(COUNTIFS(CI_Site,$B929,CI_Mat,$C929)=0,"⚠ No Current Inventory row for this site + material",IF($G929="","⚠ Status missing",IF(AND($G929="Scheduled",$A929&lt;=AsOfDate),"⚠ Scheduled date reached – mark Received or re-date",IF(AND($G929="Received",$A929&gt;AsOfDate),"Future-dated – added on its date",IF(AND($G929="Received",$A929&lt;SUMIFS(CI_Count,CI_Site,$B929,CI_Mat,$C929)),"Before count date – already in the count","OK"))))))))</f>
        <v/>
      </c>
    </row>
    <row r="930" customFormat="false" ht="15" hidden="false" customHeight="false" outlineLevel="0" collapsed="false">
      <c r="A930" s="65"/>
      <c r="B930" s="63"/>
      <c r="C930" s="70"/>
      <c r="D930" s="16" t="str">
        <f aca="false">IF($C930="","",IFERROR(INDEX(Mat_Short,MATCH($C930,Mat_Code,0)),"⚠ Unknown code"))</f>
        <v/>
      </c>
      <c r="E930" s="66"/>
      <c r="F930" s="64" t="str">
        <f aca="false">IF($C930="","",IFERROR(INDEX(Mat_Unit,MATCH($C930,Mat_Code,0)),""))</f>
        <v/>
      </c>
      <c r="G930" s="70"/>
      <c r="H930" s="63"/>
      <c r="I930" s="63"/>
      <c r="J930" s="63"/>
      <c r="K930" s="16" t="str">
        <f aca="false">IF(AND($A930="",$B930="",$C930="",$E930=""),"",IF($A930="","⚠ Date missing",IF(OR($B930="",$C930=""),"⚠ Site / material missing",IF(COUNTIFS(CI_Site,$B930,CI_Mat,$C930)=0,"⚠ No Current Inventory row for this site + material",IF($G930="","⚠ Status missing",IF(AND($G930="Scheduled",$A930&lt;=AsOfDate),"⚠ Scheduled date reached – mark Received or re-date",IF(AND($G930="Received",$A930&gt;AsOfDate),"Future-dated – added on its date",IF(AND($G930="Received",$A930&lt;SUMIFS(CI_Count,CI_Site,$B930,CI_Mat,$C930)),"Before count date – already in the count","OK"))))))))</f>
        <v/>
      </c>
    </row>
    <row r="931" customFormat="false" ht="15" hidden="false" customHeight="false" outlineLevel="0" collapsed="false">
      <c r="A931" s="65"/>
      <c r="B931" s="63"/>
      <c r="C931" s="70"/>
      <c r="D931" s="16" t="str">
        <f aca="false">IF($C931="","",IFERROR(INDEX(Mat_Short,MATCH($C931,Mat_Code,0)),"⚠ Unknown code"))</f>
        <v/>
      </c>
      <c r="E931" s="66"/>
      <c r="F931" s="64" t="str">
        <f aca="false">IF($C931="","",IFERROR(INDEX(Mat_Unit,MATCH($C931,Mat_Code,0)),""))</f>
        <v/>
      </c>
      <c r="G931" s="70"/>
      <c r="H931" s="63"/>
      <c r="I931" s="63"/>
      <c r="J931" s="63"/>
      <c r="K931" s="16" t="str">
        <f aca="false">IF(AND($A931="",$B931="",$C931="",$E931=""),"",IF($A931="","⚠ Date missing",IF(OR($B931="",$C931=""),"⚠ Site / material missing",IF(COUNTIFS(CI_Site,$B931,CI_Mat,$C931)=0,"⚠ No Current Inventory row for this site + material",IF($G931="","⚠ Status missing",IF(AND($G931="Scheduled",$A931&lt;=AsOfDate),"⚠ Scheduled date reached – mark Received or re-date",IF(AND($G931="Received",$A931&gt;AsOfDate),"Future-dated – added on its date",IF(AND($G931="Received",$A931&lt;SUMIFS(CI_Count,CI_Site,$B931,CI_Mat,$C931)),"Before count date – already in the count","OK"))))))))</f>
        <v/>
      </c>
    </row>
    <row r="932" customFormat="false" ht="15" hidden="false" customHeight="false" outlineLevel="0" collapsed="false">
      <c r="A932" s="65"/>
      <c r="B932" s="63"/>
      <c r="C932" s="70"/>
      <c r="D932" s="16" t="str">
        <f aca="false">IF($C932="","",IFERROR(INDEX(Mat_Short,MATCH($C932,Mat_Code,0)),"⚠ Unknown code"))</f>
        <v/>
      </c>
      <c r="E932" s="66"/>
      <c r="F932" s="64" t="str">
        <f aca="false">IF($C932="","",IFERROR(INDEX(Mat_Unit,MATCH($C932,Mat_Code,0)),""))</f>
        <v/>
      </c>
      <c r="G932" s="70"/>
      <c r="H932" s="63"/>
      <c r="I932" s="63"/>
      <c r="J932" s="63"/>
      <c r="K932" s="16" t="str">
        <f aca="false">IF(AND($A932="",$B932="",$C932="",$E932=""),"",IF($A932="","⚠ Date missing",IF(OR($B932="",$C932=""),"⚠ Site / material missing",IF(COUNTIFS(CI_Site,$B932,CI_Mat,$C932)=0,"⚠ No Current Inventory row for this site + material",IF($G932="","⚠ Status missing",IF(AND($G932="Scheduled",$A932&lt;=AsOfDate),"⚠ Scheduled date reached – mark Received or re-date",IF(AND($G932="Received",$A932&gt;AsOfDate),"Future-dated – added on its date",IF(AND($G932="Received",$A932&lt;SUMIFS(CI_Count,CI_Site,$B932,CI_Mat,$C932)),"Before count date – already in the count","OK"))))))))</f>
        <v/>
      </c>
    </row>
    <row r="933" customFormat="false" ht="15" hidden="false" customHeight="false" outlineLevel="0" collapsed="false">
      <c r="A933" s="65"/>
      <c r="B933" s="63"/>
      <c r="C933" s="70"/>
      <c r="D933" s="16" t="str">
        <f aca="false">IF($C933="","",IFERROR(INDEX(Mat_Short,MATCH($C933,Mat_Code,0)),"⚠ Unknown code"))</f>
        <v/>
      </c>
      <c r="E933" s="66"/>
      <c r="F933" s="64" t="str">
        <f aca="false">IF($C933="","",IFERROR(INDEX(Mat_Unit,MATCH($C933,Mat_Code,0)),""))</f>
        <v/>
      </c>
      <c r="G933" s="70"/>
      <c r="H933" s="63"/>
      <c r="I933" s="63"/>
      <c r="J933" s="63"/>
      <c r="K933" s="16" t="str">
        <f aca="false">IF(AND($A933="",$B933="",$C933="",$E933=""),"",IF($A933="","⚠ Date missing",IF(OR($B933="",$C933=""),"⚠ Site / material missing",IF(COUNTIFS(CI_Site,$B933,CI_Mat,$C933)=0,"⚠ No Current Inventory row for this site + material",IF($G933="","⚠ Status missing",IF(AND($G933="Scheduled",$A933&lt;=AsOfDate),"⚠ Scheduled date reached – mark Received or re-date",IF(AND($G933="Received",$A933&gt;AsOfDate),"Future-dated – added on its date",IF(AND($G933="Received",$A933&lt;SUMIFS(CI_Count,CI_Site,$B933,CI_Mat,$C933)),"Before count date – already in the count","OK"))))))))</f>
        <v/>
      </c>
    </row>
    <row r="934" customFormat="false" ht="15" hidden="false" customHeight="false" outlineLevel="0" collapsed="false">
      <c r="A934" s="65"/>
      <c r="B934" s="63"/>
      <c r="C934" s="70"/>
      <c r="D934" s="16" t="str">
        <f aca="false">IF($C934="","",IFERROR(INDEX(Mat_Short,MATCH($C934,Mat_Code,0)),"⚠ Unknown code"))</f>
        <v/>
      </c>
      <c r="E934" s="66"/>
      <c r="F934" s="64" t="str">
        <f aca="false">IF($C934="","",IFERROR(INDEX(Mat_Unit,MATCH($C934,Mat_Code,0)),""))</f>
        <v/>
      </c>
      <c r="G934" s="70"/>
      <c r="H934" s="63"/>
      <c r="I934" s="63"/>
      <c r="J934" s="63"/>
      <c r="K934" s="16" t="str">
        <f aca="false">IF(AND($A934="",$B934="",$C934="",$E934=""),"",IF($A934="","⚠ Date missing",IF(OR($B934="",$C934=""),"⚠ Site / material missing",IF(COUNTIFS(CI_Site,$B934,CI_Mat,$C934)=0,"⚠ No Current Inventory row for this site + material",IF($G934="","⚠ Status missing",IF(AND($G934="Scheduled",$A934&lt;=AsOfDate),"⚠ Scheduled date reached – mark Received or re-date",IF(AND($G934="Received",$A934&gt;AsOfDate),"Future-dated – added on its date",IF(AND($G934="Received",$A934&lt;SUMIFS(CI_Count,CI_Site,$B934,CI_Mat,$C934)),"Before count date – already in the count","OK"))))))))</f>
        <v/>
      </c>
    </row>
    <row r="935" customFormat="false" ht="15" hidden="false" customHeight="false" outlineLevel="0" collapsed="false">
      <c r="A935" s="65"/>
      <c r="B935" s="63"/>
      <c r="C935" s="70"/>
      <c r="D935" s="16" t="str">
        <f aca="false">IF($C935="","",IFERROR(INDEX(Mat_Short,MATCH($C935,Mat_Code,0)),"⚠ Unknown code"))</f>
        <v/>
      </c>
      <c r="E935" s="66"/>
      <c r="F935" s="64" t="str">
        <f aca="false">IF($C935="","",IFERROR(INDEX(Mat_Unit,MATCH($C935,Mat_Code,0)),""))</f>
        <v/>
      </c>
      <c r="G935" s="70"/>
      <c r="H935" s="63"/>
      <c r="I935" s="63"/>
      <c r="J935" s="63"/>
      <c r="K935" s="16" t="str">
        <f aca="false">IF(AND($A935="",$B935="",$C935="",$E935=""),"",IF($A935="","⚠ Date missing",IF(OR($B935="",$C935=""),"⚠ Site / material missing",IF(COUNTIFS(CI_Site,$B935,CI_Mat,$C935)=0,"⚠ No Current Inventory row for this site + material",IF($G935="","⚠ Status missing",IF(AND($G935="Scheduled",$A935&lt;=AsOfDate),"⚠ Scheduled date reached – mark Received or re-date",IF(AND($G935="Received",$A935&gt;AsOfDate),"Future-dated – added on its date",IF(AND($G935="Received",$A935&lt;SUMIFS(CI_Count,CI_Site,$B935,CI_Mat,$C935)),"Before count date – already in the count","OK"))))))))</f>
        <v/>
      </c>
    </row>
    <row r="936" customFormat="false" ht="15" hidden="false" customHeight="false" outlineLevel="0" collapsed="false">
      <c r="A936" s="65"/>
      <c r="B936" s="63"/>
      <c r="C936" s="70"/>
      <c r="D936" s="16" t="str">
        <f aca="false">IF($C936="","",IFERROR(INDEX(Mat_Short,MATCH($C936,Mat_Code,0)),"⚠ Unknown code"))</f>
        <v/>
      </c>
      <c r="E936" s="66"/>
      <c r="F936" s="64" t="str">
        <f aca="false">IF($C936="","",IFERROR(INDEX(Mat_Unit,MATCH($C936,Mat_Code,0)),""))</f>
        <v/>
      </c>
      <c r="G936" s="70"/>
      <c r="H936" s="63"/>
      <c r="I936" s="63"/>
      <c r="J936" s="63"/>
      <c r="K936" s="16" t="str">
        <f aca="false">IF(AND($A936="",$B936="",$C936="",$E936=""),"",IF($A936="","⚠ Date missing",IF(OR($B936="",$C936=""),"⚠ Site / material missing",IF(COUNTIFS(CI_Site,$B936,CI_Mat,$C936)=0,"⚠ No Current Inventory row for this site + material",IF($G936="","⚠ Status missing",IF(AND($G936="Scheduled",$A936&lt;=AsOfDate),"⚠ Scheduled date reached – mark Received or re-date",IF(AND($G936="Received",$A936&gt;AsOfDate),"Future-dated – added on its date",IF(AND($G936="Received",$A936&lt;SUMIFS(CI_Count,CI_Site,$B936,CI_Mat,$C936)),"Before count date – already in the count","OK"))))))))</f>
        <v/>
      </c>
    </row>
    <row r="937" customFormat="false" ht="15" hidden="false" customHeight="false" outlineLevel="0" collapsed="false">
      <c r="A937" s="65"/>
      <c r="B937" s="63"/>
      <c r="C937" s="70"/>
      <c r="D937" s="16" t="str">
        <f aca="false">IF($C937="","",IFERROR(INDEX(Mat_Short,MATCH($C937,Mat_Code,0)),"⚠ Unknown code"))</f>
        <v/>
      </c>
      <c r="E937" s="66"/>
      <c r="F937" s="64" t="str">
        <f aca="false">IF($C937="","",IFERROR(INDEX(Mat_Unit,MATCH($C937,Mat_Code,0)),""))</f>
        <v/>
      </c>
      <c r="G937" s="70"/>
      <c r="H937" s="63"/>
      <c r="I937" s="63"/>
      <c r="J937" s="63"/>
      <c r="K937" s="16" t="str">
        <f aca="false">IF(AND($A937="",$B937="",$C937="",$E937=""),"",IF($A937="","⚠ Date missing",IF(OR($B937="",$C937=""),"⚠ Site / material missing",IF(COUNTIFS(CI_Site,$B937,CI_Mat,$C937)=0,"⚠ No Current Inventory row for this site + material",IF($G937="","⚠ Status missing",IF(AND($G937="Scheduled",$A937&lt;=AsOfDate),"⚠ Scheduled date reached – mark Received or re-date",IF(AND($G937="Received",$A937&gt;AsOfDate),"Future-dated – added on its date",IF(AND($G937="Received",$A937&lt;SUMIFS(CI_Count,CI_Site,$B937,CI_Mat,$C937)),"Before count date – already in the count","OK"))))))))</f>
        <v/>
      </c>
    </row>
    <row r="938" customFormat="false" ht="15" hidden="false" customHeight="false" outlineLevel="0" collapsed="false">
      <c r="A938" s="65"/>
      <c r="B938" s="63"/>
      <c r="C938" s="70"/>
      <c r="D938" s="16" t="str">
        <f aca="false">IF($C938="","",IFERROR(INDEX(Mat_Short,MATCH($C938,Mat_Code,0)),"⚠ Unknown code"))</f>
        <v/>
      </c>
      <c r="E938" s="66"/>
      <c r="F938" s="64" t="str">
        <f aca="false">IF($C938="","",IFERROR(INDEX(Mat_Unit,MATCH($C938,Mat_Code,0)),""))</f>
        <v/>
      </c>
      <c r="G938" s="70"/>
      <c r="H938" s="63"/>
      <c r="I938" s="63"/>
      <c r="J938" s="63"/>
      <c r="K938" s="16" t="str">
        <f aca="false">IF(AND($A938="",$B938="",$C938="",$E938=""),"",IF($A938="","⚠ Date missing",IF(OR($B938="",$C938=""),"⚠ Site / material missing",IF(COUNTIFS(CI_Site,$B938,CI_Mat,$C938)=0,"⚠ No Current Inventory row for this site + material",IF($G938="","⚠ Status missing",IF(AND($G938="Scheduled",$A938&lt;=AsOfDate),"⚠ Scheduled date reached – mark Received or re-date",IF(AND($G938="Received",$A938&gt;AsOfDate),"Future-dated – added on its date",IF(AND($G938="Received",$A938&lt;SUMIFS(CI_Count,CI_Site,$B938,CI_Mat,$C938)),"Before count date – already in the count","OK"))))))))</f>
        <v/>
      </c>
    </row>
    <row r="939" customFormat="false" ht="15" hidden="false" customHeight="false" outlineLevel="0" collapsed="false">
      <c r="A939" s="65"/>
      <c r="B939" s="63"/>
      <c r="C939" s="70"/>
      <c r="D939" s="16" t="str">
        <f aca="false">IF($C939="","",IFERROR(INDEX(Mat_Short,MATCH($C939,Mat_Code,0)),"⚠ Unknown code"))</f>
        <v/>
      </c>
      <c r="E939" s="66"/>
      <c r="F939" s="64" t="str">
        <f aca="false">IF($C939="","",IFERROR(INDEX(Mat_Unit,MATCH($C939,Mat_Code,0)),""))</f>
        <v/>
      </c>
      <c r="G939" s="70"/>
      <c r="H939" s="63"/>
      <c r="I939" s="63"/>
      <c r="J939" s="63"/>
      <c r="K939" s="16" t="str">
        <f aca="false">IF(AND($A939="",$B939="",$C939="",$E939=""),"",IF($A939="","⚠ Date missing",IF(OR($B939="",$C939=""),"⚠ Site / material missing",IF(COUNTIFS(CI_Site,$B939,CI_Mat,$C939)=0,"⚠ No Current Inventory row for this site + material",IF($G939="","⚠ Status missing",IF(AND($G939="Scheduled",$A939&lt;=AsOfDate),"⚠ Scheduled date reached – mark Received or re-date",IF(AND($G939="Received",$A939&gt;AsOfDate),"Future-dated – added on its date",IF(AND($G939="Received",$A939&lt;SUMIFS(CI_Count,CI_Site,$B939,CI_Mat,$C939)),"Before count date – already in the count","OK"))))))))</f>
        <v/>
      </c>
    </row>
    <row r="940" customFormat="false" ht="15" hidden="false" customHeight="false" outlineLevel="0" collapsed="false">
      <c r="A940" s="65"/>
      <c r="B940" s="63"/>
      <c r="C940" s="70"/>
      <c r="D940" s="16" t="str">
        <f aca="false">IF($C940="","",IFERROR(INDEX(Mat_Short,MATCH($C940,Mat_Code,0)),"⚠ Unknown code"))</f>
        <v/>
      </c>
      <c r="E940" s="66"/>
      <c r="F940" s="64" t="str">
        <f aca="false">IF($C940="","",IFERROR(INDEX(Mat_Unit,MATCH($C940,Mat_Code,0)),""))</f>
        <v/>
      </c>
      <c r="G940" s="70"/>
      <c r="H940" s="63"/>
      <c r="I940" s="63"/>
      <c r="J940" s="63"/>
      <c r="K940" s="16" t="str">
        <f aca="false">IF(AND($A940="",$B940="",$C940="",$E940=""),"",IF($A940="","⚠ Date missing",IF(OR($B940="",$C940=""),"⚠ Site / material missing",IF(COUNTIFS(CI_Site,$B940,CI_Mat,$C940)=0,"⚠ No Current Inventory row for this site + material",IF($G940="","⚠ Status missing",IF(AND($G940="Scheduled",$A940&lt;=AsOfDate),"⚠ Scheduled date reached – mark Received or re-date",IF(AND($G940="Received",$A940&gt;AsOfDate),"Future-dated – added on its date",IF(AND($G940="Received",$A940&lt;SUMIFS(CI_Count,CI_Site,$B940,CI_Mat,$C940)),"Before count date – already in the count","OK"))))))))</f>
        <v/>
      </c>
    </row>
    <row r="941" customFormat="false" ht="15" hidden="false" customHeight="false" outlineLevel="0" collapsed="false">
      <c r="A941" s="65"/>
      <c r="B941" s="63"/>
      <c r="C941" s="70"/>
      <c r="D941" s="16" t="str">
        <f aca="false">IF($C941="","",IFERROR(INDEX(Mat_Short,MATCH($C941,Mat_Code,0)),"⚠ Unknown code"))</f>
        <v/>
      </c>
      <c r="E941" s="66"/>
      <c r="F941" s="64" t="str">
        <f aca="false">IF($C941="","",IFERROR(INDEX(Mat_Unit,MATCH($C941,Mat_Code,0)),""))</f>
        <v/>
      </c>
      <c r="G941" s="70"/>
      <c r="H941" s="63"/>
      <c r="I941" s="63"/>
      <c r="J941" s="63"/>
      <c r="K941" s="16" t="str">
        <f aca="false">IF(AND($A941="",$B941="",$C941="",$E941=""),"",IF($A941="","⚠ Date missing",IF(OR($B941="",$C941=""),"⚠ Site / material missing",IF(COUNTIFS(CI_Site,$B941,CI_Mat,$C941)=0,"⚠ No Current Inventory row for this site + material",IF($G941="","⚠ Status missing",IF(AND($G941="Scheduled",$A941&lt;=AsOfDate),"⚠ Scheduled date reached – mark Received or re-date",IF(AND($G941="Received",$A941&gt;AsOfDate),"Future-dated – added on its date",IF(AND($G941="Received",$A941&lt;SUMIFS(CI_Count,CI_Site,$B941,CI_Mat,$C941)),"Before count date – already in the count","OK"))))))))</f>
        <v/>
      </c>
    </row>
    <row r="942" customFormat="false" ht="15" hidden="false" customHeight="false" outlineLevel="0" collapsed="false">
      <c r="A942" s="65"/>
      <c r="B942" s="63"/>
      <c r="C942" s="70"/>
      <c r="D942" s="16" t="str">
        <f aca="false">IF($C942="","",IFERROR(INDEX(Mat_Short,MATCH($C942,Mat_Code,0)),"⚠ Unknown code"))</f>
        <v/>
      </c>
      <c r="E942" s="66"/>
      <c r="F942" s="64" t="str">
        <f aca="false">IF($C942="","",IFERROR(INDEX(Mat_Unit,MATCH($C942,Mat_Code,0)),""))</f>
        <v/>
      </c>
      <c r="G942" s="70"/>
      <c r="H942" s="63"/>
      <c r="I942" s="63"/>
      <c r="J942" s="63"/>
      <c r="K942" s="16" t="str">
        <f aca="false">IF(AND($A942="",$B942="",$C942="",$E942=""),"",IF($A942="","⚠ Date missing",IF(OR($B942="",$C942=""),"⚠ Site / material missing",IF(COUNTIFS(CI_Site,$B942,CI_Mat,$C942)=0,"⚠ No Current Inventory row for this site + material",IF($G942="","⚠ Status missing",IF(AND($G942="Scheduled",$A942&lt;=AsOfDate),"⚠ Scheduled date reached – mark Received or re-date",IF(AND($G942="Received",$A942&gt;AsOfDate),"Future-dated – added on its date",IF(AND($G942="Received",$A942&lt;SUMIFS(CI_Count,CI_Site,$B942,CI_Mat,$C942)),"Before count date – already in the count","OK"))))))))</f>
        <v/>
      </c>
    </row>
    <row r="943" customFormat="false" ht="15" hidden="false" customHeight="false" outlineLevel="0" collapsed="false">
      <c r="A943" s="65"/>
      <c r="B943" s="63"/>
      <c r="C943" s="70"/>
      <c r="D943" s="16" t="str">
        <f aca="false">IF($C943="","",IFERROR(INDEX(Mat_Short,MATCH($C943,Mat_Code,0)),"⚠ Unknown code"))</f>
        <v/>
      </c>
      <c r="E943" s="66"/>
      <c r="F943" s="64" t="str">
        <f aca="false">IF($C943="","",IFERROR(INDEX(Mat_Unit,MATCH($C943,Mat_Code,0)),""))</f>
        <v/>
      </c>
      <c r="G943" s="70"/>
      <c r="H943" s="63"/>
      <c r="I943" s="63"/>
      <c r="J943" s="63"/>
      <c r="K943" s="16" t="str">
        <f aca="false">IF(AND($A943="",$B943="",$C943="",$E943=""),"",IF($A943="","⚠ Date missing",IF(OR($B943="",$C943=""),"⚠ Site / material missing",IF(COUNTIFS(CI_Site,$B943,CI_Mat,$C943)=0,"⚠ No Current Inventory row for this site + material",IF($G943="","⚠ Status missing",IF(AND($G943="Scheduled",$A943&lt;=AsOfDate),"⚠ Scheduled date reached – mark Received or re-date",IF(AND($G943="Received",$A943&gt;AsOfDate),"Future-dated – added on its date",IF(AND($G943="Received",$A943&lt;SUMIFS(CI_Count,CI_Site,$B943,CI_Mat,$C943)),"Before count date – already in the count","OK"))))))))</f>
        <v/>
      </c>
    </row>
    <row r="944" customFormat="false" ht="15" hidden="false" customHeight="false" outlineLevel="0" collapsed="false">
      <c r="A944" s="65"/>
      <c r="B944" s="63"/>
      <c r="C944" s="70"/>
      <c r="D944" s="16" t="str">
        <f aca="false">IF($C944="","",IFERROR(INDEX(Mat_Short,MATCH($C944,Mat_Code,0)),"⚠ Unknown code"))</f>
        <v/>
      </c>
      <c r="E944" s="66"/>
      <c r="F944" s="64" t="str">
        <f aca="false">IF($C944="","",IFERROR(INDEX(Mat_Unit,MATCH($C944,Mat_Code,0)),""))</f>
        <v/>
      </c>
      <c r="G944" s="70"/>
      <c r="H944" s="63"/>
      <c r="I944" s="63"/>
      <c r="J944" s="63"/>
      <c r="K944" s="16" t="str">
        <f aca="false">IF(AND($A944="",$B944="",$C944="",$E944=""),"",IF($A944="","⚠ Date missing",IF(OR($B944="",$C944=""),"⚠ Site / material missing",IF(COUNTIFS(CI_Site,$B944,CI_Mat,$C944)=0,"⚠ No Current Inventory row for this site + material",IF($G944="","⚠ Status missing",IF(AND($G944="Scheduled",$A944&lt;=AsOfDate),"⚠ Scheduled date reached – mark Received or re-date",IF(AND($G944="Received",$A944&gt;AsOfDate),"Future-dated – added on its date",IF(AND($G944="Received",$A944&lt;SUMIFS(CI_Count,CI_Site,$B944,CI_Mat,$C944)),"Before count date – already in the count","OK"))))))))</f>
        <v/>
      </c>
    </row>
    <row r="945" customFormat="false" ht="15" hidden="false" customHeight="false" outlineLevel="0" collapsed="false">
      <c r="A945" s="65"/>
      <c r="B945" s="63"/>
      <c r="C945" s="70"/>
      <c r="D945" s="16" t="str">
        <f aca="false">IF($C945="","",IFERROR(INDEX(Mat_Short,MATCH($C945,Mat_Code,0)),"⚠ Unknown code"))</f>
        <v/>
      </c>
      <c r="E945" s="66"/>
      <c r="F945" s="64" t="str">
        <f aca="false">IF($C945="","",IFERROR(INDEX(Mat_Unit,MATCH($C945,Mat_Code,0)),""))</f>
        <v/>
      </c>
      <c r="G945" s="70"/>
      <c r="H945" s="63"/>
      <c r="I945" s="63"/>
      <c r="J945" s="63"/>
      <c r="K945" s="16" t="str">
        <f aca="false">IF(AND($A945="",$B945="",$C945="",$E945=""),"",IF($A945="","⚠ Date missing",IF(OR($B945="",$C945=""),"⚠ Site / material missing",IF(COUNTIFS(CI_Site,$B945,CI_Mat,$C945)=0,"⚠ No Current Inventory row for this site + material",IF($G945="","⚠ Status missing",IF(AND($G945="Scheduled",$A945&lt;=AsOfDate),"⚠ Scheduled date reached – mark Received or re-date",IF(AND($G945="Received",$A945&gt;AsOfDate),"Future-dated – added on its date",IF(AND($G945="Received",$A945&lt;SUMIFS(CI_Count,CI_Site,$B945,CI_Mat,$C945)),"Before count date – already in the count","OK"))))))))</f>
        <v/>
      </c>
    </row>
    <row r="946" customFormat="false" ht="15" hidden="false" customHeight="false" outlineLevel="0" collapsed="false">
      <c r="A946" s="65"/>
      <c r="B946" s="63"/>
      <c r="C946" s="70"/>
      <c r="D946" s="16" t="str">
        <f aca="false">IF($C946="","",IFERROR(INDEX(Mat_Short,MATCH($C946,Mat_Code,0)),"⚠ Unknown code"))</f>
        <v/>
      </c>
      <c r="E946" s="66"/>
      <c r="F946" s="64" t="str">
        <f aca="false">IF($C946="","",IFERROR(INDEX(Mat_Unit,MATCH($C946,Mat_Code,0)),""))</f>
        <v/>
      </c>
      <c r="G946" s="70"/>
      <c r="H946" s="63"/>
      <c r="I946" s="63"/>
      <c r="J946" s="63"/>
      <c r="K946" s="16" t="str">
        <f aca="false">IF(AND($A946="",$B946="",$C946="",$E946=""),"",IF($A946="","⚠ Date missing",IF(OR($B946="",$C946=""),"⚠ Site / material missing",IF(COUNTIFS(CI_Site,$B946,CI_Mat,$C946)=0,"⚠ No Current Inventory row for this site + material",IF($G946="","⚠ Status missing",IF(AND($G946="Scheduled",$A946&lt;=AsOfDate),"⚠ Scheduled date reached – mark Received or re-date",IF(AND($G946="Received",$A946&gt;AsOfDate),"Future-dated – added on its date",IF(AND($G946="Received",$A946&lt;SUMIFS(CI_Count,CI_Site,$B946,CI_Mat,$C946)),"Before count date – already in the count","OK"))))))))</f>
        <v/>
      </c>
    </row>
    <row r="947" customFormat="false" ht="15" hidden="false" customHeight="false" outlineLevel="0" collapsed="false">
      <c r="A947" s="65"/>
      <c r="B947" s="63"/>
      <c r="C947" s="70"/>
      <c r="D947" s="16" t="str">
        <f aca="false">IF($C947="","",IFERROR(INDEX(Mat_Short,MATCH($C947,Mat_Code,0)),"⚠ Unknown code"))</f>
        <v/>
      </c>
      <c r="E947" s="66"/>
      <c r="F947" s="64" t="str">
        <f aca="false">IF($C947="","",IFERROR(INDEX(Mat_Unit,MATCH($C947,Mat_Code,0)),""))</f>
        <v/>
      </c>
      <c r="G947" s="70"/>
      <c r="H947" s="63"/>
      <c r="I947" s="63"/>
      <c r="J947" s="63"/>
      <c r="K947" s="16" t="str">
        <f aca="false">IF(AND($A947="",$B947="",$C947="",$E947=""),"",IF($A947="","⚠ Date missing",IF(OR($B947="",$C947=""),"⚠ Site / material missing",IF(COUNTIFS(CI_Site,$B947,CI_Mat,$C947)=0,"⚠ No Current Inventory row for this site + material",IF($G947="","⚠ Status missing",IF(AND($G947="Scheduled",$A947&lt;=AsOfDate),"⚠ Scheduled date reached – mark Received or re-date",IF(AND($G947="Received",$A947&gt;AsOfDate),"Future-dated – added on its date",IF(AND($G947="Received",$A947&lt;SUMIFS(CI_Count,CI_Site,$B947,CI_Mat,$C947)),"Before count date – already in the count","OK"))))))))</f>
        <v/>
      </c>
    </row>
    <row r="948" customFormat="false" ht="15" hidden="false" customHeight="false" outlineLevel="0" collapsed="false">
      <c r="A948" s="65"/>
      <c r="B948" s="63"/>
      <c r="C948" s="70"/>
      <c r="D948" s="16" t="str">
        <f aca="false">IF($C948="","",IFERROR(INDEX(Mat_Short,MATCH($C948,Mat_Code,0)),"⚠ Unknown code"))</f>
        <v/>
      </c>
      <c r="E948" s="66"/>
      <c r="F948" s="64" t="str">
        <f aca="false">IF($C948="","",IFERROR(INDEX(Mat_Unit,MATCH($C948,Mat_Code,0)),""))</f>
        <v/>
      </c>
      <c r="G948" s="70"/>
      <c r="H948" s="63"/>
      <c r="I948" s="63"/>
      <c r="J948" s="63"/>
      <c r="K948" s="16" t="str">
        <f aca="false">IF(AND($A948="",$B948="",$C948="",$E948=""),"",IF($A948="","⚠ Date missing",IF(OR($B948="",$C948=""),"⚠ Site / material missing",IF(COUNTIFS(CI_Site,$B948,CI_Mat,$C948)=0,"⚠ No Current Inventory row for this site + material",IF($G948="","⚠ Status missing",IF(AND($G948="Scheduled",$A948&lt;=AsOfDate),"⚠ Scheduled date reached – mark Received or re-date",IF(AND($G948="Received",$A948&gt;AsOfDate),"Future-dated – added on its date",IF(AND($G948="Received",$A948&lt;SUMIFS(CI_Count,CI_Site,$B948,CI_Mat,$C948)),"Before count date – already in the count","OK"))))))))</f>
        <v/>
      </c>
    </row>
    <row r="949" customFormat="false" ht="15" hidden="false" customHeight="false" outlineLevel="0" collapsed="false">
      <c r="A949" s="65"/>
      <c r="B949" s="63"/>
      <c r="C949" s="70"/>
      <c r="D949" s="16" t="str">
        <f aca="false">IF($C949="","",IFERROR(INDEX(Mat_Short,MATCH($C949,Mat_Code,0)),"⚠ Unknown code"))</f>
        <v/>
      </c>
      <c r="E949" s="66"/>
      <c r="F949" s="64" t="str">
        <f aca="false">IF($C949="","",IFERROR(INDEX(Mat_Unit,MATCH($C949,Mat_Code,0)),""))</f>
        <v/>
      </c>
      <c r="G949" s="70"/>
      <c r="H949" s="63"/>
      <c r="I949" s="63"/>
      <c r="J949" s="63"/>
      <c r="K949" s="16" t="str">
        <f aca="false">IF(AND($A949="",$B949="",$C949="",$E949=""),"",IF($A949="","⚠ Date missing",IF(OR($B949="",$C949=""),"⚠ Site / material missing",IF(COUNTIFS(CI_Site,$B949,CI_Mat,$C949)=0,"⚠ No Current Inventory row for this site + material",IF($G949="","⚠ Status missing",IF(AND($G949="Scheduled",$A949&lt;=AsOfDate),"⚠ Scheduled date reached – mark Received or re-date",IF(AND($G949="Received",$A949&gt;AsOfDate),"Future-dated – added on its date",IF(AND($G949="Received",$A949&lt;SUMIFS(CI_Count,CI_Site,$B949,CI_Mat,$C949)),"Before count date – already in the count","OK"))))))))</f>
        <v/>
      </c>
    </row>
    <row r="950" customFormat="false" ht="15" hidden="false" customHeight="false" outlineLevel="0" collapsed="false">
      <c r="A950" s="65"/>
      <c r="B950" s="63"/>
      <c r="C950" s="70"/>
      <c r="D950" s="16" t="str">
        <f aca="false">IF($C950="","",IFERROR(INDEX(Mat_Short,MATCH($C950,Mat_Code,0)),"⚠ Unknown code"))</f>
        <v/>
      </c>
      <c r="E950" s="66"/>
      <c r="F950" s="64" t="str">
        <f aca="false">IF($C950="","",IFERROR(INDEX(Mat_Unit,MATCH($C950,Mat_Code,0)),""))</f>
        <v/>
      </c>
      <c r="G950" s="70"/>
      <c r="H950" s="63"/>
      <c r="I950" s="63"/>
      <c r="J950" s="63"/>
      <c r="K950" s="16" t="str">
        <f aca="false">IF(AND($A950="",$B950="",$C950="",$E950=""),"",IF($A950="","⚠ Date missing",IF(OR($B950="",$C950=""),"⚠ Site / material missing",IF(COUNTIFS(CI_Site,$B950,CI_Mat,$C950)=0,"⚠ No Current Inventory row for this site + material",IF($G950="","⚠ Status missing",IF(AND($G950="Scheduled",$A950&lt;=AsOfDate),"⚠ Scheduled date reached – mark Received or re-date",IF(AND($G950="Received",$A950&gt;AsOfDate),"Future-dated – added on its date",IF(AND($G950="Received",$A950&lt;SUMIFS(CI_Count,CI_Site,$B950,CI_Mat,$C950)),"Before count date – already in the count","OK"))))))))</f>
        <v/>
      </c>
    </row>
    <row r="951" customFormat="false" ht="15" hidden="false" customHeight="false" outlineLevel="0" collapsed="false">
      <c r="A951" s="65"/>
      <c r="B951" s="63"/>
      <c r="C951" s="70"/>
      <c r="D951" s="16" t="str">
        <f aca="false">IF($C951="","",IFERROR(INDEX(Mat_Short,MATCH($C951,Mat_Code,0)),"⚠ Unknown code"))</f>
        <v/>
      </c>
      <c r="E951" s="66"/>
      <c r="F951" s="64" t="str">
        <f aca="false">IF($C951="","",IFERROR(INDEX(Mat_Unit,MATCH($C951,Mat_Code,0)),""))</f>
        <v/>
      </c>
      <c r="G951" s="70"/>
      <c r="H951" s="63"/>
      <c r="I951" s="63"/>
      <c r="J951" s="63"/>
      <c r="K951" s="16" t="str">
        <f aca="false">IF(AND($A951="",$B951="",$C951="",$E951=""),"",IF($A951="","⚠ Date missing",IF(OR($B951="",$C951=""),"⚠ Site / material missing",IF(COUNTIFS(CI_Site,$B951,CI_Mat,$C951)=0,"⚠ No Current Inventory row for this site + material",IF($G951="","⚠ Status missing",IF(AND($G951="Scheduled",$A951&lt;=AsOfDate),"⚠ Scheduled date reached – mark Received or re-date",IF(AND($G951="Received",$A951&gt;AsOfDate),"Future-dated – added on its date",IF(AND($G951="Received",$A951&lt;SUMIFS(CI_Count,CI_Site,$B951,CI_Mat,$C951)),"Before count date – already in the count","OK"))))))))</f>
        <v/>
      </c>
    </row>
    <row r="952" customFormat="false" ht="15" hidden="false" customHeight="false" outlineLevel="0" collapsed="false">
      <c r="A952" s="65"/>
      <c r="B952" s="63"/>
      <c r="C952" s="70"/>
      <c r="D952" s="16" t="str">
        <f aca="false">IF($C952="","",IFERROR(INDEX(Mat_Short,MATCH($C952,Mat_Code,0)),"⚠ Unknown code"))</f>
        <v/>
      </c>
      <c r="E952" s="66"/>
      <c r="F952" s="64" t="str">
        <f aca="false">IF($C952="","",IFERROR(INDEX(Mat_Unit,MATCH($C952,Mat_Code,0)),""))</f>
        <v/>
      </c>
      <c r="G952" s="70"/>
      <c r="H952" s="63"/>
      <c r="I952" s="63"/>
      <c r="J952" s="63"/>
      <c r="K952" s="16" t="str">
        <f aca="false">IF(AND($A952="",$B952="",$C952="",$E952=""),"",IF($A952="","⚠ Date missing",IF(OR($B952="",$C952=""),"⚠ Site / material missing",IF(COUNTIFS(CI_Site,$B952,CI_Mat,$C952)=0,"⚠ No Current Inventory row for this site + material",IF($G952="","⚠ Status missing",IF(AND($G952="Scheduled",$A952&lt;=AsOfDate),"⚠ Scheduled date reached – mark Received or re-date",IF(AND($G952="Received",$A952&gt;AsOfDate),"Future-dated – added on its date",IF(AND($G952="Received",$A952&lt;SUMIFS(CI_Count,CI_Site,$B952,CI_Mat,$C952)),"Before count date – already in the count","OK"))))))))</f>
        <v/>
      </c>
    </row>
    <row r="953" customFormat="false" ht="15" hidden="false" customHeight="false" outlineLevel="0" collapsed="false">
      <c r="A953" s="65"/>
      <c r="B953" s="63"/>
      <c r="C953" s="70"/>
      <c r="D953" s="16" t="str">
        <f aca="false">IF($C953="","",IFERROR(INDEX(Mat_Short,MATCH($C953,Mat_Code,0)),"⚠ Unknown code"))</f>
        <v/>
      </c>
      <c r="E953" s="66"/>
      <c r="F953" s="64" t="str">
        <f aca="false">IF($C953="","",IFERROR(INDEX(Mat_Unit,MATCH($C953,Mat_Code,0)),""))</f>
        <v/>
      </c>
      <c r="G953" s="70"/>
      <c r="H953" s="63"/>
      <c r="I953" s="63"/>
      <c r="J953" s="63"/>
      <c r="K953" s="16" t="str">
        <f aca="false">IF(AND($A953="",$B953="",$C953="",$E953=""),"",IF($A953="","⚠ Date missing",IF(OR($B953="",$C953=""),"⚠ Site / material missing",IF(COUNTIFS(CI_Site,$B953,CI_Mat,$C953)=0,"⚠ No Current Inventory row for this site + material",IF($G953="","⚠ Status missing",IF(AND($G953="Scheduled",$A953&lt;=AsOfDate),"⚠ Scheduled date reached – mark Received or re-date",IF(AND($G953="Received",$A953&gt;AsOfDate),"Future-dated – added on its date",IF(AND($G953="Received",$A953&lt;SUMIFS(CI_Count,CI_Site,$B953,CI_Mat,$C953)),"Before count date – already in the count","OK"))))))))</f>
        <v/>
      </c>
    </row>
    <row r="954" customFormat="false" ht="15" hidden="false" customHeight="false" outlineLevel="0" collapsed="false">
      <c r="A954" s="65"/>
      <c r="B954" s="63"/>
      <c r="C954" s="70"/>
      <c r="D954" s="16" t="str">
        <f aca="false">IF($C954="","",IFERROR(INDEX(Mat_Short,MATCH($C954,Mat_Code,0)),"⚠ Unknown code"))</f>
        <v/>
      </c>
      <c r="E954" s="66"/>
      <c r="F954" s="64" t="str">
        <f aca="false">IF($C954="","",IFERROR(INDEX(Mat_Unit,MATCH($C954,Mat_Code,0)),""))</f>
        <v/>
      </c>
      <c r="G954" s="70"/>
      <c r="H954" s="63"/>
      <c r="I954" s="63"/>
      <c r="J954" s="63"/>
      <c r="K954" s="16" t="str">
        <f aca="false">IF(AND($A954="",$B954="",$C954="",$E954=""),"",IF($A954="","⚠ Date missing",IF(OR($B954="",$C954=""),"⚠ Site / material missing",IF(COUNTIFS(CI_Site,$B954,CI_Mat,$C954)=0,"⚠ No Current Inventory row for this site + material",IF($G954="","⚠ Status missing",IF(AND($G954="Scheduled",$A954&lt;=AsOfDate),"⚠ Scheduled date reached – mark Received or re-date",IF(AND($G954="Received",$A954&gt;AsOfDate),"Future-dated – added on its date",IF(AND($G954="Received",$A954&lt;SUMIFS(CI_Count,CI_Site,$B954,CI_Mat,$C954)),"Before count date – already in the count","OK"))))))))</f>
        <v/>
      </c>
    </row>
    <row r="955" customFormat="false" ht="15" hidden="false" customHeight="false" outlineLevel="0" collapsed="false">
      <c r="A955" s="65"/>
      <c r="B955" s="63"/>
      <c r="C955" s="70"/>
      <c r="D955" s="16" t="str">
        <f aca="false">IF($C955="","",IFERROR(INDEX(Mat_Short,MATCH($C955,Mat_Code,0)),"⚠ Unknown code"))</f>
        <v/>
      </c>
      <c r="E955" s="66"/>
      <c r="F955" s="64" t="str">
        <f aca="false">IF($C955="","",IFERROR(INDEX(Mat_Unit,MATCH($C955,Mat_Code,0)),""))</f>
        <v/>
      </c>
      <c r="G955" s="70"/>
      <c r="H955" s="63"/>
      <c r="I955" s="63"/>
      <c r="J955" s="63"/>
      <c r="K955" s="16" t="str">
        <f aca="false">IF(AND($A955="",$B955="",$C955="",$E955=""),"",IF($A955="","⚠ Date missing",IF(OR($B955="",$C955=""),"⚠ Site / material missing",IF(COUNTIFS(CI_Site,$B955,CI_Mat,$C955)=0,"⚠ No Current Inventory row for this site + material",IF($G955="","⚠ Status missing",IF(AND($G955="Scheduled",$A955&lt;=AsOfDate),"⚠ Scheduled date reached – mark Received or re-date",IF(AND($G955="Received",$A955&gt;AsOfDate),"Future-dated – added on its date",IF(AND($G955="Received",$A955&lt;SUMIFS(CI_Count,CI_Site,$B955,CI_Mat,$C955)),"Before count date – already in the count","OK"))))))))</f>
        <v/>
      </c>
    </row>
    <row r="956" customFormat="false" ht="15" hidden="false" customHeight="false" outlineLevel="0" collapsed="false">
      <c r="A956" s="65"/>
      <c r="B956" s="63"/>
      <c r="C956" s="70"/>
      <c r="D956" s="16" t="str">
        <f aca="false">IF($C956="","",IFERROR(INDEX(Mat_Short,MATCH($C956,Mat_Code,0)),"⚠ Unknown code"))</f>
        <v/>
      </c>
      <c r="E956" s="66"/>
      <c r="F956" s="64" t="str">
        <f aca="false">IF($C956="","",IFERROR(INDEX(Mat_Unit,MATCH($C956,Mat_Code,0)),""))</f>
        <v/>
      </c>
      <c r="G956" s="70"/>
      <c r="H956" s="63"/>
      <c r="I956" s="63"/>
      <c r="J956" s="63"/>
      <c r="K956" s="16" t="str">
        <f aca="false">IF(AND($A956="",$B956="",$C956="",$E956=""),"",IF($A956="","⚠ Date missing",IF(OR($B956="",$C956=""),"⚠ Site / material missing",IF(COUNTIFS(CI_Site,$B956,CI_Mat,$C956)=0,"⚠ No Current Inventory row for this site + material",IF($G956="","⚠ Status missing",IF(AND($G956="Scheduled",$A956&lt;=AsOfDate),"⚠ Scheduled date reached – mark Received or re-date",IF(AND($G956="Received",$A956&gt;AsOfDate),"Future-dated – added on its date",IF(AND($G956="Received",$A956&lt;SUMIFS(CI_Count,CI_Site,$B956,CI_Mat,$C956)),"Before count date – already in the count","OK"))))))))</f>
        <v/>
      </c>
    </row>
    <row r="957" customFormat="false" ht="15" hidden="false" customHeight="false" outlineLevel="0" collapsed="false">
      <c r="A957" s="65"/>
      <c r="B957" s="63"/>
      <c r="C957" s="70"/>
      <c r="D957" s="16" t="str">
        <f aca="false">IF($C957="","",IFERROR(INDEX(Mat_Short,MATCH($C957,Mat_Code,0)),"⚠ Unknown code"))</f>
        <v/>
      </c>
      <c r="E957" s="66"/>
      <c r="F957" s="64" t="str">
        <f aca="false">IF($C957="","",IFERROR(INDEX(Mat_Unit,MATCH($C957,Mat_Code,0)),""))</f>
        <v/>
      </c>
      <c r="G957" s="70"/>
      <c r="H957" s="63"/>
      <c r="I957" s="63"/>
      <c r="J957" s="63"/>
      <c r="K957" s="16" t="str">
        <f aca="false">IF(AND($A957="",$B957="",$C957="",$E957=""),"",IF($A957="","⚠ Date missing",IF(OR($B957="",$C957=""),"⚠ Site / material missing",IF(COUNTIFS(CI_Site,$B957,CI_Mat,$C957)=0,"⚠ No Current Inventory row for this site + material",IF($G957="","⚠ Status missing",IF(AND($G957="Scheduled",$A957&lt;=AsOfDate),"⚠ Scheduled date reached – mark Received or re-date",IF(AND($G957="Received",$A957&gt;AsOfDate),"Future-dated – added on its date",IF(AND($G957="Received",$A957&lt;SUMIFS(CI_Count,CI_Site,$B957,CI_Mat,$C957)),"Before count date – already in the count","OK"))))))))</f>
        <v/>
      </c>
    </row>
    <row r="958" customFormat="false" ht="15" hidden="false" customHeight="false" outlineLevel="0" collapsed="false">
      <c r="A958" s="65"/>
      <c r="B958" s="63"/>
      <c r="C958" s="70"/>
      <c r="D958" s="16" t="str">
        <f aca="false">IF($C958="","",IFERROR(INDEX(Mat_Short,MATCH($C958,Mat_Code,0)),"⚠ Unknown code"))</f>
        <v/>
      </c>
      <c r="E958" s="66"/>
      <c r="F958" s="64" t="str">
        <f aca="false">IF($C958="","",IFERROR(INDEX(Mat_Unit,MATCH($C958,Mat_Code,0)),""))</f>
        <v/>
      </c>
      <c r="G958" s="70"/>
      <c r="H958" s="63"/>
      <c r="I958" s="63"/>
      <c r="J958" s="63"/>
      <c r="K958" s="16" t="str">
        <f aca="false">IF(AND($A958="",$B958="",$C958="",$E958=""),"",IF($A958="","⚠ Date missing",IF(OR($B958="",$C958=""),"⚠ Site / material missing",IF(COUNTIFS(CI_Site,$B958,CI_Mat,$C958)=0,"⚠ No Current Inventory row for this site + material",IF($G958="","⚠ Status missing",IF(AND($G958="Scheduled",$A958&lt;=AsOfDate),"⚠ Scheduled date reached – mark Received or re-date",IF(AND($G958="Received",$A958&gt;AsOfDate),"Future-dated – added on its date",IF(AND($G958="Received",$A958&lt;SUMIFS(CI_Count,CI_Site,$B958,CI_Mat,$C958)),"Before count date – already in the count","OK"))))))))</f>
        <v/>
      </c>
    </row>
    <row r="959" customFormat="false" ht="15" hidden="false" customHeight="false" outlineLevel="0" collapsed="false">
      <c r="A959" s="65"/>
      <c r="B959" s="63"/>
      <c r="C959" s="70"/>
      <c r="D959" s="16" t="str">
        <f aca="false">IF($C959="","",IFERROR(INDEX(Mat_Short,MATCH($C959,Mat_Code,0)),"⚠ Unknown code"))</f>
        <v/>
      </c>
      <c r="E959" s="66"/>
      <c r="F959" s="64" t="str">
        <f aca="false">IF($C959="","",IFERROR(INDEX(Mat_Unit,MATCH($C959,Mat_Code,0)),""))</f>
        <v/>
      </c>
      <c r="G959" s="70"/>
      <c r="H959" s="63"/>
      <c r="I959" s="63"/>
      <c r="J959" s="63"/>
      <c r="K959" s="16" t="str">
        <f aca="false">IF(AND($A959="",$B959="",$C959="",$E959=""),"",IF($A959="","⚠ Date missing",IF(OR($B959="",$C959=""),"⚠ Site / material missing",IF(COUNTIFS(CI_Site,$B959,CI_Mat,$C959)=0,"⚠ No Current Inventory row for this site + material",IF($G959="","⚠ Status missing",IF(AND($G959="Scheduled",$A959&lt;=AsOfDate),"⚠ Scheduled date reached – mark Received or re-date",IF(AND($G959="Received",$A959&gt;AsOfDate),"Future-dated – added on its date",IF(AND($G959="Received",$A959&lt;SUMIFS(CI_Count,CI_Site,$B959,CI_Mat,$C959)),"Before count date – already in the count","OK"))))))))</f>
        <v/>
      </c>
    </row>
    <row r="960" customFormat="false" ht="15" hidden="false" customHeight="false" outlineLevel="0" collapsed="false">
      <c r="A960" s="65"/>
      <c r="B960" s="63"/>
      <c r="C960" s="70"/>
      <c r="D960" s="16" t="str">
        <f aca="false">IF($C960="","",IFERROR(INDEX(Mat_Short,MATCH($C960,Mat_Code,0)),"⚠ Unknown code"))</f>
        <v/>
      </c>
      <c r="E960" s="66"/>
      <c r="F960" s="64" t="str">
        <f aca="false">IF($C960="","",IFERROR(INDEX(Mat_Unit,MATCH($C960,Mat_Code,0)),""))</f>
        <v/>
      </c>
      <c r="G960" s="70"/>
      <c r="H960" s="63"/>
      <c r="I960" s="63"/>
      <c r="J960" s="63"/>
      <c r="K960" s="16" t="str">
        <f aca="false">IF(AND($A960="",$B960="",$C960="",$E960=""),"",IF($A960="","⚠ Date missing",IF(OR($B960="",$C960=""),"⚠ Site / material missing",IF(COUNTIFS(CI_Site,$B960,CI_Mat,$C960)=0,"⚠ No Current Inventory row for this site + material",IF($G960="","⚠ Status missing",IF(AND($G960="Scheduled",$A960&lt;=AsOfDate),"⚠ Scheduled date reached – mark Received or re-date",IF(AND($G960="Received",$A960&gt;AsOfDate),"Future-dated – added on its date",IF(AND($G960="Received",$A960&lt;SUMIFS(CI_Count,CI_Site,$B960,CI_Mat,$C960)),"Before count date – already in the count","OK"))))))))</f>
        <v/>
      </c>
    </row>
    <row r="961" customFormat="false" ht="15" hidden="false" customHeight="false" outlineLevel="0" collapsed="false">
      <c r="A961" s="65"/>
      <c r="B961" s="63"/>
      <c r="C961" s="70"/>
      <c r="D961" s="16" t="str">
        <f aca="false">IF($C961="","",IFERROR(INDEX(Mat_Short,MATCH($C961,Mat_Code,0)),"⚠ Unknown code"))</f>
        <v/>
      </c>
      <c r="E961" s="66"/>
      <c r="F961" s="64" t="str">
        <f aca="false">IF($C961="","",IFERROR(INDEX(Mat_Unit,MATCH($C961,Mat_Code,0)),""))</f>
        <v/>
      </c>
      <c r="G961" s="70"/>
      <c r="H961" s="63"/>
      <c r="I961" s="63"/>
      <c r="J961" s="63"/>
      <c r="K961" s="16" t="str">
        <f aca="false">IF(AND($A961="",$B961="",$C961="",$E961=""),"",IF($A961="","⚠ Date missing",IF(OR($B961="",$C961=""),"⚠ Site / material missing",IF(COUNTIFS(CI_Site,$B961,CI_Mat,$C961)=0,"⚠ No Current Inventory row for this site + material",IF($G961="","⚠ Status missing",IF(AND($G961="Scheduled",$A961&lt;=AsOfDate),"⚠ Scheduled date reached – mark Received or re-date",IF(AND($G961="Received",$A961&gt;AsOfDate),"Future-dated – added on its date",IF(AND($G961="Received",$A961&lt;SUMIFS(CI_Count,CI_Site,$B961,CI_Mat,$C961)),"Before count date – already in the count","OK"))))))))</f>
        <v/>
      </c>
    </row>
    <row r="962" customFormat="false" ht="15" hidden="false" customHeight="false" outlineLevel="0" collapsed="false">
      <c r="A962" s="65"/>
      <c r="B962" s="63"/>
      <c r="C962" s="70"/>
      <c r="D962" s="16" t="str">
        <f aca="false">IF($C962="","",IFERROR(INDEX(Mat_Short,MATCH($C962,Mat_Code,0)),"⚠ Unknown code"))</f>
        <v/>
      </c>
      <c r="E962" s="66"/>
      <c r="F962" s="64" t="str">
        <f aca="false">IF($C962="","",IFERROR(INDEX(Mat_Unit,MATCH($C962,Mat_Code,0)),""))</f>
        <v/>
      </c>
      <c r="G962" s="70"/>
      <c r="H962" s="63"/>
      <c r="I962" s="63"/>
      <c r="J962" s="63"/>
      <c r="K962" s="16" t="str">
        <f aca="false">IF(AND($A962="",$B962="",$C962="",$E962=""),"",IF($A962="","⚠ Date missing",IF(OR($B962="",$C962=""),"⚠ Site / material missing",IF(COUNTIFS(CI_Site,$B962,CI_Mat,$C962)=0,"⚠ No Current Inventory row for this site + material",IF($G962="","⚠ Status missing",IF(AND($G962="Scheduled",$A962&lt;=AsOfDate),"⚠ Scheduled date reached – mark Received or re-date",IF(AND($G962="Received",$A962&gt;AsOfDate),"Future-dated – added on its date",IF(AND($G962="Received",$A962&lt;SUMIFS(CI_Count,CI_Site,$B962,CI_Mat,$C962)),"Before count date – already in the count","OK"))))))))</f>
        <v/>
      </c>
    </row>
    <row r="963" customFormat="false" ht="15" hidden="false" customHeight="false" outlineLevel="0" collapsed="false">
      <c r="A963" s="65"/>
      <c r="B963" s="63"/>
      <c r="C963" s="70"/>
      <c r="D963" s="16" t="str">
        <f aca="false">IF($C963="","",IFERROR(INDEX(Mat_Short,MATCH($C963,Mat_Code,0)),"⚠ Unknown code"))</f>
        <v/>
      </c>
      <c r="E963" s="66"/>
      <c r="F963" s="64" t="str">
        <f aca="false">IF($C963="","",IFERROR(INDEX(Mat_Unit,MATCH($C963,Mat_Code,0)),""))</f>
        <v/>
      </c>
      <c r="G963" s="70"/>
      <c r="H963" s="63"/>
      <c r="I963" s="63"/>
      <c r="J963" s="63"/>
      <c r="K963" s="16" t="str">
        <f aca="false">IF(AND($A963="",$B963="",$C963="",$E963=""),"",IF($A963="","⚠ Date missing",IF(OR($B963="",$C963=""),"⚠ Site / material missing",IF(COUNTIFS(CI_Site,$B963,CI_Mat,$C963)=0,"⚠ No Current Inventory row for this site + material",IF($G963="","⚠ Status missing",IF(AND($G963="Scheduled",$A963&lt;=AsOfDate),"⚠ Scheduled date reached – mark Received or re-date",IF(AND($G963="Received",$A963&gt;AsOfDate),"Future-dated – added on its date",IF(AND($G963="Received",$A963&lt;SUMIFS(CI_Count,CI_Site,$B963,CI_Mat,$C963)),"Before count date – already in the count","OK"))))))))</f>
        <v/>
      </c>
    </row>
    <row r="964" customFormat="false" ht="15" hidden="false" customHeight="false" outlineLevel="0" collapsed="false">
      <c r="A964" s="65"/>
      <c r="B964" s="63"/>
      <c r="C964" s="70"/>
      <c r="D964" s="16" t="str">
        <f aca="false">IF($C964="","",IFERROR(INDEX(Mat_Short,MATCH($C964,Mat_Code,0)),"⚠ Unknown code"))</f>
        <v/>
      </c>
      <c r="E964" s="66"/>
      <c r="F964" s="64" t="str">
        <f aca="false">IF($C964="","",IFERROR(INDEX(Mat_Unit,MATCH($C964,Mat_Code,0)),""))</f>
        <v/>
      </c>
      <c r="G964" s="70"/>
      <c r="H964" s="63"/>
      <c r="I964" s="63"/>
      <c r="J964" s="63"/>
      <c r="K964" s="16" t="str">
        <f aca="false">IF(AND($A964="",$B964="",$C964="",$E964=""),"",IF($A964="","⚠ Date missing",IF(OR($B964="",$C964=""),"⚠ Site / material missing",IF(COUNTIFS(CI_Site,$B964,CI_Mat,$C964)=0,"⚠ No Current Inventory row for this site + material",IF($G964="","⚠ Status missing",IF(AND($G964="Scheduled",$A964&lt;=AsOfDate),"⚠ Scheduled date reached – mark Received or re-date",IF(AND($G964="Received",$A964&gt;AsOfDate),"Future-dated – added on its date",IF(AND($G964="Received",$A964&lt;SUMIFS(CI_Count,CI_Site,$B964,CI_Mat,$C964)),"Before count date – already in the count","OK"))))))))</f>
        <v/>
      </c>
    </row>
    <row r="965" customFormat="false" ht="15" hidden="false" customHeight="false" outlineLevel="0" collapsed="false">
      <c r="A965" s="65"/>
      <c r="B965" s="63"/>
      <c r="C965" s="70"/>
      <c r="D965" s="16" t="str">
        <f aca="false">IF($C965="","",IFERROR(INDEX(Mat_Short,MATCH($C965,Mat_Code,0)),"⚠ Unknown code"))</f>
        <v/>
      </c>
      <c r="E965" s="66"/>
      <c r="F965" s="64" t="str">
        <f aca="false">IF($C965="","",IFERROR(INDEX(Mat_Unit,MATCH($C965,Mat_Code,0)),""))</f>
        <v/>
      </c>
      <c r="G965" s="70"/>
      <c r="H965" s="63"/>
      <c r="I965" s="63"/>
      <c r="J965" s="63"/>
      <c r="K965" s="16" t="str">
        <f aca="false">IF(AND($A965="",$B965="",$C965="",$E965=""),"",IF($A965="","⚠ Date missing",IF(OR($B965="",$C965=""),"⚠ Site / material missing",IF(COUNTIFS(CI_Site,$B965,CI_Mat,$C965)=0,"⚠ No Current Inventory row for this site + material",IF($G965="","⚠ Status missing",IF(AND($G965="Scheduled",$A965&lt;=AsOfDate),"⚠ Scheduled date reached – mark Received or re-date",IF(AND($G965="Received",$A965&gt;AsOfDate),"Future-dated – added on its date",IF(AND($G965="Received",$A965&lt;SUMIFS(CI_Count,CI_Site,$B965,CI_Mat,$C965)),"Before count date – already in the count","OK"))))))))</f>
        <v/>
      </c>
    </row>
    <row r="966" customFormat="false" ht="15" hidden="false" customHeight="false" outlineLevel="0" collapsed="false">
      <c r="A966" s="65"/>
      <c r="B966" s="63"/>
      <c r="C966" s="70"/>
      <c r="D966" s="16" t="str">
        <f aca="false">IF($C966="","",IFERROR(INDEX(Mat_Short,MATCH($C966,Mat_Code,0)),"⚠ Unknown code"))</f>
        <v/>
      </c>
      <c r="E966" s="66"/>
      <c r="F966" s="64" t="str">
        <f aca="false">IF($C966="","",IFERROR(INDEX(Mat_Unit,MATCH($C966,Mat_Code,0)),""))</f>
        <v/>
      </c>
      <c r="G966" s="70"/>
      <c r="H966" s="63"/>
      <c r="I966" s="63"/>
      <c r="J966" s="63"/>
      <c r="K966" s="16" t="str">
        <f aca="false">IF(AND($A966="",$B966="",$C966="",$E966=""),"",IF($A966="","⚠ Date missing",IF(OR($B966="",$C966=""),"⚠ Site / material missing",IF(COUNTIFS(CI_Site,$B966,CI_Mat,$C966)=0,"⚠ No Current Inventory row for this site + material",IF($G966="","⚠ Status missing",IF(AND($G966="Scheduled",$A966&lt;=AsOfDate),"⚠ Scheduled date reached – mark Received or re-date",IF(AND($G966="Received",$A966&gt;AsOfDate),"Future-dated – added on its date",IF(AND($G966="Received",$A966&lt;SUMIFS(CI_Count,CI_Site,$B966,CI_Mat,$C966)),"Before count date – already in the count","OK"))))))))</f>
        <v/>
      </c>
    </row>
    <row r="967" customFormat="false" ht="15" hidden="false" customHeight="false" outlineLevel="0" collapsed="false">
      <c r="A967" s="65"/>
      <c r="B967" s="63"/>
      <c r="C967" s="70"/>
      <c r="D967" s="16" t="str">
        <f aca="false">IF($C967="","",IFERROR(INDEX(Mat_Short,MATCH($C967,Mat_Code,0)),"⚠ Unknown code"))</f>
        <v/>
      </c>
      <c r="E967" s="66"/>
      <c r="F967" s="64" t="str">
        <f aca="false">IF($C967="","",IFERROR(INDEX(Mat_Unit,MATCH($C967,Mat_Code,0)),""))</f>
        <v/>
      </c>
      <c r="G967" s="70"/>
      <c r="H967" s="63"/>
      <c r="I967" s="63"/>
      <c r="J967" s="63"/>
      <c r="K967" s="16" t="str">
        <f aca="false">IF(AND($A967="",$B967="",$C967="",$E967=""),"",IF($A967="","⚠ Date missing",IF(OR($B967="",$C967=""),"⚠ Site / material missing",IF(COUNTIFS(CI_Site,$B967,CI_Mat,$C967)=0,"⚠ No Current Inventory row for this site + material",IF($G967="","⚠ Status missing",IF(AND($G967="Scheduled",$A967&lt;=AsOfDate),"⚠ Scheduled date reached – mark Received or re-date",IF(AND($G967="Received",$A967&gt;AsOfDate),"Future-dated – added on its date",IF(AND($G967="Received",$A967&lt;SUMIFS(CI_Count,CI_Site,$B967,CI_Mat,$C967)),"Before count date – already in the count","OK"))))))))</f>
        <v/>
      </c>
    </row>
    <row r="968" customFormat="false" ht="15" hidden="false" customHeight="false" outlineLevel="0" collapsed="false">
      <c r="A968" s="65"/>
      <c r="B968" s="63"/>
      <c r="C968" s="70"/>
      <c r="D968" s="16" t="str">
        <f aca="false">IF($C968="","",IFERROR(INDEX(Mat_Short,MATCH($C968,Mat_Code,0)),"⚠ Unknown code"))</f>
        <v/>
      </c>
      <c r="E968" s="66"/>
      <c r="F968" s="64" t="str">
        <f aca="false">IF($C968="","",IFERROR(INDEX(Mat_Unit,MATCH($C968,Mat_Code,0)),""))</f>
        <v/>
      </c>
      <c r="G968" s="70"/>
      <c r="H968" s="63"/>
      <c r="I968" s="63"/>
      <c r="J968" s="63"/>
      <c r="K968" s="16" t="str">
        <f aca="false">IF(AND($A968="",$B968="",$C968="",$E968=""),"",IF($A968="","⚠ Date missing",IF(OR($B968="",$C968=""),"⚠ Site / material missing",IF(COUNTIFS(CI_Site,$B968,CI_Mat,$C968)=0,"⚠ No Current Inventory row for this site + material",IF($G968="","⚠ Status missing",IF(AND($G968="Scheduled",$A968&lt;=AsOfDate),"⚠ Scheduled date reached – mark Received or re-date",IF(AND($G968="Received",$A968&gt;AsOfDate),"Future-dated – added on its date",IF(AND($G968="Received",$A968&lt;SUMIFS(CI_Count,CI_Site,$B968,CI_Mat,$C968)),"Before count date – already in the count","OK"))))))))</f>
        <v/>
      </c>
    </row>
    <row r="969" customFormat="false" ht="15" hidden="false" customHeight="false" outlineLevel="0" collapsed="false">
      <c r="A969" s="65"/>
      <c r="B969" s="63"/>
      <c r="C969" s="70"/>
      <c r="D969" s="16" t="str">
        <f aca="false">IF($C969="","",IFERROR(INDEX(Mat_Short,MATCH($C969,Mat_Code,0)),"⚠ Unknown code"))</f>
        <v/>
      </c>
      <c r="E969" s="66"/>
      <c r="F969" s="64" t="str">
        <f aca="false">IF($C969="","",IFERROR(INDEX(Mat_Unit,MATCH($C969,Mat_Code,0)),""))</f>
        <v/>
      </c>
      <c r="G969" s="70"/>
      <c r="H969" s="63"/>
      <c r="I969" s="63"/>
      <c r="J969" s="63"/>
      <c r="K969" s="16" t="str">
        <f aca="false">IF(AND($A969="",$B969="",$C969="",$E969=""),"",IF($A969="","⚠ Date missing",IF(OR($B969="",$C969=""),"⚠ Site / material missing",IF(COUNTIFS(CI_Site,$B969,CI_Mat,$C969)=0,"⚠ No Current Inventory row for this site + material",IF($G969="","⚠ Status missing",IF(AND($G969="Scheduled",$A969&lt;=AsOfDate),"⚠ Scheduled date reached – mark Received or re-date",IF(AND($G969="Received",$A969&gt;AsOfDate),"Future-dated – added on its date",IF(AND($G969="Received",$A969&lt;SUMIFS(CI_Count,CI_Site,$B969,CI_Mat,$C969)),"Before count date – already in the count","OK"))))))))</f>
        <v/>
      </c>
    </row>
    <row r="970" customFormat="false" ht="15" hidden="false" customHeight="false" outlineLevel="0" collapsed="false">
      <c r="A970" s="65"/>
      <c r="B970" s="63"/>
      <c r="C970" s="70"/>
      <c r="D970" s="16" t="str">
        <f aca="false">IF($C970="","",IFERROR(INDEX(Mat_Short,MATCH($C970,Mat_Code,0)),"⚠ Unknown code"))</f>
        <v/>
      </c>
      <c r="E970" s="66"/>
      <c r="F970" s="64" t="str">
        <f aca="false">IF($C970="","",IFERROR(INDEX(Mat_Unit,MATCH($C970,Mat_Code,0)),""))</f>
        <v/>
      </c>
      <c r="G970" s="70"/>
      <c r="H970" s="63"/>
      <c r="I970" s="63"/>
      <c r="J970" s="63"/>
      <c r="K970" s="16" t="str">
        <f aca="false">IF(AND($A970="",$B970="",$C970="",$E970=""),"",IF($A970="","⚠ Date missing",IF(OR($B970="",$C970=""),"⚠ Site / material missing",IF(COUNTIFS(CI_Site,$B970,CI_Mat,$C970)=0,"⚠ No Current Inventory row for this site + material",IF($G970="","⚠ Status missing",IF(AND($G970="Scheduled",$A970&lt;=AsOfDate),"⚠ Scheduled date reached – mark Received or re-date",IF(AND($G970="Received",$A970&gt;AsOfDate),"Future-dated – added on its date",IF(AND($G970="Received",$A970&lt;SUMIFS(CI_Count,CI_Site,$B970,CI_Mat,$C970)),"Before count date – already in the count","OK"))))))))</f>
        <v/>
      </c>
    </row>
    <row r="971" customFormat="false" ht="15" hidden="false" customHeight="false" outlineLevel="0" collapsed="false">
      <c r="A971" s="65"/>
      <c r="B971" s="63"/>
      <c r="C971" s="70"/>
      <c r="D971" s="16" t="str">
        <f aca="false">IF($C971="","",IFERROR(INDEX(Mat_Short,MATCH($C971,Mat_Code,0)),"⚠ Unknown code"))</f>
        <v/>
      </c>
      <c r="E971" s="66"/>
      <c r="F971" s="64" t="str">
        <f aca="false">IF($C971="","",IFERROR(INDEX(Mat_Unit,MATCH($C971,Mat_Code,0)),""))</f>
        <v/>
      </c>
      <c r="G971" s="70"/>
      <c r="H971" s="63"/>
      <c r="I971" s="63"/>
      <c r="J971" s="63"/>
      <c r="K971" s="16" t="str">
        <f aca="false">IF(AND($A971="",$B971="",$C971="",$E971=""),"",IF($A971="","⚠ Date missing",IF(OR($B971="",$C971=""),"⚠ Site / material missing",IF(COUNTIFS(CI_Site,$B971,CI_Mat,$C971)=0,"⚠ No Current Inventory row for this site + material",IF($G971="","⚠ Status missing",IF(AND($G971="Scheduled",$A971&lt;=AsOfDate),"⚠ Scheduled date reached – mark Received or re-date",IF(AND($G971="Received",$A971&gt;AsOfDate),"Future-dated – added on its date",IF(AND($G971="Received",$A971&lt;SUMIFS(CI_Count,CI_Site,$B971,CI_Mat,$C971)),"Before count date – already in the count","OK"))))))))</f>
        <v/>
      </c>
    </row>
    <row r="972" customFormat="false" ht="15" hidden="false" customHeight="false" outlineLevel="0" collapsed="false">
      <c r="A972" s="65"/>
      <c r="B972" s="63"/>
      <c r="C972" s="70"/>
      <c r="D972" s="16" t="str">
        <f aca="false">IF($C972="","",IFERROR(INDEX(Mat_Short,MATCH($C972,Mat_Code,0)),"⚠ Unknown code"))</f>
        <v/>
      </c>
      <c r="E972" s="66"/>
      <c r="F972" s="64" t="str">
        <f aca="false">IF($C972="","",IFERROR(INDEX(Mat_Unit,MATCH($C972,Mat_Code,0)),""))</f>
        <v/>
      </c>
      <c r="G972" s="70"/>
      <c r="H972" s="63"/>
      <c r="I972" s="63"/>
      <c r="J972" s="63"/>
      <c r="K972" s="16" t="str">
        <f aca="false">IF(AND($A972="",$B972="",$C972="",$E972=""),"",IF($A972="","⚠ Date missing",IF(OR($B972="",$C972=""),"⚠ Site / material missing",IF(COUNTIFS(CI_Site,$B972,CI_Mat,$C972)=0,"⚠ No Current Inventory row for this site + material",IF($G972="","⚠ Status missing",IF(AND($G972="Scheduled",$A972&lt;=AsOfDate),"⚠ Scheduled date reached – mark Received or re-date",IF(AND($G972="Received",$A972&gt;AsOfDate),"Future-dated – added on its date",IF(AND($G972="Received",$A972&lt;SUMIFS(CI_Count,CI_Site,$B972,CI_Mat,$C972)),"Before count date – already in the count","OK"))))))))</f>
        <v/>
      </c>
    </row>
    <row r="973" customFormat="false" ht="15" hidden="false" customHeight="false" outlineLevel="0" collapsed="false">
      <c r="A973" s="65"/>
      <c r="B973" s="63"/>
      <c r="C973" s="70"/>
      <c r="D973" s="16" t="str">
        <f aca="false">IF($C973="","",IFERROR(INDEX(Mat_Short,MATCH($C973,Mat_Code,0)),"⚠ Unknown code"))</f>
        <v/>
      </c>
      <c r="E973" s="66"/>
      <c r="F973" s="64" t="str">
        <f aca="false">IF($C973="","",IFERROR(INDEX(Mat_Unit,MATCH($C973,Mat_Code,0)),""))</f>
        <v/>
      </c>
      <c r="G973" s="70"/>
      <c r="H973" s="63"/>
      <c r="I973" s="63"/>
      <c r="J973" s="63"/>
      <c r="K973" s="16" t="str">
        <f aca="false">IF(AND($A973="",$B973="",$C973="",$E973=""),"",IF($A973="","⚠ Date missing",IF(OR($B973="",$C973=""),"⚠ Site / material missing",IF(COUNTIFS(CI_Site,$B973,CI_Mat,$C973)=0,"⚠ No Current Inventory row for this site + material",IF($G973="","⚠ Status missing",IF(AND($G973="Scheduled",$A973&lt;=AsOfDate),"⚠ Scheduled date reached – mark Received or re-date",IF(AND($G973="Received",$A973&gt;AsOfDate),"Future-dated – added on its date",IF(AND($G973="Received",$A973&lt;SUMIFS(CI_Count,CI_Site,$B973,CI_Mat,$C973)),"Before count date – already in the count","OK"))))))))</f>
        <v/>
      </c>
    </row>
    <row r="974" customFormat="false" ht="15" hidden="false" customHeight="false" outlineLevel="0" collapsed="false">
      <c r="A974" s="65"/>
      <c r="B974" s="63"/>
      <c r="C974" s="70"/>
      <c r="D974" s="16" t="str">
        <f aca="false">IF($C974="","",IFERROR(INDEX(Mat_Short,MATCH($C974,Mat_Code,0)),"⚠ Unknown code"))</f>
        <v/>
      </c>
      <c r="E974" s="66"/>
      <c r="F974" s="64" t="str">
        <f aca="false">IF($C974="","",IFERROR(INDEX(Mat_Unit,MATCH($C974,Mat_Code,0)),""))</f>
        <v/>
      </c>
      <c r="G974" s="70"/>
      <c r="H974" s="63"/>
      <c r="I974" s="63"/>
      <c r="J974" s="63"/>
      <c r="K974" s="16" t="str">
        <f aca="false">IF(AND($A974="",$B974="",$C974="",$E974=""),"",IF($A974="","⚠ Date missing",IF(OR($B974="",$C974=""),"⚠ Site / material missing",IF(COUNTIFS(CI_Site,$B974,CI_Mat,$C974)=0,"⚠ No Current Inventory row for this site + material",IF($G974="","⚠ Status missing",IF(AND($G974="Scheduled",$A974&lt;=AsOfDate),"⚠ Scheduled date reached – mark Received or re-date",IF(AND($G974="Received",$A974&gt;AsOfDate),"Future-dated – added on its date",IF(AND($G974="Received",$A974&lt;SUMIFS(CI_Count,CI_Site,$B974,CI_Mat,$C974)),"Before count date – already in the count","OK"))))))))</f>
        <v/>
      </c>
    </row>
    <row r="975" customFormat="false" ht="15" hidden="false" customHeight="false" outlineLevel="0" collapsed="false">
      <c r="A975" s="65"/>
      <c r="B975" s="63"/>
      <c r="C975" s="70"/>
      <c r="D975" s="16" t="str">
        <f aca="false">IF($C975="","",IFERROR(INDEX(Mat_Short,MATCH($C975,Mat_Code,0)),"⚠ Unknown code"))</f>
        <v/>
      </c>
      <c r="E975" s="66"/>
      <c r="F975" s="64" t="str">
        <f aca="false">IF($C975="","",IFERROR(INDEX(Mat_Unit,MATCH($C975,Mat_Code,0)),""))</f>
        <v/>
      </c>
      <c r="G975" s="70"/>
      <c r="H975" s="63"/>
      <c r="I975" s="63"/>
      <c r="J975" s="63"/>
      <c r="K975" s="16" t="str">
        <f aca="false">IF(AND($A975="",$B975="",$C975="",$E975=""),"",IF($A975="","⚠ Date missing",IF(OR($B975="",$C975=""),"⚠ Site / material missing",IF(COUNTIFS(CI_Site,$B975,CI_Mat,$C975)=0,"⚠ No Current Inventory row for this site + material",IF($G975="","⚠ Status missing",IF(AND($G975="Scheduled",$A975&lt;=AsOfDate),"⚠ Scheduled date reached – mark Received or re-date",IF(AND($G975="Received",$A975&gt;AsOfDate),"Future-dated – added on its date",IF(AND($G975="Received",$A975&lt;SUMIFS(CI_Count,CI_Site,$B975,CI_Mat,$C975)),"Before count date – already in the count","OK"))))))))</f>
        <v/>
      </c>
    </row>
    <row r="976" customFormat="false" ht="15" hidden="false" customHeight="false" outlineLevel="0" collapsed="false">
      <c r="A976" s="65"/>
      <c r="B976" s="63"/>
      <c r="C976" s="70"/>
      <c r="D976" s="16" t="str">
        <f aca="false">IF($C976="","",IFERROR(INDEX(Mat_Short,MATCH($C976,Mat_Code,0)),"⚠ Unknown code"))</f>
        <v/>
      </c>
      <c r="E976" s="66"/>
      <c r="F976" s="64" t="str">
        <f aca="false">IF($C976="","",IFERROR(INDEX(Mat_Unit,MATCH($C976,Mat_Code,0)),""))</f>
        <v/>
      </c>
      <c r="G976" s="70"/>
      <c r="H976" s="63"/>
      <c r="I976" s="63"/>
      <c r="J976" s="63"/>
      <c r="K976" s="16" t="str">
        <f aca="false">IF(AND($A976="",$B976="",$C976="",$E976=""),"",IF($A976="","⚠ Date missing",IF(OR($B976="",$C976=""),"⚠ Site / material missing",IF(COUNTIFS(CI_Site,$B976,CI_Mat,$C976)=0,"⚠ No Current Inventory row for this site + material",IF($G976="","⚠ Status missing",IF(AND($G976="Scheduled",$A976&lt;=AsOfDate),"⚠ Scheduled date reached – mark Received or re-date",IF(AND($G976="Received",$A976&gt;AsOfDate),"Future-dated – added on its date",IF(AND($G976="Received",$A976&lt;SUMIFS(CI_Count,CI_Site,$B976,CI_Mat,$C976)),"Before count date – already in the count","OK"))))))))</f>
        <v/>
      </c>
    </row>
    <row r="977" customFormat="false" ht="15" hidden="false" customHeight="false" outlineLevel="0" collapsed="false">
      <c r="A977" s="65"/>
      <c r="B977" s="63"/>
      <c r="C977" s="70"/>
      <c r="D977" s="16" t="str">
        <f aca="false">IF($C977="","",IFERROR(INDEX(Mat_Short,MATCH($C977,Mat_Code,0)),"⚠ Unknown code"))</f>
        <v/>
      </c>
      <c r="E977" s="66"/>
      <c r="F977" s="64" t="str">
        <f aca="false">IF($C977="","",IFERROR(INDEX(Mat_Unit,MATCH($C977,Mat_Code,0)),""))</f>
        <v/>
      </c>
      <c r="G977" s="70"/>
      <c r="H977" s="63"/>
      <c r="I977" s="63"/>
      <c r="J977" s="63"/>
      <c r="K977" s="16" t="str">
        <f aca="false">IF(AND($A977="",$B977="",$C977="",$E977=""),"",IF($A977="","⚠ Date missing",IF(OR($B977="",$C977=""),"⚠ Site / material missing",IF(COUNTIFS(CI_Site,$B977,CI_Mat,$C977)=0,"⚠ No Current Inventory row for this site + material",IF($G977="","⚠ Status missing",IF(AND($G977="Scheduled",$A977&lt;=AsOfDate),"⚠ Scheduled date reached – mark Received or re-date",IF(AND($G977="Received",$A977&gt;AsOfDate),"Future-dated – added on its date",IF(AND($G977="Received",$A977&lt;SUMIFS(CI_Count,CI_Site,$B977,CI_Mat,$C977)),"Before count date – already in the count","OK"))))))))</f>
        <v/>
      </c>
    </row>
    <row r="978" customFormat="false" ht="15" hidden="false" customHeight="false" outlineLevel="0" collapsed="false">
      <c r="A978" s="65"/>
      <c r="B978" s="63"/>
      <c r="C978" s="70"/>
      <c r="D978" s="16" t="str">
        <f aca="false">IF($C978="","",IFERROR(INDEX(Mat_Short,MATCH($C978,Mat_Code,0)),"⚠ Unknown code"))</f>
        <v/>
      </c>
      <c r="E978" s="66"/>
      <c r="F978" s="64" t="str">
        <f aca="false">IF($C978="","",IFERROR(INDEX(Mat_Unit,MATCH($C978,Mat_Code,0)),""))</f>
        <v/>
      </c>
      <c r="G978" s="70"/>
      <c r="H978" s="63"/>
      <c r="I978" s="63"/>
      <c r="J978" s="63"/>
      <c r="K978" s="16" t="str">
        <f aca="false">IF(AND($A978="",$B978="",$C978="",$E978=""),"",IF($A978="","⚠ Date missing",IF(OR($B978="",$C978=""),"⚠ Site / material missing",IF(COUNTIFS(CI_Site,$B978,CI_Mat,$C978)=0,"⚠ No Current Inventory row for this site + material",IF($G978="","⚠ Status missing",IF(AND($G978="Scheduled",$A978&lt;=AsOfDate),"⚠ Scheduled date reached – mark Received or re-date",IF(AND($G978="Received",$A978&gt;AsOfDate),"Future-dated – added on its date",IF(AND($G978="Received",$A978&lt;SUMIFS(CI_Count,CI_Site,$B978,CI_Mat,$C978)),"Before count date – already in the count","OK"))))))))</f>
        <v/>
      </c>
    </row>
    <row r="979" customFormat="false" ht="15" hidden="false" customHeight="false" outlineLevel="0" collapsed="false">
      <c r="A979" s="65"/>
      <c r="B979" s="63"/>
      <c r="C979" s="70"/>
      <c r="D979" s="16" t="str">
        <f aca="false">IF($C979="","",IFERROR(INDEX(Mat_Short,MATCH($C979,Mat_Code,0)),"⚠ Unknown code"))</f>
        <v/>
      </c>
      <c r="E979" s="66"/>
      <c r="F979" s="64" t="str">
        <f aca="false">IF($C979="","",IFERROR(INDEX(Mat_Unit,MATCH($C979,Mat_Code,0)),""))</f>
        <v/>
      </c>
      <c r="G979" s="70"/>
      <c r="H979" s="63"/>
      <c r="I979" s="63"/>
      <c r="J979" s="63"/>
      <c r="K979" s="16" t="str">
        <f aca="false">IF(AND($A979="",$B979="",$C979="",$E979=""),"",IF($A979="","⚠ Date missing",IF(OR($B979="",$C979=""),"⚠ Site / material missing",IF(COUNTIFS(CI_Site,$B979,CI_Mat,$C979)=0,"⚠ No Current Inventory row for this site + material",IF($G979="","⚠ Status missing",IF(AND($G979="Scheduled",$A979&lt;=AsOfDate),"⚠ Scheduled date reached – mark Received or re-date",IF(AND($G979="Received",$A979&gt;AsOfDate),"Future-dated – added on its date",IF(AND($G979="Received",$A979&lt;SUMIFS(CI_Count,CI_Site,$B979,CI_Mat,$C979)),"Before count date – already in the count","OK"))))))))</f>
        <v/>
      </c>
    </row>
    <row r="980" customFormat="false" ht="15" hidden="false" customHeight="false" outlineLevel="0" collapsed="false">
      <c r="A980" s="65"/>
      <c r="B980" s="63"/>
      <c r="C980" s="70"/>
      <c r="D980" s="16" t="str">
        <f aca="false">IF($C980="","",IFERROR(INDEX(Mat_Short,MATCH($C980,Mat_Code,0)),"⚠ Unknown code"))</f>
        <v/>
      </c>
      <c r="E980" s="66"/>
      <c r="F980" s="64" t="str">
        <f aca="false">IF($C980="","",IFERROR(INDEX(Mat_Unit,MATCH($C980,Mat_Code,0)),""))</f>
        <v/>
      </c>
      <c r="G980" s="70"/>
      <c r="H980" s="63"/>
      <c r="I980" s="63"/>
      <c r="J980" s="63"/>
      <c r="K980" s="16" t="str">
        <f aca="false">IF(AND($A980="",$B980="",$C980="",$E980=""),"",IF($A980="","⚠ Date missing",IF(OR($B980="",$C980=""),"⚠ Site / material missing",IF(COUNTIFS(CI_Site,$B980,CI_Mat,$C980)=0,"⚠ No Current Inventory row for this site + material",IF($G980="","⚠ Status missing",IF(AND($G980="Scheduled",$A980&lt;=AsOfDate),"⚠ Scheduled date reached – mark Received or re-date",IF(AND($G980="Received",$A980&gt;AsOfDate),"Future-dated – added on its date",IF(AND($G980="Received",$A980&lt;SUMIFS(CI_Count,CI_Site,$B980,CI_Mat,$C980)),"Before count date – already in the count","OK"))))))))</f>
        <v/>
      </c>
    </row>
    <row r="981" customFormat="false" ht="15" hidden="false" customHeight="false" outlineLevel="0" collapsed="false">
      <c r="A981" s="65"/>
      <c r="B981" s="63"/>
      <c r="C981" s="70"/>
      <c r="D981" s="16" t="str">
        <f aca="false">IF($C981="","",IFERROR(INDEX(Mat_Short,MATCH($C981,Mat_Code,0)),"⚠ Unknown code"))</f>
        <v/>
      </c>
      <c r="E981" s="66"/>
      <c r="F981" s="64" t="str">
        <f aca="false">IF($C981="","",IFERROR(INDEX(Mat_Unit,MATCH($C981,Mat_Code,0)),""))</f>
        <v/>
      </c>
      <c r="G981" s="70"/>
      <c r="H981" s="63"/>
      <c r="I981" s="63"/>
      <c r="J981" s="63"/>
      <c r="K981" s="16" t="str">
        <f aca="false">IF(AND($A981="",$B981="",$C981="",$E981=""),"",IF($A981="","⚠ Date missing",IF(OR($B981="",$C981=""),"⚠ Site / material missing",IF(COUNTIFS(CI_Site,$B981,CI_Mat,$C981)=0,"⚠ No Current Inventory row for this site + material",IF($G981="","⚠ Status missing",IF(AND($G981="Scheduled",$A981&lt;=AsOfDate),"⚠ Scheduled date reached – mark Received or re-date",IF(AND($G981="Received",$A981&gt;AsOfDate),"Future-dated – added on its date",IF(AND($G981="Received",$A981&lt;SUMIFS(CI_Count,CI_Site,$B981,CI_Mat,$C981)),"Before count date – already in the count","OK"))))))))</f>
        <v/>
      </c>
    </row>
    <row r="982" customFormat="false" ht="15" hidden="false" customHeight="false" outlineLevel="0" collapsed="false">
      <c r="A982" s="65"/>
      <c r="B982" s="63"/>
      <c r="C982" s="70"/>
      <c r="D982" s="16" t="str">
        <f aca="false">IF($C982="","",IFERROR(INDEX(Mat_Short,MATCH($C982,Mat_Code,0)),"⚠ Unknown code"))</f>
        <v/>
      </c>
      <c r="E982" s="66"/>
      <c r="F982" s="64" t="str">
        <f aca="false">IF($C982="","",IFERROR(INDEX(Mat_Unit,MATCH($C982,Mat_Code,0)),""))</f>
        <v/>
      </c>
      <c r="G982" s="70"/>
      <c r="H982" s="63"/>
      <c r="I982" s="63"/>
      <c r="J982" s="63"/>
      <c r="K982" s="16" t="str">
        <f aca="false">IF(AND($A982="",$B982="",$C982="",$E982=""),"",IF($A982="","⚠ Date missing",IF(OR($B982="",$C982=""),"⚠ Site / material missing",IF(COUNTIFS(CI_Site,$B982,CI_Mat,$C982)=0,"⚠ No Current Inventory row for this site + material",IF($G982="","⚠ Status missing",IF(AND($G982="Scheduled",$A982&lt;=AsOfDate),"⚠ Scheduled date reached – mark Received or re-date",IF(AND($G982="Received",$A982&gt;AsOfDate),"Future-dated – added on its date",IF(AND($G982="Received",$A982&lt;SUMIFS(CI_Count,CI_Site,$B982,CI_Mat,$C982)),"Before count date – already in the count","OK"))))))))</f>
        <v/>
      </c>
    </row>
    <row r="983" customFormat="false" ht="15" hidden="false" customHeight="false" outlineLevel="0" collapsed="false">
      <c r="A983" s="65"/>
      <c r="B983" s="63"/>
      <c r="C983" s="70"/>
      <c r="D983" s="16" t="str">
        <f aca="false">IF($C983="","",IFERROR(INDEX(Mat_Short,MATCH($C983,Mat_Code,0)),"⚠ Unknown code"))</f>
        <v/>
      </c>
      <c r="E983" s="66"/>
      <c r="F983" s="64" t="str">
        <f aca="false">IF($C983="","",IFERROR(INDEX(Mat_Unit,MATCH($C983,Mat_Code,0)),""))</f>
        <v/>
      </c>
      <c r="G983" s="70"/>
      <c r="H983" s="63"/>
      <c r="I983" s="63"/>
      <c r="J983" s="63"/>
      <c r="K983" s="16" t="str">
        <f aca="false">IF(AND($A983="",$B983="",$C983="",$E983=""),"",IF($A983="","⚠ Date missing",IF(OR($B983="",$C983=""),"⚠ Site / material missing",IF(COUNTIFS(CI_Site,$B983,CI_Mat,$C983)=0,"⚠ No Current Inventory row for this site + material",IF($G983="","⚠ Status missing",IF(AND($G983="Scheduled",$A983&lt;=AsOfDate),"⚠ Scheduled date reached – mark Received or re-date",IF(AND($G983="Received",$A983&gt;AsOfDate),"Future-dated – added on its date",IF(AND($G983="Received",$A983&lt;SUMIFS(CI_Count,CI_Site,$B983,CI_Mat,$C983)),"Before count date – already in the count","OK"))))))))</f>
        <v/>
      </c>
    </row>
    <row r="984" customFormat="false" ht="15" hidden="false" customHeight="false" outlineLevel="0" collapsed="false">
      <c r="A984" s="65"/>
      <c r="B984" s="63"/>
      <c r="C984" s="70"/>
      <c r="D984" s="16" t="str">
        <f aca="false">IF($C984="","",IFERROR(INDEX(Mat_Short,MATCH($C984,Mat_Code,0)),"⚠ Unknown code"))</f>
        <v/>
      </c>
      <c r="E984" s="66"/>
      <c r="F984" s="64" t="str">
        <f aca="false">IF($C984="","",IFERROR(INDEX(Mat_Unit,MATCH($C984,Mat_Code,0)),""))</f>
        <v/>
      </c>
      <c r="G984" s="70"/>
      <c r="H984" s="63"/>
      <c r="I984" s="63"/>
      <c r="J984" s="63"/>
      <c r="K984" s="16" t="str">
        <f aca="false">IF(AND($A984="",$B984="",$C984="",$E984=""),"",IF($A984="","⚠ Date missing",IF(OR($B984="",$C984=""),"⚠ Site / material missing",IF(COUNTIFS(CI_Site,$B984,CI_Mat,$C984)=0,"⚠ No Current Inventory row for this site + material",IF($G984="","⚠ Status missing",IF(AND($G984="Scheduled",$A984&lt;=AsOfDate),"⚠ Scheduled date reached – mark Received or re-date",IF(AND($G984="Received",$A984&gt;AsOfDate),"Future-dated – added on its date",IF(AND($G984="Received",$A984&lt;SUMIFS(CI_Count,CI_Site,$B984,CI_Mat,$C984)),"Before count date – already in the count","OK"))))))))</f>
        <v/>
      </c>
    </row>
    <row r="985" customFormat="false" ht="15" hidden="false" customHeight="false" outlineLevel="0" collapsed="false">
      <c r="A985" s="65"/>
      <c r="B985" s="63"/>
      <c r="C985" s="70"/>
      <c r="D985" s="16" t="str">
        <f aca="false">IF($C985="","",IFERROR(INDEX(Mat_Short,MATCH($C985,Mat_Code,0)),"⚠ Unknown code"))</f>
        <v/>
      </c>
      <c r="E985" s="66"/>
      <c r="F985" s="64" t="str">
        <f aca="false">IF($C985="","",IFERROR(INDEX(Mat_Unit,MATCH($C985,Mat_Code,0)),""))</f>
        <v/>
      </c>
      <c r="G985" s="70"/>
      <c r="H985" s="63"/>
      <c r="I985" s="63"/>
      <c r="J985" s="63"/>
      <c r="K985" s="16" t="str">
        <f aca="false">IF(AND($A985="",$B985="",$C985="",$E985=""),"",IF($A985="","⚠ Date missing",IF(OR($B985="",$C985=""),"⚠ Site / material missing",IF(COUNTIFS(CI_Site,$B985,CI_Mat,$C985)=0,"⚠ No Current Inventory row for this site + material",IF($G985="","⚠ Status missing",IF(AND($G985="Scheduled",$A985&lt;=AsOfDate),"⚠ Scheduled date reached – mark Received or re-date",IF(AND($G985="Received",$A985&gt;AsOfDate),"Future-dated – added on its date",IF(AND($G985="Received",$A985&lt;SUMIFS(CI_Count,CI_Site,$B985,CI_Mat,$C985)),"Before count date – already in the count","OK"))))))))</f>
        <v/>
      </c>
    </row>
    <row r="986" customFormat="false" ht="15" hidden="false" customHeight="false" outlineLevel="0" collapsed="false">
      <c r="A986" s="65"/>
      <c r="B986" s="63"/>
      <c r="C986" s="70"/>
      <c r="D986" s="16" t="str">
        <f aca="false">IF($C986="","",IFERROR(INDEX(Mat_Short,MATCH($C986,Mat_Code,0)),"⚠ Unknown code"))</f>
        <v/>
      </c>
      <c r="E986" s="66"/>
      <c r="F986" s="64" t="str">
        <f aca="false">IF($C986="","",IFERROR(INDEX(Mat_Unit,MATCH($C986,Mat_Code,0)),""))</f>
        <v/>
      </c>
      <c r="G986" s="70"/>
      <c r="H986" s="63"/>
      <c r="I986" s="63"/>
      <c r="J986" s="63"/>
      <c r="K986" s="16" t="str">
        <f aca="false">IF(AND($A986="",$B986="",$C986="",$E986=""),"",IF($A986="","⚠ Date missing",IF(OR($B986="",$C986=""),"⚠ Site / material missing",IF(COUNTIFS(CI_Site,$B986,CI_Mat,$C986)=0,"⚠ No Current Inventory row for this site + material",IF($G986="","⚠ Status missing",IF(AND($G986="Scheduled",$A986&lt;=AsOfDate),"⚠ Scheduled date reached – mark Received or re-date",IF(AND($G986="Received",$A986&gt;AsOfDate),"Future-dated – added on its date",IF(AND($G986="Received",$A986&lt;SUMIFS(CI_Count,CI_Site,$B986,CI_Mat,$C986)),"Before count date – already in the count","OK"))))))))</f>
        <v/>
      </c>
    </row>
    <row r="987" customFormat="false" ht="15" hidden="false" customHeight="false" outlineLevel="0" collapsed="false">
      <c r="A987" s="65"/>
      <c r="B987" s="63"/>
      <c r="C987" s="70"/>
      <c r="D987" s="16" t="str">
        <f aca="false">IF($C987="","",IFERROR(INDEX(Mat_Short,MATCH($C987,Mat_Code,0)),"⚠ Unknown code"))</f>
        <v/>
      </c>
      <c r="E987" s="66"/>
      <c r="F987" s="64" t="str">
        <f aca="false">IF($C987="","",IFERROR(INDEX(Mat_Unit,MATCH($C987,Mat_Code,0)),""))</f>
        <v/>
      </c>
      <c r="G987" s="70"/>
      <c r="H987" s="63"/>
      <c r="I987" s="63"/>
      <c r="J987" s="63"/>
      <c r="K987" s="16" t="str">
        <f aca="false">IF(AND($A987="",$B987="",$C987="",$E987=""),"",IF($A987="","⚠ Date missing",IF(OR($B987="",$C987=""),"⚠ Site / material missing",IF(COUNTIFS(CI_Site,$B987,CI_Mat,$C987)=0,"⚠ No Current Inventory row for this site + material",IF($G987="","⚠ Status missing",IF(AND($G987="Scheduled",$A987&lt;=AsOfDate),"⚠ Scheduled date reached – mark Received or re-date",IF(AND($G987="Received",$A987&gt;AsOfDate),"Future-dated – added on its date",IF(AND($G987="Received",$A987&lt;SUMIFS(CI_Count,CI_Site,$B987,CI_Mat,$C987)),"Before count date – already in the count","OK"))))))))</f>
        <v/>
      </c>
    </row>
    <row r="988" customFormat="false" ht="15" hidden="false" customHeight="false" outlineLevel="0" collapsed="false">
      <c r="A988" s="65"/>
      <c r="B988" s="63"/>
      <c r="C988" s="70"/>
      <c r="D988" s="16" t="str">
        <f aca="false">IF($C988="","",IFERROR(INDEX(Mat_Short,MATCH($C988,Mat_Code,0)),"⚠ Unknown code"))</f>
        <v/>
      </c>
      <c r="E988" s="66"/>
      <c r="F988" s="64" t="str">
        <f aca="false">IF($C988="","",IFERROR(INDEX(Mat_Unit,MATCH($C988,Mat_Code,0)),""))</f>
        <v/>
      </c>
      <c r="G988" s="70"/>
      <c r="H988" s="63"/>
      <c r="I988" s="63"/>
      <c r="J988" s="63"/>
      <c r="K988" s="16" t="str">
        <f aca="false">IF(AND($A988="",$B988="",$C988="",$E988=""),"",IF($A988="","⚠ Date missing",IF(OR($B988="",$C988=""),"⚠ Site / material missing",IF(COUNTIFS(CI_Site,$B988,CI_Mat,$C988)=0,"⚠ No Current Inventory row for this site + material",IF($G988="","⚠ Status missing",IF(AND($G988="Scheduled",$A988&lt;=AsOfDate),"⚠ Scheduled date reached – mark Received or re-date",IF(AND($G988="Received",$A988&gt;AsOfDate),"Future-dated – added on its date",IF(AND($G988="Received",$A988&lt;SUMIFS(CI_Count,CI_Site,$B988,CI_Mat,$C988)),"Before count date – already in the count","OK"))))))))</f>
        <v/>
      </c>
    </row>
    <row r="989" customFormat="false" ht="15" hidden="false" customHeight="false" outlineLevel="0" collapsed="false">
      <c r="A989" s="65"/>
      <c r="B989" s="63"/>
      <c r="C989" s="70"/>
      <c r="D989" s="16" t="str">
        <f aca="false">IF($C989="","",IFERROR(INDEX(Mat_Short,MATCH($C989,Mat_Code,0)),"⚠ Unknown code"))</f>
        <v/>
      </c>
      <c r="E989" s="66"/>
      <c r="F989" s="64" t="str">
        <f aca="false">IF($C989="","",IFERROR(INDEX(Mat_Unit,MATCH($C989,Mat_Code,0)),""))</f>
        <v/>
      </c>
      <c r="G989" s="70"/>
      <c r="H989" s="63"/>
      <c r="I989" s="63"/>
      <c r="J989" s="63"/>
      <c r="K989" s="16" t="str">
        <f aca="false">IF(AND($A989="",$B989="",$C989="",$E989=""),"",IF($A989="","⚠ Date missing",IF(OR($B989="",$C989=""),"⚠ Site / material missing",IF(COUNTIFS(CI_Site,$B989,CI_Mat,$C989)=0,"⚠ No Current Inventory row for this site + material",IF($G989="","⚠ Status missing",IF(AND($G989="Scheduled",$A989&lt;=AsOfDate),"⚠ Scheduled date reached – mark Received or re-date",IF(AND($G989="Received",$A989&gt;AsOfDate),"Future-dated – added on its date",IF(AND($G989="Received",$A989&lt;SUMIFS(CI_Count,CI_Site,$B989,CI_Mat,$C989)),"Before count date – already in the count","OK"))))))))</f>
        <v/>
      </c>
    </row>
    <row r="990" customFormat="false" ht="15" hidden="false" customHeight="false" outlineLevel="0" collapsed="false">
      <c r="A990" s="65"/>
      <c r="B990" s="63"/>
      <c r="C990" s="70"/>
      <c r="D990" s="16" t="str">
        <f aca="false">IF($C990="","",IFERROR(INDEX(Mat_Short,MATCH($C990,Mat_Code,0)),"⚠ Unknown code"))</f>
        <v/>
      </c>
      <c r="E990" s="66"/>
      <c r="F990" s="64" t="str">
        <f aca="false">IF($C990="","",IFERROR(INDEX(Mat_Unit,MATCH($C990,Mat_Code,0)),""))</f>
        <v/>
      </c>
      <c r="G990" s="70"/>
      <c r="H990" s="63"/>
      <c r="I990" s="63"/>
      <c r="J990" s="63"/>
      <c r="K990" s="16" t="str">
        <f aca="false">IF(AND($A990="",$B990="",$C990="",$E990=""),"",IF($A990="","⚠ Date missing",IF(OR($B990="",$C990=""),"⚠ Site / material missing",IF(COUNTIFS(CI_Site,$B990,CI_Mat,$C990)=0,"⚠ No Current Inventory row for this site + material",IF($G990="","⚠ Status missing",IF(AND($G990="Scheduled",$A990&lt;=AsOfDate),"⚠ Scheduled date reached – mark Received or re-date",IF(AND($G990="Received",$A990&gt;AsOfDate),"Future-dated – added on its date",IF(AND($G990="Received",$A990&lt;SUMIFS(CI_Count,CI_Site,$B990,CI_Mat,$C990)),"Before count date – already in the count","OK"))))))))</f>
        <v/>
      </c>
    </row>
    <row r="991" customFormat="false" ht="15" hidden="false" customHeight="false" outlineLevel="0" collapsed="false">
      <c r="A991" s="65"/>
      <c r="B991" s="63"/>
      <c r="C991" s="70"/>
      <c r="D991" s="16" t="str">
        <f aca="false">IF($C991="","",IFERROR(INDEX(Mat_Short,MATCH($C991,Mat_Code,0)),"⚠ Unknown code"))</f>
        <v/>
      </c>
      <c r="E991" s="66"/>
      <c r="F991" s="64" t="str">
        <f aca="false">IF($C991="","",IFERROR(INDEX(Mat_Unit,MATCH($C991,Mat_Code,0)),""))</f>
        <v/>
      </c>
      <c r="G991" s="70"/>
      <c r="H991" s="63"/>
      <c r="I991" s="63"/>
      <c r="J991" s="63"/>
      <c r="K991" s="16" t="str">
        <f aca="false">IF(AND($A991="",$B991="",$C991="",$E991=""),"",IF($A991="","⚠ Date missing",IF(OR($B991="",$C991=""),"⚠ Site / material missing",IF(COUNTIFS(CI_Site,$B991,CI_Mat,$C991)=0,"⚠ No Current Inventory row for this site + material",IF($G991="","⚠ Status missing",IF(AND($G991="Scheduled",$A991&lt;=AsOfDate),"⚠ Scheduled date reached – mark Received or re-date",IF(AND($G991="Received",$A991&gt;AsOfDate),"Future-dated – added on its date",IF(AND($G991="Received",$A991&lt;SUMIFS(CI_Count,CI_Site,$B991,CI_Mat,$C991)),"Before count date – already in the count","OK"))))))))</f>
        <v/>
      </c>
    </row>
    <row r="992" customFormat="false" ht="15" hidden="false" customHeight="false" outlineLevel="0" collapsed="false">
      <c r="A992" s="65"/>
      <c r="B992" s="63"/>
      <c r="C992" s="70"/>
      <c r="D992" s="16" t="str">
        <f aca="false">IF($C992="","",IFERROR(INDEX(Mat_Short,MATCH($C992,Mat_Code,0)),"⚠ Unknown code"))</f>
        <v/>
      </c>
      <c r="E992" s="66"/>
      <c r="F992" s="64" t="str">
        <f aca="false">IF($C992="","",IFERROR(INDEX(Mat_Unit,MATCH($C992,Mat_Code,0)),""))</f>
        <v/>
      </c>
      <c r="G992" s="70"/>
      <c r="H992" s="63"/>
      <c r="I992" s="63"/>
      <c r="J992" s="63"/>
      <c r="K992" s="16" t="str">
        <f aca="false">IF(AND($A992="",$B992="",$C992="",$E992=""),"",IF($A992="","⚠ Date missing",IF(OR($B992="",$C992=""),"⚠ Site / material missing",IF(COUNTIFS(CI_Site,$B992,CI_Mat,$C992)=0,"⚠ No Current Inventory row for this site + material",IF($G992="","⚠ Status missing",IF(AND($G992="Scheduled",$A992&lt;=AsOfDate),"⚠ Scheduled date reached – mark Received or re-date",IF(AND($G992="Received",$A992&gt;AsOfDate),"Future-dated – added on its date",IF(AND($G992="Received",$A992&lt;SUMIFS(CI_Count,CI_Site,$B992,CI_Mat,$C992)),"Before count date – already in the count","OK"))))))))</f>
        <v/>
      </c>
    </row>
    <row r="993" customFormat="false" ht="15" hidden="false" customHeight="false" outlineLevel="0" collapsed="false">
      <c r="A993" s="65"/>
      <c r="B993" s="63"/>
      <c r="C993" s="70"/>
      <c r="D993" s="16" t="str">
        <f aca="false">IF($C993="","",IFERROR(INDEX(Mat_Short,MATCH($C993,Mat_Code,0)),"⚠ Unknown code"))</f>
        <v/>
      </c>
      <c r="E993" s="66"/>
      <c r="F993" s="64" t="str">
        <f aca="false">IF($C993="","",IFERROR(INDEX(Mat_Unit,MATCH($C993,Mat_Code,0)),""))</f>
        <v/>
      </c>
      <c r="G993" s="70"/>
      <c r="H993" s="63"/>
      <c r="I993" s="63"/>
      <c r="J993" s="63"/>
      <c r="K993" s="16" t="str">
        <f aca="false">IF(AND($A993="",$B993="",$C993="",$E993=""),"",IF($A993="","⚠ Date missing",IF(OR($B993="",$C993=""),"⚠ Site / material missing",IF(COUNTIFS(CI_Site,$B993,CI_Mat,$C993)=0,"⚠ No Current Inventory row for this site + material",IF($G993="","⚠ Status missing",IF(AND($G993="Scheduled",$A993&lt;=AsOfDate),"⚠ Scheduled date reached – mark Received or re-date",IF(AND($G993="Received",$A993&gt;AsOfDate),"Future-dated – added on its date",IF(AND($G993="Received",$A993&lt;SUMIFS(CI_Count,CI_Site,$B993,CI_Mat,$C993)),"Before count date – already in the count","OK"))))))))</f>
        <v/>
      </c>
    </row>
    <row r="994" customFormat="false" ht="15" hidden="false" customHeight="false" outlineLevel="0" collapsed="false">
      <c r="A994" s="65"/>
      <c r="B994" s="63"/>
      <c r="C994" s="70"/>
      <c r="D994" s="16" t="str">
        <f aca="false">IF($C994="","",IFERROR(INDEX(Mat_Short,MATCH($C994,Mat_Code,0)),"⚠ Unknown code"))</f>
        <v/>
      </c>
      <c r="E994" s="66"/>
      <c r="F994" s="64" t="str">
        <f aca="false">IF($C994="","",IFERROR(INDEX(Mat_Unit,MATCH($C994,Mat_Code,0)),""))</f>
        <v/>
      </c>
      <c r="G994" s="70"/>
      <c r="H994" s="63"/>
      <c r="I994" s="63"/>
      <c r="J994" s="63"/>
      <c r="K994" s="16" t="str">
        <f aca="false">IF(AND($A994="",$B994="",$C994="",$E994=""),"",IF($A994="","⚠ Date missing",IF(OR($B994="",$C994=""),"⚠ Site / material missing",IF(COUNTIFS(CI_Site,$B994,CI_Mat,$C994)=0,"⚠ No Current Inventory row for this site + material",IF($G994="","⚠ Status missing",IF(AND($G994="Scheduled",$A994&lt;=AsOfDate),"⚠ Scheduled date reached – mark Received or re-date",IF(AND($G994="Received",$A994&gt;AsOfDate),"Future-dated – added on its date",IF(AND($G994="Received",$A994&lt;SUMIFS(CI_Count,CI_Site,$B994,CI_Mat,$C994)),"Before count date – already in the count","OK"))))))))</f>
        <v/>
      </c>
    </row>
    <row r="995" customFormat="false" ht="15" hidden="false" customHeight="false" outlineLevel="0" collapsed="false">
      <c r="A995" s="65"/>
      <c r="B995" s="63"/>
      <c r="C995" s="70"/>
      <c r="D995" s="16" t="str">
        <f aca="false">IF($C995="","",IFERROR(INDEX(Mat_Short,MATCH($C995,Mat_Code,0)),"⚠ Unknown code"))</f>
        <v/>
      </c>
      <c r="E995" s="66"/>
      <c r="F995" s="64" t="str">
        <f aca="false">IF($C995="","",IFERROR(INDEX(Mat_Unit,MATCH($C995,Mat_Code,0)),""))</f>
        <v/>
      </c>
      <c r="G995" s="70"/>
      <c r="H995" s="63"/>
      <c r="I995" s="63"/>
      <c r="J995" s="63"/>
      <c r="K995" s="16" t="str">
        <f aca="false">IF(AND($A995="",$B995="",$C995="",$E995=""),"",IF($A995="","⚠ Date missing",IF(OR($B995="",$C995=""),"⚠ Site / material missing",IF(COUNTIFS(CI_Site,$B995,CI_Mat,$C995)=0,"⚠ No Current Inventory row for this site + material",IF($G995="","⚠ Status missing",IF(AND($G995="Scheduled",$A995&lt;=AsOfDate),"⚠ Scheduled date reached – mark Received or re-date",IF(AND($G995="Received",$A995&gt;AsOfDate),"Future-dated – added on its date",IF(AND($G995="Received",$A995&lt;SUMIFS(CI_Count,CI_Site,$B995,CI_Mat,$C995)),"Before count date – already in the count","OK"))))))))</f>
        <v/>
      </c>
    </row>
    <row r="996" customFormat="false" ht="15" hidden="false" customHeight="false" outlineLevel="0" collapsed="false">
      <c r="A996" s="65"/>
      <c r="B996" s="63"/>
      <c r="C996" s="70"/>
      <c r="D996" s="16" t="str">
        <f aca="false">IF($C996="","",IFERROR(INDEX(Mat_Short,MATCH($C996,Mat_Code,0)),"⚠ Unknown code"))</f>
        <v/>
      </c>
      <c r="E996" s="66"/>
      <c r="F996" s="64" t="str">
        <f aca="false">IF($C996="","",IFERROR(INDEX(Mat_Unit,MATCH($C996,Mat_Code,0)),""))</f>
        <v/>
      </c>
      <c r="G996" s="70"/>
      <c r="H996" s="63"/>
      <c r="I996" s="63"/>
      <c r="J996" s="63"/>
      <c r="K996" s="16" t="str">
        <f aca="false">IF(AND($A996="",$B996="",$C996="",$E996=""),"",IF($A996="","⚠ Date missing",IF(OR($B996="",$C996=""),"⚠ Site / material missing",IF(COUNTIFS(CI_Site,$B996,CI_Mat,$C996)=0,"⚠ No Current Inventory row for this site + material",IF($G996="","⚠ Status missing",IF(AND($G996="Scheduled",$A996&lt;=AsOfDate),"⚠ Scheduled date reached – mark Received or re-date",IF(AND($G996="Received",$A996&gt;AsOfDate),"Future-dated – added on its date",IF(AND($G996="Received",$A996&lt;SUMIFS(CI_Count,CI_Site,$B996,CI_Mat,$C996)),"Before count date – already in the count","OK"))))))))</f>
        <v/>
      </c>
    </row>
    <row r="997" customFormat="false" ht="15" hidden="false" customHeight="false" outlineLevel="0" collapsed="false">
      <c r="A997" s="65"/>
      <c r="B997" s="63"/>
      <c r="C997" s="70"/>
      <c r="D997" s="16" t="str">
        <f aca="false">IF($C997="","",IFERROR(INDEX(Mat_Short,MATCH($C997,Mat_Code,0)),"⚠ Unknown code"))</f>
        <v/>
      </c>
      <c r="E997" s="66"/>
      <c r="F997" s="64" t="str">
        <f aca="false">IF($C997="","",IFERROR(INDEX(Mat_Unit,MATCH($C997,Mat_Code,0)),""))</f>
        <v/>
      </c>
      <c r="G997" s="70"/>
      <c r="H997" s="63"/>
      <c r="I997" s="63"/>
      <c r="J997" s="63"/>
      <c r="K997" s="16" t="str">
        <f aca="false">IF(AND($A997="",$B997="",$C997="",$E997=""),"",IF($A997="","⚠ Date missing",IF(OR($B997="",$C997=""),"⚠ Site / material missing",IF(COUNTIFS(CI_Site,$B997,CI_Mat,$C997)=0,"⚠ No Current Inventory row for this site + material",IF($G997="","⚠ Status missing",IF(AND($G997="Scheduled",$A997&lt;=AsOfDate),"⚠ Scheduled date reached – mark Received or re-date",IF(AND($G997="Received",$A997&gt;AsOfDate),"Future-dated – added on its date",IF(AND($G997="Received",$A997&lt;SUMIFS(CI_Count,CI_Site,$B997,CI_Mat,$C997)),"Before count date – already in the count","OK"))))))))</f>
        <v/>
      </c>
    </row>
    <row r="998" customFormat="false" ht="15" hidden="false" customHeight="false" outlineLevel="0" collapsed="false">
      <c r="A998" s="65"/>
      <c r="B998" s="63"/>
      <c r="C998" s="70"/>
      <c r="D998" s="16" t="str">
        <f aca="false">IF($C998="","",IFERROR(INDEX(Mat_Short,MATCH($C998,Mat_Code,0)),"⚠ Unknown code"))</f>
        <v/>
      </c>
      <c r="E998" s="66"/>
      <c r="F998" s="64" t="str">
        <f aca="false">IF($C998="","",IFERROR(INDEX(Mat_Unit,MATCH($C998,Mat_Code,0)),""))</f>
        <v/>
      </c>
      <c r="G998" s="70"/>
      <c r="H998" s="63"/>
      <c r="I998" s="63"/>
      <c r="J998" s="63"/>
      <c r="K998" s="16" t="str">
        <f aca="false">IF(AND($A998="",$B998="",$C998="",$E998=""),"",IF($A998="","⚠ Date missing",IF(OR($B998="",$C998=""),"⚠ Site / material missing",IF(COUNTIFS(CI_Site,$B998,CI_Mat,$C998)=0,"⚠ No Current Inventory row for this site + material",IF($G998="","⚠ Status missing",IF(AND($G998="Scheduled",$A998&lt;=AsOfDate),"⚠ Scheduled date reached – mark Received or re-date",IF(AND($G998="Received",$A998&gt;AsOfDate),"Future-dated – added on its date",IF(AND($G998="Received",$A998&lt;SUMIFS(CI_Count,CI_Site,$B998,CI_Mat,$C998)),"Before count date – already in the count","OK"))))))))</f>
        <v/>
      </c>
    </row>
    <row r="999" customFormat="false" ht="15" hidden="false" customHeight="false" outlineLevel="0" collapsed="false">
      <c r="A999" s="65"/>
      <c r="B999" s="63"/>
      <c r="C999" s="70"/>
      <c r="D999" s="16" t="str">
        <f aca="false">IF($C999="","",IFERROR(INDEX(Mat_Short,MATCH($C999,Mat_Code,0)),"⚠ Unknown code"))</f>
        <v/>
      </c>
      <c r="E999" s="66"/>
      <c r="F999" s="64" t="str">
        <f aca="false">IF($C999="","",IFERROR(INDEX(Mat_Unit,MATCH($C999,Mat_Code,0)),""))</f>
        <v/>
      </c>
      <c r="G999" s="70"/>
      <c r="H999" s="63"/>
      <c r="I999" s="63"/>
      <c r="J999" s="63"/>
      <c r="K999" s="16" t="str">
        <f aca="false">IF(AND($A999="",$B999="",$C999="",$E999=""),"",IF($A999="","⚠ Date missing",IF(OR($B999="",$C999=""),"⚠ Site / material missing",IF(COUNTIFS(CI_Site,$B999,CI_Mat,$C999)=0,"⚠ No Current Inventory row for this site + material",IF($G999="","⚠ Status missing",IF(AND($G999="Scheduled",$A999&lt;=AsOfDate),"⚠ Scheduled date reached – mark Received or re-date",IF(AND($G999="Received",$A999&gt;AsOfDate),"Future-dated – added on its date",IF(AND($G999="Received",$A999&lt;SUMIFS(CI_Count,CI_Site,$B999,CI_Mat,$C999)),"Before count date – already in the count","OK"))))))))</f>
        <v/>
      </c>
    </row>
    <row r="1000" customFormat="false" ht="15" hidden="false" customHeight="false" outlineLevel="0" collapsed="false">
      <c r="A1000" s="65"/>
      <c r="B1000" s="63"/>
      <c r="C1000" s="70"/>
      <c r="D1000" s="16" t="str">
        <f aca="false">IF($C1000="","",IFERROR(INDEX(Mat_Short,MATCH($C1000,Mat_Code,0)),"⚠ Unknown code"))</f>
        <v/>
      </c>
      <c r="E1000" s="66"/>
      <c r="F1000" s="64" t="str">
        <f aca="false">IF($C1000="","",IFERROR(INDEX(Mat_Unit,MATCH($C1000,Mat_Code,0)),""))</f>
        <v/>
      </c>
      <c r="G1000" s="70"/>
      <c r="H1000" s="63"/>
      <c r="I1000" s="63"/>
      <c r="J1000" s="63"/>
      <c r="K1000" s="16" t="str">
        <f aca="false">IF(AND($A1000="",$B1000="",$C1000="",$E1000=""),"",IF($A1000="","⚠ Date missing",IF(OR($B1000="",$C1000=""),"⚠ Site / material missing",IF(COUNTIFS(CI_Site,$B1000,CI_Mat,$C1000)=0,"⚠ No Current Inventory row for this site + material",IF($G1000="","⚠ Status missing",IF(AND($G1000="Scheduled",$A1000&lt;=AsOfDate),"⚠ Scheduled date reached – mark Received or re-date",IF(AND($G1000="Received",$A1000&gt;AsOfDate),"Future-dated – added on its date",IF(AND($G1000="Received",$A1000&lt;SUMIFS(CI_Count,CI_Site,$B1000,CI_Mat,$C1000)),"Before count date – already in the count","OK"))))))))</f>
        <v/>
      </c>
    </row>
    <row r="1001" customFormat="false" ht="15" hidden="false" customHeight="false" outlineLevel="0" collapsed="false">
      <c r="A1001" s="65"/>
      <c r="B1001" s="63"/>
      <c r="C1001" s="70"/>
      <c r="D1001" s="16" t="str">
        <f aca="false">IF($C1001="","",IFERROR(INDEX(Mat_Short,MATCH($C1001,Mat_Code,0)),"⚠ Unknown code"))</f>
        <v/>
      </c>
      <c r="E1001" s="66"/>
      <c r="F1001" s="64" t="str">
        <f aca="false">IF($C1001="","",IFERROR(INDEX(Mat_Unit,MATCH($C1001,Mat_Code,0)),""))</f>
        <v/>
      </c>
      <c r="G1001" s="70"/>
      <c r="H1001" s="63"/>
      <c r="I1001" s="63"/>
      <c r="J1001" s="63"/>
      <c r="K1001" s="16" t="str">
        <f aca="false">IF(AND($A1001="",$B1001="",$C1001="",$E1001=""),"",IF($A1001="","⚠ Date missing",IF(OR($B1001="",$C1001=""),"⚠ Site / material missing",IF(COUNTIFS(CI_Site,$B1001,CI_Mat,$C1001)=0,"⚠ No Current Inventory row for this site + material",IF($G1001="","⚠ Status missing",IF(AND($G1001="Scheduled",$A1001&lt;=AsOfDate),"⚠ Scheduled date reached – mark Received or re-date",IF(AND($G1001="Received",$A1001&gt;AsOfDate),"Future-dated – added on its date",IF(AND($G1001="Received",$A1001&lt;SUMIFS(CI_Count,CI_Site,$B1001,CI_Mat,$C1001)),"Before count date – already in the count","OK"))))))))</f>
        <v/>
      </c>
    </row>
    <row r="1002" customFormat="false" ht="15" hidden="false" customHeight="false" outlineLevel="0" collapsed="false">
      <c r="A1002" s="65"/>
      <c r="B1002" s="63"/>
      <c r="C1002" s="70"/>
      <c r="D1002" s="16" t="str">
        <f aca="false">IF($C1002="","",IFERROR(INDEX(Mat_Short,MATCH($C1002,Mat_Code,0)),"⚠ Unknown code"))</f>
        <v/>
      </c>
      <c r="E1002" s="66"/>
      <c r="F1002" s="64" t="str">
        <f aca="false">IF($C1002="","",IFERROR(INDEX(Mat_Unit,MATCH($C1002,Mat_Code,0)),""))</f>
        <v/>
      </c>
      <c r="G1002" s="70"/>
      <c r="H1002" s="63"/>
      <c r="I1002" s="63"/>
      <c r="J1002" s="63"/>
      <c r="K1002" s="16" t="str">
        <f aca="false">IF(AND($A1002="",$B1002="",$C1002="",$E1002=""),"",IF($A1002="","⚠ Date missing",IF(OR($B1002="",$C1002=""),"⚠ Site / material missing",IF(COUNTIFS(CI_Site,$B1002,CI_Mat,$C1002)=0,"⚠ No Current Inventory row for this site + material",IF($G1002="","⚠ Status missing",IF(AND($G1002="Scheduled",$A1002&lt;=AsOfDate),"⚠ Scheduled date reached – mark Received or re-date",IF(AND($G1002="Received",$A1002&gt;AsOfDate),"Future-dated – added on its date",IF(AND($G1002="Received",$A1002&lt;SUMIFS(CI_Count,CI_Site,$B1002,CI_Mat,$C1002)),"Before count date – already in the count","OK"))))))))</f>
        <v/>
      </c>
    </row>
    <row r="1003" customFormat="false" ht="15" hidden="false" customHeight="false" outlineLevel="0" collapsed="false">
      <c r="A1003" s="65"/>
      <c r="B1003" s="63"/>
      <c r="C1003" s="70"/>
      <c r="D1003" s="16" t="str">
        <f aca="false">IF($C1003="","",IFERROR(INDEX(Mat_Short,MATCH($C1003,Mat_Code,0)),"⚠ Unknown code"))</f>
        <v/>
      </c>
      <c r="E1003" s="66"/>
      <c r="F1003" s="64" t="str">
        <f aca="false">IF($C1003="","",IFERROR(INDEX(Mat_Unit,MATCH($C1003,Mat_Code,0)),""))</f>
        <v/>
      </c>
      <c r="G1003" s="70"/>
      <c r="H1003" s="63"/>
      <c r="I1003" s="63"/>
      <c r="J1003" s="63"/>
      <c r="K1003" s="16" t="str">
        <f aca="false">IF(AND($A1003="",$B1003="",$C1003="",$E1003=""),"",IF($A1003="","⚠ Date missing",IF(OR($B1003="",$C1003=""),"⚠ Site / material missing",IF(COUNTIFS(CI_Site,$B1003,CI_Mat,$C1003)=0,"⚠ No Current Inventory row for this site + material",IF($G1003="","⚠ Status missing",IF(AND($G1003="Scheduled",$A1003&lt;=AsOfDate),"⚠ Scheduled date reached – mark Received or re-date",IF(AND($G1003="Received",$A1003&gt;AsOfDate),"Future-dated – added on its date",IF(AND($G1003="Received",$A1003&lt;SUMIFS(CI_Count,CI_Site,$B1003,CI_Mat,$C1003)),"Before count date – already in the count","OK"))))))))</f>
        <v/>
      </c>
    </row>
    <row r="1004" customFormat="false" ht="15" hidden="false" customHeight="false" outlineLevel="0" collapsed="false">
      <c r="A1004" s="65"/>
      <c r="B1004" s="63"/>
      <c r="C1004" s="70"/>
      <c r="D1004" s="16" t="str">
        <f aca="false">IF($C1004="","",IFERROR(INDEX(Mat_Short,MATCH($C1004,Mat_Code,0)),"⚠ Unknown code"))</f>
        <v/>
      </c>
      <c r="E1004" s="66"/>
      <c r="F1004" s="64" t="str">
        <f aca="false">IF($C1004="","",IFERROR(INDEX(Mat_Unit,MATCH($C1004,Mat_Code,0)),""))</f>
        <v/>
      </c>
      <c r="G1004" s="70"/>
      <c r="H1004" s="63"/>
      <c r="I1004" s="63"/>
      <c r="J1004" s="63"/>
      <c r="K1004" s="16" t="str">
        <f aca="false">IF(AND($A1004="",$B1004="",$C1004="",$E1004=""),"",IF($A1004="","⚠ Date missing",IF(OR($B1004="",$C1004=""),"⚠ Site / material missing",IF(COUNTIFS(CI_Site,$B1004,CI_Mat,$C1004)=0,"⚠ No Current Inventory row for this site + material",IF($G1004="","⚠ Status missing",IF(AND($G1004="Scheduled",$A1004&lt;=AsOfDate),"⚠ Scheduled date reached – mark Received or re-date",IF(AND($G1004="Received",$A1004&gt;AsOfDate),"Future-dated – added on its date",IF(AND($G1004="Received",$A1004&lt;SUMIFS(CI_Count,CI_Site,$B1004,CI_Mat,$C1004)),"Before count date – already in the count","OK"))))))))</f>
        <v/>
      </c>
    </row>
    <row r="1005" customFormat="false" ht="15" hidden="false" customHeight="false" outlineLevel="0" collapsed="false">
      <c r="A1005" s="65"/>
      <c r="B1005" s="63"/>
      <c r="C1005" s="70"/>
      <c r="D1005" s="16" t="str">
        <f aca="false">IF($C1005="","",IFERROR(INDEX(Mat_Short,MATCH($C1005,Mat_Code,0)),"⚠ Unknown code"))</f>
        <v/>
      </c>
      <c r="E1005" s="66"/>
      <c r="F1005" s="64" t="str">
        <f aca="false">IF($C1005="","",IFERROR(INDEX(Mat_Unit,MATCH($C1005,Mat_Code,0)),""))</f>
        <v/>
      </c>
      <c r="G1005" s="70"/>
      <c r="H1005" s="63"/>
      <c r="I1005" s="63"/>
      <c r="J1005" s="63"/>
      <c r="K1005" s="16" t="str">
        <f aca="false">IF(AND($A1005="",$B1005="",$C1005="",$E1005=""),"",IF($A1005="","⚠ Date missing",IF(OR($B1005="",$C1005=""),"⚠ Site / material missing",IF(COUNTIFS(CI_Site,$B1005,CI_Mat,$C1005)=0,"⚠ No Current Inventory row for this site + material",IF($G1005="","⚠ Status missing",IF(AND($G1005="Scheduled",$A1005&lt;=AsOfDate),"⚠ Scheduled date reached – mark Received or re-date",IF(AND($G1005="Received",$A1005&gt;AsOfDate),"Future-dated – added on its date",IF(AND($G1005="Received",$A1005&lt;SUMIFS(CI_Count,CI_Site,$B1005,CI_Mat,$C1005)),"Before count date – already in the count","OK"))))))))</f>
        <v/>
      </c>
    </row>
  </sheetData>
  <conditionalFormatting sqref="K6:K1005">
    <cfRule type="expression" priority="2" aboveAverage="0" equalAverage="0" bottom="0" percent="0" rank="0" text="" dxfId="2">
      <formula>LEFT($K6,1)="⚠"</formula>
    </cfRule>
  </conditionalFormatting>
  <conditionalFormatting sqref="G6:G1005">
    <cfRule type="cellIs" priority="3" operator="equal" aboveAverage="0" equalAverage="0" bottom="0" percent="0" rank="0" text="" dxfId="23">
      <formula>"Scheduled"</formula>
    </cfRule>
  </conditionalFormatting>
  <dataValidations count="4">
    <dataValidation allowBlank="true" error="Enter a valid date, e.g. 15-Oct-2026." errorStyle="stop" errorTitle="Date" operator="greaterThan" showDropDown="false" showErrorMessage="true" showInputMessage="false" sqref="A6:A1005" type="date">
      <formula1>DATE(2020,1,1)</formula1>
      <formula2>0</formula2>
    </dataValidation>
    <dataValidation allowBlank="true" error="Pick a site from the list (the list is kept in Settings)." errorStyle="stop" errorTitle="Not in list" operator="between" showDropDown="false" showErrorMessage="true" showInputMessage="false" sqref="B6:B1005" type="list">
      <formula1>SiteList</formula1>
      <formula2>0</formula2>
    </dataValidation>
    <dataValidation allowBlank="true" error="Pick a material code (CEM, SAND, G34, G38)." errorStyle="stop" errorTitle="Not in list" operator="between" showDropDown="false" showErrorMessage="true" showInputMessage="false" sqref="C6:C1005" type="list">
      <formula1>Mat_Code</formula1>
      <formula2>0</formula2>
    </dataValidation>
    <dataValidation allowBlank="true" error="Choose Received or Scheduled." errorStyle="stop" errorTitle="Not in list" operator="between" showDropDown="false" showErrorMessage="true" showInputMessage="false" sqref="G6:G1005" type="list">
      <formula1>"Received,Scheduled"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true"/>
  </sheetPr>
  <dimension ref="A1:A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3"/>
    <col collapsed="false" customWidth="true" hidden="false" outlineLevel="0" max="21" min="21" style="0" width="15"/>
    <col collapsed="false" customWidth="true" hidden="false" outlineLevel="0" max="23" min="22" style="0" width="13"/>
    <col collapsed="false" customWidth="true" hidden="false" outlineLevel="0" max="24" min="24" style="0" width="12"/>
    <col collapsed="false" customWidth="true" hidden="false" outlineLevel="0" max="25" min="25" style="0" width="80"/>
    <col collapsed="false" customWidth="true" hidden="false" outlineLevel="0" max="28" min="26" style="0" width="11"/>
  </cols>
  <sheetData>
    <row r="1" customFormat="false" ht="21.75" hidden="false" customHeight="true" outlineLevel="0" collapsed="false">
      <c r="A1" s="59" t="s">
        <v>153</v>
      </c>
    </row>
    <row r="2" customFormat="false" ht="15" hidden="false" customHeight="false" outlineLevel="0" collapsed="false">
      <c r="A2" s="8" t="s">
        <v>154</v>
      </c>
    </row>
    <row r="3" customFormat="false" ht="15" hidden="false" customHeight="false" outlineLevel="0" collapsed="false">
      <c r="A3" s="71" t="s">
        <v>155</v>
      </c>
    </row>
    <row r="4" customFormat="false" ht="18" hidden="false" customHeight="true" outlineLevel="0" collapsed="false">
      <c r="A4" s="35" t="s">
        <v>156</v>
      </c>
      <c r="B4" s="35"/>
      <c r="C4" s="35"/>
      <c r="D4" s="35"/>
      <c r="E4" s="35" t="s">
        <v>157</v>
      </c>
      <c r="F4" s="35"/>
      <c r="G4" s="35"/>
      <c r="H4" s="35" t="s">
        <v>158</v>
      </c>
      <c r="I4" s="35"/>
      <c r="J4" s="35"/>
      <c r="K4" s="35"/>
      <c r="L4" s="35" t="s">
        <v>159</v>
      </c>
      <c r="M4" s="35"/>
      <c r="N4" s="35" t="s">
        <v>160</v>
      </c>
      <c r="O4" s="35"/>
      <c r="P4" s="35"/>
      <c r="Q4" s="35"/>
      <c r="R4" s="35" t="s">
        <v>161</v>
      </c>
      <c r="S4" s="35"/>
      <c r="T4" s="35"/>
      <c r="U4" s="35" t="s">
        <v>162</v>
      </c>
      <c r="V4" s="35"/>
      <c r="W4" s="35"/>
      <c r="X4" s="35"/>
      <c r="Y4" s="35"/>
      <c r="Z4" s="9" t="s">
        <v>163</v>
      </c>
      <c r="AA4" s="9"/>
      <c r="AB4" s="9"/>
    </row>
    <row r="5" customFormat="false" ht="42" hidden="false" customHeight="true" outlineLevel="0" collapsed="false">
      <c r="A5" s="22" t="s">
        <v>88</v>
      </c>
      <c r="B5" s="22" t="s">
        <v>66</v>
      </c>
      <c r="C5" s="22" t="s">
        <v>52</v>
      </c>
      <c r="D5" s="22" t="s">
        <v>53</v>
      </c>
      <c r="E5" s="22" t="s">
        <v>114</v>
      </c>
      <c r="F5" s="22" t="s">
        <v>164</v>
      </c>
      <c r="G5" s="22" t="s">
        <v>165</v>
      </c>
      <c r="H5" s="22" t="s">
        <v>166</v>
      </c>
      <c r="I5" s="22" t="s">
        <v>167</v>
      </c>
      <c r="J5" s="22" t="s">
        <v>168</v>
      </c>
      <c r="K5" s="22" t="s">
        <v>169</v>
      </c>
      <c r="L5" s="22" t="s">
        <v>58</v>
      </c>
      <c r="M5" s="22" t="s">
        <v>170</v>
      </c>
      <c r="N5" s="22" t="s">
        <v>171</v>
      </c>
      <c r="O5" s="22" t="s">
        <v>172</v>
      </c>
      <c r="P5" s="22" t="s">
        <v>173</v>
      </c>
      <c r="Q5" s="22" t="s">
        <v>174</v>
      </c>
      <c r="R5" s="22" t="s">
        <v>175</v>
      </c>
      <c r="S5" s="22" t="s">
        <v>176</v>
      </c>
      <c r="T5" s="22" t="s">
        <v>177</v>
      </c>
      <c r="U5" s="22" t="s">
        <v>63</v>
      </c>
      <c r="V5" s="22" t="s">
        <v>60</v>
      </c>
      <c r="W5" s="22" t="s">
        <v>61</v>
      </c>
      <c r="X5" s="22" t="s">
        <v>65</v>
      </c>
      <c r="Y5" s="22" t="s">
        <v>178</v>
      </c>
      <c r="Z5" s="22" t="s">
        <v>179</v>
      </c>
      <c r="AA5" s="22" t="s">
        <v>180</v>
      </c>
      <c r="AB5" s="22" t="s">
        <v>181</v>
      </c>
    </row>
    <row r="6" customFormat="false" ht="15" hidden="false" customHeight="false" outlineLevel="0" collapsed="false">
      <c r="A6" s="16" t="str">
        <f aca="false">IF(ISNUMBER('Current Inventory'!$J6),'Current Inventory'!$A6,"")</f>
        <v/>
      </c>
      <c r="B6" s="64" t="str">
        <f aca="false">IF($A6="","",'Current Inventory'!$B6)</f>
        <v/>
      </c>
      <c r="C6" s="16" t="str">
        <f aca="false">IF($A6="","",'Current Inventory'!$C6)</f>
        <v/>
      </c>
      <c r="D6" s="64" t="str">
        <f aca="false">IF($A6="","",'Current Inventory'!$D6)</f>
        <v/>
      </c>
      <c r="E6" s="67" t="str">
        <f aca="false">IF($A6="","",'Current Inventory'!$J6)</f>
        <v/>
      </c>
      <c r="F6" s="67" t="str">
        <f aca="false">IF($A6="","",N('Current Inventory'!$G6))</f>
        <v/>
      </c>
      <c r="G6" s="69" t="str">
        <f aca="false">IF($A6="","",'Current Inventory'!$K6)</f>
        <v/>
      </c>
      <c r="H6" s="67" t="str">
        <f aca="false">IF($A6="","",IFERROR(SUMIFS(INDEX(PP_Daily,0,MATCH($B6,Mat_Code,0)),PP_Site,$A6),0))</f>
        <v/>
      </c>
      <c r="I6" s="67" t="str">
        <f aca="false">IF($A6="","",IFERROR(SUMIFS(INDEX(Con_Use,0,MATCH($B6,Mat_Code,0)),Con_Site,$A6,Con_Date,"&gt;"&amp;(AsOfDate-7),Con_Date,"&lt;="&amp;AsOfDate)/MAX(1,NETWORKDAYS.INTL(AsOfDate-6,AsOfDate,WeekendMask,Holidays)),0))</f>
        <v/>
      </c>
      <c r="J6" s="67" t="str">
        <f aca="false">IF($A6="","",IF($H6&gt;0,$H6,$I6))</f>
        <v/>
      </c>
      <c r="K6" s="64" t="str">
        <f aca="false">IF($A6="","",IF($H6&gt;0,"Plan",IF($I6&gt;0,"Actual 7-day avg","No usage")))</f>
        <v/>
      </c>
      <c r="L6" s="72" t="str">
        <f aca="false">IF($A6="","",IF($J6&gt;0,MAX(0,$E6)/$J6,""))</f>
        <v/>
      </c>
      <c r="M6" s="73" t="str">
        <f aca="false">IF(OR($A6="",$L6=""),"",IF($E6&lt;=0,"OUT",WORKDAY.INTL(AsOfDate,ROUNDUP($L6,0),WeekendMask,Holidays)))</f>
        <v/>
      </c>
      <c r="N6" s="74" t="str">
        <f aca="false">IF($A6="","",SUMIFS(Del_Qty,Del_Site,$A6,Del_Mat,$B6,Del_Date,"&gt;"&amp;AsOfDate))</f>
        <v/>
      </c>
      <c r="O6" s="73" t="str">
        <f aca="false">IF(OR($A6="",N($N6)&lt;=0),"",SUMPRODUCT(MIN((Del_Site=$A6)*(Del_Mat=$B6)*(Del_Date&gt;AsOfDate)*Del_Date+(1-(Del_Site=$A6)*(Del_Mat=$B6)*(Del_Date&gt;AsOfDate))*1000000000)))</f>
        <v/>
      </c>
      <c r="P6" s="74" t="str">
        <f aca="false">IF($A6="","",IF(ISNUMBER($M6),SUMIFS(Del_Qty,Del_Site,$A6,Del_Mat,$B6,Del_Date,"&gt;"&amp;AsOfDate,Del_Date,"&lt;="&amp;$M6),0))</f>
        <v/>
      </c>
      <c r="Q6" s="75" t="str">
        <f aca="false">IF(OR($A6="",$J6&lt;=0),"",IF($P6&gt;0,(MAX(0,$E6)+$N6)/$J6,$L6))</f>
        <v/>
      </c>
      <c r="R6" s="75" t="str">
        <f aca="false">IF($A6="","",IFERROR(INDEX(Mat_Lead,MATCH($B6,Mat_Code,0)),0))</f>
        <v/>
      </c>
      <c r="S6" s="75" t="str">
        <f aca="false">IF($A6="","",IFERROR(INDEX(Mat_Safety,MATCH($B6,Mat_Code,0)),0))</f>
        <v/>
      </c>
      <c r="T6" s="67" t="str">
        <f aca="false">IF($A6="","",$J6*($R6+$S6))</f>
        <v/>
      </c>
      <c r="U6" s="76" t="str">
        <f aca="false">IF($A6="","",IF($E6&lt;=0,"OUT OF STOCK",IF($J6&lt;=0,"NO USAGE",IF($Q6&lt;=$R6,"CRITICAL",IF($Q6&lt;=$R6+$S6,"REORDER","OK")))))</f>
        <v/>
      </c>
      <c r="V6" s="73" t="str">
        <f aca="false">IF(OR($A6="",$U6="NO USAGE"),"",IF(OR($U6="OUT OF STOCK",$Q6&lt;=$R6+$S6),"NOW",WORKDAY.INTL(AsOfDate,INT($Q6-$R6-$S6),WeekendMask,Holidays)))</f>
        <v/>
      </c>
      <c r="W6" s="73" t="str">
        <f aca="false">IF(OR($A6="",$U6="NO USAGE"),"",IF(OR($U6="OUT OF STOCK",$Q6&lt;=$R6),"NOW",WORKDAY.INTL(AsOfDate,ROUNDUP($Q6-$R6,0),WeekendMask,Holidays)))</f>
        <v/>
      </c>
      <c r="X6" s="77" t="str">
        <f aca="false">IF($A6="","",IF(OR($U6="CRITICAL",$U6="REORDER",$U6="OUT OF STOCK"),IF($F6&gt;0,ROUNDUP(MAX(0,$F6-MAX(0,MAX(0,$E6)+$N6-$J6*$R6)),0),"Set capacity"),0))</f>
        <v/>
      </c>
      <c r="Y6" s="16" t="str">
        <f aca="false">IF($A6="","",IF($U6="OUT OF STOCK","Out of stock – production at risk."&amp;IF($N6&gt;0," Next delivery "&amp;TEXT($O6,"ddd dd-mmm")&amp;": expedite it."," Order and expedite now."),IF($U6="CRITICAL",IF(AND($N6&gt;0,$P6&lt;=0),"URGENT – runs out about "&amp;TEXT($M6,"ddd dd-mmm")&amp;", before the next delivery ("&amp;TEXT($O6,"ddd dd-mmm")&amp;"). Expedite it.","URGENT – runs out about "&amp;TEXT($M6,"ddd dd-mmm")&amp;"; a normal order takes "&amp;$R6&amp;" days. Order and expedite now."),IF($U6="REORDER","Order now (about "&amp;TEXT($X6,"#,##0")&amp;" "&amp;$D6&amp;") – becomes critical "&amp;TEXT($W6,"ddd dd-mmm")&amp;".",IF($U6="NO USAGE","No planned or recent usage.","OK – next order by "&amp;TEXT($V6,"ddd dd-mmm")&amp;IF($N6&gt;0,"; "&amp;TEXT($N6,"#,##0")&amp;" "&amp;$D6&amp;" on order (next "&amp;TEXT($O6,"dd-mmm")&amp;")","")&amp;".")))))</f>
        <v/>
      </c>
      <c r="Z6" s="78" t="n">
        <f aca="false">IF(OR($A6="",$V6=""),1000000000,IF($V6="NOW",AsOfDate,$V6))</f>
        <v>1000000000</v>
      </c>
      <c r="AA6" s="78" t="n">
        <f aca="false">IF(OR($A6="",$W6=""),1000000000,IF($W6="NOW",AsOfDate,$W6))</f>
        <v>1000000000</v>
      </c>
      <c r="AB6" s="78" t="n">
        <f aca="false">IF(OR($A6="",$M6=""),1000000000,IF($M6="OUT",AsOfDate,$M6))</f>
        <v>1000000000</v>
      </c>
    </row>
    <row r="7" customFormat="false" ht="15" hidden="false" customHeight="false" outlineLevel="0" collapsed="false">
      <c r="A7" s="16" t="str">
        <f aca="false">IF(ISNUMBER('Current Inventory'!$J7),'Current Inventory'!$A7,"")</f>
        <v/>
      </c>
      <c r="B7" s="64" t="str">
        <f aca="false">IF($A7="","",'Current Inventory'!$B7)</f>
        <v/>
      </c>
      <c r="C7" s="16" t="str">
        <f aca="false">IF($A7="","",'Current Inventory'!$C7)</f>
        <v/>
      </c>
      <c r="D7" s="64" t="str">
        <f aca="false">IF($A7="","",'Current Inventory'!$D7)</f>
        <v/>
      </c>
      <c r="E7" s="67" t="str">
        <f aca="false">IF($A7="","",'Current Inventory'!$J7)</f>
        <v/>
      </c>
      <c r="F7" s="67" t="str">
        <f aca="false">IF($A7="","",N('Current Inventory'!$G7))</f>
        <v/>
      </c>
      <c r="G7" s="69" t="str">
        <f aca="false">IF($A7="","",'Current Inventory'!$K7)</f>
        <v/>
      </c>
      <c r="H7" s="67" t="str">
        <f aca="false">IF($A7="","",IFERROR(SUMIFS(INDEX(PP_Daily,0,MATCH($B7,Mat_Code,0)),PP_Site,$A7),0))</f>
        <v/>
      </c>
      <c r="I7" s="67" t="str">
        <f aca="false">IF($A7="","",IFERROR(SUMIFS(INDEX(Con_Use,0,MATCH($B7,Mat_Code,0)),Con_Site,$A7,Con_Date,"&gt;"&amp;(AsOfDate-7),Con_Date,"&lt;="&amp;AsOfDate)/MAX(1,NETWORKDAYS.INTL(AsOfDate-6,AsOfDate,WeekendMask,Holidays)),0))</f>
        <v/>
      </c>
      <c r="J7" s="67" t="str">
        <f aca="false">IF($A7="","",IF($H7&gt;0,$H7,$I7))</f>
        <v/>
      </c>
      <c r="K7" s="64" t="str">
        <f aca="false">IF($A7="","",IF($H7&gt;0,"Plan",IF($I7&gt;0,"Actual 7-day avg","No usage")))</f>
        <v/>
      </c>
      <c r="L7" s="72" t="str">
        <f aca="false">IF($A7="","",IF($J7&gt;0,MAX(0,$E7)/$J7,""))</f>
        <v/>
      </c>
      <c r="M7" s="73" t="str">
        <f aca="false">IF(OR($A7="",$L7=""),"",IF($E7&lt;=0,"OUT",WORKDAY.INTL(AsOfDate,ROUNDUP($L7,0),WeekendMask,Holidays)))</f>
        <v/>
      </c>
      <c r="N7" s="74" t="str">
        <f aca="false">IF($A7="","",SUMIFS(Del_Qty,Del_Site,$A7,Del_Mat,$B7,Del_Date,"&gt;"&amp;AsOfDate))</f>
        <v/>
      </c>
      <c r="O7" s="73" t="str">
        <f aca="false">IF(OR($A7="",N($N7)&lt;=0),"",SUMPRODUCT(MIN((Del_Site=$A7)*(Del_Mat=$B7)*(Del_Date&gt;AsOfDate)*Del_Date+(1-(Del_Site=$A7)*(Del_Mat=$B7)*(Del_Date&gt;AsOfDate))*1000000000)))</f>
        <v/>
      </c>
      <c r="P7" s="74" t="str">
        <f aca="false">IF($A7="","",IF(ISNUMBER($M7),SUMIFS(Del_Qty,Del_Site,$A7,Del_Mat,$B7,Del_Date,"&gt;"&amp;AsOfDate,Del_Date,"&lt;="&amp;$M7),0))</f>
        <v/>
      </c>
      <c r="Q7" s="75" t="str">
        <f aca="false">IF(OR($A7="",$J7&lt;=0),"",IF($P7&gt;0,(MAX(0,$E7)+$N7)/$J7,$L7))</f>
        <v/>
      </c>
      <c r="R7" s="75" t="str">
        <f aca="false">IF($A7="","",IFERROR(INDEX(Mat_Lead,MATCH($B7,Mat_Code,0)),0))</f>
        <v/>
      </c>
      <c r="S7" s="75" t="str">
        <f aca="false">IF($A7="","",IFERROR(INDEX(Mat_Safety,MATCH($B7,Mat_Code,0)),0))</f>
        <v/>
      </c>
      <c r="T7" s="67" t="str">
        <f aca="false">IF($A7="","",$J7*($R7+$S7))</f>
        <v/>
      </c>
      <c r="U7" s="76" t="str">
        <f aca="false">IF($A7="","",IF($E7&lt;=0,"OUT OF STOCK",IF($J7&lt;=0,"NO USAGE",IF($Q7&lt;=$R7,"CRITICAL",IF($Q7&lt;=$R7+$S7,"REORDER","OK")))))</f>
        <v/>
      </c>
      <c r="V7" s="73" t="str">
        <f aca="false">IF(OR($A7="",$U7="NO USAGE"),"",IF(OR($U7="OUT OF STOCK",$Q7&lt;=$R7+$S7),"NOW",WORKDAY.INTL(AsOfDate,INT($Q7-$R7-$S7),WeekendMask,Holidays)))</f>
        <v/>
      </c>
      <c r="W7" s="73" t="str">
        <f aca="false">IF(OR($A7="",$U7="NO USAGE"),"",IF(OR($U7="OUT OF STOCK",$Q7&lt;=$R7),"NOW",WORKDAY.INTL(AsOfDate,ROUNDUP($Q7-$R7,0),WeekendMask,Holidays)))</f>
        <v/>
      </c>
      <c r="X7" s="77" t="str">
        <f aca="false">IF($A7="","",IF(OR($U7="CRITICAL",$U7="REORDER",$U7="OUT OF STOCK"),IF($F7&gt;0,ROUNDUP(MAX(0,$F7-MAX(0,MAX(0,$E7)+$N7-$J7*$R7)),0),"Set capacity"),0))</f>
        <v/>
      </c>
      <c r="Y7" s="16" t="str">
        <f aca="false">IF($A7="","",IF($U7="OUT OF STOCK","Out of stock – production at risk."&amp;IF($N7&gt;0," Next delivery "&amp;TEXT($O7,"ddd dd-mmm")&amp;": expedite it."," Order and expedite now."),IF($U7="CRITICAL",IF(AND($N7&gt;0,$P7&lt;=0),"URGENT – runs out about "&amp;TEXT($M7,"ddd dd-mmm")&amp;", before the next delivery ("&amp;TEXT($O7,"ddd dd-mmm")&amp;"). Expedite it.","URGENT – runs out about "&amp;TEXT($M7,"ddd dd-mmm")&amp;"; a normal order takes "&amp;$R7&amp;" days. Order and expedite now."),IF($U7="REORDER","Order now (about "&amp;TEXT($X7,"#,##0")&amp;" "&amp;$D7&amp;") – becomes critical "&amp;TEXT($W7,"ddd dd-mmm")&amp;".",IF($U7="NO USAGE","No planned or recent usage.","OK – next order by "&amp;TEXT($V7,"ddd dd-mmm")&amp;IF($N7&gt;0,"; "&amp;TEXT($N7,"#,##0")&amp;" "&amp;$D7&amp;" on order (next "&amp;TEXT($O7,"dd-mmm")&amp;")","")&amp;".")))))</f>
        <v/>
      </c>
      <c r="Z7" s="78" t="n">
        <f aca="false">IF(OR($A7="",$V7=""),1000000000,IF($V7="NOW",AsOfDate,$V7))</f>
        <v>1000000000</v>
      </c>
      <c r="AA7" s="78" t="n">
        <f aca="false">IF(OR($A7="",$W7=""),1000000000,IF($W7="NOW",AsOfDate,$W7))</f>
        <v>1000000000</v>
      </c>
      <c r="AB7" s="78" t="n">
        <f aca="false">IF(OR($A7="",$M7=""),1000000000,IF($M7="OUT",AsOfDate,$M7))</f>
        <v>1000000000</v>
      </c>
    </row>
    <row r="8" customFormat="false" ht="15" hidden="false" customHeight="false" outlineLevel="0" collapsed="false">
      <c r="A8" s="16" t="str">
        <f aca="false">IF(ISNUMBER('Current Inventory'!$J8),'Current Inventory'!$A8,"")</f>
        <v/>
      </c>
      <c r="B8" s="64" t="str">
        <f aca="false">IF($A8="","",'Current Inventory'!$B8)</f>
        <v/>
      </c>
      <c r="C8" s="16" t="str">
        <f aca="false">IF($A8="","",'Current Inventory'!$C8)</f>
        <v/>
      </c>
      <c r="D8" s="64" t="str">
        <f aca="false">IF($A8="","",'Current Inventory'!$D8)</f>
        <v/>
      </c>
      <c r="E8" s="67" t="str">
        <f aca="false">IF($A8="","",'Current Inventory'!$J8)</f>
        <v/>
      </c>
      <c r="F8" s="67" t="str">
        <f aca="false">IF($A8="","",N('Current Inventory'!$G8))</f>
        <v/>
      </c>
      <c r="G8" s="69" t="str">
        <f aca="false">IF($A8="","",'Current Inventory'!$K8)</f>
        <v/>
      </c>
      <c r="H8" s="67" t="str">
        <f aca="false">IF($A8="","",IFERROR(SUMIFS(INDEX(PP_Daily,0,MATCH($B8,Mat_Code,0)),PP_Site,$A8),0))</f>
        <v/>
      </c>
      <c r="I8" s="67" t="str">
        <f aca="false">IF($A8="","",IFERROR(SUMIFS(INDEX(Con_Use,0,MATCH($B8,Mat_Code,0)),Con_Site,$A8,Con_Date,"&gt;"&amp;(AsOfDate-7),Con_Date,"&lt;="&amp;AsOfDate)/MAX(1,NETWORKDAYS.INTL(AsOfDate-6,AsOfDate,WeekendMask,Holidays)),0))</f>
        <v/>
      </c>
      <c r="J8" s="67" t="str">
        <f aca="false">IF($A8="","",IF($H8&gt;0,$H8,$I8))</f>
        <v/>
      </c>
      <c r="K8" s="64" t="str">
        <f aca="false">IF($A8="","",IF($H8&gt;0,"Plan",IF($I8&gt;0,"Actual 7-day avg","No usage")))</f>
        <v/>
      </c>
      <c r="L8" s="72" t="str">
        <f aca="false">IF($A8="","",IF($J8&gt;0,MAX(0,$E8)/$J8,""))</f>
        <v/>
      </c>
      <c r="M8" s="73" t="str">
        <f aca="false">IF(OR($A8="",$L8=""),"",IF($E8&lt;=0,"OUT",WORKDAY.INTL(AsOfDate,ROUNDUP($L8,0),WeekendMask,Holidays)))</f>
        <v/>
      </c>
      <c r="N8" s="74" t="str">
        <f aca="false">IF($A8="","",SUMIFS(Del_Qty,Del_Site,$A8,Del_Mat,$B8,Del_Date,"&gt;"&amp;AsOfDate))</f>
        <v/>
      </c>
      <c r="O8" s="73" t="str">
        <f aca="false">IF(OR($A8="",N($N8)&lt;=0),"",SUMPRODUCT(MIN((Del_Site=$A8)*(Del_Mat=$B8)*(Del_Date&gt;AsOfDate)*Del_Date+(1-(Del_Site=$A8)*(Del_Mat=$B8)*(Del_Date&gt;AsOfDate))*1000000000)))</f>
        <v/>
      </c>
      <c r="P8" s="74" t="str">
        <f aca="false">IF($A8="","",IF(ISNUMBER($M8),SUMIFS(Del_Qty,Del_Site,$A8,Del_Mat,$B8,Del_Date,"&gt;"&amp;AsOfDate,Del_Date,"&lt;="&amp;$M8),0))</f>
        <v/>
      </c>
      <c r="Q8" s="75" t="str">
        <f aca="false">IF(OR($A8="",$J8&lt;=0),"",IF($P8&gt;0,(MAX(0,$E8)+$N8)/$J8,$L8))</f>
        <v/>
      </c>
      <c r="R8" s="75" t="str">
        <f aca="false">IF($A8="","",IFERROR(INDEX(Mat_Lead,MATCH($B8,Mat_Code,0)),0))</f>
        <v/>
      </c>
      <c r="S8" s="75" t="str">
        <f aca="false">IF($A8="","",IFERROR(INDEX(Mat_Safety,MATCH($B8,Mat_Code,0)),0))</f>
        <v/>
      </c>
      <c r="T8" s="67" t="str">
        <f aca="false">IF($A8="","",$J8*($R8+$S8))</f>
        <v/>
      </c>
      <c r="U8" s="76" t="str">
        <f aca="false">IF($A8="","",IF($E8&lt;=0,"OUT OF STOCK",IF($J8&lt;=0,"NO USAGE",IF($Q8&lt;=$R8,"CRITICAL",IF($Q8&lt;=$R8+$S8,"REORDER","OK")))))</f>
        <v/>
      </c>
      <c r="V8" s="73" t="str">
        <f aca="false">IF(OR($A8="",$U8="NO USAGE"),"",IF(OR($U8="OUT OF STOCK",$Q8&lt;=$R8+$S8),"NOW",WORKDAY.INTL(AsOfDate,INT($Q8-$R8-$S8),WeekendMask,Holidays)))</f>
        <v/>
      </c>
      <c r="W8" s="73" t="str">
        <f aca="false">IF(OR($A8="",$U8="NO USAGE"),"",IF(OR($U8="OUT OF STOCK",$Q8&lt;=$R8),"NOW",WORKDAY.INTL(AsOfDate,ROUNDUP($Q8-$R8,0),WeekendMask,Holidays)))</f>
        <v/>
      </c>
      <c r="X8" s="77" t="str">
        <f aca="false">IF($A8="","",IF(OR($U8="CRITICAL",$U8="REORDER",$U8="OUT OF STOCK"),IF($F8&gt;0,ROUNDUP(MAX(0,$F8-MAX(0,MAX(0,$E8)+$N8-$J8*$R8)),0),"Set capacity"),0))</f>
        <v/>
      </c>
      <c r="Y8" s="16" t="str">
        <f aca="false">IF($A8="","",IF($U8="OUT OF STOCK","Out of stock – production at risk."&amp;IF($N8&gt;0," Next delivery "&amp;TEXT($O8,"ddd dd-mmm")&amp;": expedite it."," Order and expedite now."),IF($U8="CRITICAL",IF(AND($N8&gt;0,$P8&lt;=0),"URGENT – runs out about "&amp;TEXT($M8,"ddd dd-mmm")&amp;", before the next delivery ("&amp;TEXT($O8,"ddd dd-mmm")&amp;"). Expedite it.","URGENT – runs out about "&amp;TEXT($M8,"ddd dd-mmm")&amp;"; a normal order takes "&amp;$R8&amp;" days. Order and expedite now."),IF($U8="REORDER","Order now (about "&amp;TEXT($X8,"#,##0")&amp;" "&amp;$D8&amp;") – becomes critical "&amp;TEXT($W8,"ddd dd-mmm")&amp;".",IF($U8="NO USAGE","No planned or recent usage.","OK – next order by "&amp;TEXT($V8,"ddd dd-mmm")&amp;IF($N8&gt;0,"; "&amp;TEXT($N8,"#,##0")&amp;" "&amp;$D8&amp;" on order (next "&amp;TEXT($O8,"dd-mmm")&amp;")","")&amp;".")))))</f>
        <v/>
      </c>
      <c r="Z8" s="78" t="n">
        <f aca="false">IF(OR($A8="",$V8=""),1000000000,IF($V8="NOW",AsOfDate,$V8))</f>
        <v>1000000000</v>
      </c>
      <c r="AA8" s="78" t="n">
        <f aca="false">IF(OR($A8="",$W8=""),1000000000,IF($W8="NOW",AsOfDate,$W8))</f>
        <v>1000000000</v>
      </c>
      <c r="AB8" s="78" t="n">
        <f aca="false">IF(OR($A8="",$M8=""),1000000000,IF($M8="OUT",AsOfDate,$M8))</f>
        <v>1000000000</v>
      </c>
    </row>
    <row r="9" customFormat="false" ht="15" hidden="false" customHeight="false" outlineLevel="0" collapsed="false">
      <c r="A9" s="16" t="str">
        <f aca="false">IF(ISNUMBER('Current Inventory'!$J9),'Current Inventory'!$A9,"")</f>
        <v/>
      </c>
      <c r="B9" s="64" t="str">
        <f aca="false">IF($A9="","",'Current Inventory'!$B9)</f>
        <v/>
      </c>
      <c r="C9" s="16" t="str">
        <f aca="false">IF($A9="","",'Current Inventory'!$C9)</f>
        <v/>
      </c>
      <c r="D9" s="64" t="str">
        <f aca="false">IF($A9="","",'Current Inventory'!$D9)</f>
        <v/>
      </c>
      <c r="E9" s="67" t="str">
        <f aca="false">IF($A9="","",'Current Inventory'!$J9)</f>
        <v/>
      </c>
      <c r="F9" s="67" t="str">
        <f aca="false">IF($A9="","",N('Current Inventory'!$G9))</f>
        <v/>
      </c>
      <c r="G9" s="69" t="str">
        <f aca="false">IF($A9="","",'Current Inventory'!$K9)</f>
        <v/>
      </c>
      <c r="H9" s="67" t="str">
        <f aca="false">IF($A9="","",IFERROR(SUMIFS(INDEX(PP_Daily,0,MATCH($B9,Mat_Code,0)),PP_Site,$A9),0))</f>
        <v/>
      </c>
      <c r="I9" s="67" t="str">
        <f aca="false">IF($A9="","",IFERROR(SUMIFS(INDEX(Con_Use,0,MATCH($B9,Mat_Code,0)),Con_Site,$A9,Con_Date,"&gt;"&amp;(AsOfDate-7),Con_Date,"&lt;="&amp;AsOfDate)/MAX(1,NETWORKDAYS.INTL(AsOfDate-6,AsOfDate,WeekendMask,Holidays)),0))</f>
        <v/>
      </c>
      <c r="J9" s="67" t="str">
        <f aca="false">IF($A9="","",IF($H9&gt;0,$H9,$I9))</f>
        <v/>
      </c>
      <c r="K9" s="64" t="str">
        <f aca="false">IF($A9="","",IF($H9&gt;0,"Plan",IF($I9&gt;0,"Actual 7-day avg","No usage")))</f>
        <v/>
      </c>
      <c r="L9" s="72" t="str">
        <f aca="false">IF($A9="","",IF($J9&gt;0,MAX(0,$E9)/$J9,""))</f>
        <v/>
      </c>
      <c r="M9" s="73" t="str">
        <f aca="false">IF(OR($A9="",$L9=""),"",IF($E9&lt;=0,"OUT",WORKDAY.INTL(AsOfDate,ROUNDUP($L9,0),WeekendMask,Holidays)))</f>
        <v/>
      </c>
      <c r="N9" s="74" t="str">
        <f aca="false">IF($A9="","",SUMIFS(Del_Qty,Del_Site,$A9,Del_Mat,$B9,Del_Date,"&gt;"&amp;AsOfDate))</f>
        <v/>
      </c>
      <c r="O9" s="73" t="str">
        <f aca="false">IF(OR($A9="",N($N9)&lt;=0),"",SUMPRODUCT(MIN((Del_Site=$A9)*(Del_Mat=$B9)*(Del_Date&gt;AsOfDate)*Del_Date+(1-(Del_Site=$A9)*(Del_Mat=$B9)*(Del_Date&gt;AsOfDate))*1000000000)))</f>
        <v/>
      </c>
      <c r="P9" s="74" t="str">
        <f aca="false">IF($A9="","",IF(ISNUMBER($M9),SUMIFS(Del_Qty,Del_Site,$A9,Del_Mat,$B9,Del_Date,"&gt;"&amp;AsOfDate,Del_Date,"&lt;="&amp;$M9),0))</f>
        <v/>
      </c>
      <c r="Q9" s="75" t="str">
        <f aca="false">IF(OR($A9="",$J9&lt;=0),"",IF($P9&gt;0,(MAX(0,$E9)+$N9)/$J9,$L9))</f>
        <v/>
      </c>
      <c r="R9" s="75" t="str">
        <f aca="false">IF($A9="","",IFERROR(INDEX(Mat_Lead,MATCH($B9,Mat_Code,0)),0))</f>
        <v/>
      </c>
      <c r="S9" s="75" t="str">
        <f aca="false">IF($A9="","",IFERROR(INDEX(Mat_Safety,MATCH($B9,Mat_Code,0)),0))</f>
        <v/>
      </c>
      <c r="T9" s="67" t="str">
        <f aca="false">IF($A9="","",$J9*($R9+$S9))</f>
        <v/>
      </c>
      <c r="U9" s="76" t="str">
        <f aca="false">IF($A9="","",IF($E9&lt;=0,"OUT OF STOCK",IF($J9&lt;=0,"NO USAGE",IF($Q9&lt;=$R9,"CRITICAL",IF($Q9&lt;=$R9+$S9,"REORDER","OK")))))</f>
        <v/>
      </c>
      <c r="V9" s="73" t="str">
        <f aca="false">IF(OR($A9="",$U9="NO USAGE"),"",IF(OR($U9="OUT OF STOCK",$Q9&lt;=$R9+$S9),"NOW",WORKDAY.INTL(AsOfDate,INT($Q9-$R9-$S9),WeekendMask,Holidays)))</f>
        <v/>
      </c>
      <c r="W9" s="73" t="str">
        <f aca="false">IF(OR($A9="",$U9="NO USAGE"),"",IF(OR($U9="OUT OF STOCK",$Q9&lt;=$R9),"NOW",WORKDAY.INTL(AsOfDate,ROUNDUP($Q9-$R9,0),WeekendMask,Holidays)))</f>
        <v/>
      </c>
      <c r="X9" s="77" t="str">
        <f aca="false">IF($A9="","",IF(OR($U9="CRITICAL",$U9="REORDER",$U9="OUT OF STOCK"),IF($F9&gt;0,ROUNDUP(MAX(0,$F9-MAX(0,MAX(0,$E9)+$N9-$J9*$R9)),0),"Set capacity"),0))</f>
        <v/>
      </c>
      <c r="Y9" s="16" t="str">
        <f aca="false">IF($A9="","",IF($U9="OUT OF STOCK","Out of stock – production at risk."&amp;IF($N9&gt;0," Next delivery "&amp;TEXT($O9,"ddd dd-mmm")&amp;": expedite it."," Order and expedite now."),IF($U9="CRITICAL",IF(AND($N9&gt;0,$P9&lt;=0),"URGENT – runs out about "&amp;TEXT($M9,"ddd dd-mmm")&amp;", before the next delivery ("&amp;TEXT($O9,"ddd dd-mmm")&amp;"). Expedite it.","URGENT – runs out about "&amp;TEXT($M9,"ddd dd-mmm")&amp;"; a normal order takes "&amp;$R9&amp;" days. Order and expedite now."),IF($U9="REORDER","Order now (about "&amp;TEXT($X9,"#,##0")&amp;" "&amp;$D9&amp;") – becomes critical "&amp;TEXT($W9,"ddd dd-mmm")&amp;".",IF($U9="NO USAGE","No planned or recent usage.","OK – next order by "&amp;TEXT($V9,"ddd dd-mmm")&amp;IF($N9&gt;0,"; "&amp;TEXT($N9,"#,##0")&amp;" "&amp;$D9&amp;" on order (next "&amp;TEXT($O9,"dd-mmm")&amp;")","")&amp;".")))))</f>
        <v/>
      </c>
      <c r="Z9" s="78" t="n">
        <f aca="false">IF(OR($A9="",$V9=""),1000000000,IF($V9="NOW",AsOfDate,$V9))</f>
        <v>1000000000</v>
      </c>
      <c r="AA9" s="78" t="n">
        <f aca="false">IF(OR($A9="",$W9=""),1000000000,IF($W9="NOW",AsOfDate,$W9))</f>
        <v>1000000000</v>
      </c>
      <c r="AB9" s="78" t="n">
        <f aca="false">IF(OR($A9="",$M9=""),1000000000,IF($M9="OUT",AsOfDate,$M9))</f>
        <v>1000000000</v>
      </c>
    </row>
    <row r="10" customFormat="false" ht="15" hidden="false" customHeight="false" outlineLevel="0" collapsed="false">
      <c r="A10" s="16" t="str">
        <f aca="false">IF(ISNUMBER('Current Inventory'!$J10),'Current Inventory'!$A10,"")</f>
        <v/>
      </c>
      <c r="B10" s="64" t="str">
        <f aca="false">IF($A10="","",'Current Inventory'!$B10)</f>
        <v/>
      </c>
      <c r="C10" s="16" t="str">
        <f aca="false">IF($A10="","",'Current Inventory'!$C10)</f>
        <v/>
      </c>
      <c r="D10" s="64" t="str">
        <f aca="false">IF($A10="","",'Current Inventory'!$D10)</f>
        <v/>
      </c>
      <c r="E10" s="67" t="str">
        <f aca="false">IF($A10="","",'Current Inventory'!$J10)</f>
        <v/>
      </c>
      <c r="F10" s="67" t="str">
        <f aca="false">IF($A10="","",N('Current Inventory'!$G10))</f>
        <v/>
      </c>
      <c r="G10" s="69" t="str">
        <f aca="false">IF($A10="","",'Current Inventory'!$K10)</f>
        <v/>
      </c>
      <c r="H10" s="67" t="str">
        <f aca="false">IF($A10="","",IFERROR(SUMIFS(INDEX(PP_Daily,0,MATCH($B10,Mat_Code,0)),PP_Site,$A10),0))</f>
        <v/>
      </c>
      <c r="I10" s="67" t="str">
        <f aca="false">IF($A10="","",IFERROR(SUMIFS(INDEX(Con_Use,0,MATCH($B10,Mat_Code,0)),Con_Site,$A10,Con_Date,"&gt;"&amp;(AsOfDate-7),Con_Date,"&lt;="&amp;AsOfDate)/MAX(1,NETWORKDAYS.INTL(AsOfDate-6,AsOfDate,WeekendMask,Holidays)),0))</f>
        <v/>
      </c>
      <c r="J10" s="67" t="str">
        <f aca="false">IF($A10="","",IF($H10&gt;0,$H10,$I10))</f>
        <v/>
      </c>
      <c r="K10" s="64" t="str">
        <f aca="false">IF($A10="","",IF($H10&gt;0,"Plan",IF($I10&gt;0,"Actual 7-day avg","No usage")))</f>
        <v/>
      </c>
      <c r="L10" s="72" t="str">
        <f aca="false">IF($A10="","",IF($J10&gt;0,MAX(0,$E10)/$J10,""))</f>
        <v/>
      </c>
      <c r="M10" s="73" t="str">
        <f aca="false">IF(OR($A10="",$L10=""),"",IF($E10&lt;=0,"OUT",WORKDAY.INTL(AsOfDate,ROUNDUP($L10,0),WeekendMask,Holidays)))</f>
        <v/>
      </c>
      <c r="N10" s="74" t="str">
        <f aca="false">IF($A10="","",SUMIFS(Del_Qty,Del_Site,$A10,Del_Mat,$B10,Del_Date,"&gt;"&amp;AsOfDate))</f>
        <v/>
      </c>
      <c r="O10" s="73" t="str">
        <f aca="false">IF(OR($A10="",N($N10)&lt;=0),"",SUMPRODUCT(MIN((Del_Site=$A10)*(Del_Mat=$B10)*(Del_Date&gt;AsOfDate)*Del_Date+(1-(Del_Site=$A10)*(Del_Mat=$B10)*(Del_Date&gt;AsOfDate))*1000000000)))</f>
        <v/>
      </c>
      <c r="P10" s="74" t="str">
        <f aca="false">IF($A10="","",IF(ISNUMBER($M10),SUMIFS(Del_Qty,Del_Site,$A10,Del_Mat,$B10,Del_Date,"&gt;"&amp;AsOfDate,Del_Date,"&lt;="&amp;$M10),0))</f>
        <v/>
      </c>
      <c r="Q10" s="75" t="str">
        <f aca="false">IF(OR($A10="",$J10&lt;=0),"",IF($P10&gt;0,(MAX(0,$E10)+$N10)/$J10,$L10))</f>
        <v/>
      </c>
      <c r="R10" s="75" t="str">
        <f aca="false">IF($A10="","",IFERROR(INDEX(Mat_Lead,MATCH($B10,Mat_Code,0)),0))</f>
        <v/>
      </c>
      <c r="S10" s="75" t="str">
        <f aca="false">IF($A10="","",IFERROR(INDEX(Mat_Safety,MATCH($B10,Mat_Code,0)),0))</f>
        <v/>
      </c>
      <c r="T10" s="67" t="str">
        <f aca="false">IF($A10="","",$J10*($R10+$S10))</f>
        <v/>
      </c>
      <c r="U10" s="76" t="str">
        <f aca="false">IF($A10="","",IF($E10&lt;=0,"OUT OF STOCK",IF($J10&lt;=0,"NO USAGE",IF($Q10&lt;=$R10,"CRITICAL",IF($Q10&lt;=$R10+$S10,"REORDER","OK")))))</f>
        <v/>
      </c>
      <c r="V10" s="73" t="str">
        <f aca="false">IF(OR($A10="",$U10="NO USAGE"),"",IF(OR($U10="OUT OF STOCK",$Q10&lt;=$R10+$S10),"NOW",WORKDAY.INTL(AsOfDate,INT($Q10-$R10-$S10),WeekendMask,Holidays)))</f>
        <v/>
      </c>
      <c r="W10" s="73" t="str">
        <f aca="false">IF(OR($A10="",$U10="NO USAGE"),"",IF(OR($U10="OUT OF STOCK",$Q10&lt;=$R10),"NOW",WORKDAY.INTL(AsOfDate,ROUNDUP($Q10-$R10,0),WeekendMask,Holidays)))</f>
        <v/>
      </c>
      <c r="X10" s="77" t="str">
        <f aca="false">IF($A10="","",IF(OR($U10="CRITICAL",$U10="REORDER",$U10="OUT OF STOCK"),IF($F10&gt;0,ROUNDUP(MAX(0,$F10-MAX(0,MAX(0,$E10)+$N10-$J10*$R10)),0),"Set capacity"),0))</f>
        <v/>
      </c>
      <c r="Y10" s="16" t="str">
        <f aca="false">IF($A10="","",IF($U10="OUT OF STOCK","Out of stock – production at risk."&amp;IF($N10&gt;0," Next delivery "&amp;TEXT($O10,"ddd dd-mmm")&amp;": expedite it."," Order and expedite now."),IF($U10="CRITICAL",IF(AND($N10&gt;0,$P10&lt;=0),"URGENT – runs out about "&amp;TEXT($M10,"ddd dd-mmm")&amp;", before the next delivery ("&amp;TEXT($O10,"ddd dd-mmm")&amp;"). Expedite it.","URGENT – runs out about "&amp;TEXT($M10,"ddd dd-mmm")&amp;"; a normal order takes "&amp;$R10&amp;" days. Order and expedite now."),IF($U10="REORDER","Order now (about "&amp;TEXT($X10,"#,##0")&amp;" "&amp;$D10&amp;") – becomes critical "&amp;TEXT($W10,"ddd dd-mmm")&amp;".",IF($U10="NO USAGE","No planned or recent usage.","OK – next order by "&amp;TEXT($V10,"ddd dd-mmm")&amp;IF($N10&gt;0,"; "&amp;TEXT($N10,"#,##0")&amp;" "&amp;$D10&amp;" on order (next "&amp;TEXT($O10,"dd-mmm")&amp;")","")&amp;".")))))</f>
        <v/>
      </c>
      <c r="Z10" s="78" t="n">
        <f aca="false">IF(OR($A10="",$V10=""),1000000000,IF($V10="NOW",AsOfDate,$V10))</f>
        <v>1000000000</v>
      </c>
      <c r="AA10" s="78" t="n">
        <f aca="false">IF(OR($A10="",$W10=""),1000000000,IF($W10="NOW",AsOfDate,$W10))</f>
        <v>1000000000</v>
      </c>
      <c r="AB10" s="78" t="n">
        <f aca="false">IF(OR($A10="",$M10=""),1000000000,IF($M10="OUT",AsOfDate,$M10))</f>
        <v>1000000000</v>
      </c>
    </row>
    <row r="11" customFormat="false" ht="15" hidden="false" customHeight="false" outlineLevel="0" collapsed="false">
      <c r="A11" s="16" t="str">
        <f aca="false">IF(ISNUMBER('Current Inventory'!$J11),'Current Inventory'!$A11,"")</f>
        <v/>
      </c>
      <c r="B11" s="64" t="str">
        <f aca="false">IF($A11="","",'Current Inventory'!$B11)</f>
        <v/>
      </c>
      <c r="C11" s="16" t="str">
        <f aca="false">IF($A11="","",'Current Inventory'!$C11)</f>
        <v/>
      </c>
      <c r="D11" s="64" t="str">
        <f aca="false">IF($A11="","",'Current Inventory'!$D11)</f>
        <v/>
      </c>
      <c r="E11" s="67" t="str">
        <f aca="false">IF($A11="","",'Current Inventory'!$J11)</f>
        <v/>
      </c>
      <c r="F11" s="67" t="str">
        <f aca="false">IF($A11="","",N('Current Inventory'!$G11))</f>
        <v/>
      </c>
      <c r="G11" s="69" t="str">
        <f aca="false">IF($A11="","",'Current Inventory'!$K11)</f>
        <v/>
      </c>
      <c r="H11" s="67" t="str">
        <f aca="false">IF($A11="","",IFERROR(SUMIFS(INDEX(PP_Daily,0,MATCH($B11,Mat_Code,0)),PP_Site,$A11),0))</f>
        <v/>
      </c>
      <c r="I11" s="67" t="str">
        <f aca="false">IF($A11="","",IFERROR(SUMIFS(INDEX(Con_Use,0,MATCH($B11,Mat_Code,0)),Con_Site,$A11,Con_Date,"&gt;"&amp;(AsOfDate-7),Con_Date,"&lt;="&amp;AsOfDate)/MAX(1,NETWORKDAYS.INTL(AsOfDate-6,AsOfDate,WeekendMask,Holidays)),0))</f>
        <v/>
      </c>
      <c r="J11" s="67" t="str">
        <f aca="false">IF($A11="","",IF($H11&gt;0,$H11,$I11))</f>
        <v/>
      </c>
      <c r="K11" s="64" t="str">
        <f aca="false">IF($A11="","",IF($H11&gt;0,"Plan",IF($I11&gt;0,"Actual 7-day avg","No usage")))</f>
        <v/>
      </c>
      <c r="L11" s="72" t="str">
        <f aca="false">IF($A11="","",IF($J11&gt;0,MAX(0,$E11)/$J11,""))</f>
        <v/>
      </c>
      <c r="M11" s="73" t="str">
        <f aca="false">IF(OR($A11="",$L11=""),"",IF($E11&lt;=0,"OUT",WORKDAY.INTL(AsOfDate,ROUNDUP($L11,0),WeekendMask,Holidays)))</f>
        <v/>
      </c>
      <c r="N11" s="74" t="str">
        <f aca="false">IF($A11="","",SUMIFS(Del_Qty,Del_Site,$A11,Del_Mat,$B11,Del_Date,"&gt;"&amp;AsOfDate))</f>
        <v/>
      </c>
      <c r="O11" s="73" t="str">
        <f aca="false">IF(OR($A11="",N($N11)&lt;=0),"",SUMPRODUCT(MIN((Del_Site=$A11)*(Del_Mat=$B11)*(Del_Date&gt;AsOfDate)*Del_Date+(1-(Del_Site=$A11)*(Del_Mat=$B11)*(Del_Date&gt;AsOfDate))*1000000000)))</f>
        <v/>
      </c>
      <c r="P11" s="74" t="str">
        <f aca="false">IF($A11="","",IF(ISNUMBER($M11),SUMIFS(Del_Qty,Del_Site,$A11,Del_Mat,$B11,Del_Date,"&gt;"&amp;AsOfDate,Del_Date,"&lt;="&amp;$M11),0))</f>
        <v/>
      </c>
      <c r="Q11" s="75" t="str">
        <f aca="false">IF(OR($A11="",$J11&lt;=0),"",IF($P11&gt;0,(MAX(0,$E11)+$N11)/$J11,$L11))</f>
        <v/>
      </c>
      <c r="R11" s="75" t="str">
        <f aca="false">IF($A11="","",IFERROR(INDEX(Mat_Lead,MATCH($B11,Mat_Code,0)),0))</f>
        <v/>
      </c>
      <c r="S11" s="75" t="str">
        <f aca="false">IF($A11="","",IFERROR(INDEX(Mat_Safety,MATCH($B11,Mat_Code,0)),0))</f>
        <v/>
      </c>
      <c r="T11" s="67" t="str">
        <f aca="false">IF($A11="","",$J11*($R11+$S11))</f>
        <v/>
      </c>
      <c r="U11" s="76" t="str">
        <f aca="false">IF($A11="","",IF($E11&lt;=0,"OUT OF STOCK",IF($J11&lt;=0,"NO USAGE",IF($Q11&lt;=$R11,"CRITICAL",IF($Q11&lt;=$R11+$S11,"REORDER","OK")))))</f>
        <v/>
      </c>
      <c r="V11" s="73" t="str">
        <f aca="false">IF(OR($A11="",$U11="NO USAGE"),"",IF(OR($U11="OUT OF STOCK",$Q11&lt;=$R11+$S11),"NOW",WORKDAY.INTL(AsOfDate,INT($Q11-$R11-$S11),WeekendMask,Holidays)))</f>
        <v/>
      </c>
      <c r="W11" s="73" t="str">
        <f aca="false">IF(OR($A11="",$U11="NO USAGE"),"",IF(OR($U11="OUT OF STOCK",$Q11&lt;=$R11),"NOW",WORKDAY.INTL(AsOfDate,ROUNDUP($Q11-$R11,0),WeekendMask,Holidays)))</f>
        <v/>
      </c>
      <c r="X11" s="77" t="str">
        <f aca="false">IF($A11="","",IF(OR($U11="CRITICAL",$U11="REORDER",$U11="OUT OF STOCK"),IF($F11&gt;0,ROUNDUP(MAX(0,$F11-MAX(0,MAX(0,$E11)+$N11-$J11*$R11)),0),"Set capacity"),0))</f>
        <v/>
      </c>
      <c r="Y11" s="16" t="str">
        <f aca="false">IF($A11="","",IF($U11="OUT OF STOCK","Out of stock – production at risk."&amp;IF($N11&gt;0," Next delivery "&amp;TEXT($O11,"ddd dd-mmm")&amp;": expedite it."," Order and expedite now."),IF($U11="CRITICAL",IF(AND($N11&gt;0,$P11&lt;=0),"URGENT – runs out about "&amp;TEXT($M11,"ddd dd-mmm")&amp;", before the next delivery ("&amp;TEXT($O11,"ddd dd-mmm")&amp;"). Expedite it.","URGENT – runs out about "&amp;TEXT($M11,"ddd dd-mmm")&amp;"; a normal order takes "&amp;$R11&amp;" days. Order and expedite now."),IF($U11="REORDER","Order now (about "&amp;TEXT($X11,"#,##0")&amp;" "&amp;$D11&amp;") – becomes critical "&amp;TEXT($W11,"ddd dd-mmm")&amp;".",IF($U11="NO USAGE","No planned or recent usage.","OK – next order by "&amp;TEXT($V11,"ddd dd-mmm")&amp;IF($N11&gt;0,"; "&amp;TEXT($N11,"#,##0")&amp;" "&amp;$D11&amp;" on order (next "&amp;TEXT($O11,"dd-mmm")&amp;")","")&amp;".")))))</f>
        <v/>
      </c>
      <c r="Z11" s="78" t="n">
        <f aca="false">IF(OR($A11="",$V11=""),1000000000,IF($V11="NOW",AsOfDate,$V11))</f>
        <v>1000000000</v>
      </c>
      <c r="AA11" s="78" t="n">
        <f aca="false">IF(OR($A11="",$W11=""),1000000000,IF($W11="NOW",AsOfDate,$W11))</f>
        <v>1000000000</v>
      </c>
      <c r="AB11" s="78" t="n">
        <f aca="false">IF(OR($A11="",$M11=""),1000000000,IF($M11="OUT",AsOfDate,$M11))</f>
        <v>1000000000</v>
      </c>
    </row>
    <row r="12" customFormat="false" ht="15" hidden="false" customHeight="false" outlineLevel="0" collapsed="false">
      <c r="A12" s="16" t="str">
        <f aca="false">IF(ISNUMBER('Current Inventory'!$J12),'Current Inventory'!$A12,"")</f>
        <v/>
      </c>
      <c r="B12" s="64" t="str">
        <f aca="false">IF($A12="","",'Current Inventory'!$B12)</f>
        <v/>
      </c>
      <c r="C12" s="16" t="str">
        <f aca="false">IF($A12="","",'Current Inventory'!$C12)</f>
        <v/>
      </c>
      <c r="D12" s="64" t="str">
        <f aca="false">IF($A12="","",'Current Inventory'!$D12)</f>
        <v/>
      </c>
      <c r="E12" s="67" t="str">
        <f aca="false">IF($A12="","",'Current Inventory'!$J12)</f>
        <v/>
      </c>
      <c r="F12" s="67" t="str">
        <f aca="false">IF($A12="","",N('Current Inventory'!$G12))</f>
        <v/>
      </c>
      <c r="G12" s="69" t="str">
        <f aca="false">IF($A12="","",'Current Inventory'!$K12)</f>
        <v/>
      </c>
      <c r="H12" s="67" t="str">
        <f aca="false">IF($A12="","",IFERROR(SUMIFS(INDEX(PP_Daily,0,MATCH($B12,Mat_Code,0)),PP_Site,$A12),0))</f>
        <v/>
      </c>
      <c r="I12" s="67" t="str">
        <f aca="false">IF($A12="","",IFERROR(SUMIFS(INDEX(Con_Use,0,MATCH($B12,Mat_Code,0)),Con_Site,$A12,Con_Date,"&gt;"&amp;(AsOfDate-7),Con_Date,"&lt;="&amp;AsOfDate)/MAX(1,NETWORKDAYS.INTL(AsOfDate-6,AsOfDate,WeekendMask,Holidays)),0))</f>
        <v/>
      </c>
      <c r="J12" s="67" t="str">
        <f aca="false">IF($A12="","",IF($H12&gt;0,$H12,$I12))</f>
        <v/>
      </c>
      <c r="K12" s="64" t="str">
        <f aca="false">IF($A12="","",IF($H12&gt;0,"Plan",IF($I12&gt;0,"Actual 7-day avg","No usage")))</f>
        <v/>
      </c>
      <c r="L12" s="72" t="str">
        <f aca="false">IF($A12="","",IF($J12&gt;0,MAX(0,$E12)/$J12,""))</f>
        <v/>
      </c>
      <c r="M12" s="73" t="str">
        <f aca="false">IF(OR($A12="",$L12=""),"",IF($E12&lt;=0,"OUT",WORKDAY.INTL(AsOfDate,ROUNDUP($L12,0),WeekendMask,Holidays)))</f>
        <v/>
      </c>
      <c r="N12" s="74" t="str">
        <f aca="false">IF($A12="","",SUMIFS(Del_Qty,Del_Site,$A12,Del_Mat,$B12,Del_Date,"&gt;"&amp;AsOfDate))</f>
        <v/>
      </c>
      <c r="O12" s="73" t="str">
        <f aca="false">IF(OR($A12="",N($N12)&lt;=0),"",SUMPRODUCT(MIN((Del_Site=$A12)*(Del_Mat=$B12)*(Del_Date&gt;AsOfDate)*Del_Date+(1-(Del_Site=$A12)*(Del_Mat=$B12)*(Del_Date&gt;AsOfDate))*1000000000)))</f>
        <v/>
      </c>
      <c r="P12" s="74" t="str">
        <f aca="false">IF($A12="","",IF(ISNUMBER($M12),SUMIFS(Del_Qty,Del_Site,$A12,Del_Mat,$B12,Del_Date,"&gt;"&amp;AsOfDate,Del_Date,"&lt;="&amp;$M12),0))</f>
        <v/>
      </c>
      <c r="Q12" s="75" t="str">
        <f aca="false">IF(OR($A12="",$J12&lt;=0),"",IF($P12&gt;0,(MAX(0,$E12)+$N12)/$J12,$L12))</f>
        <v/>
      </c>
      <c r="R12" s="75" t="str">
        <f aca="false">IF($A12="","",IFERROR(INDEX(Mat_Lead,MATCH($B12,Mat_Code,0)),0))</f>
        <v/>
      </c>
      <c r="S12" s="75" t="str">
        <f aca="false">IF($A12="","",IFERROR(INDEX(Mat_Safety,MATCH($B12,Mat_Code,0)),0))</f>
        <v/>
      </c>
      <c r="T12" s="67" t="str">
        <f aca="false">IF($A12="","",$J12*($R12+$S12))</f>
        <v/>
      </c>
      <c r="U12" s="76" t="str">
        <f aca="false">IF($A12="","",IF($E12&lt;=0,"OUT OF STOCK",IF($J12&lt;=0,"NO USAGE",IF($Q12&lt;=$R12,"CRITICAL",IF($Q12&lt;=$R12+$S12,"REORDER","OK")))))</f>
        <v/>
      </c>
      <c r="V12" s="73" t="str">
        <f aca="false">IF(OR($A12="",$U12="NO USAGE"),"",IF(OR($U12="OUT OF STOCK",$Q12&lt;=$R12+$S12),"NOW",WORKDAY.INTL(AsOfDate,INT($Q12-$R12-$S12),WeekendMask,Holidays)))</f>
        <v/>
      </c>
      <c r="W12" s="73" t="str">
        <f aca="false">IF(OR($A12="",$U12="NO USAGE"),"",IF(OR($U12="OUT OF STOCK",$Q12&lt;=$R12),"NOW",WORKDAY.INTL(AsOfDate,ROUNDUP($Q12-$R12,0),WeekendMask,Holidays)))</f>
        <v/>
      </c>
      <c r="X12" s="77" t="str">
        <f aca="false">IF($A12="","",IF(OR($U12="CRITICAL",$U12="REORDER",$U12="OUT OF STOCK"),IF($F12&gt;0,ROUNDUP(MAX(0,$F12-MAX(0,MAX(0,$E12)+$N12-$J12*$R12)),0),"Set capacity"),0))</f>
        <v/>
      </c>
      <c r="Y12" s="16" t="str">
        <f aca="false">IF($A12="","",IF($U12="OUT OF STOCK","Out of stock – production at risk."&amp;IF($N12&gt;0," Next delivery "&amp;TEXT($O12,"ddd dd-mmm")&amp;": expedite it."," Order and expedite now."),IF($U12="CRITICAL",IF(AND($N12&gt;0,$P12&lt;=0),"URGENT – runs out about "&amp;TEXT($M12,"ddd dd-mmm")&amp;", before the next delivery ("&amp;TEXT($O12,"ddd dd-mmm")&amp;"). Expedite it.","URGENT – runs out about "&amp;TEXT($M12,"ddd dd-mmm")&amp;"; a normal order takes "&amp;$R12&amp;" days. Order and expedite now."),IF($U12="REORDER","Order now (about "&amp;TEXT($X12,"#,##0")&amp;" "&amp;$D12&amp;") – becomes critical "&amp;TEXT($W12,"ddd dd-mmm")&amp;".",IF($U12="NO USAGE","No planned or recent usage.","OK – next order by "&amp;TEXT($V12,"ddd dd-mmm")&amp;IF($N12&gt;0,"; "&amp;TEXT($N12,"#,##0")&amp;" "&amp;$D12&amp;" on order (next "&amp;TEXT($O12,"dd-mmm")&amp;")","")&amp;".")))))</f>
        <v/>
      </c>
      <c r="Z12" s="78" t="n">
        <f aca="false">IF(OR($A12="",$V12=""),1000000000,IF($V12="NOW",AsOfDate,$V12))</f>
        <v>1000000000</v>
      </c>
      <c r="AA12" s="78" t="n">
        <f aca="false">IF(OR($A12="",$W12=""),1000000000,IF($W12="NOW",AsOfDate,$W12))</f>
        <v>1000000000</v>
      </c>
      <c r="AB12" s="78" t="n">
        <f aca="false">IF(OR($A12="",$M12=""),1000000000,IF($M12="OUT",AsOfDate,$M12))</f>
        <v>1000000000</v>
      </c>
    </row>
    <row r="13" customFormat="false" ht="15" hidden="false" customHeight="false" outlineLevel="0" collapsed="false">
      <c r="A13" s="16" t="str">
        <f aca="false">IF(ISNUMBER('Current Inventory'!$J13),'Current Inventory'!$A13,"")</f>
        <v/>
      </c>
      <c r="B13" s="64" t="str">
        <f aca="false">IF($A13="","",'Current Inventory'!$B13)</f>
        <v/>
      </c>
      <c r="C13" s="16" t="str">
        <f aca="false">IF($A13="","",'Current Inventory'!$C13)</f>
        <v/>
      </c>
      <c r="D13" s="64" t="str">
        <f aca="false">IF($A13="","",'Current Inventory'!$D13)</f>
        <v/>
      </c>
      <c r="E13" s="67" t="str">
        <f aca="false">IF($A13="","",'Current Inventory'!$J13)</f>
        <v/>
      </c>
      <c r="F13" s="67" t="str">
        <f aca="false">IF($A13="","",N('Current Inventory'!$G13))</f>
        <v/>
      </c>
      <c r="G13" s="69" t="str">
        <f aca="false">IF($A13="","",'Current Inventory'!$K13)</f>
        <v/>
      </c>
      <c r="H13" s="67" t="str">
        <f aca="false">IF($A13="","",IFERROR(SUMIFS(INDEX(PP_Daily,0,MATCH($B13,Mat_Code,0)),PP_Site,$A13),0))</f>
        <v/>
      </c>
      <c r="I13" s="67" t="str">
        <f aca="false">IF($A13="","",IFERROR(SUMIFS(INDEX(Con_Use,0,MATCH($B13,Mat_Code,0)),Con_Site,$A13,Con_Date,"&gt;"&amp;(AsOfDate-7),Con_Date,"&lt;="&amp;AsOfDate)/MAX(1,NETWORKDAYS.INTL(AsOfDate-6,AsOfDate,WeekendMask,Holidays)),0))</f>
        <v/>
      </c>
      <c r="J13" s="67" t="str">
        <f aca="false">IF($A13="","",IF($H13&gt;0,$H13,$I13))</f>
        <v/>
      </c>
      <c r="K13" s="64" t="str">
        <f aca="false">IF($A13="","",IF($H13&gt;0,"Plan",IF($I13&gt;0,"Actual 7-day avg","No usage")))</f>
        <v/>
      </c>
      <c r="L13" s="72" t="str">
        <f aca="false">IF($A13="","",IF($J13&gt;0,MAX(0,$E13)/$J13,""))</f>
        <v/>
      </c>
      <c r="M13" s="73" t="str">
        <f aca="false">IF(OR($A13="",$L13=""),"",IF($E13&lt;=0,"OUT",WORKDAY.INTL(AsOfDate,ROUNDUP($L13,0),WeekendMask,Holidays)))</f>
        <v/>
      </c>
      <c r="N13" s="74" t="str">
        <f aca="false">IF($A13="","",SUMIFS(Del_Qty,Del_Site,$A13,Del_Mat,$B13,Del_Date,"&gt;"&amp;AsOfDate))</f>
        <v/>
      </c>
      <c r="O13" s="73" t="str">
        <f aca="false">IF(OR($A13="",N($N13)&lt;=0),"",SUMPRODUCT(MIN((Del_Site=$A13)*(Del_Mat=$B13)*(Del_Date&gt;AsOfDate)*Del_Date+(1-(Del_Site=$A13)*(Del_Mat=$B13)*(Del_Date&gt;AsOfDate))*1000000000)))</f>
        <v/>
      </c>
      <c r="P13" s="74" t="str">
        <f aca="false">IF($A13="","",IF(ISNUMBER($M13),SUMIFS(Del_Qty,Del_Site,$A13,Del_Mat,$B13,Del_Date,"&gt;"&amp;AsOfDate,Del_Date,"&lt;="&amp;$M13),0))</f>
        <v/>
      </c>
      <c r="Q13" s="75" t="str">
        <f aca="false">IF(OR($A13="",$J13&lt;=0),"",IF($P13&gt;0,(MAX(0,$E13)+$N13)/$J13,$L13))</f>
        <v/>
      </c>
      <c r="R13" s="75" t="str">
        <f aca="false">IF($A13="","",IFERROR(INDEX(Mat_Lead,MATCH($B13,Mat_Code,0)),0))</f>
        <v/>
      </c>
      <c r="S13" s="75" t="str">
        <f aca="false">IF($A13="","",IFERROR(INDEX(Mat_Safety,MATCH($B13,Mat_Code,0)),0))</f>
        <v/>
      </c>
      <c r="T13" s="67" t="str">
        <f aca="false">IF($A13="","",$J13*($R13+$S13))</f>
        <v/>
      </c>
      <c r="U13" s="76" t="str">
        <f aca="false">IF($A13="","",IF($E13&lt;=0,"OUT OF STOCK",IF($J13&lt;=0,"NO USAGE",IF($Q13&lt;=$R13,"CRITICAL",IF($Q13&lt;=$R13+$S13,"REORDER","OK")))))</f>
        <v/>
      </c>
      <c r="V13" s="73" t="str">
        <f aca="false">IF(OR($A13="",$U13="NO USAGE"),"",IF(OR($U13="OUT OF STOCK",$Q13&lt;=$R13+$S13),"NOW",WORKDAY.INTL(AsOfDate,INT($Q13-$R13-$S13),WeekendMask,Holidays)))</f>
        <v/>
      </c>
      <c r="W13" s="73" t="str">
        <f aca="false">IF(OR($A13="",$U13="NO USAGE"),"",IF(OR($U13="OUT OF STOCK",$Q13&lt;=$R13),"NOW",WORKDAY.INTL(AsOfDate,ROUNDUP($Q13-$R13,0),WeekendMask,Holidays)))</f>
        <v/>
      </c>
      <c r="X13" s="77" t="str">
        <f aca="false">IF($A13="","",IF(OR($U13="CRITICAL",$U13="REORDER",$U13="OUT OF STOCK"),IF($F13&gt;0,ROUNDUP(MAX(0,$F13-MAX(0,MAX(0,$E13)+$N13-$J13*$R13)),0),"Set capacity"),0))</f>
        <v/>
      </c>
      <c r="Y13" s="16" t="str">
        <f aca="false">IF($A13="","",IF($U13="OUT OF STOCK","Out of stock – production at risk."&amp;IF($N13&gt;0," Next delivery "&amp;TEXT($O13,"ddd dd-mmm")&amp;": expedite it."," Order and expedite now."),IF($U13="CRITICAL",IF(AND($N13&gt;0,$P13&lt;=0),"URGENT – runs out about "&amp;TEXT($M13,"ddd dd-mmm")&amp;", before the next delivery ("&amp;TEXT($O13,"ddd dd-mmm")&amp;"). Expedite it.","URGENT – runs out about "&amp;TEXT($M13,"ddd dd-mmm")&amp;"; a normal order takes "&amp;$R13&amp;" days. Order and expedite now."),IF($U13="REORDER","Order now (about "&amp;TEXT($X13,"#,##0")&amp;" "&amp;$D13&amp;") – becomes critical "&amp;TEXT($W13,"ddd dd-mmm")&amp;".",IF($U13="NO USAGE","No planned or recent usage.","OK – next order by "&amp;TEXT($V13,"ddd dd-mmm")&amp;IF($N13&gt;0,"; "&amp;TEXT($N13,"#,##0")&amp;" "&amp;$D13&amp;" on order (next "&amp;TEXT($O13,"dd-mmm")&amp;")","")&amp;".")))))</f>
        <v/>
      </c>
      <c r="Z13" s="78" t="n">
        <f aca="false">IF(OR($A13="",$V13=""),1000000000,IF($V13="NOW",AsOfDate,$V13))</f>
        <v>1000000000</v>
      </c>
      <c r="AA13" s="78" t="n">
        <f aca="false">IF(OR($A13="",$W13=""),1000000000,IF($W13="NOW",AsOfDate,$W13))</f>
        <v>1000000000</v>
      </c>
      <c r="AB13" s="78" t="n">
        <f aca="false">IF(OR($A13="",$M13=""),1000000000,IF($M13="OUT",AsOfDate,$M13))</f>
        <v>1000000000</v>
      </c>
    </row>
    <row r="14" customFormat="false" ht="15" hidden="false" customHeight="false" outlineLevel="0" collapsed="false">
      <c r="A14" s="16" t="str">
        <f aca="false">IF(ISNUMBER('Current Inventory'!$J14),'Current Inventory'!$A14,"")</f>
        <v/>
      </c>
      <c r="B14" s="64" t="str">
        <f aca="false">IF($A14="","",'Current Inventory'!$B14)</f>
        <v/>
      </c>
      <c r="C14" s="16" t="str">
        <f aca="false">IF($A14="","",'Current Inventory'!$C14)</f>
        <v/>
      </c>
      <c r="D14" s="64" t="str">
        <f aca="false">IF($A14="","",'Current Inventory'!$D14)</f>
        <v/>
      </c>
      <c r="E14" s="67" t="str">
        <f aca="false">IF($A14="","",'Current Inventory'!$J14)</f>
        <v/>
      </c>
      <c r="F14" s="67" t="str">
        <f aca="false">IF($A14="","",N('Current Inventory'!$G14))</f>
        <v/>
      </c>
      <c r="G14" s="69" t="str">
        <f aca="false">IF($A14="","",'Current Inventory'!$K14)</f>
        <v/>
      </c>
      <c r="H14" s="67" t="str">
        <f aca="false">IF($A14="","",IFERROR(SUMIFS(INDEX(PP_Daily,0,MATCH($B14,Mat_Code,0)),PP_Site,$A14),0))</f>
        <v/>
      </c>
      <c r="I14" s="67" t="str">
        <f aca="false">IF($A14="","",IFERROR(SUMIFS(INDEX(Con_Use,0,MATCH($B14,Mat_Code,0)),Con_Site,$A14,Con_Date,"&gt;"&amp;(AsOfDate-7),Con_Date,"&lt;="&amp;AsOfDate)/MAX(1,NETWORKDAYS.INTL(AsOfDate-6,AsOfDate,WeekendMask,Holidays)),0))</f>
        <v/>
      </c>
      <c r="J14" s="67" t="str">
        <f aca="false">IF($A14="","",IF($H14&gt;0,$H14,$I14))</f>
        <v/>
      </c>
      <c r="K14" s="64" t="str">
        <f aca="false">IF($A14="","",IF($H14&gt;0,"Plan",IF($I14&gt;0,"Actual 7-day avg","No usage")))</f>
        <v/>
      </c>
      <c r="L14" s="72" t="str">
        <f aca="false">IF($A14="","",IF($J14&gt;0,MAX(0,$E14)/$J14,""))</f>
        <v/>
      </c>
      <c r="M14" s="73" t="str">
        <f aca="false">IF(OR($A14="",$L14=""),"",IF($E14&lt;=0,"OUT",WORKDAY.INTL(AsOfDate,ROUNDUP($L14,0),WeekendMask,Holidays)))</f>
        <v/>
      </c>
      <c r="N14" s="74" t="str">
        <f aca="false">IF($A14="","",SUMIFS(Del_Qty,Del_Site,$A14,Del_Mat,$B14,Del_Date,"&gt;"&amp;AsOfDate))</f>
        <v/>
      </c>
      <c r="O14" s="73" t="str">
        <f aca="false">IF(OR($A14="",N($N14)&lt;=0),"",SUMPRODUCT(MIN((Del_Site=$A14)*(Del_Mat=$B14)*(Del_Date&gt;AsOfDate)*Del_Date+(1-(Del_Site=$A14)*(Del_Mat=$B14)*(Del_Date&gt;AsOfDate))*1000000000)))</f>
        <v/>
      </c>
      <c r="P14" s="74" t="str">
        <f aca="false">IF($A14="","",IF(ISNUMBER($M14),SUMIFS(Del_Qty,Del_Site,$A14,Del_Mat,$B14,Del_Date,"&gt;"&amp;AsOfDate,Del_Date,"&lt;="&amp;$M14),0))</f>
        <v/>
      </c>
      <c r="Q14" s="75" t="str">
        <f aca="false">IF(OR($A14="",$J14&lt;=0),"",IF($P14&gt;0,(MAX(0,$E14)+$N14)/$J14,$L14))</f>
        <v/>
      </c>
      <c r="R14" s="75" t="str">
        <f aca="false">IF($A14="","",IFERROR(INDEX(Mat_Lead,MATCH($B14,Mat_Code,0)),0))</f>
        <v/>
      </c>
      <c r="S14" s="75" t="str">
        <f aca="false">IF($A14="","",IFERROR(INDEX(Mat_Safety,MATCH($B14,Mat_Code,0)),0))</f>
        <v/>
      </c>
      <c r="T14" s="67" t="str">
        <f aca="false">IF($A14="","",$J14*($R14+$S14))</f>
        <v/>
      </c>
      <c r="U14" s="76" t="str">
        <f aca="false">IF($A14="","",IF($E14&lt;=0,"OUT OF STOCK",IF($J14&lt;=0,"NO USAGE",IF($Q14&lt;=$R14,"CRITICAL",IF($Q14&lt;=$R14+$S14,"REORDER","OK")))))</f>
        <v/>
      </c>
      <c r="V14" s="73" t="str">
        <f aca="false">IF(OR($A14="",$U14="NO USAGE"),"",IF(OR($U14="OUT OF STOCK",$Q14&lt;=$R14+$S14),"NOW",WORKDAY.INTL(AsOfDate,INT($Q14-$R14-$S14),WeekendMask,Holidays)))</f>
        <v/>
      </c>
      <c r="W14" s="73" t="str">
        <f aca="false">IF(OR($A14="",$U14="NO USAGE"),"",IF(OR($U14="OUT OF STOCK",$Q14&lt;=$R14),"NOW",WORKDAY.INTL(AsOfDate,ROUNDUP($Q14-$R14,0),WeekendMask,Holidays)))</f>
        <v/>
      </c>
      <c r="X14" s="77" t="str">
        <f aca="false">IF($A14="","",IF(OR($U14="CRITICAL",$U14="REORDER",$U14="OUT OF STOCK"),IF($F14&gt;0,ROUNDUP(MAX(0,$F14-MAX(0,MAX(0,$E14)+$N14-$J14*$R14)),0),"Set capacity"),0))</f>
        <v/>
      </c>
      <c r="Y14" s="16" t="str">
        <f aca="false">IF($A14="","",IF($U14="OUT OF STOCK","Out of stock – production at risk."&amp;IF($N14&gt;0," Next delivery "&amp;TEXT($O14,"ddd dd-mmm")&amp;": expedite it."," Order and expedite now."),IF($U14="CRITICAL",IF(AND($N14&gt;0,$P14&lt;=0),"URGENT – runs out about "&amp;TEXT($M14,"ddd dd-mmm")&amp;", before the next delivery ("&amp;TEXT($O14,"ddd dd-mmm")&amp;"). Expedite it.","URGENT – runs out about "&amp;TEXT($M14,"ddd dd-mmm")&amp;"; a normal order takes "&amp;$R14&amp;" days. Order and expedite now."),IF($U14="REORDER","Order now (about "&amp;TEXT($X14,"#,##0")&amp;" "&amp;$D14&amp;") – becomes critical "&amp;TEXT($W14,"ddd dd-mmm")&amp;".",IF($U14="NO USAGE","No planned or recent usage.","OK – next order by "&amp;TEXT($V14,"ddd dd-mmm")&amp;IF($N14&gt;0,"; "&amp;TEXT($N14,"#,##0")&amp;" "&amp;$D14&amp;" on order (next "&amp;TEXT($O14,"dd-mmm")&amp;")","")&amp;".")))))</f>
        <v/>
      </c>
      <c r="Z14" s="78" t="n">
        <f aca="false">IF(OR($A14="",$V14=""),1000000000,IF($V14="NOW",AsOfDate,$V14))</f>
        <v>1000000000</v>
      </c>
      <c r="AA14" s="78" t="n">
        <f aca="false">IF(OR($A14="",$W14=""),1000000000,IF($W14="NOW",AsOfDate,$W14))</f>
        <v>1000000000</v>
      </c>
      <c r="AB14" s="78" t="n">
        <f aca="false">IF(OR($A14="",$M14=""),1000000000,IF($M14="OUT",AsOfDate,$M14))</f>
        <v>1000000000</v>
      </c>
    </row>
    <row r="15" customFormat="false" ht="15" hidden="false" customHeight="false" outlineLevel="0" collapsed="false">
      <c r="A15" s="16" t="str">
        <f aca="false">IF(ISNUMBER('Current Inventory'!$J15),'Current Inventory'!$A15,"")</f>
        <v/>
      </c>
      <c r="B15" s="64" t="str">
        <f aca="false">IF($A15="","",'Current Inventory'!$B15)</f>
        <v/>
      </c>
      <c r="C15" s="16" t="str">
        <f aca="false">IF($A15="","",'Current Inventory'!$C15)</f>
        <v/>
      </c>
      <c r="D15" s="64" t="str">
        <f aca="false">IF($A15="","",'Current Inventory'!$D15)</f>
        <v/>
      </c>
      <c r="E15" s="67" t="str">
        <f aca="false">IF($A15="","",'Current Inventory'!$J15)</f>
        <v/>
      </c>
      <c r="F15" s="67" t="str">
        <f aca="false">IF($A15="","",N('Current Inventory'!$G15))</f>
        <v/>
      </c>
      <c r="G15" s="69" t="str">
        <f aca="false">IF($A15="","",'Current Inventory'!$K15)</f>
        <v/>
      </c>
      <c r="H15" s="67" t="str">
        <f aca="false">IF($A15="","",IFERROR(SUMIFS(INDEX(PP_Daily,0,MATCH($B15,Mat_Code,0)),PP_Site,$A15),0))</f>
        <v/>
      </c>
      <c r="I15" s="67" t="str">
        <f aca="false">IF($A15="","",IFERROR(SUMIFS(INDEX(Con_Use,0,MATCH($B15,Mat_Code,0)),Con_Site,$A15,Con_Date,"&gt;"&amp;(AsOfDate-7),Con_Date,"&lt;="&amp;AsOfDate)/MAX(1,NETWORKDAYS.INTL(AsOfDate-6,AsOfDate,WeekendMask,Holidays)),0))</f>
        <v/>
      </c>
      <c r="J15" s="67" t="str">
        <f aca="false">IF($A15="","",IF($H15&gt;0,$H15,$I15))</f>
        <v/>
      </c>
      <c r="K15" s="64" t="str">
        <f aca="false">IF($A15="","",IF($H15&gt;0,"Plan",IF($I15&gt;0,"Actual 7-day avg","No usage")))</f>
        <v/>
      </c>
      <c r="L15" s="72" t="str">
        <f aca="false">IF($A15="","",IF($J15&gt;0,MAX(0,$E15)/$J15,""))</f>
        <v/>
      </c>
      <c r="M15" s="73" t="str">
        <f aca="false">IF(OR($A15="",$L15=""),"",IF($E15&lt;=0,"OUT",WORKDAY.INTL(AsOfDate,ROUNDUP($L15,0),WeekendMask,Holidays)))</f>
        <v/>
      </c>
      <c r="N15" s="74" t="str">
        <f aca="false">IF($A15="","",SUMIFS(Del_Qty,Del_Site,$A15,Del_Mat,$B15,Del_Date,"&gt;"&amp;AsOfDate))</f>
        <v/>
      </c>
      <c r="O15" s="73" t="str">
        <f aca="false">IF(OR($A15="",N($N15)&lt;=0),"",SUMPRODUCT(MIN((Del_Site=$A15)*(Del_Mat=$B15)*(Del_Date&gt;AsOfDate)*Del_Date+(1-(Del_Site=$A15)*(Del_Mat=$B15)*(Del_Date&gt;AsOfDate))*1000000000)))</f>
        <v/>
      </c>
      <c r="P15" s="74" t="str">
        <f aca="false">IF($A15="","",IF(ISNUMBER($M15),SUMIFS(Del_Qty,Del_Site,$A15,Del_Mat,$B15,Del_Date,"&gt;"&amp;AsOfDate,Del_Date,"&lt;="&amp;$M15),0))</f>
        <v/>
      </c>
      <c r="Q15" s="75" t="str">
        <f aca="false">IF(OR($A15="",$J15&lt;=0),"",IF($P15&gt;0,(MAX(0,$E15)+$N15)/$J15,$L15))</f>
        <v/>
      </c>
      <c r="R15" s="75" t="str">
        <f aca="false">IF($A15="","",IFERROR(INDEX(Mat_Lead,MATCH($B15,Mat_Code,0)),0))</f>
        <v/>
      </c>
      <c r="S15" s="75" t="str">
        <f aca="false">IF($A15="","",IFERROR(INDEX(Mat_Safety,MATCH($B15,Mat_Code,0)),0))</f>
        <v/>
      </c>
      <c r="T15" s="67" t="str">
        <f aca="false">IF($A15="","",$J15*($R15+$S15))</f>
        <v/>
      </c>
      <c r="U15" s="76" t="str">
        <f aca="false">IF($A15="","",IF($E15&lt;=0,"OUT OF STOCK",IF($J15&lt;=0,"NO USAGE",IF($Q15&lt;=$R15,"CRITICAL",IF($Q15&lt;=$R15+$S15,"REORDER","OK")))))</f>
        <v/>
      </c>
      <c r="V15" s="73" t="str">
        <f aca="false">IF(OR($A15="",$U15="NO USAGE"),"",IF(OR($U15="OUT OF STOCK",$Q15&lt;=$R15+$S15),"NOW",WORKDAY.INTL(AsOfDate,INT($Q15-$R15-$S15),WeekendMask,Holidays)))</f>
        <v/>
      </c>
      <c r="W15" s="73" t="str">
        <f aca="false">IF(OR($A15="",$U15="NO USAGE"),"",IF(OR($U15="OUT OF STOCK",$Q15&lt;=$R15),"NOW",WORKDAY.INTL(AsOfDate,ROUNDUP($Q15-$R15,0),WeekendMask,Holidays)))</f>
        <v/>
      </c>
      <c r="X15" s="77" t="str">
        <f aca="false">IF($A15="","",IF(OR($U15="CRITICAL",$U15="REORDER",$U15="OUT OF STOCK"),IF($F15&gt;0,ROUNDUP(MAX(0,$F15-MAX(0,MAX(0,$E15)+$N15-$J15*$R15)),0),"Set capacity"),0))</f>
        <v/>
      </c>
      <c r="Y15" s="16" t="str">
        <f aca="false">IF($A15="","",IF($U15="OUT OF STOCK","Out of stock – production at risk."&amp;IF($N15&gt;0," Next delivery "&amp;TEXT($O15,"ddd dd-mmm")&amp;": expedite it."," Order and expedite now."),IF($U15="CRITICAL",IF(AND($N15&gt;0,$P15&lt;=0),"URGENT – runs out about "&amp;TEXT($M15,"ddd dd-mmm")&amp;", before the next delivery ("&amp;TEXT($O15,"ddd dd-mmm")&amp;"). Expedite it.","URGENT – runs out about "&amp;TEXT($M15,"ddd dd-mmm")&amp;"; a normal order takes "&amp;$R15&amp;" days. Order and expedite now."),IF($U15="REORDER","Order now (about "&amp;TEXT($X15,"#,##0")&amp;" "&amp;$D15&amp;") – becomes critical "&amp;TEXT($W15,"ddd dd-mmm")&amp;".",IF($U15="NO USAGE","No planned or recent usage.","OK – next order by "&amp;TEXT($V15,"ddd dd-mmm")&amp;IF($N15&gt;0,"; "&amp;TEXT($N15,"#,##0")&amp;" "&amp;$D15&amp;" on order (next "&amp;TEXT($O15,"dd-mmm")&amp;")","")&amp;".")))))</f>
        <v/>
      </c>
      <c r="Z15" s="78" t="n">
        <f aca="false">IF(OR($A15="",$V15=""),1000000000,IF($V15="NOW",AsOfDate,$V15))</f>
        <v>1000000000</v>
      </c>
      <c r="AA15" s="78" t="n">
        <f aca="false">IF(OR($A15="",$W15=""),1000000000,IF($W15="NOW",AsOfDate,$W15))</f>
        <v>1000000000</v>
      </c>
      <c r="AB15" s="78" t="n">
        <f aca="false">IF(OR($A15="",$M15=""),1000000000,IF($M15="OUT",AsOfDate,$M15))</f>
        <v>1000000000</v>
      </c>
    </row>
    <row r="16" customFormat="false" ht="15" hidden="false" customHeight="false" outlineLevel="0" collapsed="false">
      <c r="A16" s="16" t="str">
        <f aca="false">IF(ISNUMBER('Current Inventory'!$J16),'Current Inventory'!$A16,"")</f>
        <v/>
      </c>
      <c r="B16" s="64" t="str">
        <f aca="false">IF($A16="","",'Current Inventory'!$B16)</f>
        <v/>
      </c>
      <c r="C16" s="16" t="str">
        <f aca="false">IF($A16="","",'Current Inventory'!$C16)</f>
        <v/>
      </c>
      <c r="D16" s="64" t="str">
        <f aca="false">IF($A16="","",'Current Inventory'!$D16)</f>
        <v/>
      </c>
      <c r="E16" s="67" t="str">
        <f aca="false">IF($A16="","",'Current Inventory'!$J16)</f>
        <v/>
      </c>
      <c r="F16" s="67" t="str">
        <f aca="false">IF($A16="","",N('Current Inventory'!$G16))</f>
        <v/>
      </c>
      <c r="G16" s="69" t="str">
        <f aca="false">IF($A16="","",'Current Inventory'!$K16)</f>
        <v/>
      </c>
      <c r="H16" s="67" t="str">
        <f aca="false">IF($A16="","",IFERROR(SUMIFS(INDEX(PP_Daily,0,MATCH($B16,Mat_Code,0)),PP_Site,$A16),0))</f>
        <v/>
      </c>
      <c r="I16" s="67" t="str">
        <f aca="false">IF($A16="","",IFERROR(SUMIFS(INDEX(Con_Use,0,MATCH($B16,Mat_Code,0)),Con_Site,$A16,Con_Date,"&gt;"&amp;(AsOfDate-7),Con_Date,"&lt;="&amp;AsOfDate)/MAX(1,NETWORKDAYS.INTL(AsOfDate-6,AsOfDate,WeekendMask,Holidays)),0))</f>
        <v/>
      </c>
      <c r="J16" s="67" t="str">
        <f aca="false">IF($A16="","",IF($H16&gt;0,$H16,$I16))</f>
        <v/>
      </c>
      <c r="K16" s="64" t="str">
        <f aca="false">IF($A16="","",IF($H16&gt;0,"Plan",IF($I16&gt;0,"Actual 7-day avg","No usage")))</f>
        <v/>
      </c>
      <c r="L16" s="72" t="str">
        <f aca="false">IF($A16="","",IF($J16&gt;0,MAX(0,$E16)/$J16,""))</f>
        <v/>
      </c>
      <c r="M16" s="73" t="str">
        <f aca="false">IF(OR($A16="",$L16=""),"",IF($E16&lt;=0,"OUT",WORKDAY.INTL(AsOfDate,ROUNDUP($L16,0),WeekendMask,Holidays)))</f>
        <v/>
      </c>
      <c r="N16" s="74" t="str">
        <f aca="false">IF($A16="","",SUMIFS(Del_Qty,Del_Site,$A16,Del_Mat,$B16,Del_Date,"&gt;"&amp;AsOfDate))</f>
        <v/>
      </c>
      <c r="O16" s="73" t="str">
        <f aca="false">IF(OR($A16="",N($N16)&lt;=0),"",SUMPRODUCT(MIN((Del_Site=$A16)*(Del_Mat=$B16)*(Del_Date&gt;AsOfDate)*Del_Date+(1-(Del_Site=$A16)*(Del_Mat=$B16)*(Del_Date&gt;AsOfDate))*1000000000)))</f>
        <v/>
      </c>
      <c r="P16" s="74" t="str">
        <f aca="false">IF($A16="","",IF(ISNUMBER($M16),SUMIFS(Del_Qty,Del_Site,$A16,Del_Mat,$B16,Del_Date,"&gt;"&amp;AsOfDate,Del_Date,"&lt;="&amp;$M16),0))</f>
        <v/>
      </c>
      <c r="Q16" s="75" t="str">
        <f aca="false">IF(OR($A16="",$J16&lt;=0),"",IF($P16&gt;0,(MAX(0,$E16)+$N16)/$J16,$L16))</f>
        <v/>
      </c>
      <c r="R16" s="75" t="str">
        <f aca="false">IF($A16="","",IFERROR(INDEX(Mat_Lead,MATCH($B16,Mat_Code,0)),0))</f>
        <v/>
      </c>
      <c r="S16" s="75" t="str">
        <f aca="false">IF($A16="","",IFERROR(INDEX(Mat_Safety,MATCH($B16,Mat_Code,0)),0))</f>
        <v/>
      </c>
      <c r="T16" s="67" t="str">
        <f aca="false">IF($A16="","",$J16*($R16+$S16))</f>
        <v/>
      </c>
      <c r="U16" s="76" t="str">
        <f aca="false">IF($A16="","",IF($E16&lt;=0,"OUT OF STOCK",IF($J16&lt;=0,"NO USAGE",IF($Q16&lt;=$R16,"CRITICAL",IF($Q16&lt;=$R16+$S16,"REORDER","OK")))))</f>
        <v/>
      </c>
      <c r="V16" s="73" t="str">
        <f aca="false">IF(OR($A16="",$U16="NO USAGE"),"",IF(OR($U16="OUT OF STOCK",$Q16&lt;=$R16+$S16),"NOW",WORKDAY.INTL(AsOfDate,INT($Q16-$R16-$S16),WeekendMask,Holidays)))</f>
        <v/>
      </c>
      <c r="W16" s="73" t="str">
        <f aca="false">IF(OR($A16="",$U16="NO USAGE"),"",IF(OR($U16="OUT OF STOCK",$Q16&lt;=$R16),"NOW",WORKDAY.INTL(AsOfDate,ROUNDUP($Q16-$R16,0),WeekendMask,Holidays)))</f>
        <v/>
      </c>
      <c r="X16" s="77" t="str">
        <f aca="false">IF($A16="","",IF(OR($U16="CRITICAL",$U16="REORDER",$U16="OUT OF STOCK"),IF($F16&gt;0,ROUNDUP(MAX(0,$F16-MAX(0,MAX(0,$E16)+$N16-$J16*$R16)),0),"Set capacity"),0))</f>
        <v/>
      </c>
      <c r="Y16" s="16" t="str">
        <f aca="false">IF($A16="","",IF($U16="OUT OF STOCK","Out of stock – production at risk."&amp;IF($N16&gt;0," Next delivery "&amp;TEXT($O16,"ddd dd-mmm")&amp;": expedite it."," Order and expedite now."),IF($U16="CRITICAL",IF(AND($N16&gt;0,$P16&lt;=0),"URGENT – runs out about "&amp;TEXT($M16,"ddd dd-mmm")&amp;", before the next delivery ("&amp;TEXT($O16,"ddd dd-mmm")&amp;"). Expedite it.","URGENT – runs out about "&amp;TEXT($M16,"ddd dd-mmm")&amp;"; a normal order takes "&amp;$R16&amp;" days. Order and expedite now."),IF($U16="REORDER","Order now (about "&amp;TEXT($X16,"#,##0")&amp;" "&amp;$D16&amp;") – becomes critical "&amp;TEXT($W16,"ddd dd-mmm")&amp;".",IF($U16="NO USAGE","No planned or recent usage.","OK – next order by "&amp;TEXT($V16,"ddd dd-mmm")&amp;IF($N16&gt;0,"; "&amp;TEXT($N16,"#,##0")&amp;" "&amp;$D16&amp;" on order (next "&amp;TEXT($O16,"dd-mmm")&amp;")","")&amp;".")))))</f>
        <v/>
      </c>
      <c r="Z16" s="78" t="n">
        <f aca="false">IF(OR($A16="",$V16=""),1000000000,IF($V16="NOW",AsOfDate,$V16))</f>
        <v>1000000000</v>
      </c>
      <c r="AA16" s="78" t="n">
        <f aca="false">IF(OR($A16="",$W16=""),1000000000,IF($W16="NOW",AsOfDate,$W16))</f>
        <v>1000000000</v>
      </c>
      <c r="AB16" s="78" t="n">
        <f aca="false">IF(OR($A16="",$M16=""),1000000000,IF($M16="OUT",AsOfDate,$M16))</f>
        <v>1000000000</v>
      </c>
    </row>
    <row r="17" customFormat="false" ht="15" hidden="false" customHeight="false" outlineLevel="0" collapsed="false">
      <c r="A17" s="16" t="str">
        <f aca="false">IF(ISNUMBER('Current Inventory'!$J17),'Current Inventory'!$A17,"")</f>
        <v/>
      </c>
      <c r="B17" s="64" t="str">
        <f aca="false">IF($A17="","",'Current Inventory'!$B17)</f>
        <v/>
      </c>
      <c r="C17" s="16" t="str">
        <f aca="false">IF($A17="","",'Current Inventory'!$C17)</f>
        <v/>
      </c>
      <c r="D17" s="64" t="str">
        <f aca="false">IF($A17="","",'Current Inventory'!$D17)</f>
        <v/>
      </c>
      <c r="E17" s="67" t="str">
        <f aca="false">IF($A17="","",'Current Inventory'!$J17)</f>
        <v/>
      </c>
      <c r="F17" s="67" t="str">
        <f aca="false">IF($A17="","",N('Current Inventory'!$G17))</f>
        <v/>
      </c>
      <c r="G17" s="69" t="str">
        <f aca="false">IF($A17="","",'Current Inventory'!$K17)</f>
        <v/>
      </c>
      <c r="H17" s="67" t="str">
        <f aca="false">IF($A17="","",IFERROR(SUMIFS(INDEX(PP_Daily,0,MATCH($B17,Mat_Code,0)),PP_Site,$A17),0))</f>
        <v/>
      </c>
      <c r="I17" s="67" t="str">
        <f aca="false">IF($A17="","",IFERROR(SUMIFS(INDEX(Con_Use,0,MATCH($B17,Mat_Code,0)),Con_Site,$A17,Con_Date,"&gt;"&amp;(AsOfDate-7),Con_Date,"&lt;="&amp;AsOfDate)/MAX(1,NETWORKDAYS.INTL(AsOfDate-6,AsOfDate,WeekendMask,Holidays)),0))</f>
        <v/>
      </c>
      <c r="J17" s="67" t="str">
        <f aca="false">IF($A17="","",IF($H17&gt;0,$H17,$I17))</f>
        <v/>
      </c>
      <c r="K17" s="64" t="str">
        <f aca="false">IF($A17="","",IF($H17&gt;0,"Plan",IF($I17&gt;0,"Actual 7-day avg","No usage")))</f>
        <v/>
      </c>
      <c r="L17" s="72" t="str">
        <f aca="false">IF($A17="","",IF($J17&gt;0,MAX(0,$E17)/$J17,""))</f>
        <v/>
      </c>
      <c r="M17" s="73" t="str">
        <f aca="false">IF(OR($A17="",$L17=""),"",IF($E17&lt;=0,"OUT",WORKDAY.INTL(AsOfDate,ROUNDUP($L17,0),WeekendMask,Holidays)))</f>
        <v/>
      </c>
      <c r="N17" s="74" t="str">
        <f aca="false">IF($A17="","",SUMIFS(Del_Qty,Del_Site,$A17,Del_Mat,$B17,Del_Date,"&gt;"&amp;AsOfDate))</f>
        <v/>
      </c>
      <c r="O17" s="73" t="str">
        <f aca="false">IF(OR($A17="",N($N17)&lt;=0),"",SUMPRODUCT(MIN((Del_Site=$A17)*(Del_Mat=$B17)*(Del_Date&gt;AsOfDate)*Del_Date+(1-(Del_Site=$A17)*(Del_Mat=$B17)*(Del_Date&gt;AsOfDate))*1000000000)))</f>
        <v/>
      </c>
      <c r="P17" s="74" t="str">
        <f aca="false">IF($A17="","",IF(ISNUMBER($M17),SUMIFS(Del_Qty,Del_Site,$A17,Del_Mat,$B17,Del_Date,"&gt;"&amp;AsOfDate,Del_Date,"&lt;="&amp;$M17),0))</f>
        <v/>
      </c>
      <c r="Q17" s="75" t="str">
        <f aca="false">IF(OR($A17="",$J17&lt;=0),"",IF($P17&gt;0,(MAX(0,$E17)+$N17)/$J17,$L17))</f>
        <v/>
      </c>
      <c r="R17" s="75" t="str">
        <f aca="false">IF($A17="","",IFERROR(INDEX(Mat_Lead,MATCH($B17,Mat_Code,0)),0))</f>
        <v/>
      </c>
      <c r="S17" s="75" t="str">
        <f aca="false">IF($A17="","",IFERROR(INDEX(Mat_Safety,MATCH($B17,Mat_Code,0)),0))</f>
        <v/>
      </c>
      <c r="T17" s="67" t="str">
        <f aca="false">IF($A17="","",$J17*($R17+$S17))</f>
        <v/>
      </c>
      <c r="U17" s="76" t="str">
        <f aca="false">IF($A17="","",IF($E17&lt;=0,"OUT OF STOCK",IF($J17&lt;=0,"NO USAGE",IF($Q17&lt;=$R17,"CRITICAL",IF($Q17&lt;=$R17+$S17,"REORDER","OK")))))</f>
        <v/>
      </c>
      <c r="V17" s="73" t="str">
        <f aca="false">IF(OR($A17="",$U17="NO USAGE"),"",IF(OR($U17="OUT OF STOCK",$Q17&lt;=$R17+$S17),"NOW",WORKDAY.INTL(AsOfDate,INT($Q17-$R17-$S17),WeekendMask,Holidays)))</f>
        <v/>
      </c>
      <c r="W17" s="73" t="str">
        <f aca="false">IF(OR($A17="",$U17="NO USAGE"),"",IF(OR($U17="OUT OF STOCK",$Q17&lt;=$R17),"NOW",WORKDAY.INTL(AsOfDate,ROUNDUP($Q17-$R17,0),WeekendMask,Holidays)))</f>
        <v/>
      </c>
      <c r="X17" s="77" t="str">
        <f aca="false">IF($A17="","",IF(OR($U17="CRITICAL",$U17="REORDER",$U17="OUT OF STOCK"),IF($F17&gt;0,ROUNDUP(MAX(0,$F17-MAX(0,MAX(0,$E17)+$N17-$J17*$R17)),0),"Set capacity"),0))</f>
        <v/>
      </c>
      <c r="Y17" s="16" t="str">
        <f aca="false">IF($A17="","",IF($U17="OUT OF STOCK","Out of stock – production at risk."&amp;IF($N17&gt;0," Next delivery "&amp;TEXT($O17,"ddd dd-mmm")&amp;": expedite it."," Order and expedite now."),IF($U17="CRITICAL",IF(AND($N17&gt;0,$P17&lt;=0),"URGENT – runs out about "&amp;TEXT($M17,"ddd dd-mmm")&amp;", before the next delivery ("&amp;TEXT($O17,"ddd dd-mmm")&amp;"). Expedite it.","URGENT – runs out about "&amp;TEXT($M17,"ddd dd-mmm")&amp;"; a normal order takes "&amp;$R17&amp;" days. Order and expedite now."),IF($U17="REORDER","Order now (about "&amp;TEXT($X17,"#,##0")&amp;" "&amp;$D17&amp;") – becomes critical "&amp;TEXT($W17,"ddd dd-mmm")&amp;".",IF($U17="NO USAGE","No planned or recent usage.","OK – next order by "&amp;TEXT($V17,"ddd dd-mmm")&amp;IF($N17&gt;0,"; "&amp;TEXT($N17,"#,##0")&amp;" "&amp;$D17&amp;" on order (next "&amp;TEXT($O17,"dd-mmm")&amp;")","")&amp;".")))))</f>
        <v/>
      </c>
      <c r="Z17" s="78" t="n">
        <f aca="false">IF(OR($A17="",$V17=""),1000000000,IF($V17="NOW",AsOfDate,$V17))</f>
        <v>1000000000</v>
      </c>
      <c r="AA17" s="78" t="n">
        <f aca="false">IF(OR($A17="",$W17=""),1000000000,IF($W17="NOW",AsOfDate,$W17))</f>
        <v>1000000000</v>
      </c>
      <c r="AB17" s="78" t="n">
        <f aca="false">IF(OR($A17="",$M17=""),1000000000,IF($M17="OUT",AsOfDate,$M17))</f>
        <v>1000000000</v>
      </c>
    </row>
    <row r="18" customFormat="false" ht="15" hidden="false" customHeight="false" outlineLevel="0" collapsed="false">
      <c r="A18" s="16" t="str">
        <f aca="false">IF(ISNUMBER('Current Inventory'!$J18),'Current Inventory'!$A18,"")</f>
        <v/>
      </c>
      <c r="B18" s="64" t="str">
        <f aca="false">IF($A18="","",'Current Inventory'!$B18)</f>
        <v/>
      </c>
      <c r="C18" s="16" t="str">
        <f aca="false">IF($A18="","",'Current Inventory'!$C18)</f>
        <v/>
      </c>
      <c r="D18" s="64" t="str">
        <f aca="false">IF($A18="","",'Current Inventory'!$D18)</f>
        <v/>
      </c>
      <c r="E18" s="67" t="str">
        <f aca="false">IF($A18="","",'Current Inventory'!$J18)</f>
        <v/>
      </c>
      <c r="F18" s="67" t="str">
        <f aca="false">IF($A18="","",N('Current Inventory'!$G18))</f>
        <v/>
      </c>
      <c r="G18" s="69" t="str">
        <f aca="false">IF($A18="","",'Current Inventory'!$K18)</f>
        <v/>
      </c>
      <c r="H18" s="67" t="str">
        <f aca="false">IF($A18="","",IFERROR(SUMIFS(INDEX(PP_Daily,0,MATCH($B18,Mat_Code,0)),PP_Site,$A18),0))</f>
        <v/>
      </c>
      <c r="I18" s="67" t="str">
        <f aca="false">IF($A18="","",IFERROR(SUMIFS(INDEX(Con_Use,0,MATCH($B18,Mat_Code,0)),Con_Site,$A18,Con_Date,"&gt;"&amp;(AsOfDate-7),Con_Date,"&lt;="&amp;AsOfDate)/MAX(1,NETWORKDAYS.INTL(AsOfDate-6,AsOfDate,WeekendMask,Holidays)),0))</f>
        <v/>
      </c>
      <c r="J18" s="67" t="str">
        <f aca="false">IF($A18="","",IF($H18&gt;0,$H18,$I18))</f>
        <v/>
      </c>
      <c r="K18" s="64" t="str">
        <f aca="false">IF($A18="","",IF($H18&gt;0,"Plan",IF($I18&gt;0,"Actual 7-day avg","No usage")))</f>
        <v/>
      </c>
      <c r="L18" s="72" t="str">
        <f aca="false">IF($A18="","",IF($J18&gt;0,MAX(0,$E18)/$J18,""))</f>
        <v/>
      </c>
      <c r="M18" s="73" t="str">
        <f aca="false">IF(OR($A18="",$L18=""),"",IF($E18&lt;=0,"OUT",WORKDAY.INTL(AsOfDate,ROUNDUP($L18,0),WeekendMask,Holidays)))</f>
        <v/>
      </c>
      <c r="N18" s="74" t="str">
        <f aca="false">IF($A18="","",SUMIFS(Del_Qty,Del_Site,$A18,Del_Mat,$B18,Del_Date,"&gt;"&amp;AsOfDate))</f>
        <v/>
      </c>
      <c r="O18" s="73" t="str">
        <f aca="false">IF(OR($A18="",N($N18)&lt;=0),"",SUMPRODUCT(MIN((Del_Site=$A18)*(Del_Mat=$B18)*(Del_Date&gt;AsOfDate)*Del_Date+(1-(Del_Site=$A18)*(Del_Mat=$B18)*(Del_Date&gt;AsOfDate))*1000000000)))</f>
        <v/>
      </c>
      <c r="P18" s="74" t="str">
        <f aca="false">IF($A18="","",IF(ISNUMBER($M18),SUMIFS(Del_Qty,Del_Site,$A18,Del_Mat,$B18,Del_Date,"&gt;"&amp;AsOfDate,Del_Date,"&lt;="&amp;$M18),0))</f>
        <v/>
      </c>
      <c r="Q18" s="75" t="str">
        <f aca="false">IF(OR($A18="",$J18&lt;=0),"",IF($P18&gt;0,(MAX(0,$E18)+$N18)/$J18,$L18))</f>
        <v/>
      </c>
      <c r="R18" s="75" t="str">
        <f aca="false">IF($A18="","",IFERROR(INDEX(Mat_Lead,MATCH($B18,Mat_Code,0)),0))</f>
        <v/>
      </c>
      <c r="S18" s="75" t="str">
        <f aca="false">IF($A18="","",IFERROR(INDEX(Mat_Safety,MATCH($B18,Mat_Code,0)),0))</f>
        <v/>
      </c>
      <c r="T18" s="67" t="str">
        <f aca="false">IF($A18="","",$J18*($R18+$S18))</f>
        <v/>
      </c>
      <c r="U18" s="76" t="str">
        <f aca="false">IF($A18="","",IF($E18&lt;=0,"OUT OF STOCK",IF($J18&lt;=0,"NO USAGE",IF($Q18&lt;=$R18,"CRITICAL",IF($Q18&lt;=$R18+$S18,"REORDER","OK")))))</f>
        <v/>
      </c>
      <c r="V18" s="73" t="str">
        <f aca="false">IF(OR($A18="",$U18="NO USAGE"),"",IF(OR($U18="OUT OF STOCK",$Q18&lt;=$R18+$S18),"NOW",WORKDAY.INTL(AsOfDate,INT($Q18-$R18-$S18),WeekendMask,Holidays)))</f>
        <v/>
      </c>
      <c r="W18" s="73" t="str">
        <f aca="false">IF(OR($A18="",$U18="NO USAGE"),"",IF(OR($U18="OUT OF STOCK",$Q18&lt;=$R18),"NOW",WORKDAY.INTL(AsOfDate,ROUNDUP($Q18-$R18,0),WeekendMask,Holidays)))</f>
        <v/>
      </c>
      <c r="X18" s="77" t="str">
        <f aca="false">IF($A18="","",IF(OR($U18="CRITICAL",$U18="REORDER",$U18="OUT OF STOCK"),IF($F18&gt;0,ROUNDUP(MAX(0,$F18-MAX(0,MAX(0,$E18)+$N18-$J18*$R18)),0),"Set capacity"),0))</f>
        <v/>
      </c>
      <c r="Y18" s="16" t="str">
        <f aca="false">IF($A18="","",IF($U18="OUT OF STOCK","Out of stock – production at risk."&amp;IF($N18&gt;0," Next delivery "&amp;TEXT($O18,"ddd dd-mmm")&amp;": expedite it."," Order and expedite now."),IF($U18="CRITICAL",IF(AND($N18&gt;0,$P18&lt;=0),"URGENT – runs out about "&amp;TEXT($M18,"ddd dd-mmm")&amp;", before the next delivery ("&amp;TEXT($O18,"ddd dd-mmm")&amp;"). Expedite it.","URGENT – runs out about "&amp;TEXT($M18,"ddd dd-mmm")&amp;"; a normal order takes "&amp;$R18&amp;" days. Order and expedite now."),IF($U18="REORDER","Order now (about "&amp;TEXT($X18,"#,##0")&amp;" "&amp;$D18&amp;") – becomes critical "&amp;TEXT($W18,"ddd dd-mmm")&amp;".",IF($U18="NO USAGE","No planned or recent usage.","OK – next order by "&amp;TEXT($V18,"ddd dd-mmm")&amp;IF($N18&gt;0,"; "&amp;TEXT($N18,"#,##0")&amp;" "&amp;$D18&amp;" on order (next "&amp;TEXT($O18,"dd-mmm")&amp;")","")&amp;".")))))</f>
        <v/>
      </c>
      <c r="Z18" s="78" t="n">
        <f aca="false">IF(OR($A18="",$V18=""),1000000000,IF($V18="NOW",AsOfDate,$V18))</f>
        <v>1000000000</v>
      </c>
      <c r="AA18" s="78" t="n">
        <f aca="false">IF(OR($A18="",$W18=""),1000000000,IF($W18="NOW",AsOfDate,$W18))</f>
        <v>1000000000</v>
      </c>
      <c r="AB18" s="78" t="n">
        <f aca="false">IF(OR($A18="",$M18=""),1000000000,IF($M18="OUT",AsOfDate,$M18))</f>
        <v>1000000000</v>
      </c>
    </row>
    <row r="19" customFormat="false" ht="15" hidden="false" customHeight="false" outlineLevel="0" collapsed="false">
      <c r="A19" s="16" t="str">
        <f aca="false">IF(ISNUMBER('Current Inventory'!$J19),'Current Inventory'!$A19,"")</f>
        <v/>
      </c>
      <c r="B19" s="64" t="str">
        <f aca="false">IF($A19="","",'Current Inventory'!$B19)</f>
        <v/>
      </c>
      <c r="C19" s="16" t="str">
        <f aca="false">IF($A19="","",'Current Inventory'!$C19)</f>
        <v/>
      </c>
      <c r="D19" s="64" t="str">
        <f aca="false">IF($A19="","",'Current Inventory'!$D19)</f>
        <v/>
      </c>
      <c r="E19" s="67" t="str">
        <f aca="false">IF($A19="","",'Current Inventory'!$J19)</f>
        <v/>
      </c>
      <c r="F19" s="67" t="str">
        <f aca="false">IF($A19="","",N('Current Inventory'!$G19))</f>
        <v/>
      </c>
      <c r="G19" s="69" t="str">
        <f aca="false">IF($A19="","",'Current Inventory'!$K19)</f>
        <v/>
      </c>
      <c r="H19" s="67" t="str">
        <f aca="false">IF($A19="","",IFERROR(SUMIFS(INDEX(PP_Daily,0,MATCH($B19,Mat_Code,0)),PP_Site,$A19),0))</f>
        <v/>
      </c>
      <c r="I19" s="67" t="str">
        <f aca="false">IF($A19="","",IFERROR(SUMIFS(INDEX(Con_Use,0,MATCH($B19,Mat_Code,0)),Con_Site,$A19,Con_Date,"&gt;"&amp;(AsOfDate-7),Con_Date,"&lt;="&amp;AsOfDate)/MAX(1,NETWORKDAYS.INTL(AsOfDate-6,AsOfDate,WeekendMask,Holidays)),0))</f>
        <v/>
      </c>
      <c r="J19" s="67" t="str">
        <f aca="false">IF($A19="","",IF($H19&gt;0,$H19,$I19))</f>
        <v/>
      </c>
      <c r="K19" s="64" t="str">
        <f aca="false">IF($A19="","",IF($H19&gt;0,"Plan",IF($I19&gt;0,"Actual 7-day avg","No usage")))</f>
        <v/>
      </c>
      <c r="L19" s="72" t="str">
        <f aca="false">IF($A19="","",IF($J19&gt;0,MAX(0,$E19)/$J19,""))</f>
        <v/>
      </c>
      <c r="M19" s="73" t="str">
        <f aca="false">IF(OR($A19="",$L19=""),"",IF($E19&lt;=0,"OUT",WORKDAY.INTL(AsOfDate,ROUNDUP($L19,0),WeekendMask,Holidays)))</f>
        <v/>
      </c>
      <c r="N19" s="74" t="str">
        <f aca="false">IF($A19="","",SUMIFS(Del_Qty,Del_Site,$A19,Del_Mat,$B19,Del_Date,"&gt;"&amp;AsOfDate))</f>
        <v/>
      </c>
      <c r="O19" s="73" t="str">
        <f aca="false">IF(OR($A19="",N($N19)&lt;=0),"",SUMPRODUCT(MIN((Del_Site=$A19)*(Del_Mat=$B19)*(Del_Date&gt;AsOfDate)*Del_Date+(1-(Del_Site=$A19)*(Del_Mat=$B19)*(Del_Date&gt;AsOfDate))*1000000000)))</f>
        <v/>
      </c>
      <c r="P19" s="74" t="str">
        <f aca="false">IF($A19="","",IF(ISNUMBER($M19),SUMIFS(Del_Qty,Del_Site,$A19,Del_Mat,$B19,Del_Date,"&gt;"&amp;AsOfDate,Del_Date,"&lt;="&amp;$M19),0))</f>
        <v/>
      </c>
      <c r="Q19" s="75" t="str">
        <f aca="false">IF(OR($A19="",$J19&lt;=0),"",IF($P19&gt;0,(MAX(0,$E19)+$N19)/$J19,$L19))</f>
        <v/>
      </c>
      <c r="R19" s="75" t="str">
        <f aca="false">IF($A19="","",IFERROR(INDEX(Mat_Lead,MATCH($B19,Mat_Code,0)),0))</f>
        <v/>
      </c>
      <c r="S19" s="75" t="str">
        <f aca="false">IF($A19="","",IFERROR(INDEX(Mat_Safety,MATCH($B19,Mat_Code,0)),0))</f>
        <v/>
      </c>
      <c r="T19" s="67" t="str">
        <f aca="false">IF($A19="","",$J19*($R19+$S19))</f>
        <v/>
      </c>
      <c r="U19" s="76" t="str">
        <f aca="false">IF($A19="","",IF($E19&lt;=0,"OUT OF STOCK",IF($J19&lt;=0,"NO USAGE",IF($Q19&lt;=$R19,"CRITICAL",IF($Q19&lt;=$R19+$S19,"REORDER","OK")))))</f>
        <v/>
      </c>
      <c r="V19" s="73" t="str">
        <f aca="false">IF(OR($A19="",$U19="NO USAGE"),"",IF(OR($U19="OUT OF STOCK",$Q19&lt;=$R19+$S19),"NOW",WORKDAY.INTL(AsOfDate,INT($Q19-$R19-$S19),WeekendMask,Holidays)))</f>
        <v/>
      </c>
      <c r="W19" s="73" t="str">
        <f aca="false">IF(OR($A19="",$U19="NO USAGE"),"",IF(OR($U19="OUT OF STOCK",$Q19&lt;=$R19),"NOW",WORKDAY.INTL(AsOfDate,ROUNDUP($Q19-$R19,0),WeekendMask,Holidays)))</f>
        <v/>
      </c>
      <c r="X19" s="77" t="str">
        <f aca="false">IF($A19="","",IF(OR($U19="CRITICAL",$U19="REORDER",$U19="OUT OF STOCK"),IF($F19&gt;0,ROUNDUP(MAX(0,$F19-MAX(0,MAX(0,$E19)+$N19-$J19*$R19)),0),"Set capacity"),0))</f>
        <v/>
      </c>
      <c r="Y19" s="16" t="str">
        <f aca="false">IF($A19="","",IF($U19="OUT OF STOCK","Out of stock – production at risk."&amp;IF($N19&gt;0," Next delivery "&amp;TEXT($O19,"ddd dd-mmm")&amp;": expedite it."," Order and expedite now."),IF($U19="CRITICAL",IF(AND($N19&gt;0,$P19&lt;=0),"URGENT – runs out about "&amp;TEXT($M19,"ddd dd-mmm")&amp;", before the next delivery ("&amp;TEXT($O19,"ddd dd-mmm")&amp;"). Expedite it.","URGENT – runs out about "&amp;TEXT($M19,"ddd dd-mmm")&amp;"; a normal order takes "&amp;$R19&amp;" days. Order and expedite now."),IF($U19="REORDER","Order now (about "&amp;TEXT($X19,"#,##0")&amp;" "&amp;$D19&amp;") – becomes critical "&amp;TEXT($W19,"ddd dd-mmm")&amp;".",IF($U19="NO USAGE","No planned or recent usage.","OK – next order by "&amp;TEXT($V19,"ddd dd-mmm")&amp;IF($N19&gt;0,"; "&amp;TEXT($N19,"#,##0")&amp;" "&amp;$D19&amp;" on order (next "&amp;TEXT($O19,"dd-mmm")&amp;")","")&amp;".")))))</f>
        <v/>
      </c>
      <c r="Z19" s="78" t="n">
        <f aca="false">IF(OR($A19="",$V19=""),1000000000,IF($V19="NOW",AsOfDate,$V19))</f>
        <v>1000000000</v>
      </c>
      <c r="AA19" s="78" t="n">
        <f aca="false">IF(OR($A19="",$W19=""),1000000000,IF($W19="NOW",AsOfDate,$W19))</f>
        <v>1000000000</v>
      </c>
      <c r="AB19" s="78" t="n">
        <f aca="false">IF(OR($A19="",$M19=""),1000000000,IF($M19="OUT",AsOfDate,$M19))</f>
        <v>1000000000</v>
      </c>
    </row>
    <row r="20" customFormat="false" ht="15" hidden="false" customHeight="false" outlineLevel="0" collapsed="false">
      <c r="A20" s="16" t="str">
        <f aca="false">IF(ISNUMBER('Current Inventory'!$J20),'Current Inventory'!$A20,"")</f>
        <v/>
      </c>
      <c r="B20" s="64" t="str">
        <f aca="false">IF($A20="","",'Current Inventory'!$B20)</f>
        <v/>
      </c>
      <c r="C20" s="16" t="str">
        <f aca="false">IF($A20="","",'Current Inventory'!$C20)</f>
        <v/>
      </c>
      <c r="D20" s="64" t="str">
        <f aca="false">IF($A20="","",'Current Inventory'!$D20)</f>
        <v/>
      </c>
      <c r="E20" s="67" t="str">
        <f aca="false">IF($A20="","",'Current Inventory'!$J20)</f>
        <v/>
      </c>
      <c r="F20" s="67" t="str">
        <f aca="false">IF($A20="","",N('Current Inventory'!$G20))</f>
        <v/>
      </c>
      <c r="G20" s="69" t="str">
        <f aca="false">IF($A20="","",'Current Inventory'!$K20)</f>
        <v/>
      </c>
      <c r="H20" s="67" t="str">
        <f aca="false">IF($A20="","",IFERROR(SUMIFS(INDEX(PP_Daily,0,MATCH($B20,Mat_Code,0)),PP_Site,$A20),0))</f>
        <v/>
      </c>
      <c r="I20" s="67" t="str">
        <f aca="false">IF($A20="","",IFERROR(SUMIFS(INDEX(Con_Use,0,MATCH($B20,Mat_Code,0)),Con_Site,$A20,Con_Date,"&gt;"&amp;(AsOfDate-7),Con_Date,"&lt;="&amp;AsOfDate)/MAX(1,NETWORKDAYS.INTL(AsOfDate-6,AsOfDate,WeekendMask,Holidays)),0))</f>
        <v/>
      </c>
      <c r="J20" s="67" t="str">
        <f aca="false">IF($A20="","",IF($H20&gt;0,$H20,$I20))</f>
        <v/>
      </c>
      <c r="K20" s="64" t="str">
        <f aca="false">IF($A20="","",IF($H20&gt;0,"Plan",IF($I20&gt;0,"Actual 7-day avg","No usage")))</f>
        <v/>
      </c>
      <c r="L20" s="72" t="str">
        <f aca="false">IF($A20="","",IF($J20&gt;0,MAX(0,$E20)/$J20,""))</f>
        <v/>
      </c>
      <c r="M20" s="73" t="str">
        <f aca="false">IF(OR($A20="",$L20=""),"",IF($E20&lt;=0,"OUT",WORKDAY.INTL(AsOfDate,ROUNDUP($L20,0),WeekendMask,Holidays)))</f>
        <v/>
      </c>
      <c r="N20" s="74" t="str">
        <f aca="false">IF($A20="","",SUMIFS(Del_Qty,Del_Site,$A20,Del_Mat,$B20,Del_Date,"&gt;"&amp;AsOfDate))</f>
        <v/>
      </c>
      <c r="O20" s="73" t="str">
        <f aca="false">IF(OR($A20="",N($N20)&lt;=0),"",SUMPRODUCT(MIN((Del_Site=$A20)*(Del_Mat=$B20)*(Del_Date&gt;AsOfDate)*Del_Date+(1-(Del_Site=$A20)*(Del_Mat=$B20)*(Del_Date&gt;AsOfDate))*1000000000)))</f>
        <v/>
      </c>
      <c r="P20" s="74" t="str">
        <f aca="false">IF($A20="","",IF(ISNUMBER($M20),SUMIFS(Del_Qty,Del_Site,$A20,Del_Mat,$B20,Del_Date,"&gt;"&amp;AsOfDate,Del_Date,"&lt;="&amp;$M20),0))</f>
        <v/>
      </c>
      <c r="Q20" s="75" t="str">
        <f aca="false">IF(OR($A20="",$J20&lt;=0),"",IF($P20&gt;0,(MAX(0,$E20)+$N20)/$J20,$L20))</f>
        <v/>
      </c>
      <c r="R20" s="75" t="str">
        <f aca="false">IF($A20="","",IFERROR(INDEX(Mat_Lead,MATCH($B20,Mat_Code,0)),0))</f>
        <v/>
      </c>
      <c r="S20" s="75" t="str">
        <f aca="false">IF($A20="","",IFERROR(INDEX(Mat_Safety,MATCH($B20,Mat_Code,0)),0))</f>
        <v/>
      </c>
      <c r="T20" s="67" t="str">
        <f aca="false">IF($A20="","",$J20*($R20+$S20))</f>
        <v/>
      </c>
      <c r="U20" s="76" t="str">
        <f aca="false">IF($A20="","",IF($E20&lt;=0,"OUT OF STOCK",IF($J20&lt;=0,"NO USAGE",IF($Q20&lt;=$R20,"CRITICAL",IF($Q20&lt;=$R20+$S20,"REORDER","OK")))))</f>
        <v/>
      </c>
      <c r="V20" s="73" t="str">
        <f aca="false">IF(OR($A20="",$U20="NO USAGE"),"",IF(OR($U20="OUT OF STOCK",$Q20&lt;=$R20+$S20),"NOW",WORKDAY.INTL(AsOfDate,INT($Q20-$R20-$S20),WeekendMask,Holidays)))</f>
        <v/>
      </c>
      <c r="W20" s="73" t="str">
        <f aca="false">IF(OR($A20="",$U20="NO USAGE"),"",IF(OR($U20="OUT OF STOCK",$Q20&lt;=$R20),"NOW",WORKDAY.INTL(AsOfDate,ROUNDUP($Q20-$R20,0),WeekendMask,Holidays)))</f>
        <v/>
      </c>
      <c r="X20" s="77" t="str">
        <f aca="false">IF($A20="","",IF(OR($U20="CRITICAL",$U20="REORDER",$U20="OUT OF STOCK"),IF($F20&gt;0,ROUNDUP(MAX(0,$F20-MAX(0,MAX(0,$E20)+$N20-$J20*$R20)),0),"Set capacity"),0))</f>
        <v/>
      </c>
      <c r="Y20" s="16" t="str">
        <f aca="false">IF($A20="","",IF($U20="OUT OF STOCK","Out of stock – production at risk."&amp;IF($N20&gt;0," Next delivery "&amp;TEXT($O20,"ddd dd-mmm")&amp;": expedite it."," Order and expedite now."),IF($U20="CRITICAL",IF(AND($N20&gt;0,$P20&lt;=0),"URGENT – runs out about "&amp;TEXT($M20,"ddd dd-mmm")&amp;", before the next delivery ("&amp;TEXT($O20,"ddd dd-mmm")&amp;"). Expedite it.","URGENT – runs out about "&amp;TEXT($M20,"ddd dd-mmm")&amp;"; a normal order takes "&amp;$R20&amp;" days. Order and expedite now."),IF($U20="REORDER","Order now (about "&amp;TEXT($X20,"#,##0")&amp;" "&amp;$D20&amp;") – becomes critical "&amp;TEXT($W20,"ddd dd-mmm")&amp;".",IF($U20="NO USAGE","No planned or recent usage.","OK – next order by "&amp;TEXT($V20,"ddd dd-mmm")&amp;IF($N20&gt;0,"; "&amp;TEXT($N20,"#,##0")&amp;" "&amp;$D20&amp;" on order (next "&amp;TEXT($O20,"dd-mmm")&amp;")","")&amp;".")))))</f>
        <v/>
      </c>
      <c r="Z20" s="78" t="n">
        <f aca="false">IF(OR($A20="",$V20=""),1000000000,IF($V20="NOW",AsOfDate,$V20))</f>
        <v>1000000000</v>
      </c>
      <c r="AA20" s="78" t="n">
        <f aca="false">IF(OR($A20="",$W20=""),1000000000,IF($W20="NOW",AsOfDate,$W20))</f>
        <v>1000000000</v>
      </c>
      <c r="AB20" s="78" t="n">
        <f aca="false">IF(OR($A20="",$M20=""),1000000000,IF($M20="OUT",AsOfDate,$M20))</f>
        <v>1000000000</v>
      </c>
    </row>
    <row r="21" customFormat="false" ht="15" hidden="false" customHeight="false" outlineLevel="0" collapsed="false">
      <c r="A21" s="16" t="str">
        <f aca="false">IF(ISNUMBER('Current Inventory'!$J21),'Current Inventory'!$A21,"")</f>
        <v/>
      </c>
      <c r="B21" s="64" t="str">
        <f aca="false">IF($A21="","",'Current Inventory'!$B21)</f>
        <v/>
      </c>
      <c r="C21" s="16" t="str">
        <f aca="false">IF($A21="","",'Current Inventory'!$C21)</f>
        <v/>
      </c>
      <c r="D21" s="64" t="str">
        <f aca="false">IF($A21="","",'Current Inventory'!$D21)</f>
        <v/>
      </c>
      <c r="E21" s="67" t="str">
        <f aca="false">IF($A21="","",'Current Inventory'!$J21)</f>
        <v/>
      </c>
      <c r="F21" s="67" t="str">
        <f aca="false">IF($A21="","",N('Current Inventory'!$G21))</f>
        <v/>
      </c>
      <c r="G21" s="69" t="str">
        <f aca="false">IF($A21="","",'Current Inventory'!$K21)</f>
        <v/>
      </c>
      <c r="H21" s="67" t="str">
        <f aca="false">IF($A21="","",IFERROR(SUMIFS(INDEX(PP_Daily,0,MATCH($B21,Mat_Code,0)),PP_Site,$A21),0))</f>
        <v/>
      </c>
      <c r="I21" s="67" t="str">
        <f aca="false">IF($A21="","",IFERROR(SUMIFS(INDEX(Con_Use,0,MATCH($B21,Mat_Code,0)),Con_Site,$A21,Con_Date,"&gt;"&amp;(AsOfDate-7),Con_Date,"&lt;="&amp;AsOfDate)/MAX(1,NETWORKDAYS.INTL(AsOfDate-6,AsOfDate,WeekendMask,Holidays)),0))</f>
        <v/>
      </c>
      <c r="J21" s="67" t="str">
        <f aca="false">IF($A21="","",IF($H21&gt;0,$H21,$I21))</f>
        <v/>
      </c>
      <c r="K21" s="64" t="str">
        <f aca="false">IF($A21="","",IF($H21&gt;0,"Plan",IF($I21&gt;0,"Actual 7-day avg","No usage")))</f>
        <v/>
      </c>
      <c r="L21" s="72" t="str">
        <f aca="false">IF($A21="","",IF($J21&gt;0,MAX(0,$E21)/$J21,""))</f>
        <v/>
      </c>
      <c r="M21" s="73" t="str">
        <f aca="false">IF(OR($A21="",$L21=""),"",IF($E21&lt;=0,"OUT",WORKDAY.INTL(AsOfDate,ROUNDUP($L21,0),WeekendMask,Holidays)))</f>
        <v/>
      </c>
      <c r="N21" s="74" t="str">
        <f aca="false">IF($A21="","",SUMIFS(Del_Qty,Del_Site,$A21,Del_Mat,$B21,Del_Date,"&gt;"&amp;AsOfDate))</f>
        <v/>
      </c>
      <c r="O21" s="73" t="str">
        <f aca="false">IF(OR($A21="",N($N21)&lt;=0),"",SUMPRODUCT(MIN((Del_Site=$A21)*(Del_Mat=$B21)*(Del_Date&gt;AsOfDate)*Del_Date+(1-(Del_Site=$A21)*(Del_Mat=$B21)*(Del_Date&gt;AsOfDate))*1000000000)))</f>
        <v/>
      </c>
      <c r="P21" s="74" t="str">
        <f aca="false">IF($A21="","",IF(ISNUMBER($M21),SUMIFS(Del_Qty,Del_Site,$A21,Del_Mat,$B21,Del_Date,"&gt;"&amp;AsOfDate,Del_Date,"&lt;="&amp;$M21),0))</f>
        <v/>
      </c>
      <c r="Q21" s="75" t="str">
        <f aca="false">IF(OR($A21="",$J21&lt;=0),"",IF($P21&gt;0,(MAX(0,$E21)+$N21)/$J21,$L21))</f>
        <v/>
      </c>
      <c r="R21" s="75" t="str">
        <f aca="false">IF($A21="","",IFERROR(INDEX(Mat_Lead,MATCH($B21,Mat_Code,0)),0))</f>
        <v/>
      </c>
      <c r="S21" s="75" t="str">
        <f aca="false">IF($A21="","",IFERROR(INDEX(Mat_Safety,MATCH($B21,Mat_Code,0)),0))</f>
        <v/>
      </c>
      <c r="T21" s="67" t="str">
        <f aca="false">IF($A21="","",$J21*($R21+$S21))</f>
        <v/>
      </c>
      <c r="U21" s="76" t="str">
        <f aca="false">IF($A21="","",IF($E21&lt;=0,"OUT OF STOCK",IF($J21&lt;=0,"NO USAGE",IF($Q21&lt;=$R21,"CRITICAL",IF($Q21&lt;=$R21+$S21,"REORDER","OK")))))</f>
        <v/>
      </c>
      <c r="V21" s="73" t="str">
        <f aca="false">IF(OR($A21="",$U21="NO USAGE"),"",IF(OR($U21="OUT OF STOCK",$Q21&lt;=$R21+$S21),"NOW",WORKDAY.INTL(AsOfDate,INT($Q21-$R21-$S21),WeekendMask,Holidays)))</f>
        <v/>
      </c>
      <c r="W21" s="73" t="str">
        <f aca="false">IF(OR($A21="",$U21="NO USAGE"),"",IF(OR($U21="OUT OF STOCK",$Q21&lt;=$R21),"NOW",WORKDAY.INTL(AsOfDate,ROUNDUP($Q21-$R21,0),WeekendMask,Holidays)))</f>
        <v/>
      </c>
      <c r="X21" s="77" t="str">
        <f aca="false">IF($A21="","",IF(OR($U21="CRITICAL",$U21="REORDER",$U21="OUT OF STOCK"),IF($F21&gt;0,ROUNDUP(MAX(0,$F21-MAX(0,MAX(0,$E21)+$N21-$J21*$R21)),0),"Set capacity"),0))</f>
        <v/>
      </c>
      <c r="Y21" s="16" t="str">
        <f aca="false">IF($A21="","",IF($U21="OUT OF STOCK","Out of stock – production at risk."&amp;IF($N21&gt;0," Next delivery "&amp;TEXT($O21,"ddd dd-mmm")&amp;": expedite it."," Order and expedite now."),IF($U21="CRITICAL",IF(AND($N21&gt;0,$P21&lt;=0),"URGENT – runs out about "&amp;TEXT($M21,"ddd dd-mmm")&amp;", before the next delivery ("&amp;TEXT($O21,"ddd dd-mmm")&amp;"). Expedite it.","URGENT – runs out about "&amp;TEXT($M21,"ddd dd-mmm")&amp;"; a normal order takes "&amp;$R21&amp;" days. Order and expedite now."),IF($U21="REORDER","Order now (about "&amp;TEXT($X21,"#,##0")&amp;" "&amp;$D21&amp;") – becomes critical "&amp;TEXT($W21,"ddd dd-mmm")&amp;".",IF($U21="NO USAGE","No planned or recent usage.","OK – next order by "&amp;TEXT($V21,"ddd dd-mmm")&amp;IF($N21&gt;0,"; "&amp;TEXT($N21,"#,##0")&amp;" "&amp;$D21&amp;" on order (next "&amp;TEXT($O21,"dd-mmm")&amp;")","")&amp;".")))))</f>
        <v/>
      </c>
      <c r="Z21" s="78" t="n">
        <f aca="false">IF(OR($A21="",$V21=""),1000000000,IF($V21="NOW",AsOfDate,$V21))</f>
        <v>1000000000</v>
      </c>
      <c r="AA21" s="78" t="n">
        <f aca="false">IF(OR($A21="",$W21=""),1000000000,IF($W21="NOW",AsOfDate,$W21))</f>
        <v>1000000000</v>
      </c>
      <c r="AB21" s="78" t="n">
        <f aca="false">IF(OR($A21="",$M21=""),1000000000,IF($M21="OUT",AsOfDate,$M21))</f>
        <v>1000000000</v>
      </c>
    </row>
    <row r="22" customFormat="false" ht="15" hidden="false" customHeight="false" outlineLevel="0" collapsed="false">
      <c r="A22" s="16" t="str">
        <f aca="false">IF(ISNUMBER('Current Inventory'!$J22),'Current Inventory'!$A22,"")</f>
        <v/>
      </c>
      <c r="B22" s="64" t="str">
        <f aca="false">IF($A22="","",'Current Inventory'!$B22)</f>
        <v/>
      </c>
      <c r="C22" s="16" t="str">
        <f aca="false">IF($A22="","",'Current Inventory'!$C22)</f>
        <v/>
      </c>
      <c r="D22" s="64" t="str">
        <f aca="false">IF($A22="","",'Current Inventory'!$D22)</f>
        <v/>
      </c>
      <c r="E22" s="67" t="str">
        <f aca="false">IF($A22="","",'Current Inventory'!$J22)</f>
        <v/>
      </c>
      <c r="F22" s="67" t="str">
        <f aca="false">IF($A22="","",N('Current Inventory'!$G22))</f>
        <v/>
      </c>
      <c r="G22" s="69" t="str">
        <f aca="false">IF($A22="","",'Current Inventory'!$K22)</f>
        <v/>
      </c>
      <c r="H22" s="67" t="str">
        <f aca="false">IF($A22="","",IFERROR(SUMIFS(INDEX(PP_Daily,0,MATCH($B22,Mat_Code,0)),PP_Site,$A22),0))</f>
        <v/>
      </c>
      <c r="I22" s="67" t="str">
        <f aca="false">IF($A22="","",IFERROR(SUMIFS(INDEX(Con_Use,0,MATCH($B22,Mat_Code,0)),Con_Site,$A22,Con_Date,"&gt;"&amp;(AsOfDate-7),Con_Date,"&lt;="&amp;AsOfDate)/MAX(1,NETWORKDAYS.INTL(AsOfDate-6,AsOfDate,WeekendMask,Holidays)),0))</f>
        <v/>
      </c>
      <c r="J22" s="67" t="str">
        <f aca="false">IF($A22="","",IF($H22&gt;0,$H22,$I22))</f>
        <v/>
      </c>
      <c r="K22" s="64" t="str">
        <f aca="false">IF($A22="","",IF($H22&gt;0,"Plan",IF($I22&gt;0,"Actual 7-day avg","No usage")))</f>
        <v/>
      </c>
      <c r="L22" s="72" t="str">
        <f aca="false">IF($A22="","",IF($J22&gt;0,MAX(0,$E22)/$J22,""))</f>
        <v/>
      </c>
      <c r="M22" s="73" t="str">
        <f aca="false">IF(OR($A22="",$L22=""),"",IF($E22&lt;=0,"OUT",WORKDAY.INTL(AsOfDate,ROUNDUP($L22,0),WeekendMask,Holidays)))</f>
        <v/>
      </c>
      <c r="N22" s="74" t="str">
        <f aca="false">IF($A22="","",SUMIFS(Del_Qty,Del_Site,$A22,Del_Mat,$B22,Del_Date,"&gt;"&amp;AsOfDate))</f>
        <v/>
      </c>
      <c r="O22" s="73" t="str">
        <f aca="false">IF(OR($A22="",N($N22)&lt;=0),"",SUMPRODUCT(MIN((Del_Site=$A22)*(Del_Mat=$B22)*(Del_Date&gt;AsOfDate)*Del_Date+(1-(Del_Site=$A22)*(Del_Mat=$B22)*(Del_Date&gt;AsOfDate))*1000000000)))</f>
        <v/>
      </c>
      <c r="P22" s="74" t="str">
        <f aca="false">IF($A22="","",IF(ISNUMBER($M22),SUMIFS(Del_Qty,Del_Site,$A22,Del_Mat,$B22,Del_Date,"&gt;"&amp;AsOfDate,Del_Date,"&lt;="&amp;$M22),0))</f>
        <v/>
      </c>
      <c r="Q22" s="75" t="str">
        <f aca="false">IF(OR($A22="",$J22&lt;=0),"",IF($P22&gt;0,(MAX(0,$E22)+$N22)/$J22,$L22))</f>
        <v/>
      </c>
      <c r="R22" s="75" t="str">
        <f aca="false">IF($A22="","",IFERROR(INDEX(Mat_Lead,MATCH($B22,Mat_Code,0)),0))</f>
        <v/>
      </c>
      <c r="S22" s="75" t="str">
        <f aca="false">IF($A22="","",IFERROR(INDEX(Mat_Safety,MATCH($B22,Mat_Code,0)),0))</f>
        <v/>
      </c>
      <c r="T22" s="67" t="str">
        <f aca="false">IF($A22="","",$J22*($R22+$S22))</f>
        <v/>
      </c>
      <c r="U22" s="76" t="str">
        <f aca="false">IF($A22="","",IF($E22&lt;=0,"OUT OF STOCK",IF($J22&lt;=0,"NO USAGE",IF($Q22&lt;=$R22,"CRITICAL",IF($Q22&lt;=$R22+$S22,"REORDER","OK")))))</f>
        <v/>
      </c>
      <c r="V22" s="73" t="str">
        <f aca="false">IF(OR($A22="",$U22="NO USAGE"),"",IF(OR($U22="OUT OF STOCK",$Q22&lt;=$R22+$S22),"NOW",WORKDAY.INTL(AsOfDate,INT($Q22-$R22-$S22),WeekendMask,Holidays)))</f>
        <v/>
      </c>
      <c r="W22" s="73" t="str">
        <f aca="false">IF(OR($A22="",$U22="NO USAGE"),"",IF(OR($U22="OUT OF STOCK",$Q22&lt;=$R22),"NOW",WORKDAY.INTL(AsOfDate,ROUNDUP($Q22-$R22,0),WeekendMask,Holidays)))</f>
        <v/>
      </c>
      <c r="X22" s="77" t="str">
        <f aca="false">IF($A22="","",IF(OR($U22="CRITICAL",$U22="REORDER",$U22="OUT OF STOCK"),IF($F22&gt;0,ROUNDUP(MAX(0,$F22-MAX(0,MAX(0,$E22)+$N22-$J22*$R22)),0),"Set capacity"),0))</f>
        <v/>
      </c>
      <c r="Y22" s="16" t="str">
        <f aca="false">IF($A22="","",IF($U22="OUT OF STOCK","Out of stock – production at risk."&amp;IF($N22&gt;0," Next delivery "&amp;TEXT($O22,"ddd dd-mmm")&amp;": expedite it."," Order and expedite now."),IF($U22="CRITICAL",IF(AND($N22&gt;0,$P22&lt;=0),"URGENT – runs out about "&amp;TEXT($M22,"ddd dd-mmm")&amp;", before the next delivery ("&amp;TEXT($O22,"ddd dd-mmm")&amp;"). Expedite it.","URGENT – runs out about "&amp;TEXT($M22,"ddd dd-mmm")&amp;"; a normal order takes "&amp;$R22&amp;" days. Order and expedite now."),IF($U22="REORDER","Order now (about "&amp;TEXT($X22,"#,##0")&amp;" "&amp;$D22&amp;") – becomes critical "&amp;TEXT($W22,"ddd dd-mmm")&amp;".",IF($U22="NO USAGE","No planned or recent usage.","OK – next order by "&amp;TEXT($V22,"ddd dd-mmm")&amp;IF($N22&gt;0,"; "&amp;TEXT($N22,"#,##0")&amp;" "&amp;$D22&amp;" on order (next "&amp;TEXT($O22,"dd-mmm")&amp;")","")&amp;".")))))</f>
        <v/>
      </c>
      <c r="Z22" s="78" t="n">
        <f aca="false">IF(OR($A22="",$V22=""),1000000000,IF($V22="NOW",AsOfDate,$V22))</f>
        <v>1000000000</v>
      </c>
      <c r="AA22" s="78" t="n">
        <f aca="false">IF(OR($A22="",$W22=""),1000000000,IF($W22="NOW",AsOfDate,$W22))</f>
        <v>1000000000</v>
      </c>
      <c r="AB22" s="78" t="n">
        <f aca="false">IF(OR($A22="",$M22=""),1000000000,IF($M22="OUT",AsOfDate,$M22))</f>
        <v>1000000000</v>
      </c>
    </row>
    <row r="23" customFormat="false" ht="15" hidden="false" customHeight="false" outlineLevel="0" collapsed="false">
      <c r="A23" s="16" t="str">
        <f aca="false">IF(ISNUMBER('Current Inventory'!$J23),'Current Inventory'!$A23,"")</f>
        <v/>
      </c>
      <c r="B23" s="64" t="str">
        <f aca="false">IF($A23="","",'Current Inventory'!$B23)</f>
        <v/>
      </c>
      <c r="C23" s="16" t="str">
        <f aca="false">IF($A23="","",'Current Inventory'!$C23)</f>
        <v/>
      </c>
      <c r="D23" s="64" t="str">
        <f aca="false">IF($A23="","",'Current Inventory'!$D23)</f>
        <v/>
      </c>
      <c r="E23" s="67" t="str">
        <f aca="false">IF($A23="","",'Current Inventory'!$J23)</f>
        <v/>
      </c>
      <c r="F23" s="67" t="str">
        <f aca="false">IF($A23="","",N('Current Inventory'!$G23))</f>
        <v/>
      </c>
      <c r="G23" s="69" t="str">
        <f aca="false">IF($A23="","",'Current Inventory'!$K23)</f>
        <v/>
      </c>
      <c r="H23" s="67" t="str">
        <f aca="false">IF($A23="","",IFERROR(SUMIFS(INDEX(PP_Daily,0,MATCH($B23,Mat_Code,0)),PP_Site,$A23),0))</f>
        <v/>
      </c>
      <c r="I23" s="67" t="str">
        <f aca="false">IF($A23="","",IFERROR(SUMIFS(INDEX(Con_Use,0,MATCH($B23,Mat_Code,0)),Con_Site,$A23,Con_Date,"&gt;"&amp;(AsOfDate-7),Con_Date,"&lt;="&amp;AsOfDate)/MAX(1,NETWORKDAYS.INTL(AsOfDate-6,AsOfDate,WeekendMask,Holidays)),0))</f>
        <v/>
      </c>
      <c r="J23" s="67" t="str">
        <f aca="false">IF($A23="","",IF($H23&gt;0,$H23,$I23))</f>
        <v/>
      </c>
      <c r="K23" s="64" t="str">
        <f aca="false">IF($A23="","",IF($H23&gt;0,"Plan",IF($I23&gt;0,"Actual 7-day avg","No usage")))</f>
        <v/>
      </c>
      <c r="L23" s="72" t="str">
        <f aca="false">IF($A23="","",IF($J23&gt;0,MAX(0,$E23)/$J23,""))</f>
        <v/>
      </c>
      <c r="M23" s="73" t="str">
        <f aca="false">IF(OR($A23="",$L23=""),"",IF($E23&lt;=0,"OUT",WORKDAY.INTL(AsOfDate,ROUNDUP($L23,0),WeekendMask,Holidays)))</f>
        <v/>
      </c>
      <c r="N23" s="74" t="str">
        <f aca="false">IF($A23="","",SUMIFS(Del_Qty,Del_Site,$A23,Del_Mat,$B23,Del_Date,"&gt;"&amp;AsOfDate))</f>
        <v/>
      </c>
      <c r="O23" s="73" t="str">
        <f aca="false">IF(OR($A23="",N($N23)&lt;=0),"",SUMPRODUCT(MIN((Del_Site=$A23)*(Del_Mat=$B23)*(Del_Date&gt;AsOfDate)*Del_Date+(1-(Del_Site=$A23)*(Del_Mat=$B23)*(Del_Date&gt;AsOfDate))*1000000000)))</f>
        <v/>
      </c>
      <c r="P23" s="74" t="str">
        <f aca="false">IF($A23="","",IF(ISNUMBER($M23),SUMIFS(Del_Qty,Del_Site,$A23,Del_Mat,$B23,Del_Date,"&gt;"&amp;AsOfDate,Del_Date,"&lt;="&amp;$M23),0))</f>
        <v/>
      </c>
      <c r="Q23" s="75" t="str">
        <f aca="false">IF(OR($A23="",$J23&lt;=0),"",IF($P23&gt;0,(MAX(0,$E23)+$N23)/$J23,$L23))</f>
        <v/>
      </c>
      <c r="R23" s="75" t="str">
        <f aca="false">IF($A23="","",IFERROR(INDEX(Mat_Lead,MATCH($B23,Mat_Code,0)),0))</f>
        <v/>
      </c>
      <c r="S23" s="75" t="str">
        <f aca="false">IF($A23="","",IFERROR(INDEX(Mat_Safety,MATCH($B23,Mat_Code,0)),0))</f>
        <v/>
      </c>
      <c r="T23" s="67" t="str">
        <f aca="false">IF($A23="","",$J23*($R23+$S23))</f>
        <v/>
      </c>
      <c r="U23" s="76" t="str">
        <f aca="false">IF($A23="","",IF($E23&lt;=0,"OUT OF STOCK",IF($J23&lt;=0,"NO USAGE",IF($Q23&lt;=$R23,"CRITICAL",IF($Q23&lt;=$R23+$S23,"REORDER","OK")))))</f>
        <v/>
      </c>
      <c r="V23" s="73" t="str">
        <f aca="false">IF(OR($A23="",$U23="NO USAGE"),"",IF(OR($U23="OUT OF STOCK",$Q23&lt;=$R23+$S23),"NOW",WORKDAY.INTL(AsOfDate,INT($Q23-$R23-$S23),WeekendMask,Holidays)))</f>
        <v/>
      </c>
      <c r="W23" s="73" t="str">
        <f aca="false">IF(OR($A23="",$U23="NO USAGE"),"",IF(OR($U23="OUT OF STOCK",$Q23&lt;=$R23),"NOW",WORKDAY.INTL(AsOfDate,ROUNDUP($Q23-$R23,0),WeekendMask,Holidays)))</f>
        <v/>
      </c>
      <c r="X23" s="77" t="str">
        <f aca="false">IF($A23="","",IF(OR($U23="CRITICAL",$U23="REORDER",$U23="OUT OF STOCK"),IF($F23&gt;0,ROUNDUP(MAX(0,$F23-MAX(0,MAX(0,$E23)+$N23-$J23*$R23)),0),"Set capacity"),0))</f>
        <v/>
      </c>
      <c r="Y23" s="16" t="str">
        <f aca="false">IF($A23="","",IF($U23="OUT OF STOCK","Out of stock – production at risk."&amp;IF($N23&gt;0," Next delivery "&amp;TEXT($O23,"ddd dd-mmm")&amp;": expedite it."," Order and expedite now."),IF($U23="CRITICAL",IF(AND($N23&gt;0,$P23&lt;=0),"URGENT – runs out about "&amp;TEXT($M23,"ddd dd-mmm")&amp;", before the next delivery ("&amp;TEXT($O23,"ddd dd-mmm")&amp;"). Expedite it.","URGENT – runs out about "&amp;TEXT($M23,"ddd dd-mmm")&amp;"; a normal order takes "&amp;$R23&amp;" days. Order and expedite now."),IF($U23="REORDER","Order now (about "&amp;TEXT($X23,"#,##0")&amp;" "&amp;$D23&amp;") – becomes critical "&amp;TEXT($W23,"ddd dd-mmm")&amp;".",IF($U23="NO USAGE","No planned or recent usage.","OK – next order by "&amp;TEXT($V23,"ddd dd-mmm")&amp;IF($N23&gt;0,"; "&amp;TEXT($N23,"#,##0")&amp;" "&amp;$D23&amp;" on order (next "&amp;TEXT($O23,"dd-mmm")&amp;")","")&amp;".")))))</f>
        <v/>
      </c>
      <c r="Z23" s="78" t="n">
        <f aca="false">IF(OR($A23="",$V23=""),1000000000,IF($V23="NOW",AsOfDate,$V23))</f>
        <v>1000000000</v>
      </c>
      <c r="AA23" s="78" t="n">
        <f aca="false">IF(OR($A23="",$W23=""),1000000000,IF($W23="NOW",AsOfDate,$W23))</f>
        <v>1000000000</v>
      </c>
      <c r="AB23" s="78" t="n">
        <f aca="false">IF(OR($A23="",$M23=""),1000000000,IF($M23="OUT",AsOfDate,$M23))</f>
        <v>1000000000</v>
      </c>
    </row>
    <row r="24" customFormat="false" ht="15" hidden="false" customHeight="false" outlineLevel="0" collapsed="false">
      <c r="A24" s="16" t="str">
        <f aca="false">IF(ISNUMBER('Current Inventory'!$J24),'Current Inventory'!$A24,"")</f>
        <v/>
      </c>
      <c r="B24" s="64" t="str">
        <f aca="false">IF($A24="","",'Current Inventory'!$B24)</f>
        <v/>
      </c>
      <c r="C24" s="16" t="str">
        <f aca="false">IF($A24="","",'Current Inventory'!$C24)</f>
        <v/>
      </c>
      <c r="D24" s="64" t="str">
        <f aca="false">IF($A24="","",'Current Inventory'!$D24)</f>
        <v/>
      </c>
      <c r="E24" s="67" t="str">
        <f aca="false">IF($A24="","",'Current Inventory'!$J24)</f>
        <v/>
      </c>
      <c r="F24" s="67" t="str">
        <f aca="false">IF($A24="","",N('Current Inventory'!$G24))</f>
        <v/>
      </c>
      <c r="G24" s="69" t="str">
        <f aca="false">IF($A24="","",'Current Inventory'!$K24)</f>
        <v/>
      </c>
      <c r="H24" s="67" t="str">
        <f aca="false">IF($A24="","",IFERROR(SUMIFS(INDEX(PP_Daily,0,MATCH($B24,Mat_Code,0)),PP_Site,$A24),0))</f>
        <v/>
      </c>
      <c r="I24" s="67" t="str">
        <f aca="false">IF($A24="","",IFERROR(SUMIFS(INDEX(Con_Use,0,MATCH($B24,Mat_Code,0)),Con_Site,$A24,Con_Date,"&gt;"&amp;(AsOfDate-7),Con_Date,"&lt;="&amp;AsOfDate)/MAX(1,NETWORKDAYS.INTL(AsOfDate-6,AsOfDate,WeekendMask,Holidays)),0))</f>
        <v/>
      </c>
      <c r="J24" s="67" t="str">
        <f aca="false">IF($A24="","",IF($H24&gt;0,$H24,$I24))</f>
        <v/>
      </c>
      <c r="K24" s="64" t="str">
        <f aca="false">IF($A24="","",IF($H24&gt;0,"Plan",IF($I24&gt;0,"Actual 7-day avg","No usage")))</f>
        <v/>
      </c>
      <c r="L24" s="72" t="str">
        <f aca="false">IF($A24="","",IF($J24&gt;0,MAX(0,$E24)/$J24,""))</f>
        <v/>
      </c>
      <c r="M24" s="73" t="str">
        <f aca="false">IF(OR($A24="",$L24=""),"",IF($E24&lt;=0,"OUT",WORKDAY.INTL(AsOfDate,ROUNDUP($L24,0),WeekendMask,Holidays)))</f>
        <v/>
      </c>
      <c r="N24" s="74" t="str">
        <f aca="false">IF($A24="","",SUMIFS(Del_Qty,Del_Site,$A24,Del_Mat,$B24,Del_Date,"&gt;"&amp;AsOfDate))</f>
        <v/>
      </c>
      <c r="O24" s="73" t="str">
        <f aca="false">IF(OR($A24="",N($N24)&lt;=0),"",SUMPRODUCT(MIN((Del_Site=$A24)*(Del_Mat=$B24)*(Del_Date&gt;AsOfDate)*Del_Date+(1-(Del_Site=$A24)*(Del_Mat=$B24)*(Del_Date&gt;AsOfDate))*1000000000)))</f>
        <v/>
      </c>
      <c r="P24" s="74" t="str">
        <f aca="false">IF($A24="","",IF(ISNUMBER($M24),SUMIFS(Del_Qty,Del_Site,$A24,Del_Mat,$B24,Del_Date,"&gt;"&amp;AsOfDate,Del_Date,"&lt;="&amp;$M24),0))</f>
        <v/>
      </c>
      <c r="Q24" s="75" t="str">
        <f aca="false">IF(OR($A24="",$J24&lt;=0),"",IF($P24&gt;0,(MAX(0,$E24)+$N24)/$J24,$L24))</f>
        <v/>
      </c>
      <c r="R24" s="75" t="str">
        <f aca="false">IF($A24="","",IFERROR(INDEX(Mat_Lead,MATCH($B24,Mat_Code,0)),0))</f>
        <v/>
      </c>
      <c r="S24" s="75" t="str">
        <f aca="false">IF($A24="","",IFERROR(INDEX(Mat_Safety,MATCH($B24,Mat_Code,0)),0))</f>
        <v/>
      </c>
      <c r="T24" s="67" t="str">
        <f aca="false">IF($A24="","",$J24*($R24+$S24))</f>
        <v/>
      </c>
      <c r="U24" s="76" t="str">
        <f aca="false">IF($A24="","",IF($E24&lt;=0,"OUT OF STOCK",IF($J24&lt;=0,"NO USAGE",IF($Q24&lt;=$R24,"CRITICAL",IF($Q24&lt;=$R24+$S24,"REORDER","OK")))))</f>
        <v/>
      </c>
      <c r="V24" s="73" t="str">
        <f aca="false">IF(OR($A24="",$U24="NO USAGE"),"",IF(OR($U24="OUT OF STOCK",$Q24&lt;=$R24+$S24),"NOW",WORKDAY.INTL(AsOfDate,INT($Q24-$R24-$S24),WeekendMask,Holidays)))</f>
        <v/>
      </c>
      <c r="W24" s="73" t="str">
        <f aca="false">IF(OR($A24="",$U24="NO USAGE"),"",IF(OR($U24="OUT OF STOCK",$Q24&lt;=$R24),"NOW",WORKDAY.INTL(AsOfDate,ROUNDUP($Q24-$R24,0),WeekendMask,Holidays)))</f>
        <v/>
      </c>
      <c r="X24" s="77" t="str">
        <f aca="false">IF($A24="","",IF(OR($U24="CRITICAL",$U24="REORDER",$U24="OUT OF STOCK"),IF($F24&gt;0,ROUNDUP(MAX(0,$F24-MAX(0,MAX(0,$E24)+$N24-$J24*$R24)),0),"Set capacity"),0))</f>
        <v/>
      </c>
      <c r="Y24" s="16" t="str">
        <f aca="false">IF($A24="","",IF($U24="OUT OF STOCK","Out of stock – production at risk."&amp;IF($N24&gt;0," Next delivery "&amp;TEXT($O24,"ddd dd-mmm")&amp;": expedite it."," Order and expedite now."),IF($U24="CRITICAL",IF(AND($N24&gt;0,$P24&lt;=0),"URGENT – runs out about "&amp;TEXT($M24,"ddd dd-mmm")&amp;", before the next delivery ("&amp;TEXT($O24,"ddd dd-mmm")&amp;"). Expedite it.","URGENT – runs out about "&amp;TEXT($M24,"ddd dd-mmm")&amp;"; a normal order takes "&amp;$R24&amp;" days. Order and expedite now."),IF($U24="REORDER","Order now (about "&amp;TEXT($X24,"#,##0")&amp;" "&amp;$D24&amp;") – becomes critical "&amp;TEXT($W24,"ddd dd-mmm")&amp;".",IF($U24="NO USAGE","No planned or recent usage.","OK – next order by "&amp;TEXT($V24,"ddd dd-mmm")&amp;IF($N24&gt;0,"; "&amp;TEXT($N24,"#,##0")&amp;" "&amp;$D24&amp;" on order (next "&amp;TEXT($O24,"dd-mmm")&amp;")","")&amp;".")))))</f>
        <v/>
      </c>
      <c r="Z24" s="78" t="n">
        <f aca="false">IF(OR($A24="",$V24=""),1000000000,IF($V24="NOW",AsOfDate,$V24))</f>
        <v>1000000000</v>
      </c>
      <c r="AA24" s="78" t="n">
        <f aca="false">IF(OR($A24="",$W24=""),1000000000,IF($W24="NOW",AsOfDate,$W24))</f>
        <v>1000000000</v>
      </c>
      <c r="AB24" s="78" t="n">
        <f aca="false">IF(OR($A24="",$M24=""),1000000000,IF($M24="OUT",AsOfDate,$M24))</f>
        <v>1000000000</v>
      </c>
    </row>
    <row r="25" customFormat="false" ht="15" hidden="false" customHeight="false" outlineLevel="0" collapsed="false">
      <c r="A25" s="16" t="str">
        <f aca="false">IF(ISNUMBER('Current Inventory'!$J25),'Current Inventory'!$A25,"")</f>
        <v/>
      </c>
      <c r="B25" s="64" t="str">
        <f aca="false">IF($A25="","",'Current Inventory'!$B25)</f>
        <v/>
      </c>
      <c r="C25" s="16" t="str">
        <f aca="false">IF($A25="","",'Current Inventory'!$C25)</f>
        <v/>
      </c>
      <c r="D25" s="64" t="str">
        <f aca="false">IF($A25="","",'Current Inventory'!$D25)</f>
        <v/>
      </c>
      <c r="E25" s="67" t="str">
        <f aca="false">IF($A25="","",'Current Inventory'!$J25)</f>
        <v/>
      </c>
      <c r="F25" s="67" t="str">
        <f aca="false">IF($A25="","",N('Current Inventory'!$G25))</f>
        <v/>
      </c>
      <c r="G25" s="69" t="str">
        <f aca="false">IF($A25="","",'Current Inventory'!$K25)</f>
        <v/>
      </c>
      <c r="H25" s="67" t="str">
        <f aca="false">IF($A25="","",IFERROR(SUMIFS(INDEX(PP_Daily,0,MATCH($B25,Mat_Code,0)),PP_Site,$A25),0))</f>
        <v/>
      </c>
      <c r="I25" s="67" t="str">
        <f aca="false">IF($A25="","",IFERROR(SUMIFS(INDEX(Con_Use,0,MATCH($B25,Mat_Code,0)),Con_Site,$A25,Con_Date,"&gt;"&amp;(AsOfDate-7),Con_Date,"&lt;="&amp;AsOfDate)/MAX(1,NETWORKDAYS.INTL(AsOfDate-6,AsOfDate,WeekendMask,Holidays)),0))</f>
        <v/>
      </c>
      <c r="J25" s="67" t="str">
        <f aca="false">IF($A25="","",IF($H25&gt;0,$H25,$I25))</f>
        <v/>
      </c>
      <c r="K25" s="64" t="str">
        <f aca="false">IF($A25="","",IF($H25&gt;0,"Plan",IF($I25&gt;0,"Actual 7-day avg","No usage")))</f>
        <v/>
      </c>
      <c r="L25" s="72" t="str">
        <f aca="false">IF($A25="","",IF($J25&gt;0,MAX(0,$E25)/$J25,""))</f>
        <v/>
      </c>
      <c r="M25" s="73" t="str">
        <f aca="false">IF(OR($A25="",$L25=""),"",IF($E25&lt;=0,"OUT",WORKDAY.INTL(AsOfDate,ROUNDUP($L25,0),WeekendMask,Holidays)))</f>
        <v/>
      </c>
      <c r="N25" s="74" t="str">
        <f aca="false">IF($A25="","",SUMIFS(Del_Qty,Del_Site,$A25,Del_Mat,$B25,Del_Date,"&gt;"&amp;AsOfDate))</f>
        <v/>
      </c>
      <c r="O25" s="73" t="str">
        <f aca="false">IF(OR($A25="",N($N25)&lt;=0),"",SUMPRODUCT(MIN((Del_Site=$A25)*(Del_Mat=$B25)*(Del_Date&gt;AsOfDate)*Del_Date+(1-(Del_Site=$A25)*(Del_Mat=$B25)*(Del_Date&gt;AsOfDate))*1000000000)))</f>
        <v/>
      </c>
      <c r="P25" s="74" t="str">
        <f aca="false">IF($A25="","",IF(ISNUMBER($M25),SUMIFS(Del_Qty,Del_Site,$A25,Del_Mat,$B25,Del_Date,"&gt;"&amp;AsOfDate,Del_Date,"&lt;="&amp;$M25),0))</f>
        <v/>
      </c>
      <c r="Q25" s="75" t="str">
        <f aca="false">IF(OR($A25="",$J25&lt;=0),"",IF($P25&gt;0,(MAX(0,$E25)+$N25)/$J25,$L25))</f>
        <v/>
      </c>
      <c r="R25" s="75" t="str">
        <f aca="false">IF($A25="","",IFERROR(INDEX(Mat_Lead,MATCH($B25,Mat_Code,0)),0))</f>
        <v/>
      </c>
      <c r="S25" s="75" t="str">
        <f aca="false">IF($A25="","",IFERROR(INDEX(Mat_Safety,MATCH($B25,Mat_Code,0)),0))</f>
        <v/>
      </c>
      <c r="T25" s="67" t="str">
        <f aca="false">IF($A25="","",$J25*($R25+$S25))</f>
        <v/>
      </c>
      <c r="U25" s="76" t="str">
        <f aca="false">IF($A25="","",IF($E25&lt;=0,"OUT OF STOCK",IF($J25&lt;=0,"NO USAGE",IF($Q25&lt;=$R25,"CRITICAL",IF($Q25&lt;=$R25+$S25,"REORDER","OK")))))</f>
        <v/>
      </c>
      <c r="V25" s="73" t="str">
        <f aca="false">IF(OR($A25="",$U25="NO USAGE"),"",IF(OR($U25="OUT OF STOCK",$Q25&lt;=$R25+$S25),"NOW",WORKDAY.INTL(AsOfDate,INT($Q25-$R25-$S25),WeekendMask,Holidays)))</f>
        <v/>
      </c>
      <c r="W25" s="73" t="str">
        <f aca="false">IF(OR($A25="",$U25="NO USAGE"),"",IF(OR($U25="OUT OF STOCK",$Q25&lt;=$R25),"NOW",WORKDAY.INTL(AsOfDate,ROUNDUP($Q25-$R25,0),WeekendMask,Holidays)))</f>
        <v/>
      </c>
      <c r="X25" s="77" t="str">
        <f aca="false">IF($A25="","",IF(OR($U25="CRITICAL",$U25="REORDER",$U25="OUT OF STOCK"),IF($F25&gt;0,ROUNDUP(MAX(0,$F25-MAX(0,MAX(0,$E25)+$N25-$J25*$R25)),0),"Set capacity"),0))</f>
        <v/>
      </c>
      <c r="Y25" s="16" t="str">
        <f aca="false">IF($A25="","",IF($U25="OUT OF STOCK","Out of stock – production at risk."&amp;IF($N25&gt;0," Next delivery "&amp;TEXT($O25,"ddd dd-mmm")&amp;": expedite it."," Order and expedite now."),IF($U25="CRITICAL",IF(AND($N25&gt;0,$P25&lt;=0),"URGENT – runs out about "&amp;TEXT($M25,"ddd dd-mmm")&amp;", before the next delivery ("&amp;TEXT($O25,"ddd dd-mmm")&amp;"). Expedite it.","URGENT – runs out about "&amp;TEXT($M25,"ddd dd-mmm")&amp;"; a normal order takes "&amp;$R25&amp;" days. Order and expedite now."),IF($U25="REORDER","Order now (about "&amp;TEXT($X25,"#,##0")&amp;" "&amp;$D25&amp;") – becomes critical "&amp;TEXT($W25,"ddd dd-mmm")&amp;".",IF($U25="NO USAGE","No planned or recent usage.","OK – next order by "&amp;TEXT($V25,"ddd dd-mmm")&amp;IF($N25&gt;0,"; "&amp;TEXT($N25,"#,##0")&amp;" "&amp;$D25&amp;" on order (next "&amp;TEXT($O25,"dd-mmm")&amp;")","")&amp;".")))))</f>
        <v/>
      </c>
      <c r="Z25" s="78" t="n">
        <f aca="false">IF(OR($A25="",$V25=""),1000000000,IF($V25="NOW",AsOfDate,$V25))</f>
        <v>1000000000</v>
      </c>
      <c r="AA25" s="78" t="n">
        <f aca="false">IF(OR($A25="",$W25=""),1000000000,IF($W25="NOW",AsOfDate,$W25))</f>
        <v>1000000000</v>
      </c>
      <c r="AB25" s="78" t="n">
        <f aca="false">IF(OR($A25="",$M25=""),1000000000,IF($M25="OUT",AsOfDate,$M25))</f>
        <v>1000000000</v>
      </c>
    </row>
    <row r="26" customFormat="false" ht="15" hidden="false" customHeight="false" outlineLevel="0" collapsed="false">
      <c r="A26" s="16" t="str">
        <f aca="false">IF(ISNUMBER('Current Inventory'!$J26),'Current Inventory'!$A26,"")</f>
        <v/>
      </c>
      <c r="B26" s="64" t="str">
        <f aca="false">IF($A26="","",'Current Inventory'!$B26)</f>
        <v/>
      </c>
      <c r="C26" s="16" t="str">
        <f aca="false">IF($A26="","",'Current Inventory'!$C26)</f>
        <v/>
      </c>
      <c r="D26" s="64" t="str">
        <f aca="false">IF($A26="","",'Current Inventory'!$D26)</f>
        <v/>
      </c>
      <c r="E26" s="67" t="str">
        <f aca="false">IF($A26="","",'Current Inventory'!$J26)</f>
        <v/>
      </c>
      <c r="F26" s="67" t="str">
        <f aca="false">IF($A26="","",N('Current Inventory'!$G26))</f>
        <v/>
      </c>
      <c r="G26" s="69" t="str">
        <f aca="false">IF($A26="","",'Current Inventory'!$K26)</f>
        <v/>
      </c>
      <c r="H26" s="67" t="str">
        <f aca="false">IF($A26="","",IFERROR(SUMIFS(INDEX(PP_Daily,0,MATCH($B26,Mat_Code,0)),PP_Site,$A26),0))</f>
        <v/>
      </c>
      <c r="I26" s="67" t="str">
        <f aca="false">IF($A26="","",IFERROR(SUMIFS(INDEX(Con_Use,0,MATCH($B26,Mat_Code,0)),Con_Site,$A26,Con_Date,"&gt;"&amp;(AsOfDate-7),Con_Date,"&lt;="&amp;AsOfDate)/MAX(1,NETWORKDAYS.INTL(AsOfDate-6,AsOfDate,WeekendMask,Holidays)),0))</f>
        <v/>
      </c>
      <c r="J26" s="67" t="str">
        <f aca="false">IF($A26="","",IF($H26&gt;0,$H26,$I26))</f>
        <v/>
      </c>
      <c r="K26" s="64" t="str">
        <f aca="false">IF($A26="","",IF($H26&gt;0,"Plan",IF($I26&gt;0,"Actual 7-day avg","No usage")))</f>
        <v/>
      </c>
      <c r="L26" s="72" t="str">
        <f aca="false">IF($A26="","",IF($J26&gt;0,MAX(0,$E26)/$J26,""))</f>
        <v/>
      </c>
      <c r="M26" s="73" t="str">
        <f aca="false">IF(OR($A26="",$L26=""),"",IF($E26&lt;=0,"OUT",WORKDAY.INTL(AsOfDate,ROUNDUP($L26,0),WeekendMask,Holidays)))</f>
        <v/>
      </c>
      <c r="N26" s="74" t="str">
        <f aca="false">IF($A26="","",SUMIFS(Del_Qty,Del_Site,$A26,Del_Mat,$B26,Del_Date,"&gt;"&amp;AsOfDate))</f>
        <v/>
      </c>
      <c r="O26" s="73" t="str">
        <f aca="false">IF(OR($A26="",N($N26)&lt;=0),"",SUMPRODUCT(MIN((Del_Site=$A26)*(Del_Mat=$B26)*(Del_Date&gt;AsOfDate)*Del_Date+(1-(Del_Site=$A26)*(Del_Mat=$B26)*(Del_Date&gt;AsOfDate))*1000000000)))</f>
        <v/>
      </c>
      <c r="P26" s="74" t="str">
        <f aca="false">IF($A26="","",IF(ISNUMBER($M26),SUMIFS(Del_Qty,Del_Site,$A26,Del_Mat,$B26,Del_Date,"&gt;"&amp;AsOfDate,Del_Date,"&lt;="&amp;$M26),0))</f>
        <v/>
      </c>
      <c r="Q26" s="75" t="str">
        <f aca="false">IF(OR($A26="",$J26&lt;=0),"",IF($P26&gt;0,(MAX(0,$E26)+$N26)/$J26,$L26))</f>
        <v/>
      </c>
      <c r="R26" s="75" t="str">
        <f aca="false">IF($A26="","",IFERROR(INDEX(Mat_Lead,MATCH($B26,Mat_Code,0)),0))</f>
        <v/>
      </c>
      <c r="S26" s="75" t="str">
        <f aca="false">IF($A26="","",IFERROR(INDEX(Mat_Safety,MATCH($B26,Mat_Code,0)),0))</f>
        <v/>
      </c>
      <c r="T26" s="67" t="str">
        <f aca="false">IF($A26="","",$J26*($R26+$S26))</f>
        <v/>
      </c>
      <c r="U26" s="76" t="str">
        <f aca="false">IF($A26="","",IF($E26&lt;=0,"OUT OF STOCK",IF($J26&lt;=0,"NO USAGE",IF($Q26&lt;=$R26,"CRITICAL",IF($Q26&lt;=$R26+$S26,"REORDER","OK")))))</f>
        <v/>
      </c>
      <c r="V26" s="73" t="str">
        <f aca="false">IF(OR($A26="",$U26="NO USAGE"),"",IF(OR($U26="OUT OF STOCK",$Q26&lt;=$R26+$S26),"NOW",WORKDAY.INTL(AsOfDate,INT($Q26-$R26-$S26),WeekendMask,Holidays)))</f>
        <v/>
      </c>
      <c r="W26" s="73" t="str">
        <f aca="false">IF(OR($A26="",$U26="NO USAGE"),"",IF(OR($U26="OUT OF STOCK",$Q26&lt;=$R26),"NOW",WORKDAY.INTL(AsOfDate,ROUNDUP($Q26-$R26,0),WeekendMask,Holidays)))</f>
        <v/>
      </c>
      <c r="X26" s="77" t="str">
        <f aca="false">IF($A26="","",IF(OR($U26="CRITICAL",$U26="REORDER",$U26="OUT OF STOCK"),IF($F26&gt;0,ROUNDUP(MAX(0,$F26-MAX(0,MAX(0,$E26)+$N26-$J26*$R26)),0),"Set capacity"),0))</f>
        <v/>
      </c>
      <c r="Y26" s="16" t="str">
        <f aca="false">IF($A26="","",IF($U26="OUT OF STOCK","Out of stock – production at risk."&amp;IF($N26&gt;0," Next delivery "&amp;TEXT($O26,"ddd dd-mmm")&amp;": expedite it."," Order and expedite now."),IF($U26="CRITICAL",IF(AND($N26&gt;0,$P26&lt;=0),"URGENT – runs out about "&amp;TEXT($M26,"ddd dd-mmm")&amp;", before the next delivery ("&amp;TEXT($O26,"ddd dd-mmm")&amp;"). Expedite it.","URGENT – runs out about "&amp;TEXT($M26,"ddd dd-mmm")&amp;"; a normal order takes "&amp;$R26&amp;" days. Order and expedite now."),IF($U26="REORDER","Order now (about "&amp;TEXT($X26,"#,##0")&amp;" "&amp;$D26&amp;") – becomes critical "&amp;TEXT($W26,"ddd dd-mmm")&amp;".",IF($U26="NO USAGE","No planned or recent usage.","OK – next order by "&amp;TEXT($V26,"ddd dd-mmm")&amp;IF($N26&gt;0,"; "&amp;TEXT($N26,"#,##0")&amp;" "&amp;$D26&amp;" on order (next "&amp;TEXT($O26,"dd-mmm")&amp;")","")&amp;".")))))</f>
        <v/>
      </c>
      <c r="Z26" s="78" t="n">
        <f aca="false">IF(OR($A26="",$V26=""),1000000000,IF($V26="NOW",AsOfDate,$V26))</f>
        <v>1000000000</v>
      </c>
      <c r="AA26" s="78" t="n">
        <f aca="false">IF(OR($A26="",$W26=""),1000000000,IF($W26="NOW",AsOfDate,$W26))</f>
        <v>1000000000</v>
      </c>
      <c r="AB26" s="78" t="n">
        <f aca="false">IF(OR($A26="",$M26=""),1000000000,IF($M26="OUT",AsOfDate,$M26))</f>
        <v>1000000000</v>
      </c>
    </row>
    <row r="27" customFormat="false" ht="15" hidden="false" customHeight="false" outlineLevel="0" collapsed="false">
      <c r="A27" s="16" t="str">
        <f aca="false">IF(ISNUMBER('Current Inventory'!$J27),'Current Inventory'!$A27,"")</f>
        <v/>
      </c>
      <c r="B27" s="64" t="str">
        <f aca="false">IF($A27="","",'Current Inventory'!$B27)</f>
        <v/>
      </c>
      <c r="C27" s="16" t="str">
        <f aca="false">IF($A27="","",'Current Inventory'!$C27)</f>
        <v/>
      </c>
      <c r="D27" s="64" t="str">
        <f aca="false">IF($A27="","",'Current Inventory'!$D27)</f>
        <v/>
      </c>
      <c r="E27" s="67" t="str">
        <f aca="false">IF($A27="","",'Current Inventory'!$J27)</f>
        <v/>
      </c>
      <c r="F27" s="67" t="str">
        <f aca="false">IF($A27="","",N('Current Inventory'!$G27))</f>
        <v/>
      </c>
      <c r="G27" s="69" t="str">
        <f aca="false">IF($A27="","",'Current Inventory'!$K27)</f>
        <v/>
      </c>
      <c r="H27" s="67" t="str">
        <f aca="false">IF($A27="","",IFERROR(SUMIFS(INDEX(PP_Daily,0,MATCH($B27,Mat_Code,0)),PP_Site,$A27),0))</f>
        <v/>
      </c>
      <c r="I27" s="67" t="str">
        <f aca="false">IF($A27="","",IFERROR(SUMIFS(INDEX(Con_Use,0,MATCH($B27,Mat_Code,0)),Con_Site,$A27,Con_Date,"&gt;"&amp;(AsOfDate-7),Con_Date,"&lt;="&amp;AsOfDate)/MAX(1,NETWORKDAYS.INTL(AsOfDate-6,AsOfDate,WeekendMask,Holidays)),0))</f>
        <v/>
      </c>
      <c r="J27" s="67" t="str">
        <f aca="false">IF($A27="","",IF($H27&gt;0,$H27,$I27))</f>
        <v/>
      </c>
      <c r="K27" s="64" t="str">
        <f aca="false">IF($A27="","",IF($H27&gt;0,"Plan",IF($I27&gt;0,"Actual 7-day avg","No usage")))</f>
        <v/>
      </c>
      <c r="L27" s="72" t="str">
        <f aca="false">IF($A27="","",IF($J27&gt;0,MAX(0,$E27)/$J27,""))</f>
        <v/>
      </c>
      <c r="M27" s="73" t="str">
        <f aca="false">IF(OR($A27="",$L27=""),"",IF($E27&lt;=0,"OUT",WORKDAY.INTL(AsOfDate,ROUNDUP($L27,0),WeekendMask,Holidays)))</f>
        <v/>
      </c>
      <c r="N27" s="74" t="str">
        <f aca="false">IF($A27="","",SUMIFS(Del_Qty,Del_Site,$A27,Del_Mat,$B27,Del_Date,"&gt;"&amp;AsOfDate))</f>
        <v/>
      </c>
      <c r="O27" s="73" t="str">
        <f aca="false">IF(OR($A27="",N($N27)&lt;=0),"",SUMPRODUCT(MIN((Del_Site=$A27)*(Del_Mat=$B27)*(Del_Date&gt;AsOfDate)*Del_Date+(1-(Del_Site=$A27)*(Del_Mat=$B27)*(Del_Date&gt;AsOfDate))*1000000000)))</f>
        <v/>
      </c>
      <c r="P27" s="74" t="str">
        <f aca="false">IF($A27="","",IF(ISNUMBER($M27),SUMIFS(Del_Qty,Del_Site,$A27,Del_Mat,$B27,Del_Date,"&gt;"&amp;AsOfDate,Del_Date,"&lt;="&amp;$M27),0))</f>
        <v/>
      </c>
      <c r="Q27" s="75" t="str">
        <f aca="false">IF(OR($A27="",$J27&lt;=0),"",IF($P27&gt;0,(MAX(0,$E27)+$N27)/$J27,$L27))</f>
        <v/>
      </c>
      <c r="R27" s="75" t="str">
        <f aca="false">IF($A27="","",IFERROR(INDEX(Mat_Lead,MATCH($B27,Mat_Code,0)),0))</f>
        <v/>
      </c>
      <c r="S27" s="75" t="str">
        <f aca="false">IF($A27="","",IFERROR(INDEX(Mat_Safety,MATCH($B27,Mat_Code,0)),0))</f>
        <v/>
      </c>
      <c r="T27" s="67" t="str">
        <f aca="false">IF($A27="","",$J27*($R27+$S27))</f>
        <v/>
      </c>
      <c r="U27" s="76" t="str">
        <f aca="false">IF($A27="","",IF($E27&lt;=0,"OUT OF STOCK",IF($J27&lt;=0,"NO USAGE",IF($Q27&lt;=$R27,"CRITICAL",IF($Q27&lt;=$R27+$S27,"REORDER","OK")))))</f>
        <v/>
      </c>
      <c r="V27" s="73" t="str">
        <f aca="false">IF(OR($A27="",$U27="NO USAGE"),"",IF(OR($U27="OUT OF STOCK",$Q27&lt;=$R27+$S27),"NOW",WORKDAY.INTL(AsOfDate,INT($Q27-$R27-$S27),WeekendMask,Holidays)))</f>
        <v/>
      </c>
      <c r="W27" s="73" t="str">
        <f aca="false">IF(OR($A27="",$U27="NO USAGE"),"",IF(OR($U27="OUT OF STOCK",$Q27&lt;=$R27),"NOW",WORKDAY.INTL(AsOfDate,ROUNDUP($Q27-$R27,0),WeekendMask,Holidays)))</f>
        <v/>
      </c>
      <c r="X27" s="77" t="str">
        <f aca="false">IF($A27="","",IF(OR($U27="CRITICAL",$U27="REORDER",$U27="OUT OF STOCK"),IF($F27&gt;0,ROUNDUP(MAX(0,$F27-MAX(0,MAX(0,$E27)+$N27-$J27*$R27)),0),"Set capacity"),0))</f>
        <v/>
      </c>
      <c r="Y27" s="16" t="str">
        <f aca="false">IF($A27="","",IF($U27="OUT OF STOCK","Out of stock – production at risk."&amp;IF($N27&gt;0," Next delivery "&amp;TEXT($O27,"ddd dd-mmm")&amp;": expedite it."," Order and expedite now."),IF($U27="CRITICAL",IF(AND($N27&gt;0,$P27&lt;=0),"URGENT – runs out about "&amp;TEXT($M27,"ddd dd-mmm")&amp;", before the next delivery ("&amp;TEXT($O27,"ddd dd-mmm")&amp;"). Expedite it.","URGENT – runs out about "&amp;TEXT($M27,"ddd dd-mmm")&amp;"; a normal order takes "&amp;$R27&amp;" days. Order and expedite now."),IF($U27="REORDER","Order now (about "&amp;TEXT($X27,"#,##0")&amp;" "&amp;$D27&amp;") – becomes critical "&amp;TEXT($W27,"ddd dd-mmm")&amp;".",IF($U27="NO USAGE","No planned or recent usage.","OK – next order by "&amp;TEXT($V27,"ddd dd-mmm")&amp;IF($N27&gt;0,"; "&amp;TEXT($N27,"#,##0")&amp;" "&amp;$D27&amp;" on order (next "&amp;TEXT($O27,"dd-mmm")&amp;")","")&amp;".")))))</f>
        <v/>
      </c>
      <c r="Z27" s="78" t="n">
        <f aca="false">IF(OR($A27="",$V27=""),1000000000,IF($V27="NOW",AsOfDate,$V27))</f>
        <v>1000000000</v>
      </c>
      <c r="AA27" s="78" t="n">
        <f aca="false">IF(OR($A27="",$W27=""),1000000000,IF($W27="NOW",AsOfDate,$W27))</f>
        <v>1000000000</v>
      </c>
      <c r="AB27" s="78" t="n">
        <f aca="false">IF(OR($A27="",$M27=""),1000000000,IF($M27="OUT",AsOfDate,$M27))</f>
        <v>1000000000</v>
      </c>
    </row>
    <row r="28" customFormat="false" ht="15" hidden="false" customHeight="false" outlineLevel="0" collapsed="false">
      <c r="A28" s="16" t="str">
        <f aca="false">IF(ISNUMBER('Current Inventory'!$J28),'Current Inventory'!$A28,"")</f>
        <v/>
      </c>
      <c r="B28" s="64" t="str">
        <f aca="false">IF($A28="","",'Current Inventory'!$B28)</f>
        <v/>
      </c>
      <c r="C28" s="16" t="str">
        <f aca="false">IF($A28="","",'Current Inventory'!$C28)</f>
        <v/>
      </c>
      <c r="D28" s="64" t="str">
        <f aca="false">IF($A28="","",'Current Inventory'!$D28)</f>
        <v/>
      </c>
      <c r="E28" s="67" t="str">
        <f aca="false">IF($A28="","",'Current Inventory'!$J28)</f>
        <v/>
      </c>
      <c r="F28" s="67" t="str">
        <f aca="false">IF($A28="","",N('Current Inventory'!$G28))</f>
        <v/>
      </c>
      <c r="G28" s="69" t="str">
        <f aca="false">IF($A28="","",'Current Inventory'!$K28)</f>
        <v/>
      </c>
      <c r="H28" s="67" t="str">
        <f aca="false">IF($A28="","",IFERROR(SUMIFS(INDEX(PP_Daily,0,MATCH($B28,Mat_Code,0)),PP_Site,$A28),0))</f>
        <v/>
      </c>
      <c r="I28" s="67" t="str">
        <f aca="false">IF($A28="","",IFERROR(SUMIFS(INDEX(Con_Use,0,MATCH($B28,Mat_Code,0)),Con_Site,$A28,Con_Date,"&gt;"&amp;(AsOfDate-7),Con_Date,"&lt;="&amp;AsOfDate)/MAX(1,NETWORKDAYS.INTL(AsOfDate-6,AsOfDate,WeekendMask,Holidays)),0))</f>
        <v/>
      </c>
      <c r="J28" s="67" t="str">
        <f aca="false">IF($A28="","",IF($H28&gt;0,$H28,$I28))</f>
        <v/>
      </c>
      <c r="K28" s="64" t="str">
        <f aca="false">IF($A28="","",IF($H28&gt;0,"Plan",IF($I28&gt;0,"Actual 7-day avg","No usage")))</f>
        <v/>
      </c>
      <c r="L28" s="72" t="str">
        <f aca="false">IF($A28="","",IF($J28&gt;0,MAX(0,$E28)/$J28,""))</f>
        <v/>
      </c>
      <c r="M28" s="73" t="str">
        <f aca="false">IF(OR($A28="",$L28=""),"",IF($E28&lt;=0,"OUT",WORKDAY.INTL(AsOfDate,ROUNDUP($L28,0),WeekendMask,Holidays)))</f>
        <v/>
      </c>
      <c r="N28" s="74" t="str">
        <f aca="false">IF($A28="","",SUMIFS(Del_Qty,Del_Site,$A28,Del_Mat,$B28,Del_Date,"&gt;"&amp;AsOfDate))</f>
        <v/>
      </c>
      <c r="O28" s="73" t="str">
        <f aca="false">IF(OR($A28="",N($N28)&lt;=0),"",SUMPRODUCT(MIN((Del_Site=$A28)*(Del_Mat=$B28)*(Del_Date&gt;AsOfDate)*Del_Date+(1-(Del_Site=$A28)*(Del_Mat=$B28)*(Del_Date&gt;AsOfDate))*1000000000)))</f>
        <v/>
      </c>
      <c r="P28" s="74" t="str">
        <f aca="false">IF($A28="","",IF(ISNUMBER($M28),SUMIFS(Del_Qty,Del_Site,$A28,Del_Mat,$B28,Del_Date,"&gt;"&amp;AsOfDate,Del_Date,"&lt;="&amp;$M28),0))</f>
        <v/>
      </c>
      <c r="Q28" s="75" t="str">
        <f aca="false">IF(OR($A28="",$J28&lt;=0),"",IF($P28&gt;0,(MAX(0,$E28)+$N28)/$J28,$L28))</f>
        <v/>
      </c>
      <c r="R28" s="75" t="str">
        <f aca="false">IF($A28="","",IFERROR(INDEX(Mat_Lead,MATCH($B28,Mat_Code,0)),0))</f>
        <v/>
      </c>
      <c r="S28" s="75" t="str">
        <f aca="false">IF($A28="","",IFERROR(INDEX(Mat_Safety,MATCH($B28,Mat_Code,0)),0))</f>
        <v/>
      </c>
      <c r="T28" s="67" t="str">
        <f aca="false">IF($A28="","",$J28*($R28+$S28))</f>
        <v/>
      </c>
      <c r="U28" s="76" t="str">
        <f aca="false">IF($A28="","",IF($E28&lt;=0,"OUT OF STOCK",IF($J28&lt;=0,"NO USAGE",IF($Q28&lt;=$R28,"CRITICAL",IF($Q28&lt;=$R28+$S28,"REORDER","OK")))))</f>
        <v/>
      </c>
      <c r="V28" s="73" t="str">
        <f aca="false">IF(OR($A28="",$U28="NO USAGE"),"",IF(OR($U28="OUT OF STOCK",$Q28&lt;=$R28+$S28),"NOW",WORKDAY.INTL(AsOfDate,INT($Q28-$R28-$S28),WeekendMask,Holidays)))</f>
        <v/>
      </c>
      <c r="W28" s="73" t="str">
        <f aca="false">IF(OR($A28="",$U28="NO USAGE"),"",IF(OR($U28="OUT OF STOCK",$Q28&lt;=$R28),"NOW",WORKDAY.INTL(AsOfDate,ROUNDUP($Q28-$R28,0),WeekendMask,Holidays)))</f>
        <v/>
      </c>
      <c r="X28" s="77" t="str">
        <f aca="false">IF($A28="","",IF(OR($U28="CRITICAL",$U28="REORDER",$U28="OUT OF STOCK"),IF($F28&gt;0,ROUNDUP(MAX(0,$F28-MAX(0,MAX(0,$E28)+$N28-$J28*$R28)),0),"Set capacity"),0))</f>
        <v/>
      </c>
      <c r="Y28" s="16" t="str">
        <f aca="false">IF($A28="","",IF($U28="OUT OF STOCK","Out of stock – production at risk."&amp;IF($N28&gt;0," Next delivery "&amp;TEXT($O28,"ddd dd-mmm")&amp;": expedite it."," Order and expedite now."),IF($U28="CRITICAL",IF(AND($N28&gt;0,$P28&lt;=0),"URGENT – runs out about "&amp;TEXT($M28,"ddd dd-mmm")&amp;", before the next delivery ("&amp;TEXT($O28,"ddd dd-mmm")&amp;"). Expedite it.","URGENT – runs out about "&amp;TEXT($M28,"ddd dd-mmm")&amp;"; a normal order takes "&amp;$R28&amp;" days. Order and expedite now."),IF($U28="REORDER","Order now (about "&amp;TEXT($X28,"#,##0")&amp;" "&amp;$D28&amp;") – becomes critical "&amp;TEXT($W28,"ddd dd-mmm")&amp;".",IF($U28="NO USAGE","No planned or recent usage.","OK – next order by "&amp;TEXT($V28,"ddd dd-mmm")&amp;IF($N28&gt;0,"; "&amp;TEXT($N28,"#,##0")&amp;" "&amp;$D28&amp;" on order (next "&amp;TEXT($O28,"dd-mmm")&amp;")","")&amp;".")))))</f>
        <v/>
      </c>
      <c r="Z28" s="78" t="n">
        <f aca="false">IF(OR($A28="",$V28=""),1000000000,IF($V28="NOW",AsOfDate,$V28))</f>
        <v>1000000000</v>
      </c>
      <c r="AA28" s="78" t="n">
        <f aca="false">IF(OR($A28="",$W28=""),1000000000,IF($W28="NOW",AsOfDate,$W28))</f>
        <v>1000000000</v>
      </c>
      <c r="AB28" s="78" t="n">
        <f aca="false">IF(OR($A28="",$M28=""),1000000000,IF($M28="OUT",AsOfDate,$M28))</f>
        <v>1000000000</v>
      </c>
    </row>
    <row r="29" customFormat="false" ht="15" hidden="false" customHeight="false" outlineLevel="0" collapsed="false">
      <c r="A29" s="16" t="str">
        <f aca="false">IF(ISNUMBER('Current Inventory'!$J29),'Current Inventory'!$A29,"")</f>
        <v/>
      </c>
      <c r="B29" s="64" t="str">
        <f aca="false">IF($A29="","",'Current Inventory'!$B29)</f>
        <v/>
      </c>
      <c r="C29" s="16" t="str">
        <f aca="false">IF($A29="","",'Current Inventory'!$C29)</f>
        <v/>
      </c>
      <c r="D29" s="64" t="str">
        <f aca="false">IF($A29="","",'Current Inventory'!$D29)</f>
        <v/>
      </c>
      <c r="E29" s="67" t="str">
        <f aca="false">IF($A29="","",'Current Inventory'!$J29)</f>
        <v/>
      </c>
      <c r="F29" s="67" t="str">
        <f aca="false">IF($A29="","",N('Current Inventory'!$G29))</f>
        <v/>
      </c>
      <c r="G29" s="69" t="str">
        <f aca="false">IF($A29="","",'Current Inventory'!$K29)</f>
        <v/>
      </c>
      <c r="H29" s="67" t="str">
        <f aca="false">IF($A29="","",IFERROR(SUMIFS(INDEX(PP_Daily,0,MATCH($B29,Mat_Code,0)),PP_Site,$A29),0))</f>
        <v/>
      </c>
      <c r="I29" s="67" t="str">
        <f aca="false">IF($A29="","",IFERROR(SUMIFS(INDEX(Con_Use,0,MATCH($B29,Mat_Code,0)),Con_Site,$A29,Con_Date,"&gt;"&amp;(AsOfDate-7),Con_Date,"&lt;="&amp;AsOfDate)/MAX(1,NETWORKDAYS.INTL(AsOfDate-6,AsOfDate,WeekendMask,Holidays)),0))</f>
        <v/>
      </c>
      <c r="J29" s="67" t="str">
        <f aca="false">IF($A29="","",IF($H29&gt;0,$H29,$I29))</f>
        <v/>
      </c>
      <c r="K29" s="64" t="str">
        <f aca="false">IF($A29="","",IF($H29&gt;0,"Plan",IF($I29&gt;0,"Actual 7-day avg","No usage")))</f>
        <v/>
      </c>
      <c r="L29" s="72" t="str">
        <f aca="false">IF($A29="","",IF($J29&gt;0,MAX(0,$E29)/$J29,""))</f>
        <v/>
      </c>
      <c r="M29" s="73" t="str">
        <f aca="false">IF(OR($A29="",$L29=""),"",IF($E29&lt;=0,"OUT",WORKDAY.INTL(AsOfDate,ROUNDUP($L29,0),WeekendMask,Holidays)))</f>
        <v/>
      </c>
      <c r="N29" s="74" t="str">
        <f aca="false">IF($A29="","",SUMIFS(Del_Qty,Del_Site,$A29,Del_Mat,$B29,Del_Date,"&gt;"&amp;AsOfDate))</f>
        <v/>
      </c>
      <c r="O29" s="73" t="str">
        <f aca="false">IF(OR($A29="",N($N29)&lt;=0),"",SUMPRODUCT(MIN((Del_Site=$A29)*(Del_Mat=$B29)*(Del_Date&gt;AsOfDate)*Del_Date+(1-(Del_Site=$A29)*(Del_Mat=$B29)*(Del_Date&gt;AsOfDate))*1000000000)))</f>
        <v/>
      </c>
      <c r="P29" s="74" t="str">
        <f aca="false">IF($A29="","",IF(ISNUMBER($M29),SUMIFS(Del_Qty,Del_Site,$A29,Del_Mat,$B29,Del_Date,"&gt;"&amp;AsOfDate,Del_Date,"&lt;="&amp;$M29),0))</f>
        <v/>
      </c>
      <c r="Q29" s="75" t="str">
        <f aca="false">IF(OR($A29="",$J29&lt;=0),"",IF($P29&gt;0,(MAX(0,$E29)+$N29)/$J29,$L29))</f>
        <v/>
      </c>
      <c r="R29" s="75" t="str">
        <f aca="false">IF($A29="","",IFERROR(INDEX(Mat_Lead,MATCH($B29,Mat_Code,0)),0))</f>
        <v/>
      </c>
      <c r="S29" s="75" t="str">
        <f aca="false">IF($A29="","",IFERROR(INDEX(Mat_Safety,MATCH($B29,Mat_Code,0)),0))</f>
        <v/>
      </c>
      <c r="T29" s="67" t="str">
        <f aca="false">IF($A29="","",$J29*($R29+$S29))</f>
        <v/>
      </c>
      <c r="U29" s="76" t="str">
        <f aca="false">IF($A29="","",IF($E29&lt;=0,"OUT OF STOCK",IF($J29&lt;=0,"NO USAGE",IF($Q29&lt;=$R29,"CRITICAL",IF($Q29&lt;=$R29+$S29,"REORDER","OK")))))</f>
        <v/>
      </c>
      <c r="V29" s="73" t="str">
        <f aca="false">IF(OR($A29="",$U29="NO USAGE"),"",IF(OR($U29="OUT OF STOCK",$Q29&lt;=$R29+$S29),"NOW",WORKDAY.INTL(AsOfDate,INT($Q29-$R29-$S29),WeekendMask,Holidays)))</f>
        <v/>
      </c>
      <c r="W29" s="73" t="str">
        <f aca="false">IF(OR($A29="",$U29="NO USAGE"),"",IF(OR($U29="OUT OF STOCK",$Q29&lt;=$R29),"NOW",WORKDAY.INTL(AsOfDate,ROUNDUP($Q29-$R29,0),WeekendMask,Holidays)))</f>
        <v/>
      </c>
      <c r="X29" s="77" t="str">
        <f aca="false">IF($A29="","",IF(OR($U29="CRITICAL",$U29="REORDER",$U29="OUT OF STOCK"),IF($F29&gt;0,ROUNDUP(MAX(0,$F29-MAX(0,MAX(0,$E29)+$N29-$J29*$R29)),0),"Set capacity"),0))</f>
        <v/>
      </c>
      <c r="Y29" s="16" t="str">
        <f aca="false">IF($A29="","",IF($U29="OUT OF STOCK","Out of stock – production at risk."&amp;IF($N29&gt;0," Next delivery "&amp;TEXT($O29,"ddd dd-mmm")&amp;": expedite it."," Order and expedite now."),IF($U29="CRITICAL",IF(AND($N29&gt;0,$P29&lt;=0),"URGENT – runs out about "&amp;TEXT($M29,"ddd dd-mmm")&amp;", before the next delivery ("&amp;TEXT($O29,"ddd dd-mmm")&amp;"). Expedite it.","URGENT – runs out about "&amp;TEXT($M29,"ddd dd-mmm")&amp;"; a normal order takes "&amp;$R29&amp;" days. Order and expedite now."),IF($U29="REORDER","Order now (about "&amp;TEXT($X29,"#,##0")&amp;" "&amp;$D29&amp;") – becomes critical "&amp;TEXT($W29,"ddd dd-mmm")&amp;".",IF($U29="NO USAGE","No planned or recent usage.","OK – next order by "&amp;TEXT($V29,"ddd dd-mmm")&amp;IF($N29&gt;0,"; "&amp;TEXT($N29,"#,##0")&amp;" "&amp;$D29&amp;" on order (next "&amp;TEXT($O29,"dd-mmm")&amp;")","")&amp;".")))))</f>
        <v/>
      </c>
      <c r="Z29" s="78" t="n">
        <f aca="false">IF(OR($A29="",$V29=""),1000000000,IF($V29="NOW",AsOfDate,$V29))</f>
        <v>1000000000</v>
      </c>
      <c r="AA29" s="78" t="n">
        <f aca="false">IF(OR($A29="",$W29=""),1000000000,IF($W29="NOW",AsOfDate,$W29))</f>
        <v>1000000000</v>
      </c>
      <c r="AB29" s="78" t="n">
        <f aca="false">IF(OR($A29="",$M29=""),1000000000,IF($M29="OUT",AsOfDate,$M29))</f>
        <v>1000000000</v>
      </c>
    </row>
    <row r="30" customFormat="false" ht="15" hidden="false" customHeight="false" outlineLevel="0" collapsed="false">
      <c r="A30" s="16" t="str">
        <f aca="false">IF(ISNUMBER('Current Inventory'!$J30),'Current Inventory'!$A30,"")</f>
        <v/>
      </c>
      <c r="B30" s="64" t="str">
        <f aca="false">IF($A30="","",'Current Inventory'!$B30)</f>
        <v/>
      </c>
      <c r="C30" s="16" t="str">
        <f aca="false">IF($A30="","",'Current Inventory'!$C30)</f>
        <v/>
      </c>
      <c r="D30" s="64" t="str">
        <f aca="false">IF($A30="","",'Current Inventory'!$D30)</f>
        <v/>
      </c>
      <c r="E30" s="67" t="str">
        <f aca="false">IF($A30="","",'Current Inventory'!$J30)</f>
        <v/>
      </c>
      <c r="F30" s="67" t="str">
        <f aca="false">IF($A30="","",N('Current Inventory'!$G30))</f>
        <v/>
      </c>
      <c r="G30" s="69" t="str">
        <f aca="false">IF($A30="","",'Current Inventory'!$K30)</f>
        <v/>
      </c>
      <c r="H30" s="67" t="str">
        <f aca="false">IF($A30="","",IFERROR(SUMIFS(INDEX(PP_Daily,0,MATCH($B30,Mat_Code,0)),PP_Site,$A30),0))</f>
        <v/>
      </c>
      <c r="I30" s="67" t="str">
        <f aca="false">IF($A30="","",IFERROR(SUMIFS(INDEX(Con_Use,0,MATCH($B30,Mat_Code,0)),Con_Site,$A30,Con_Date,"&gt;"&amp;(AsOfDate-7),Con_Date,"&lt;="&amp;AsOfDate)/MAX(1,NETWORKDAYS.INTL(AsOfDate-6,AsOfDate,WeekendMask,Holidays)),0))</f>
        <v/>
      </c>
      <c r="J30" s="67" t="str">
        <f aca="false">IF($A30="","",IF($H30&gt;0,$H30,$I30))</f>
        <v/>
      </c>
      <c r="K30" s="64" t="str">
        <f aca="false">IF($A30="","",IF($H30&gt;0,"Plan",IF($I30&gt;0,"Actual 7-day avg","No usage")))</f>
        <v/>
      </c>
      <c r="L30" s="72" t="str">
        <f aca="false">IF($A30="","",IF($J30&gt;0,MAX(0,$E30)/$J30,""))</f>
        <v/>
      </c>
      <c r="M30" s="73" t="str">
        <f aca="false">IF(OR($A30="",$L30=""),"",IF($E30&lt;=0,"OUT",WORKDAY.INTL(AsOfDate,ROUNDUP($L30,0),WeekendMask,Holidays)))</f>
        <v/>
      </c>
      <c r="N30" s="74" t="str">
        <f aca="false">IF($A30="","",SUMIFS(Del_Qty,Del_Site,$A30,Del_Mat,$B30,Del_Date,"&gt;"&amp;AsOfDate))</f>
        <v/>
      </c>
      <c r="O30" s="73" t="str">
        <f aca="false">IF(OR($A30="",N($N30)&lt;=0),"",SUMPRODUCT(MIN((Del_Site=$A30)*(Del_Mat=$B30)*(Del_Date&gt;AsOfDate)*Del_Date+(1-(Del_Site=$A30)*(Del_Mat=$B30)*(Del_Date&gt;AsOfDate))*1000000000)))</f>
        <v/>
      </c>
      <c r="P30" s="74" t="str">
        <f aca="false">IF($A30="","",IF(ISNUMBER($M30),SUMIFS(Del_Qty,Del_Site,$A30,Del_Mat,$B30,Del_Date,"&gt;"&amp;AsOfDate,Del_Date,"&lt;="&amp;$M30),0))</f>
        <v/>
      </c>
      <c r="Q30" s="75" t="str">
        <f aca="false">IF(OR($A30="",$J30&lt;=0),"",IF($P30&gt;0,(MAX(0,$E30)+$N30)/$J30,$L30))</f>
        <v/>
      </c>
      <c r="R30" s="75" t="str">
        <f aca="false">IF($A30="","",IFERROR(INDEX(Mat_Lead,MATCH($B30,Mat_Code,0)),0))</f>
        <v/>
      </c>
      <c r="S30" s="75" t="str">
        <f aca="false">IF($A30="","",IFERROR(INDEX(Mat_Safety,MATCH($B30,Mat_Code,0)),0))</f>
        <v/>
      </c>
      <c r="T30" s="67" t="str">
        <f aca="false">IF($A30="","",$J30*($R30+$S30))</f>
        <v/>
      </c>
      <c r="U30" s="76" t="str">
        <f aca="false">IF($A30="","",IF($E30&lt;=0,"OUT OF STOCK",IF($J30&lt;=0,"NO USAGE",IF($Q30&lt;=$R30,"CRITICAL",IF($Q30&lt;=$R30+$S30,"REORDER","OK")))))</f>
        <v/>
      </c>
      <c r="V30" s="73" t="str">
        <f aca="false">IF(OR($A30="",$U30="NO USAGE"),"",IF(OR($U30="OUT OF STOCK",$Q30&lt;=$R30+$S30),"NOW",WORKDAY.INTL(AsOfDate,INT($Q30-$R30-$S30),WeekendMask,Holidays)))</f>
        <v/>
      </c>
      <c r="W30" s="73" t="str">
        <f aca="false">IF(OR($A30="",$U30="NO USAGE"),"",IF(OR($U30="OUT OF STOCK",$Q30&lt;=$R30),"NOW",WORKDAY.INTL(AsOfDate,ROUNDUP($Q30-$R30,0),WeekendMask,Holidays)))</f>
        <v/>
      </c>
      <c r="X30" s="77" t="str">
        <f aca="false">IF($A30="","",IF(OR($U30="CRITICAL",$U30="REORDER",$U30="OUT OF STOCK"),IF($F30&gt;0,ROUNDUP(MAX(0,$F30-MAX(0,MAX(0,$E30)+$N30-$J30*$R30)),0),"Set capacity"),0))</f>
        <v/>
      </c>
      <c r="Y30" s="16" t="str">
        <f aca="false">IF($A30="","",IF($U30="OUT OF STOCK","Out of stock – production at risk."&amp;IF($N30&gt;0," Next delivery "&amp;TEXT($O30,"ddd dd-mmm")&amp;": expedite it."," Order and expedite now."),IF($U30="CRITICAL",IF(AND($N30&gt;0,$P30&lt;=0),"URGENT – runs out about "&amp;TEXT($M30,"ddd dd-mmm")&amp;", before the next delivery ("&amp;TEXT($O30,"ddd dd-mmm")&amp;"). Expedite it.","URGENT – runs out about "&amp;TEXT($M30,"ddd dd-mmm")&amp;"; a normal order takes "&amp;$R30&amp;" days. Order and expedite now."),IF($U30="REORDER","Order now (about "&amp;TEXT($X30,"#,##0")&amp;" "&amp;$D30&amp;") – becomes critical "&amp;TEXT($W30,"ddd dd-mmm")&amp;".",IF($U30="NO USAGE","No planned or recent usage.","OK – next order by "&amp;TEXT($V30,"ddd dd-mmm")&amp;IF($N30&gt;0,"; "&amp;TEXT($N30,"#,##0")&amp;" "&amp;$D30&amp;" on order (next "&amp;TEXT($O30,"dd-mmm")&amp;")","")&amp;".")))))</f>
        <v/>
      </c>
      <c r="Z30" s="78" t="n">
        <f aca="false">IF(OR($A30="",$V30=""),1000000000,IF($V30="NOW",AsOfDate,$V30))</f>
        <v>1000000000</v>
      </c>
      <c r="AA30" s="78" t="n">
        <f aca="false">IF(OR($A30="",$W30=""),1000000000,IF($W30="NOW",AsOfDate,$W30))</f>
        <v>1000000000</v>
      </c>
      <c r="AB30" s="78" t="n">
        <f aca="false">IF(OR($A30="",$M30=""),1000000000,IF($M30="OUT",AsOfDate,$M30))</f>
        <v>1000000000</v>
      </c>
    </row>
    <row r="31" customFormat="false" ht="15" hidden="false" customHeight="false" outlineLevel="0" collapsed="false">
      <c r="A31" s="16" t="str">
        <f aca="false">IF(ISNUMBER('Current Inventory'!$J31),'Current Inventory'!$A31,"")</f>
        <v/>
      </c>
      <c r="B31" s="64" t="str">
        <f aca="false">IF($A31="","",'Current Inventory'!$B31)</f>
        <v/>
      </c>
      <c r="C31" s="16" t="str">
        <f aca="false">IF($A31="","",'Current Inventory'!$C31)</f>
        <v/>
      </c>
      <c r="D31" s="64" t="str">
        <f aca="false">IF($A31="","",'Current Inventory'!$D31)</f>
        <v/>
      </c>
      <c r="E31" s="67" t="str">
        <f aca="false">IF($A31="","",'Current Inventory'!$J31)</f>
        <v/>
      </c>
      <c r="F31" s="67" t="str">
        <f aca="false">IF($A31="","",N('Current Inventory'!$G31))</f>
        <v/>
      </c>
      <c r="G31" s="69" t="str">
        <f aca="false">IF($A31="","",'Current Inventory'!$K31)</f>
        <v/>
      </c>
      <c r="H31" s="67" t="str">
        <f aca="false">IF($A31="","",IFERROR(SUMIFS(INDEX(PP_Daily,0,MATCH($B31,Mat_Code,0)),PP_Site,$A31),0))</f>
        <v/>
      </c>
      <c r="I31" s="67" t="str">
        <f aca="false">IF($A31="","",IFERROR(SUMIFS(INDEX(Con_Use,0,MATCH($B31,Mat_Code,0)),Con_Site,$A31,Con_Date,"&gt;"&amp;(AsOfDate-7),Con_Date,"&lt;="&amp;AsOfDate)/MAX(1,NETWORKDAYS.INTL(AsOfDate-6,AsOfDate,WeekendMask,Holidays)),0))</f>
        <v/>
      </c>
      <c r="J31" s="67" t="str">
        <f aca="false">IF($A31="","",IF($H31&gt;0,$H31,$I31))</f>
        <v/>
      </c>
      <c r="K31" s="64" t="str">
        <f aca="false">IF($A31="","",IF($H31&gt;0,"Plan",IF($I31&gt;0,"Actual 7-day avg","No usage")))</f>
        <v/>
      </c>
      <c r="L31" s="72" t="str">
        <f aca="false">IF($A31="","",IF($J31&gt;0,MAX(0,$E31)/$J31,""))</f>
        <v/>
      </c>
      <c r="M31" s="73" t="str">
        <f aca="false">IF(OR($A31="",$L31=""),"",IF($E31&lt;=0,"OUT",WORKDAY.INTL(AsOfDate,ROUNDUP($L31,0),WeekendMask,Holidays)))</f>
        <v/>
      </c>
      <c r="N31" s="74" t="str">
        <f aca="false">IF($A31="","",SUMIFS(Del_Qty,Del_Site,$A31,Del_Mat,$B31,Del_Date,"&gt;"&amp;AsOfDate))</f>
        <v/>
      </c>
      <c r="O31" s="73" t="str">
        <f aca="false">IF(OR($A31="",N($N31)&lt;=0),"",SUMPRODUCT(MIN((Del_Site=$A31)*(Del_Mat=$B31)*(Del_Date&gt;AsOfDate)*Del_Date+(1-(Del_Site=$A31)*(Del_Mat=$B31)*(Del_Date&gt;AsOfDate))*1000000000)))</f>
        <v/>
      </c>
      <c r="P31" s="74" t="str">
        <f aca="false">IF($A31="","",IF(ISNUMBER($M31),SUMIFS(Del_Qty,Del_Site,$A31,Del_Mat,$B31,Del_Date,"&gt;"&amp;AsOfDate,Del_Date,"&lt;="&amp;$M31),0))</f>
        <v/>
      </c>
      <c r="Q31" s="75" t="str">
        <f aca="false">IF(OR($A31="",$J31&lt;=0),"",IF($P31&gt;0,(MAX(0,$E31)+$N31)/$J31,$L31))</f>
        <v/>
      </c>
      <c r="R31" s="75" t="str">
        <f aca="false">IF($A31="","",IFERROR(INDEX(Mat_Lead,MATCH($B31,Mat_Code,0)),0))</f>
        <v/>
      </c>
      <c r="S31" s="75" t="str">
        <f aca="false">IF($A31="","",IFERROR(INDEX(Mat_Safety,MATCH($B31,Mat_Code,0)),0))</f>
        <v/>
      </c>
      <c r="T31" s="67" t="str">
        <f aca="false">IF($A31="","",$J31*($R31+$S31))</f>
        <v/>
      </c>
      <c r="U31" s="76" t="str">
        <f aca="false">IF($A31="","",IF($E31&lt;=0,"OUT OF STOCK",IF($J31&lt;=0,"NO USAGE",IF($Q31&lt;=$R31,"CRITICAL",IF($Q31&lt;=$R31+$S31,"REORDER","OK")))))</f>
        <v/>
      </c>
      <c r="V31" s="73" t="str">
        <f aca="false">IF(OR($A31="",$U31="NO USAGE"),"",IF(OR($U31="OUT OF STOCK",$Q31&lt;=$R31+$S31),"NOW",WORKDAY.INTL(AsOfDate,INT($Q31-$R31-$S31),WeekendMask,Holidays)))</f>
        <v/>
      </c>
      <c r="W31" s="73" t="str">
        <f aca="false">IF(OR($A31="",$U31="NO USAGE"),"",IF(OR($U31="OUT OF STOCK",$Q31&lt;=$R31),"NOW",WORKDAY.INTL(AsOfDate,ROUNDUP($Q31-$R31,0),WeekendMask,Holidays)))</f>
        <v/>
      </c>
      <c r="X31" s="77" t="str">
        <f aca="false">IF($A31="","",IF(OR($U31="CRITICAL",$U31="REORDER",$U31="OUT OF STOCK"),IF($F31&gt;0,ROUNDUP(MAX(0,$F31-MAX(0,MAX(0,$E31)+$N31-$J31*$R31)),0),"Set capacity"),0))</f>
        <v/>
      </c>
      <c r="Y31" s="16" t="str">
        <f aca="false">IF($A31="","",IF($U31="OUT OF STOCK","Out of stock – production at risk."&amp;IF($N31&gt;0," Next delivery "&amp;TEXT($O31,"ddd dd-mmm")&amp;": expedite it."," Order and expedite now."),IF($U31="CRITICAL",IF(AND($N31&gt;0,$P31&lt;=0),"URGENT – runs out about "&amp;TEXT($M31,"ddd dd-mmm")&amp;", before the next delivery ("&amp;TEXT($O31,"ddd dd-mmm")&amp;"). Expedite it.","URGENT – runs out about "&amp;TEXT($M31,"ddd dd-mmm")&amp;"; a normal order takes "&amp;$R31&amp;" days. Order and expedite now."),IF($U31="REORDER","Order now (about "&amp;TEXT($X31,"#,##0")&amp;" "&amp;$D31&amp;") – becomes critical "&amp;TEXT($W31,"ddd dd-mmm")&amp;".",IF($U31="NO USAGE","No planned or recent usage.","OK – next order by "&amp;TEXT($V31,"ddd dd-mmm")&amp;IF($N31&gt;0,"; "&amp;TEXT($N31,"#,##0")&amp;" "&amp;$D31&amp;" on order (next "&amp;TEXT($O31,"dd-mmm")&amp;")","")&amp;".")))))</f>
        <v/>
      </c>
      <c r="Z31" s="78" t="n">
        <f aca="false">IF(OR($A31="",$V31=""),1000000000,IF($V31="NOW",AsOfDate,$V31))</f>
        <v>1000000000</v>
      </c>
      <c r="AA31" s="78" t="n">
        <f aca="false">IF(OR($A31="",$W31=""),1000000000,IF($W31="NOW",AsOfDate,$W31))</f>
        <v>1000000000</v>
      </c>
      <c r="AB31" s="78" t="n">
        <f aca="false">IF(OR($A31="",$M31=""),1000000000,IF($M31="OUT",AsOfDate,$M31))</f>
        <v>1000000000</v>
      </c>
    </row>
    <row r="32" customFormat="false" ht="15" hidden="false" customHeight="false" outlineLevel="0" collapsed="false">
      <c r="A32" s="16" t="str">
        <f aca="false">IF(ISNUMBER('Current Inventory'!$J32),'Current Inventory'!$A32,"")</f>
        <v/>
      </c>
      <c r="B32" s="64" t="str">
        <f aca="false">IF($A32="","",'Current Inventory'!$B32)</f>
        <v/>
      </c>
      <c r="C32" s="16" t="str">
        <f aca="false">IF($A32="","",'Current Inventory'!$C32)</f>
        <v/>
      </c>
      <c r="D32" s="64" t="str">
        <f aca="false">IF($A32="","",'Current Inventory'!$D32)</f>
        <v/>
      </c>
      <c r="E32" s="67" t="str">
        <f aca="false">IF($A32="","",'Current Inventory'!$J32)</f>
        <v/>
      </c>
      <c r="F32" s="67" t="str">
        <f aca="false">IF($A32="","",N('Current Inventory'!$G32))</f>
        <v/>
      </c>
      <c r="G32" s="69" t="str">
        <f aca="false">IF($A32="","",'Current Inventory'!$K32)</f>
        <v/>
      </c>
      <c r="H32" s="67" t="str">
        <f aca="false">IF($A32="","",IFERROR(SUMIFS(INDEX(PP_Daily,0,MATCH($B32,Mat_Code,0)),PP_Site,$A32),0))</f>
        <v/>
      </c>
      <c r="I32" s="67" t="str">
        <f aca="false">IF($A32="","",IFERROR(SUMIFS(INDEX(Con_Use,0,MATCH($B32,Mat_Code,0)),Con_Site,$A32,Con_Date,"&gt;"&amp;(AsOfDate-7),Con_Date,"&lt;="&amp;AsOfDate)/MAX(1,NETWORKDAYS.INTL(AsOfDate-6,AsOfDate,WeekendMask,Holidays)),0))</f>
        <v/>
      </c>
      <c r="J32" s="67" t="str">
        <f aca="false">IF($A32="","",IF($H32&gt;0,$H32,$I32))</f>
        <v/>
      </c>
      <c r="K32" s="64" t="str">
        <f aca="false">IF($A32="","",IF($H32&gt;0,"Plan",IF($I32&gt;0,"Actual 7-day avg","No usage")))</f>
        <v/>
      </c>
      <c r="L32" s="72" t="str">
        <f aca="false">IF($A32="","",IF($J32&gt;0,MAX(0,$E32)/$J32,""))</f>
        <v/>
      </c>
      <c r="M32" s="73" t="str">
        <f aca="false">IF(OR($A32="",$L32=""),"",IF($E32&lt;=0,"OUT",WORKDAY.INTL(AsOfDate,ROUNDUP($L32,0),WeekendMask,Holidays)))</f>
        <v/>
      </c>
      <c r="N32" s="74" t="str">
        <f aca="false">IF($A32="","",SUMIFS(Del_Qty,Del_Site,$A32,Del_Mat,$B32,Del_Date,"&gt;"&amp;AsOfDate))</f>
        <v/>
      </c>
      <c r="O32" s="73" t="str">
        <f aca="false">IF(OR($A32="",N($N32)&lt;=0),"",SUMPRODUCT(MIN((Del_Site=$A32)*(Del_Mat=$B32)*(Del_Date&gt;AsOfDate)*Del_Date+(1-(Del_Site=$A32)*(Del_Mat=$B32)*(Del_Date&gt;AsOfDate))*1000000000)))</f>
        <v/>
      </c>
      <c r="P32" s="74" t="str">
        <f aca="false">IF($A32="","",IF(ISNUMBER($M32),SUMIFS(Del_Qty,Del_Site,$A32,Del_Mat,$B32,Del_Date,"&gt;"&amp;AsOfDate,Del_Date,"&lt;="&amp;$M32),0))</f>
        <v/>
      </c>
      <c r="Q32" s="75" t="str">
        <f aca="false">IF(OR($A32="",$J32&lt;=0),"",IF($P32&gt;0,(MAX(0,$E32)+$N32)/$J32,$L32))</f>
        <v/>
      </c>
      <c r="R32" s="75" t="str">
        <f aca="false">IF($A32="","",IFERROR(INDEX(Mat_Lead,MATCH($B32,Mat_Code,0)),0))</f>
        <v/>
      </c>
      <c r="S32" s="75" t="str">
        <f aca="false">IF($A32="","",IFERROR(INDEX(Mat_Safety,MATCH($B32,Mat_Code,0)),0))</f>
        <v/>
      </c>
      <c r="T32" s="67" t="str">
        <f aca="false">IF($A32="","",$J32*($R32+$S32))</f>
        <v/>
      </c>
      <c r="U32" s="76" t="str">
        <f aca="false">IF($A32="","",IF($E32&lt;=0,"OUT OF STOCK",IF($J32&lt;=0,"NO USAGE",IF($Q32&lt;=$R32,"CRITICAL",IF($Q32&lt;=$R32+$S32,"REORDER","OK")))))</f>
        <v/>
      </c>
      <c r="V32" s="73" t="str">
        <f aca="false">IF(OR($A32="",$U32="NO USAGE"),"",IF(OR($U32="OUT OF STOCK",$Q32&lt;=$R32+$S32),"NOW",WORKDAY.INTL(AsOfDate,INT($Q32-$R32-$S32),WeekendMask,Holidays)))</f>
        <v/>
      </c>
      <c r="W32" s="73" t="str">
        <f aca="false">IF(OR($A32="",$U32="NO USAGE"),"",IF(OR($U32="OUT OF STOCK",$Q32&lt;=$R32),"NOW",WORKDAY.INTL(AsOfDate,ROUNDUP($Q32-$R32,0),WeekendMask,Holidays)))</f>
        <v/>
      </c>
      <c r="X32" s="77" t="str">
        <f aca="false">IF($A32="","",IF(OR($U32="CRITICAL",$U32="REORDER",$U32="OUT OF STOCK"),IF($F32&gt;0,ROUNDUP(MAX(0,$F32-MAX(0,MAX(0,$E32)+$N32-$J32*$R32)),0),"Set capacity"),0))</f>
        <v/>
      </c>
      <c r="Y32" s="16" t="str">
        <f aca="false">IF($A32="","",IF($U32="OUT OF STOCK","Out of stock – production at risk."&amp;IF($N32&gt;0," Next delivery "&amp;TEXT($O32,"ddd dd-mmm")&amp;": expedite it."," Order and expedite now."),IF($U32="CRITICAL",IF(AND($N32&gt;0,$P32&lt;=0),"URGENT – runs out about "&amp;TEXT($M32,"ddd dd-mmm")&amp;", before the next delivery ("&amp;TEXT($O32,"ddd dd-mmm")&amp;"). Expedite it.","URGENT – runs out about "&amp;TEXT($M32,"ddd dd-mmm")&amp;"; a normal order takes "&amp;$R32&amp;" days. Order and expedite now."),IF($U32="REORDER","Order now (about "&amp;TEXT($X32,"#,##0")&amp;" "&amp;$D32&amp;") – becomes critical "&amp;TEXT($W32,"ddd dd-mmm")&amp;".",IF($U32="NO USAGE","No planned or recent usage.","OK – next order by "&amp;TEXT($V32,"ddd dd-mmm")&amp;IF($N32&gt;0,"; "&amp;TEXT($N32,"#,##0")&amp;" "&amp;$D32&amp;" on order (next "&amp;TEXT($O32,"dd-mmm")&amp;")","")&amp;".")))))</f>
        <v/>
      </c>
      <c r="Z32" s="78" t="n">
        <f aca="false">IF(OR($A32="",$V32=""),1000000000,IF($V32="NOW",AsOfDate,$V32))</f>
        <v>1000000000</v>
      </c>
      <c r="AA32" s="78" t="n">
        <f aca="false">IF(OR($A32="",$W32=""),1000000000,IF($W32="NOW",AsOfDate,$W32))</f>
        <v>1000000000</v>
      </c>
      <c r="AB32" s="78" t="n">
        <f aca="false">IF(OR($A32="",$M32=""),1000000000,IF($M32="OUT",AsOfDate,$M32))</f>
        <v>1000000000</v>
      </c>
    </row>
    <row r="33" customFormat="false" ht="15" hidden="false" customHeight="false" outlineLevel="0" collapsed="false">
      <c r="A33" s="16" t="str">
        <f aca="false">IF(ISNUMBER('Current Inventory'!$J33),'Current Inventory'!$A33,"")</f>
        <v/>
      </c>
      <c r="B33" s="64" t="str">
        <f aca="false">IF($A33="","",'Current Inventory'!$B33)</f>
        <v/>
      </c>
      <c r="C33" s="16" t="str">
        <f aca="false">IF($A33="","",'Current Inventory'!$C33)</f>
        <v/>
      </c>
      <c r="D33" s="64" t="str">
        <f aca="false">IF($A33="","",'Current Inventory'!$D33)</f>
        <v/>
      </c>
      <c r="E33" s="67" t="str">
        <f aca="false">IF($A33="","",'Current Inventory'!$J33)</f>
        <v/>
      </c>
      <c r="F33" s="67" t="str">
        <f aca="false">IF($A33="","",N('Current Inventory'!$G33))</f>
        <v/>
      </c>
      <c r="G33" s="69" t="str">
        <f aca="false">IF($A33="","",'Current Inventory'!$K33)</f>
        <v/>
      </c>
      <c r="H33" s="67" t="str">
        <f aca="false">IF($A33="","",IFERROR(SUMIFS(INDEX(PP_Daily,0,MATCH($B33,Mat_Code,0)),PP_Site,$A33),0))</f>
        <v/>
      </c>
      <c r="I33" s="67" t="str">
        <f aca="false">IF($A33="","",IFERROR(SUMIFS(INDEX(Con_Use,0,MATCH($B33,Mat_Code,0)),Con_Site,$A33,Con_Date,"&gt;"&amp;(AsOfDate-7),Con_Date,"&lt;="&amp;AsOfDate)/MAX(1,NETWORKDAYS.INTL(AsOfDate-6,AsOfDate,WeekendMask,Holidays)),0))</f>
        <v/>
      </c>
      <c r="J33" s="67" t="str">
        <f aca="false">IF($A33="","",IF($H33&gt;0,$H33,$I33))</f>
        <v/>
      </c>
      <c r="K33" s="64" t="str">
        <f aca="false">IF($A33="","",IF($H33&gt;0,"Plan",IF($I33&gt;0,"Actual 7-day avg","No usage")))</f>
        <v/>
      </c>
      <c r="L33" s="72" t="str">
        <f aca="false">IF($A33="","",IF($J33&gt;0,MAX(0,$E33)/$J33,""))</f>
        <v/>
      </c>
      <c r="M33" s="73" t="str">
        <f aca="false">IF(OR($A33="",$L33=""),"",IF($E33&lt;=0,"OUT",WORKDAY.INTL(AsOfDate,ROUNDUP($L33,0),WeekendMask,Holidays)))</f>
        <v/>
      </c>
      <c r="N33" s="74" t="str">
        <f aca="false">IF($A33="","",SUMIFS(Del_Qty,Del_Site,$A33,Del_Mat,$B33,Del_Date,"&gt;"&amp;AsOfDate))</f>
        <v/>
      </c>
      <c r="O33" s="73" t="str">
        <f aca="false">IF(OR($A33="",N($N33)&lt;=0),"",SUMPRODUCT(MIN((Del_Site=$A33)*(Del_Mat=$B33)*(Del_Date&gt;AsOfDate)*Del_Date+(1-(Del_Site=$A33)*(Del_Mat=$B33)*(Del_Date&gt;AsOfDate))*1000000000)))</f>
        <v/>
      </c>
      <c r="P33" s="74" t="str">
        <f aca="false">IF($A33="","",IF(ISNUMBER($M33),SUMIFS(Del_Qty,Del_Site,$A33,Del_Mat,$B33,Del_Date,"&gt;"&amp;AsOfDate,Del_Date,"&lt;="&amp;$M33),0))</f>
        <v/>
      </c>
      <c r="Q33" s="75" t="str">
        <f aca="false">IF(OR($A33="",$J33&lt;=0),"",IF($P33&gt;0,(MAX(0,$E33)+$N33)/$J33,$L33))</f>
        <v/>
      </c>
      <c r="R33" s="75" t="str">
        <f aca="false">IF($A33="","",IFERROR(INDEX(Mat_Lead,MATCH($B33,Mat_Code,0)),0))</f>
        <v/>
      </c>
      <c r="S33" s="75" t="str">
        <f aca="false">IF($A33="","",IFERROR(INDEX(Mat_Safety,MATCH($B33,Mat_Code,0)),0))</f>
        <v/>
      </c>
      <c r="T33" s="67" t="str">
        <f aca="false">IF($A33="","",$J33*($R33+$S33))</f>
        <v/>
      </c>
      <c r="U33" s="76" t="str">
        <f aca="false">IF($A33="","",IF($E33&lt;=0,"OUT OF STOCK",IF($J33&lt;=0,"NO USAGE",IF($Q33&lt;=$R33,"CRITICAL",IF($Q33&lt;=$R33+$S33,"REORDER","OK")))))</f>
        <v/>
      </c>
      <c r="V33" s="73" t="str">
        <f aca="false">IF(OR($A33="",$U33="NO USAGE"),"",IF(OR($U33="OUT OF STOCK",$Q33&lt;=$R33+$S33),"NOW",WORKDAY.INTL(AsOfDate,INT($Q33-$R33-$S33),WeekendMask,Holidays)))</f>
        <v/>
      </c>
      <c r="W33" s="73" t="str">
        <f aca="false">IF(OR($A33="",$U33="NO USAGE"),"",IF(OR($U33="OUT OF STOCK",$Q33&lt;=$R33),"NOW",WORKDAY.INTL(AsOfDate,ROUNDUP($Q33-$R33,0),WeekendMask,Holidays)))</f>
        <v/>
      </c>
      <c r="X33" s="77" t="str">
        <f aca="false">IF($A33="","",IF(OR($U33="CRITICAL",$U33="REORDER",$U33="OUT OF STOCK"),IF($F33&gt;0,ROUNDUP(MAX(0,$F33-MAX(0,MAX(0,$E33)+$N33-$J33*$R33)),0),"Set capacity"),0))</f>
        <v/>
      </c>
      <c r="Y33" s="16" t="str">
        <f aca="false">IF($A33="","",IF($U33="OUT OF STOCK","Out of stock – production at risk."&amp;IF($N33&gt;0," Next delivery "&amp;TEXT($O33,"ddd dd-mmm")&amp;": expedite it."," Order and expedite now."),IF($U33="CRITICAL",IF(AND($N33&gt;0,$P33&lt;=0),"URGENT – runs out about "&amp;TEXT($M33,"ddd dd-mmm")&amp;", before the next delivery ("&amp;TEXT($O33,"ddd dd-mmm")&amp;"). Expedite it.","URGENT – runs out about "&amp;TEXT($M33,"ddd dd-mmm")&amp;"; a normal order takes "&amp;$R33&amp;" days. Order and expedite now."),IF($U33="REORDER","Order now (about "&amp;TEXT($X33,"#,##0")&amp;" "&amp;$D33&amp;") – becomes critical "&amp;TEXT($W33,"ddd dd-mmm")&amp;".",IF($U33="NO USAGE","No planned or recent usage.","OK – next order by "&amp;TEXT($V33,"ddd dd-mmm")&amp;IF($N33&gt;0,"; "&amp;TEXT($N33,"#,##0")&amp;" "&amp;$D33&amp;" on order (next "&amp;TEXT($O33,"dd-mmm")&amp;")","")&amp;".")))))</f>
        <v/>
      </c>
      <c r="Z33" s="78" t="n">
        <f aca="false">IF(OR($A33="",$V33=""),1000000000,IF($V33="NOW",AsOfDate,$V33))</f>
        <v>1000000000</v>
      </c>
      <c r="AA33" s="78" t="n">
        <f aca="false">IF(OR($A33="",$W33=""),1000000000,IF($W33="NOW",AsOfDate,$W33))</f>
        <v>1000000000</v>
      </c>
      <c r="AB33" s="78" t="n">
        <f aca="false">IF(OR($A33="",$M33=""),1000000000,IF($M33="OUT",AsOfDate,$M33))</f>
        <v>1000000000</v>
      </c>
    </row>
    <row r="34" customFormat="false" ht="15" hidden="false" customHeight="false" outlineLevel="0" collapsed="false">
      <c r="A34" s="16" t="str">
        <f aca="false">IF(ISNUMBER('Current Inventory'!$J34),'Current Inventory'!$A34,"")</f>
        <v/>
      </c>
      <c r="B34" s="64" t="str">
        <f aca="false">IF($A34="","",'Current Inventory'!$B34)</f>
        <v/>
      </c>
      <c r="C34" s="16" t="str">
        <f aca="false">IF($A34="","",'Current Inventory'!$C34)</f>
        <v/>
      </c>
      <c r="D34" s="64" t="str">
        <f aca="false">IF($A34="","",'Current Inventory'!$D34)</f>
        <v/>
      </c>
      <c r="E34" s="67" t="str">
        <f aca="false">IF($A34="","",'Current Inventory'!$J34)</f>
        <v/>
      </c>
      <c r="F34" s="67" t="str">
        <f aca="false">IF($A34="","",N('Current Inventory'!$G34))</f>
        <v/>
      </c>
      <c r="G34" s="69" t="str">
        <f aca="false">IF($A34="","",'Current Inventory'!$K34)</f>
        <v/>
      </c>
      <c r="H34" s="67" t="str">
        <f aca="false">IF($A34="","",IFERROR(SUMIFS(INDEX(PP_Daily,0,MATCH($B34,Mat_Code,0)),PP_Site,$A34),0))</f>
        <v/>
      </c>
      <c r="I34" s="67" t="str">
        <f aca="false">IF($A34="","",IFERROR(SUMIFS(INDEX(Con_Use,0,MATCH($B34,Mat_Code,0)),Con_Site,$A34,Con_Date,"&gt;"&amp;(AsOfDate-7),Con_Date,"&lt;="&amp;AsOfDate)/MAX(1,NETWORKDAYS.INTL(AsOfDate-6,AsOfDate,WeekendMask,Holidays)),0))</f>
        <v/>
      </c>
      <c r="J34" s="67" t="str">
        <f aca="false">IF($A34="","",IF($H34&gt;0,$H34,$I34))</f>
        <v/>
      </c>
      <c r="K34" s="64" t="str">
        <f aca="false">IF($A34="","",IF($H34&gt;0,"Plan",IF($I34&gt;0,"Actual 7-day avg","No usage")))</f>
        <v/>
      </c>
      <c r="L34" s="72" t="str">
        <f aca="false">IF($A34="","",IF($J34&gt;0,MAX(0,$E34)/$J34,""))</f>
        <v/>
      </c>
      <c r="M34" s="73" t="str">
        <f aca="false">IF(OR($A34="",$L34=""),"",IF($E34&lt;=0,"OUT",WORKDAY.INTL(AsOfDate,ROUNDUP($L34,0),WeekendMask,Holidays)))</f>
        <v/>
      </c>
      <c r="N34" s="74" t="str">
        <f aca="false">IF($A34="","",SUMIFS(Del_Qty,Del_Site,$A34,Del_Mat,$B34,Del_Date,"&gt;"&amp;AsOfDate))</f>
        <v/>
      </c>
      <c r="O34" s="73" t="str">
        <f aca="false">IF(OR($A34="",N($N34)&lt;=0),"",SUMPRODUCT(MIN((Del_Site=$A34)*(Del_Mat=$B34)*(Del_Date&gt;AsOfDate)*Del_Date+(1-(Del_Site=$A34)*(Del_Mat=$B34)*(Del_Date&gt;AsOfDate))*1000000000)))</f>
        <v/>
      </c>
      <c r="P34" s="74" t="str">
        <f aca="false">IF($A34="","",IF(ISNUMBER($M34),SUMIFS(Del_Qty,Del_Site,$A34,Del_Mat,$B34,Del_Date,"&gt;"&amp;AsOfDate,Del_Date,"&lt;="&amp;$M34),0))</f>
        <v/>
      </c>
      <c r="Q34" s="75" t="str">
        <f aca="false">IF(OR($A34="",$J34&lt;=0),"",IF($P34&gt;0,(MAX(0,$E34)+$N34)/$J34,$L34))</f>
        <v/>
      </c>
      <c r="R34" s="75" t="str">
        <f aca="false">IF($A34="","",IFERROR(INDEX(Mat_Lead,MATCH($B34,Mat_Code,0)),0))</f>
        <v/>
      </c>
      <c r="S34" s="75" t="str">
        <f aca="false">IF($A34="","",IFERROR(INDEX(Mat_Safety,MATCH($B34,Mat_Code,0)),0))</f>
        <v/>
      </c>
      <c r="T34" s="67" t="str">
        <f aca="false">IF($A34="","",$J34*($R34+$S34))</f>
        <v/>
      </c>
      <c r="U34" s="76" t="str">
        <f aca="false">IF($A34="","",IF($E34&lt;=0,"OUT OF STOCK",IF($J34&lt;=0,"NO USAGE",IF($Q34&lt;=$R34,"CRITICAL",IF($Q34&lt;=$R34+$S34,"REORDER","OK")))))</f>
        <v/>
      </c>
      <c r="V34" s="73" t="str">
        <f aca="false">IF(OR($A34="",$U34="NO USAGE"),"",IF(OR($U34="OUT OF STOCK",$Q34&lt;=$R34+$S34),"NOW",WORKDAY.INTL(AsOfDate,INT($Q34-$R34-$S34),WeekendMask,Holidays)))</f>
        <v/>
      </c>
      <c r="W34" s="73" t="str">
        <f aca="false">IF(OR($A34="",$U34="NO USAGE"),"",IF(OR($U34="OUT OF STOCK",$Q34&lt;=$R34),"NOW",WORKDAY.INTL(AsOfDate,ROUNDUP($Q34-$R34,0),WeekendMask,Holidays)))</f>
        <v/>
      </c>
      <c r="X34" s="77" t="str">
        <f aca="false">IF($A34="","",IF(OR($U34="CRITICAL",$U34="REORDER",$U34="OUT OF STOCK"),IF($F34&gt;0,ROUNDUP(MAX(0,$F34-MAX(0,MAX(0,$E34)+$N34-$J34*$R34)),0),"Set capacity"),0))</f>
        <v/>
      </c>
      <c r="Y34" s="16" t="str">
        <f aca="false">IF($A34="","",IF($U34="OUT OF STOCK","Out of stock – production at risk."&amp;IF($N34&gt;0," Next delivery "&amp;TEXT($O34,"ddd dd-mmm")&amp;": expedite it."," Order and expedite now."),IF($U34="CRITICAL",IF(AND($N34&gt;0,$P34&lt;=0),"URGENT – runs out about "&amp;TEXT($M34,"ddd dd-mmm")&amp;", before the next delivery ("&amp;TEXT($O34,"ddd dd-mmm")&amp;"). Expedite it.","URGENT – runs out about "&amp;TEXT($M34,"ddd dd-mmm")&amp;"; a normal order takes "&amp;$R34&amp;" days. Order and expedite now."),IF($U34="REORDER","Order now (about "&amp;TEXT($X34,"#,##0")&amp;" "&amp;$D34&amp;") – becomes critical "&amp;TEXT($W34,"ddd dd-mmm")&amp;".",IF($U34="NO USAGE","No planned or recent usage.","OK – next order by "&amp;TEXT($V34,"ddd dd-mmm")&amp;IF($N34&gt;0,"; "&amp;TEXT($N34,"#,##0")&amp;" "&amp;$D34&amp;" on order (next "&amp;TEXT($O34,"dd-mmm")&amp;")","")&amp;".")))))</f>
        <v/>
      </c>
      <c r="Z34" s="78" t="n">
        <f aca="false">IF(OR($A34="",$V34=""),1000000000,IF($V34="NOW",AsOfDate,$V34))</f>
        <v>1000000000</v>
      </c>
      <c r="AA34" s="78" t="n">
        <f aca="false">IF(OR($A34="",$W34=""),1000000000,IF($W34="NOW",AsOfDate,$W34))</f>
        <v>1000000000</v>
      </c>
      <c r="AB34" s="78" t="n">
        <f aca="false">IF(OR($A34="",$M34=""),1000000000,IF($M34="OUT",AsOfDate,$M34))</f>
        <v>1000000000</v>
      </c>
    </row>
    <row r="35" customFormat="false" ht="15" hidden="false" customHeight="false" outlineLevel="0" collapsed="false">
      <c r="A35" s="16" t="str">
        <f aca="false">IF(ISNUMBER('Current Inventory'!$J35),'Current Inventory'!$A35,"")</f>
        <v/>
      </c>
      <c r="B35" s="64" t="str">
        <f aca="false">IF($A35="","",'Current Inventory'!$B35)</f>
        <v/>
      </c>
      <c r="C35" s="16" t="str">
        <f aca="false">IF($A35="","",'Current Inventory'!$C35)</f>
        <v/>
      </c>
      <c r="D35" s="64" t="str">
        <f aca="false">IF($A35="","",'Current Inventory'!$D35)</f>
        <v/>
      </c>
      <c r="E35" s="67" t="str">
        <f aca="false">IF($A35="","",'Current Inventory'!$J35)</f>
        <v/>
      </c>
      <c r="F35" s="67" t="str">
        <f aca="false">IF($A35="","",N('Current Inventory'!$G35))</f>
        <v/>
      </c>
      <c r="G35" s="69" t="str">
        <f aca="false">IF($A35="","",'Current Inventory'!$K35)</f>
        <v/>
      </c>
      <c r="H35" s="67" t="str">
        <f aca="false">IF($A35="","",IFERROR(SUMIFS(INDEX(PP_Daily,0,MATCH($B35,Mat_Code,0)),PP_Site,$A35),0))</f>
        <v/>
      </c>
      <c r="I35" s="67" t="str">
        <f aca="false">IF($A35="","",IFERROR(SUMIFS(INDEX(Con_Use,0,MATCH($B35,Mat_Code,0)),Con_Site,$A35,Con_Date,"&gt;"&amp;(AsOfDate-7),Con_Date,"&lt;="&amp;AsOfDate)/MAX(1,NETWORKDAYS.INTL(AsOfDate-6,AsOfDate,WeekendMask,Holidays)),0))</f>
        <v/>
      </c>
      <c r="J35" s="67" t="str">
        <f aca="false">IF($A35="","",IF($H35&gt;0,$H35,$I35))</f>
        <v/>
      </c>
      <c r="K35" s="64" t="str">
        <f aca="false">IF($A35="","",IF($H35&gt;0,"Plan",IF($I35&gt;0,"Actual 7-day avg","No usage")))</f>
        <v/>
      </c>
      <c r="L35" s="72" t="str">
        <f aca="false">IF($A35="","",IF($J35&gt;0,MAX(0,$E35)/$J35,""))</f>
        <v/>
      </c>
      <c r="M35" s="73" t="str">
        <f aca="false">IF(OR($A35="",$L35=""),"",IF($E35&lt;=0,"OUT",WORKDAY.INTL(AsOfDate,ROUNDUP($L35,0),WeekendMask,Holidays)))</f>
        <v/>
      </c>
      <c r="N35" s="74" t="str">
        <f aca="false">IF($A35="","",SUMIFS(Del_Qty,Del_Site,$A35,Del_Mat,$B35,Del_Date,"&gt;"&amp;AsOfDate))</f>
        <v/>
      </c>
      <c r="O35" s="73" t="str">
        <f aca="false">IF(OR($A35="",N($N35)&lt;=0),"",SUMPRODUCT(MIN((Del_Site=$A35)*(Del_Mat=$B35)*(Del_Date&gt;AsOfDate)*Del_Date+(1-(Del_Site=$A35)*(Del_Mat=$B35)*(Del_Date&gt;AsOfDate))*1000000000)))</f>
        <v/>
      </c>
      <c r="P35" s="74" t="str">
        <f aca="false">IF($A35="","",IF(ISNUMBER($M35),SUMIFS(Del_Qty,Del_Site,$A35,Del_Mat,$B35,Del_Date,"&gt;"&amp;AsOfDate,Del_Date,"&lt;="&amp;$M35),0))</f>
        <v/>
      </c>
      <c r="Q35" s="75" t="str">
        <f aca="false">IF(OR($A35="",$J35&lt;=0),"",IF($P35&gt;0,(MAX(0,$E35)+$N35)/$J35,$L35))</f>
        <v/>
      </c>
      <c r="R35" s="75" t="str">
        <f aca="false">IF($A35="","",IFERROR(INDEX(Mat_Lead,MATCH($B35,Mat_Code,0)),0))</f>
        <v/>
      </c>
      <c r="S35" s="75" t="str">
        <f aca="false">IF($A35="","",IFERROR(INDEX(Mat_Safety,MATCH($B35,Mat_Code,0)),0))</f>
        <v/>
      </c>
      <c r="T35" s="67" t="str">
        <f aca="false">IF($A35="","",$J35*($R35+$S35))</f>
        <v/>
      </c>
      <c r="U35" s="76" t="str">
        <f aca="false">IF($A35="","",IF($E35&lt;=0,"OUT OF STOCK",IF($J35&lt;=0,"NO USAGE",IF($Q35&lt;=$R35,"CRITICAL",IF($Q35&lt;=$R35+$S35,"REORDER","OK")))))</f>
        <v/>
      </c>
      <c r="V35" s="73" t="str">
        <f aca="false">IF(OR($A35="",$U35="NO USAGE"),"",IF(OR($U35="OUT OF STOCK",$Q35&lt;=$R35+$S35),"NOW",WORKDAY.INTL(AsOfDate,INT($Q35-$R35-$S35),WeekendMask,Holidays)))</f>
        <v/>
      </c>
      <c r="W35" s="73" t="str">
        <f aca="false">IF(OR($A35="",$U35="NO USAGE"),"",IF(OR($U35="OUT OF STOCK",$Q35&lt;=$R35),"NOW",WORKDAY.INTL(AsOfDate,ROUNDUP($Q35-$R35,0),WeekendMask,Holidays)))</f>
        <v/>
      </c>
      <c r="X35" s="77" t="str">
        <f aca="false">IF($A35="","",IF(OR($U35="CRITICAL",$U35="REORDER",$U35="OUT OF STOCK"),IF($F35&gt;0,ROUNDUP(MAX(0,$F35-MAX(0,MAX(0,$E35)+$N35-$J35*$R35)),0),"Set capacity"),0))</f>
        <v/>
      </c>
      <c r="Y35" s="16" t="str">
        <f aca="false">IF($A35="","",IF($U35="OUT OF STOCK","Out of stock – production at risk."&amp;IF($N35&gt;0," Next delivery "&amp;TEXT($O35,"ddd dd-mmm")&amp;": expedite it."," Order and expedite now."),IF($U35="CRITICAL",IF(AND($N35&gt;0,$P35&lt;=0),"URGENT – runs out about "&amp;TEXT($M35,"ddd dd-mmm")&amp;", before the next delivery ("&amp;TEXT($O35,"ddd dd-mmm")&amp;"). Expedite it.","URGENT – runs out about "&amp;TEXT($M35,"ddd dd-mmm")&amp;"; a normal order takes "&amp;$R35&amp;" days. Order and expedite now."),IF($U35="REORDER","Order now (about "&amp;TEXT($X35,"#,##0")&amp;" "&amp;$D35&amp;") – becomes critical "&amp;TEXT($W35,"ddd dd-mmm")&amp;".",IF($U35="NO USAGE","No planned or recent usage.","OK – next order by "&amp;TEXT($V35,"ddd dd-mmm")&amp;IF($N35&gt;0,"; "&amp;TEXT($N35,"#,##0")&amp;" "&amp;$D35&amp;" on order (next "&amp;TEXT($O35,"dd-mmm")&amp;")","")&amp;".")))))</f>
        <v/>
      </c>
      <c r="Z35" s="78" t="n">
        <f aca="false">IF(OR($A35="",$V35=""),1000000000,IF($V35="NOW",AsOfDate,$V35))</f>
        <v>1000000000</v>
      </c>
      <c r="AA35" s="78" t="n">
        <f aca="false">IF(OR($A35="",$W35=""),1000000000,IF($W35="NOW",AsOfDate,$W35))</f>
        <v>1000000000</v>
      </c>
      <c r="AB35" s="78" t="n">
        <f aca="false">IF(OR($A35="",$M35=""),1000000000,IF($M35="OUT",AsOfDate,$M35))</f>
        <v>1000000000</v>
      </c>
    </row>
    <row r="36" customFormat="false" ht="15" hidden="false" customHeight="false" outlineLevel="0" collapsed="false">
      <c r="A36" s="16" t="str">
        <f aca="false">IF(ISNUMBER('Current Inventory'!$J36),'Current Inventory'!$A36,"")</f>
        <v/>
      </c>
      <c r="B36" s="64" t="str">
        <f aca="false">IF($A36="","",'Current Inventory'!$B36)</f>
        <v/>
      </c>
      <c r="C36" s="16" t="str">
        <f aca="false">IF($A36="","",'Current Inventory'!$C36)</f>
        <v/>
      </c>
      <c r="D36" s="64" t="str">
        <f aca="false">IF($A36="","",'Current Inventory'!$D36)</f>
        <v/>
      </c>
      <c r="E36" s="67" t="str">
        <f aca="false">IF($A36="","",'Current Inventory'!$J36)</f>
        <v/>
      </c>
      <c r="F36" s="67" t="str">
        <f aca="false">IF($A36="","",N('Current Inventory'!$G36))</f>
        <v/>
      </c>
      <c r="G36" s="69" t="str">
        <f aca="false">IF($A36="","",'Current Inventory'!$K36)</f>
        <v/>
      </c>
      <c r="H36" s="67" t="str">
        <f aca="false">IF($A36="","",IFERROR(SUMIFS(INDEX(PP_Daily,0,MATCH($B36,Mat_Code,0)),PP_Site,$A36),0))</f>
        <v/>
      </c>
      <c r="I36" s="67" t="str">
        <f aca="false">IF($A36="","",IFERROR(SUMIFS(INDEX(Con_Use,0,MATCH($B36,Mat_Code,0)),Con_Site,$A36,Con_Date,"&gt;"&amp;(AsOfDate-7),Con_Date,"&lt;="&amp;AsOfDate)/MAX(1,NETWORKDAYS.INTL(AsOfDate-6,AsOfDate,WeekendMask,Holidays)),0))</f>
        <v/>
      </c>
      <c r="J36" s="67" t="str">
        <f aca="false">IF($A36="","",IF($H36&gt;0,$H36,$I36))</f>
        <v/>
      </c>
      <c r="K36" s="64" t="str">
        <f aca="false">IF($A36="","",IF($H36&gt;0,"Plan",IF($I36&gt;0,"Actual 7-day avg","No usage")))</f>
        <v/>
      </c>
      <c r="L36" s="72" t="str">
        <f aca="false">IF($A36="","",IF($J36&gt;0,MAX(0,$E36)/$J36,""))</f>
        <v/>
      </c>
      <c r="M36" s="73" t="str">
        <f aca="false">IF(OR($A36="",$L36=""),"",IF($E36&lt;=0,"OUT",WORKDAY.INTL(AsOfDate,ROUNDUP($L36,0),WeekendMask,Holidays)))</f>
        <v/>
      </c>
      <c r="N36" s="74" t="str">
        <f aca="false">IF($A36="","",SUMIFS(Del_Qty,Del_Site,$A36,Del_Mat,$B36,Del_Date,"&gt;"&amp;AsOfDate))</f>
        <v/>
      </c>
      <c r="O36" s="73" t="str">
        <f aca="false">IF(OR($A36="",N($N36)&lt;=0),"",SUMPRODUCT(MIN((Del_Site=$A36)*(Del_Mat=$B36)*(Del_Date&gt;AsOfDate)*Del_Date+(1-(Del_Site=$A36)*(Del_Mat=$B36)*(Del_Date&gt;AsOfDate))*1000000000)))</f>
        <v/>
      </c>
      <c r="P36" s="74" t="str">
        <f aca="false">IF($A36="","",IF(ISNUMBER($M36),SUMIFS(Del_Qty,Del_Site,$A36,Del_Mat,$B36,Del_Date,"&gt;"&amp;AsOfDate,Del_Date,"&lt;="&amp;$M36),0))</f>
        <v/>
      </c>
      <c r="Q36" s="75" t="str">
        <f aca="false">IF(OR($A36="",$J36&lt;=0),"",IF($P36&gt;0,(MAX(0,$E36)+$N36)/$J36,$L36))</f>
        <v/>
      </c>
      <c r="R36" s="75" t="str">
        <f aca="false">IF($A36="","",IFERROR(INDEX(Mat_Lead,MATCH($B36,Mat_Code,0)),0))</f>
        <v/>
      </c>
      <c r="S36" s="75" t="str">
        <f aca="false">IF($A36="","",IFERROR(INDEX(Mat_Safety,MATCH($B36,Mat_Code,0)),0))</f>
        <v/>
      </c>
      <c r="T36" s="67" t="str">
        <f aca="false">IF($A36="","",$J36*($R36+$S36))</f>
        <v/>
      </c>
      <c r="U36" s="76" t="str">
        <f aca="false">IF($A36="","",IF($E36&lt;=0,"OUT OF STOCK",IF($J36&lt;=0,"NO USAGE",IF($Q36&lt;=$R36,"CRITICAL",IF($Q36&lt;=$R36+$S36,"REORDER","OK")))))</f>
        <v/>
      </c>
      <c r="V36" s="73" t="str">
        <f aca="false">IF(OR($A36="",$U36="NO USAGE"),"",IF(OR($U36="OUT OF STOCK",$Q36&lt;=$R36+$S36),"NOW",WORKDAY.INTL(AsOfDate,INT($Q36-$R36-$S36),WeekendMask,Holidays)))</f>
        <v/>
      </c>
      <c r="W36" s="73" t="str">
        <f aca="false">IF(OR($A36="",$U36="NO USAGE"),"",IF(OR($U36="OUT OF STOCK",$Q36&lt;=$R36),"NOW",WORKDAY.INTL(AsOfDate,ROUNDUP($Q36-$R36,0),WeekendMask,Holidays)))</f>
        <v/>
      </c>
      <c r="X36" s="77" t="str">
        <f aca="false">IF($A36="","",IF(OR($U36="CRITICAL",$U36="REORDER",$U36="OUT OF STOCK"),IF($F36&gt;0,ROUNDUP(MAX(0,$F36-MAX(0,MAX(0,$E36)+$N36-$J36*$R36)),0),"Set capacity"),0))</f>
        <v/>
      </c>
      <c r="Y36" s="16" t="str">
        <f aca="false">IF($A36="","",IF($U36="OUT OF STOCK","Out of stock – production at risk."&amp;IF($N36&gt;0," Next delivery "&amp;TEXT($O36,"ddd dd-mmm")&amp;": expedite it."," Order and expedite now."),IF($U36="CRITICAL",IF(AND($N36&gt;0,$P36&lt;=0),"URGENT – runs out about "&amp;TEXT($M36,"ddd dd-mmm")&amp;", before the next delivery ("&amp;TEXT($O36,"ddd dd-mmm")&amp;"). Expedite it.","URGENT – runs out about "&amp;TEXT($M36,"ddd dd-mmm")&amp;"; a normal order takes "&amp;$R36&amp;" days. Order and expedite now."),IF($U36="REORDER","Order now (about "&amp;TEXT($X36,"#,##0")&amp;" "&amp;$D36&amp;") – becomes critical "&amp;TEXT($W36,"ddd dd-mmm")&amp;".",IF($U36="NO USAGE","No planned or recent usage.","OK – next order by "&amp;TEXT($V36,"ddd dd-mmm")&amp;IF($N36&gt;0,"; "&amp;TEXT($N36,"#,##0")&amp;" "&amp;$D36&amp;" on order (next "&amp;TEXT($O36,"dd-mmm")&amp;")","")&amp;".")))))</f>
        <v/>
      </c>
      <c r="Z36" s="78" t="n">
        <f aca="false">IF(OR($A36="",$V36=""),1000000000,IF($V36="NOW",AsOfDate,$V36))</f>
        <v>1000000000</v>
      </c>
      <c r="AA36" s="78" t="n">
        <f aca="false">IF(OR($A36="",$W36=""),1000000000,IF($W36="NOW",AsOfDate,$W36))</f>
        <v>1000000000</v>
      </c>
      <c r="AB36" s="78" t="n">
        <f aca="false">IF(OR($A36="",$M36=""),1000000000,IF($M36="OUT",AsOfDate,$M36))</f>
        <v>1000000000</v>
      </c>
    </row>
    <row r="37" customFormat="false" ht="15" hidden="false" customHeight="false" outlineLevel="0" collapsed="false">
      <c r="A37" s="16" t="str">
        <f aca="false">IF(ISNUMBER('Current Inventory'!$J37),'Current Inventory'!$A37,"")</f>
        <v/>
      </c>
      <c r="B37" s="64" t="str">
        <f aca="false">IF($A37="","",'Current Inventory'!$B37)</f>
        <v/>
      </c>
      <c r="C37" s="16" t="str">
        <f aca="false">IF($A37="","",'Current Inventory'!$C37)</f>
        <v/>
      </c>
      <c r="D37" s="64" t="str">
        <f aca="false">IF($A37="","",'Current Inventory'!$D37)</f>
        <v/>
      </c>
      <c r="E37" s="67" t="str">
        <f aca="false">IF($A37="","",'Current Inventory'!$J37)</f>
        <v/>
      </c>
      <c r="F37" s="67" t="str">
        <f aca="false">IF($A37="","",N('Current Inventory'!$G37))</f>
        <v/>
      </c>
      <c r="G37" s="69" t="str">
        <f aca="false">IF($A37="","",'Current Inventory'!$K37)</f>
        <v/>
      </c>
      <c r="H37" s="67" t="str">
        <f aca="false">IF($A37="","",IFERROR(SUMIFS(INDEX(PP_Daily,0,MATCH($B37,Mat_Code,0)),PP_Site,$A37),0))</f>
        <v/>
      </c>
      <c r="I37" s="67" t="str">
        <f aca="false">IF($A37="","",IFERROR(SUMIFS(INDEX(Con_Use,0,MATCH($B37,Mat_Code,0)),Con_Site,$A37,Con_Date,"&gt;"&amp;(AsOfDate-7),Con_Date,"&lt;="&amp;AsOfDate)/MAX(1,NETWORKDAYS.INTL(AsOfDate-6,AsOfDate,WeekendMask,Holidays)),0))</f>
        <v/>
      </c>
      <c r="J37" s="67" t="str">
        <f aca="false">IF($A37="","",IF($H37&gt;0,$H37,$I37))</f>
        <v/>
      </c>
      <c r="K37" s="64" t="str">
        <f aca="false">IF($A37="","",IF($H37&gt;0,"Plan",IF($I37&gt;0,"Actual 7-day avg","No usage")))</f>
        <v/>
      </c>
      <c r="L37" s="72" t="str">
        <f aca="false">IF($A37="","",IF($J37&gt;0,MAX(0,$E37)/$J37,""))</f>
        <v/>
      </c>
      <c r="M37" s="73" t="str">
        <f aca="false">IF(OR($A37="",$L37=""),"",IF($E37&lt;=0,"OUT",WORKDAY.INTL(AsOfDate,ROUNDUP($L37,0),WeekendMask,Holidays)))</f>
        <v/>
      </c>
      <c r="N37" s="74" t="str">
        <f aca="false">IF($A37="","",SUMIFS(Del_Qty,Del_Site,$A37,Del_Mat,$B37,Del_Date,"&gt;"&amp;AsOfDate))</f>
        <v/>
      </c>
      <c r="O37" s="73" t="str">
        <f aca="false">IF(OR($A37="",N($N37)&lt;=0),"",SUMPRODUCT(MIN((Del_Site=$A37)*(Del_Mat=$B37)*(Del_Date&gt;AsOfDate)*Del_Date+(1-(Del_Site=$A37)*(Del_Mat=$B37)*(Del_Date&gt;AsOfDate))*1000000000)))</f>
        <v/>
      </c>
      <c r="P37" s="74" t="str">
        <f aca="false">IF($A37="","",IF(ISNUMBER($M37),SUMIFS(Del_Qty,Del_Site,$A37,Del_Mat,$B37,Del_Date,"&gt;"&amp;AsOfDate,Del_Date,"&lt;="&amp;$M37),0))</f>
        <v/>
      </c>
      <c r="Q37" s="75" t="str">
        <f aca="false">IF(OR($A37="",$J37&lt;=0),"",IF($P37&gt;0,(MAX(0,$E37)+$N37)/$J37,$L37))</f>
        <v/>
      </c>
      <c r="R37" s="75" t="str">
        <f aca="false">IF($A37="","",IFERROR(INDEX(Mat_Lead,MATCH($B37,Mat_Code,0)),0))</f>
        <v/>
      </c>
      <c r="S37" s="75" t="str">
        <f aca="false">IF($A37="","",IFERROR(INDEX(Mat_Safety,MATCH($B37,Mat_Code,0)),0))</f>
        <v/>
      </c>
      <c r="T37" s="67" t="str">
        <f aca="false">IF($A37="","",$J37*($R37+$S37))</f>
        <v/>
      </c>
      <c r="U37" s="76" t="str">
        <f aca="false">IF($A37="","",IF($E37&lt;=0,"OUT OF STOCK",IF($J37&lt;=0,"NO USAGE",IF($Q37&lt;=$R37,"CRITICAL",IF($Q37&lt;=$R37+$S37,"REORDER","OK")))))</f>
        <v/>
      </c>
      <c r="V37" s="73" t="str">
        <f aca="false">IF(OR($A37="",$U37="NO USAGE"),"",IF(OR($U37="OUT OF STOCK",$Q37&lt;=$R37+$S37),"NOW",WORKDAY.INTL(AsOfDate,INT($Q37-$R37-$S37),WeekendMask,Holidays)))</f>
        <v/>
      </c>
      <c r="W37" s="73" t="str">
        <f aca="false">IF(OR($A37="",$U37="NO USAGE"),"",IF(OR($U37="OUT OF STOCK",$Q37&lt;=$R37),"NOW",WORKDAY.INTL(AsOfDate,ROUNDUP($Q37-$R37,0),WeekendMask,Holidays)))</f>
        <v/>
      </c>
      <c r="X37" s="77" t="str">
        <f aca="false">IF($A37="","",IF(OR($U37="CRITICAL",$U37="REORDER",$U37="OUT OF STOCK"),IF($F37&gt;0,ROUNDUP(MAX(0,$F37-MAX(0,MAX(0,$E37)+$N37-$J37*$R37)),0),"Set capacity"),0))</f>
        <v/>
      </c>
      <c r="Y37" s="16" t="str">
        <f aca="false">IF($A37="","",IF($U37="OUT OF STOCK","Out of stock – production at risk."&amp;IF($N37&gt;0," Next delivery "&amp;TEXT($O37,"ddd dd-mmm")&amp;": expedite it."," Order and expedite now."),IF($U37="CRITICAL",IF(AND($N37&gt;0,$P37&lt;=0),"URGENT – runs out about "&amp;TEXT($M37,"ddd dd-mmm")&amp;", before the next delivery ("&amp;TEXT($O37,"ddd dd-mmm")&amp;"). Expedite it.","URGENT – runs out about "&amp;TEXT($M37,"ddd dd-mmm")&amp;"; a normal order takes "&amp;$R37&amp;" days. Order and expedite now."),IF($U37="REORDER","Order now (about "&amp;TEXT($X37,"#,##0")&amp;" "&amp;$D37&amp;") – becomes critical "&amp;TEXT($W37,"ddd dd-mmm")&amp;".",IF($U37="NO USAGE","No planned or recent usage.","OK – next order by "&amp;TEXT($V37,"ddd dd-mmm")&amp;IF($N37&gt;0,"; "&amp;TEXT($N37,"#,##0")&amp;" "&amp;$D37&amp;" on order (next "&amp;TEXT($O37,"dd-mmm")&amp;")","")&amp;".")))))</f>
        <v/>
      </c>
      <c r="Z37" s="78" t="n">
        <f aca="false">IF(OR($A37="",$V37=""),1000000000,IF($V37="NOW",AsOfDate,$V37))</f>
        <v>1000000000</v>
      </c>
      <c r="AA37" s="78" t="n">
        <f aca="false">IF(OR($A37="",$W37=""),1000000000,IF($W37="NOW",AsOfDate,$W37))</f>
        <v>1000000000</v>
      </c>
      <c r="AB37" s="78" t="n">
        <f aca="false">IF(OR($A37="",$M37=""),1000000000,IF($M37="OUT",AsOfDate,$M37))</f>
        <v>1000000000</v>
      </c>
    </row>
    <row r="38" customFormat="false" ht="15" hidden="false" customHeight="false" outlineLevel="0" collapsed="false">
      <c r="A38" s="16" t="str">
        <f aca="false">IF(ISNUMBER('Current Inventory'!$J38),'Current Inventory'!$A38,"")</f>
        <v/>
      </c>
      <c r="B38" s="64" t="str">
        <f aca="false">IF($A38="","",'Current Inventory'!$B38)</f>
        <v/>
      </c>
      <c r="C38" s="16" t="str">
        <f aca="false">IF($A38="","",'Current Inventory'!$C38)</f>
        <v/>
      </c>
      <c r="D38" s="64" t="str">
        <f aca="false">IF($A38="","",'Current Inventory'!$D38)</f>
        <v/>
      </c>
      <c r="E38" s="67" t="str">
        <f aca="false">IF($A38="","",'Current Inventory'!$J38)</f>
        <v/>
      </c>
      <c r="F38" s="67" t="str">
        <f aca="false">IF($A38="","",N('Current Inventory'!$G38))</f>
        <v/>
      </c>
      <c r="G38" s="69" t="str">
        <f aca="false">IF($A38="","",'Current Inventory'!$K38)</f>
        <v/>
      </c>
      <c r="H38" s="67" t="str">
        <f aca="false">IF($A38="","",IFERROR(SUMIFS(INDEX(PP_Daily,0,MATCH($B38,Mat_Code,0)),PP_Site,$A38),0))</f>
        <v/>
      </c>
      <c r="I38" s="67" t="str">
        <f aca="false">IF($A38="","",IFERROR(SUMIFS(INDEX(Con_Use,0,MATCH($B38,Mat_Code,0)),Con_Site,$A38,Con_Date,"&gt;"&amp;(AsOfDate-7),Con_Date,"&lt;="&amp;AsOfDate)/MAX(1,NETWORKDAYS.INTL(AsOfDate-6,AsOfDate,WeekendMask,Holidays)),0))</f>
        <v/>
      </c>
      <c r="J38" s="67" t="str">
        <f aca="false">IF($A38="","",IF($H38&gt;0,$H38,$I38))</f>
        <v/>
      </c>
      <c r="K38" s="64" t="str">
        <f aca="false">IF($A38="","",IF($H38&gt;0,"Plan",IF($I38&gt;0,"Actual 7-day avg","No usage")))</f>
        <v/>
      </c>
      <c r="L38" s="72" t="str">
        <f aca="false">IF($A38="","",IF($J38&gt;0,MAX(0,$E38)/$J38,""))</f>
        <v/>
      </c>
      <c r="M38" s="73" t="str">
        <f aca="false">IF(OR($A38="",$L38=""),"",IF($E38&lt;=0,"OUT",WORKDAY.INTL(AsOfDate,ROUNDUP($L38,0),WeekendMask,Holidays)))</f>
        <v/>
      </c>
      <c r="N38" s="74" t="str">
        <f aca="false">IF($A38="","",SUMIFS(Del_Qty,Del_Site,$A38,Del_Mat,$B38,Del_Date,"&gt;"&amp;AsOfDate))</f>
        <v/>
      </c>
      <c r="O38" s="73" t="str">
        <f aca="false">IF(OR($A38="",N($N38)&lt;=0),"",SUMPRODUCT(MIN((Del_Site=$A38)*(Del_Mat=$B38)*(Del_Date&gt;AsOfDate)*Del_Date+(1-(Del_Site=$A38)*(Del_Mat=$B38)*(Del_Date&gt;AsOfDate))*1000000000)))</f>
        <v/>
      </c>
      <c r="P38" s="74" t="str">
        <f aca="false">IF($A38="","",IF(ISNUMBER($M38),SUMIFS(Del_Qty,Del_Site,$A38,Del_Mat,$B38,Del_Date,"&gt;"&amp;AsOfDate,Del_Date,"&lt;="&amp;$M38),0))</f>
        <v/>
      </c>
      <c r="Q38" s="75" t="str">
        <f aca="false">IF(OR($A38="",$J38&lt;=0),"",IF($P38&gt;0,(MAX(0,$E38)+$N38)/$J38,$L38))</f>
        <v/>
      </c>
      <c r="R38" s="75" t="str">
        <f aca="false">IF($A38="","",IFERROR(INDEX(Mat_Lead,MATCH($B38,Mat_Code,0)),0))</f>
        <v/>
      </c>
      <c r="S38" s="75" t="str">
        <f aca="false">IF($A38="","",IFERROR(INDEX(Mat_Safety,MATCH($B38,Mat_Code,0)),0))</f>
        <v/>
      </c>
      <c r="T38" s="67" t="str">
        <f aca="false">IF($A38="","",$J38*($R38+$S38))</f>
        <v/>
      </c>
      <c r="U38" s="76" t="str">
        <f aca="false">IF($A38="","",IF($E38&lt;=0,"OUT OF STOCK",IF($J38&lt;=0,"NO USAGE",IF($Q38&lt;=$R38,"CRITICAL",IF($Q38&lt;=$R38+$S38,"REORDER","OK")))))</f>
        <v/>
      </c>
      <c r="V38" s="73" t="str">
        <f aca="false">IF(OR($A38="",$U38="NO USAGE"),"",IF(OR($U38="OUT OF STOCK",$Q38&lt;=$R38+$S38),"NOW",WORKDAY.INTL(AsOfDate,INT($Q38-$R38-$S38),WeekendMask,Holidays)))</f>
        <v/>
      </c>
      <c r="W38" s="73" t="str">
        <f aca="false">IF(OR($A38="",$U38="NO USAGE"),"",IF(OR($U38="OUT OF STOCK",$Q38&lt;=$R38),"NOW",WORKDAY.INTL(AsOfDate,ROUNDUP($Q38-$R38,0),WeekendMask,Holidays)))</f>
        <v/>
      </c>
      <c r="X38" s="77" t="str">
        <f aca="false">IF($A38="","",IF(OR($U38="CRITICAL",$U38="REORDER",$U38="OUT OF STOCK"),IF($F38&gt;0,ROUNDUP(MAX(0,$F38-MAX(0,MAX(0,$E38)+$N38-$J38*$R38)),0),"Set capacity"),0))</f>
        <v/>
      </c>
      <c r="Y38" s="16" t="str">
        <f aca="false">IF($A38="","",IF($U38="OUT OF STOCK","Out of stock – production at risk."&amp;IF($N38&gt;0," Next delivery "&amp;TEXT($O38,"ddd dd-mmm")&amp;": expedite it."," Order and expedite now."),IF($U38="CRITICAL",IF(AND($N38&gt;0,$P38&lt;=0),"URGENT – runs out about "&amp;TEXT($M38,"ddd dd-mmm")&amp;", before the next delivery ("&amp;TEXT($O38,"ddd dd-mmm")&amp;"). Expedite it.","URGENT – runs out about "&amp;TEXT($M38,"ddd dd-mmm")&amp;"; a normal order takes "&amp;$R38&amp;" days. Order and expedite now."),IF($U38="REORDER","Order now (about "&amp;TEXT($X38,"#,##0")&amp;" "&amp;$D38&amp;") – becomes critical "&amp;TEXT($W38,"ddd dd-mmm")&amp;".",IF($U38="NO USAGE","No planned or recent usage.","OK – next order by "&amp;TEXT($V38,"ddd dd-mmm")&amp;IF($N38&gt;0,"; "&amp;TEXT($N38,"#,##0")&amp;" "&amp;$D38&amp;" on order (next "&amp;TEXT($O38,"dd-mmm")&amp;")","")&amp;".")))))</f>
        <v/>
      </c>
      <c r="Z38" s="78" t="n">
        <f aca="false">IF(OR($A38="",$V38=""),1000000000,IF($V38="NOW",AsOfDate,$V38))</f>
        <v>1000000000</v>
      </c>
      <c r="AA38" s="78" t="n">
        <f aca="false">IF(OR($A38="",$W38=""),1000000000,IF($W38="NOW",AsOfDate,$W38))</f>
        <v>1000000000</v>
      </c>
      <c r="AB38" s="78" t="n">
        <f aca="false">IF(OR($A38="",$M38=""),1000000000,IF($M38="OUT",AsOfDate,$M38))</f>
        <v>1000000000</v>
      </c>
    </row>
    <row r="39" customFormat="false" ht="15" hidden="false" customHeight="false" outlineLevel="0" collapsed="false">
      <c r="A39" s="16" t="str">
        <f aca="false">IF(ISNUMBER('Current Inventory'!$J39),'Current Inventory'!$A39,"")</f>
        <v/>
      </c>
      <c r="B39" s="64" t="str">
        <f aca="false">IF($A39="","",'Current Inventory'!$B39)</f>
        <v/>
      </c>
      <c r="C39" s="16" t="str">
        <f aca="false">IF($A39="","",'Current Inventory'!$C39)</f>
        <v/>
      </c>
      <c r="D39" s="64" t="str">
        <f aca="false">IF($A39="","",'Current Inventory'!$D39)</f>
        <v/>
      </c>
      <c r="E39" s="67" t="str">
        <f aca="false">IF($A39="","",'Current Inventory'!$J39)</f>
        <v/>
      </c>
      <c r="F39" s="67" t="str">
        <f aca="false">IF($A39="","",N('Current Inventory'!$G39))</f>
        <v/>
      </c>
      <c r="G39" s="69" t="str">
        <f aca="false">IF($A39="","",'Current Inventory'!$K39)</f>
        <v/>
      </c>
      <c r="H39" s="67" t="str">
        <f aca="false">IF($A39="","",IFERROR(SUMIFS(INDEX(PP_Daily,0,MATCH($B39,Mat_Code,0)),PP_Site,$A39),0))</f>
        <v/>
      </c>
      <c r="I39" s="67" t="str">
        <f aca="false">IF($A39="","",IFERROR(SUMIFS(INDEX(Con_Use,0,MATCH($B39,Mat_Code,0)),Con_Site,$A39,Con_Date,"&gt;"&amp;(AsOfDate-7),Con_Date,"&lt;="&amp;AsOfDate)/MAX(1,NETWORKDAYS.INTL(AsOfDate-6,AsOfDate,WeekendMask,Holidays)),0))</f>
        <v/>
      </c>
      <c r="J39" s="67" t="str">
        <f aca="false">IF($A39="","",IF($H39&gt;0,$H39,$I39))</f>
        <v/>
      </c>
      <c r="K39" s="64" t="str">
        <f aca="false">IF($A39="","",IF($H39&gt;0,"Plan",IF($I39&gt;0,"Actual 7-day avg","No usage")))</f>
        <v/>
      </c>
      <c r="L39" s="72" t="str">
        <f aca="false">IF($A39="","",IF($J39&gt;0,MAX(0,$E39)/$J39,""))</f>
        <v/>
      </c>
      <c r="M39" s="73" t="str">
        <f aca="false">IF(OR($A39="",$L39=""),"",IF($E39&lt;=0,"OUT",WORKDAY.INTL(AsOfDate,ROUNDUP($L39,0),WeekendMask,Holidays)))</f>
        <v/>
      </c>
      <c r="N39" s="74" t="str">
        <f aca="false">IF($A39="","",SUMIFS(Del_Qty,Del_Site,$A39,Del_Mat,$B39,Del_Date,"&gt;"&amp;AsOfDate))</f>
        <v/>
      </c>
      <c r="O39" s="73" t="str">
        <f aca="false">IF(OR($A39="",N($N39)&lt;=0),"",SUMPRODUCT(MIN((Del_Site=$A39)*(Del_Mat=$B39)*(Del_Date&gt;AsOfDate)*Del_Date+(1-(Del_Site=$A39)*(Del_Mat=$B39)*(Del_Date&gt;AsOfDate))*1000000000)))</f>
        <v/>
      </c>
      <c r="P39" s="74" t="str">
        <f aca="false">IF($A39="","",IF(ISNUMBER($M39),SUMIFS(Del_Qty,Del_Site,$A39,Del_Mat,$B39,Del_Date,"&gt;"&amp;AsOfDate,Del_Date,"&lt;="&amp;$M39),0))</f>
        <v/>
      </c>
      <c r="Q39" s="75" t="str">
        <f aca="false">IF(OR($A39="",$J39&lt;=0),"",IF($P39&gt;0,(MAX(0,$E39)+$N39)/$J39,$L39))</f>
        <v/>
      </c>
      <c r="R39" s="75" t="str">
        <f aca="false">IF($A39="","",IFERROR(INDEX(Mat_Lead,MATCH($B39,Mat_Code,0)),0))</f>
        <v/>
      </c>
      <c r="S39" s="75" t="str">
        <f aca="false">IF($A39="","",IFERROR(INDEX(Mat_Safety,MATCH($B39,Mat_Code,0)),0))</f>
        <v/>
      </c>
      <c r="T39" s="67" t="str">
        <f aca="false">IF($A39="","",$J39*($R39+$S39))</f>
        <v/>
      </c>
      <c r="U39" s="76" t="str">
        <f aca="false">IF($A39="","",IF($E39&lt;=0,"OUT OF STOCK",IF($J39&lt;=0,"NO USAGE",IF($Q39&lt;=$R39,"CRITICAL",IF($Q39&lt;=$R39+$S39,"REORDER","OK")))))</f>
        <v/>
      </c>
      <c r="V39" s="73" t="str">
        <f aca="false">IF(OR($A39="",$U39="NO USAGE"),"",IF(OR($U39="OUT OF STOCK",$Q39&lt;=$R39+$S39),"NOW",WORKDAY.INTL(AsOfDate,INT($Q39-$R39-$S39),WeekendMask,Holidays)))</f>
        <v/>
      </c>
      <c r="W39" s="73" t="str">
        <f aca="false">IF(OR($A39="",$U39="NO USAGE"),"",IF(OR($U39="OUT OF STOCK",$Q39&lt;=$R39),"NOW",WORKDAY.INTL(AsOfDate,ROUNDUP($Q39-$R39,0),WeekendMask,Holidays)))</f>
        <v/>
      </c>
      <c r="X39" s="77" t="str">
        <f aca="false">IF($A39="","",IF(OR($U39="CRITICAL",$U39="REORDER",$U39="OUT OF STOCK"),IF($F39&gt;0,ROUNDUP(MAX(0,$F39-MAX(0,MAX(0,$E39)+$N39-$J39*$R39)),0),"Set capacity"),0))</f>
        <v/>
      </c>
      <c r="Y39" s="16" t="str">
        <f aca="false">IF($A39="","",IF($U39="OUT OF STOCK","Out of stock – production at risk."&amp;IF($N39&gt;0," Next delivery "&amp;TEXT($O39,"ddd dd-mmm")&amp;": expedite it."," Order and expedite now."),IF($U39="CRITICAL",IF(AND($N39&gt;0,$P39&lt;=0),"URGENT – runs out about "&amp;TEXT($M39,"ddd dd-mmm")&amp;", before the next delivery ("&amp;TEXT($O39,"ddd dd-mmm")&amp;"). Expedite it.","URGENT – runs out about "&amp;TEXT($M39,"ddd dd-mmm")&amp;"; a normal order takes "&amp;$R39&amp;" days. Order and expedite now."),IF($U39="REORDER","Order now (about "&amp;TEXT($X39,"#,##0")&amp;" "&amp;$D39&amp;") – becomes critical "&amp;TEXT($W39,"ddd dd-mmm")&amp;".",IF($U39="NO USAGE","No planned or recent usage.","OK – next order by "&amp;TEXT($V39,"ddd dd-mmm")&amp;IF($N39&gt;0,"; "&amp;TEXT($N39,"#,##0")&amp;" "&amp;$D39&amp;" on order (next "&amp;TEXT($O39,"dd-mmm")&amp;")","")&amp;".")))))</f>
        <v/>
      </c>
      <c r="Z39" s="78" t="n">
        <f aca="false">IF(OR($A39="",$V39=""),1000000000,IF($V39="NOW",AsOfDate,$V39))</f>
        <v>1000000000</v>
      </c>
      <c r="AA39" s="78" t="n">
        <f aca="false">IF(OR($A39="",$W39=""),1000000000,IF($W39="NOW",AsOfDate,$W39))</f>
        <v>1000000000</v>
      </c>
      <c r="AB39" s="78" t="n">
        <f aca="false">IF(OR($A39="",$M39=""),1000000000,IF($M39="OUT",AsOfDate,$M39))</f>
        <v>1000000000</v>
      </c>
    </row>
    <row r="40" customFormat="false" ht="15" hidden="false" customHeight="false" outlineLevel="0" collapsed="false">
      <c r="A40" s="16" t="str">
        <f aca="false">IF(ISNUMBER('Current Inventory'!$J40),'Current Inventory'!$A40,"")</f>
        <v/>
      </c>
      <c r="B40" s="64" t="str">
        <f aca="false">IF($A40="","",'Current Inventory'!$B40)</f>
        <v/>
      </c>
      <c r="C40" s="16" t="str">
        <f aca="false">IF($A40="","",'Current Inventory'!$C40)</f>
        <v/>
      </c>
      <c r="D40" s="64" t="str">
        <f aca="false">IF($A40="","",'Current Inventory'!$D40)</f>
        <v/>
      </c>
      <c r="E40" s="67" t="str">
        <f aca="false">IF($A40="","",'Current Inventory'!$J40)</f>
        <v/>
      </c>
      <c r="F40" s="67" t="str">
        <f aca="false">IF($A40="","",N('Current Inventory'!$G40))</f>
        <v/>
      </c>
      <c r="G40" s="69" t="str">
        <f aca="false">IF($A40="","",'Current Inventory'!$K40)</f>
        <v/>
      </c>
      <c r="H40" s="67" t="str">
        <f aca="false">IF($A40="","",IFERROR(SUMIFS(INDEX(PP_Daily,0,MATCH($B40,Mat_Code,0)),PP_Site,$A40),0))</f>
        <v/>
      </c>
      <c r="I40" s="67" t="str">
        <f aca="false">IF($A40="","",IFERROR(SUMIFS(INDEX(Con_Use,0,MATCH($B40,Mat_Code,0)),Con_Site,$A40,Con_Date,"&gt;"&amp;(AsOfDate-7),Con_Date,"&lt;="&amp;AsOfDate)/MAX(1,NETWORKDAYS.INTL(AsOfDate-6,AsOfDate,WeekendMask,Holidays)),0))</f>
        <v/>
      </c>
      <c r="J40" s="67" t="str">
        <f aca="false">IF($A40="","",IF($H40&gt;0,$H40,$I40))</f>
        <v/>
      </c>
      <c r="K40" s="64" t="str">
        <f aca="false">IF($A40="","",IF($H40&gt;0,"Plan",IF($I40&gt;0,"Actual 7-day avg","No usage")))</f>
        <v/>
      </c>
      <c r="L40" s="72" t="str">
        <f aca="false">IF($A40="","",IF($J40&gt;0,MAX(0,$E40)/$J40,""))</f>
        <v/>
      </c>
      <c r="M40" s="73" t="str">
        <f aca="false">IF(OR($A40="",$L40=""),"",IF($E40&lt;=0,"OUT",WORKDAY.INTL(AsOfDate,ROUNDUP($L40,0),WeekendMask,Holidays)))</f>
        <v/>
      </c>
      <c r="N40" s="74" t="str">
        <f aca="false">IF($A40="","",SUMIFS(Del_Qty,Del_Site,$A40,Del_Mat,$B40,Del_Date,"&gt;"&amp;AsOfDate))</f>
        <v/>
      </c>
      <c r="O40" s="73" t="str">
        <f aca="false">IF(OR($A40="",N($N40)&lt;=0),"",SUMPRODUCT(MIN((Del_Site=$A40)*(Del_Mat=$B40)*(Del_Date&gt;AsOfDate)*Del_Date+(1-(Del_Site=$A40)*(Del_Mat=$B40)*(Del_Date&gt;AsOfDate))*1000000000)))</f>
        <v/>
      </c>
      <c r="P40" s="74" t="str">
        <f aca="false">IF($A40="","",IF(ISNUMBER($M40),SUMIFS(Del_Qty,Del_Site,$A40,Del_Mat,$B40,Del_Date,"&gt;"&amp;AsOfDate,Del_Date,"&lt;="&amp;$M40),0))</f>
        <v/>
      </c>
      <c r="Q40" s="75" t="str">
        <f aca="false">IF(OR($A40="",$J40&lt;=0),"",IF($P40&gt;0,(MAX(0,$E40)+$N40)/$J40,$L40))</f>
        <v/>
      </c>
      <c r="R40" s="75" t="str">
        <f aca="false">IF($A40="","",IFERROR(INDEX(Mat_Lead,MATCH($B40,Mat_Code,0)),0))</f>
        <v/>
      </c>
      <c r="S40" s="75" t="str">
        <f aca="false">IF($A40="","",IFERROR(INDEX(Mat_Safety,MATCH($B40,Mat_Code,0)),0))</f>
        <v/>
      </c>
      <c r="T40" s="67" t="str">
        <f aca="false">IF($A40="","",$J40*($R40+$S40))</f>
        <v/>
      </c>
      <c r="U40" s="76" t="str">
        <f aca="false">IF($A40="","",IF($E40&lt;=0,"OUT OF STOCK",IF($J40&lt;=0,"NO USAGE",IF($Q40&lt;=$R40,"CRITICAL",IF($Q40&lt;=$R40+$S40,"REORDER","OK")))))</f>
        <v/>
      </c>
      <c r="V40" s="73" t="str">
        <f aca="false">IF(OR($A40="",$U40="NO USAGE"),"",IF(OR($U40="OUT OF STOCK",$Q40&lt;=$R40+$S40),"NOW",WORKDAY.INTL(AsOfDate,INT($Q40-$R40-$S40),WeekendMask,Holidays)))</f>
        <v/>
      </c>
      <c r="W40" s="73" t="str">
        <f aca="false">IF(OR($A40="",$U40="NO USAGE"),"",IF(OR($U40="OUT OF STOCK",$Q40&lt;=$R40),"NOW",WORKDAY.INTL(AsOfDate,ROUNDUP($Q40-$R40,0),WeekendMask,Holidays)))</f>
        <v/>
      </c>
      <c r="X40" s="77" t="str">
        <f aca="false">IF($A40="","",IF(OR($U40="CRITICAL",$U40="REORDER",$U40="OUT OF STOCK"),IF($F40&gt;0,ROUNDUP(MAX(0,$F40-MAX(0,MAX(0,$E40)+$N40-$J40*$R40)),0),"Set capacity"),0))</f>
        <v/>
      </c>
      <c r="Y40" s="16" t="str">
        <f aca="false">IF($A40="","",IF($U40="OUT OF STOCK","Out of stock – production at risk."&amp;IF($N40&gt;0," Next delivery "&amp;TEXT($O40,"ddd dd-mmm")&amp;": expedite it."," Order and expedite now."),IF($U40="CRITICAL",IF(AND($N40&gt;0,$P40&lt;=0),"URGENT – runs out about "&amp;TEXT($M40,"ddd dd-mmm")&amp;", before the next delivery ("&amp;TEXT($O40,"ddd dd-mmm")&amp;"). Expedite it.","URGENT – runs out about "&amp;TEXT($M40,"ddd dd-mmm")&amp;"; a normal order takes "&amp;$R40&amp;" days. Order and expedite now."),IF($U40="REORDER","Order now (about "&amp;TEXT($X40,"#,##0")&amp;" "&amp;$D40&amp;") – becomes critical "&amp;TEXT($W40,"ddd dd-mmm")&amp;".",IF($U40="NO USAGE","No planned or recent usage.","OK – next order by "&amp;TEXT($V40,"ddd dd-mmm")&amp;IF($N40&gt;0,"; "&amp;TEXT($N40,"#,##0")&amp;" "&amp;$D40&amp;" on order (next "&amp;TEXT($O40,"dd-mmm")&amp;")","")&amp;".")))))</f>
        <v/>
      </c>
      <c r="Z40" s="78" t="n">
        <f aca="false">IF(OR($A40="",$V40=""),1000000000,IF($V40="NOW",AsOfDate,$V40))</f>
        <v>1000000000</v>
      </c>
      <c r="AA40" s="78" t="n">
        <f aca="false">IF(OR($A40="",$W40=""),1000000000,IF($W40="NOW",AsOfDate,$W40))</f>
        <v>1000000000</v>
      </c>
      <c r="AB40" s="78" t="n">
        <f aca="false">IF(OR($A40="",$M40=""),1000000000,IF($M40="OUT",AsOfDate,$M40))</f>
        <v>1000000000</v>
      </c>
    </row>
    <row r="41" customFormat="false" ht="15" hidden="false" customHeight="false" outlineLevel="0" collapsed="false">
      <c r="A41" s="16" t="str">
        <f aca="false">IF(ISNUMBER('Current Inventory'!$J41),'Current Inventory'!$A41,"")</f>
        <v/>
      </c>
      <c r="B41" s="64" t="str">
        <f aca="false">IF($A41="","",'Current Inventory'!$B41)</f>
        <v/>
      </c>
      <c r="C41" s="16" t="str">
        <f aca="false">IF($A41="","",'Current Inventory'!$C41)</f>
        <v/>
      </c>
      <c r="D41" s="64" t="str">
        <f aca="false">IF($A41="","",'Current Inventory'!$D41)</f>
        <v/>
      </c>
      <c r="E41" s="67" t="str">
        <f aca="false">IF($A41="","",'Current Inventory'!$J41)</f>
        <v/>
      </c>
      <c r="F41" s="67" t="str">
        <f aca="false">IF($A41="","",N('Current Inventory'!$G41))</f>
        <v/>
      </c>
      <c r="G41" s="69" t="str">
        <f aca="false">IF($A41="","",'Current Inventory'!$K41)</f>
        <v/>
      </c>
      <c r="H41" s="67" t="str">
        <f aca="false">IF($A41="","",IFERROR(SUMIFS(INDEX(PP_Daily,0,MATCH($B41,Mat_Code,0)),PP_Site,$A41),0))</f>
        <v/>
      </c>
      <c r="I41" s="67" t="str">
        <f aca="false">IF($A41="","",IFERROR(SUMIFS(INDEX(Con_Use,0,MATCH($B41,Mat_Code,0)),Con_Site,$A41,Con_Date,"&gt;"&amp;(AsOfDate-7),Con_Date,"&lt;="&amp;AsOfDate)/MAX(1,NETWORKDAYS.INTL(AsOfDate-6,AsOfDate,WeekendMask,Holidays)),0))</f>
        <v/>
      </c>
      <c r="J41" s="67" t="str">
        <f aca="false">IF($A41="","",IF($H41&gt;0,$H41,$I41))</f>
        <v/>
      </c>
      <c r="K41" s="64" t="str">
        <f aca="false">IF($A41="","",IF($H41&gt;0,"Plan",IF($I41&gt;0,"Actual 7-day avg","No usage")))</f>
        <v/>
      </c>
      <c r="L41" s="72" t="str">
        <f aca="false">IF($A41="","",IF($J41&gt;0,MAX(0,$E41)/$J41,""))</f>
        <v/>
      </c>
      <c r="M41" s="73" t="str">
        <f aca="false">IF(OR($A41="",$L41=""),"",IF($E41&lt;=0,"OUT",WORKDAY.INTL(AsOfDate,ROUNDUP($L41,0),WeekendMask,Holidays)))</f>
        <v/>
      </c>
      <c r="N41" s="74" t="str">
        <f aca="false">IF($A41="","",SUMIFS(Del_Qty,Del_Site,$A41,Del_Mat,$B41,Del_Date,"&gt;"&amp;AsOfDate))</f>
        <v/>
      </c>
      <c r="O41" s="73" t="str">
        <f aca="false">IF(OR($A41="",N($N41)&lt;=0),"",SUMPRODUCT(MIN((Del_Site=$A41)*(Del_Mat=$B41)*(Del_Date&gt;AsOfDate)*Del_Date+(1-(Del_Site=$A41)*(Del_Mat=$B41)*(Del_Date&gt;AsOfDate))*1000000000)))</f>
        <v/>
      </c>
      <c r="P41" s="74" t="str">
        <f aca="false">IF($A41="","",IF(ISNUMBER($M41),SUMIFS(Del_Qty,Del_Site,$A41,Del_Mat,$B41,Del_Date,"&gt;"&amp;AsOfDate,Del_Date,"&lt;="&amp;$M41),0))</f>
        <v/>
      </c>
      <c r="Q41" s="75" t="str">
        <f aca="false">IF(OR($A41="",$J41&lt;=0),"",IF($P41&gt;0,(MAX(0,$E41)+$N41)/$J41,$L41))</f>
        <v/>
      </c>
      <c r="R41" s="75" t="str">
        <f aca="false">IF($A41="","",IFERROR(INDEX(Mat_Lead,MATCH($B41,Mat_Code,0)),0))</f>
        <v/>
      </c>
      <c r="S41" s="75" t="str">
        <f aca="false">IF($A41="","",IFERROR(INDEX(Mat_Safety,MATCH($B41,Mat_Code,0)),0))</f>
        <v/>
      </c>
      <c r="T41" s="67" t="str">
        <f aca="false">IF($A41="","",$J41*($R41+$S41))</f>
        <v/>
      </c>
      <c r="U41" s="76" t="str">
        <f aca="false">IF($A41="","",IF($E41&lt;=0,"OUT OF STOCK",IF($J41&lt;=0,"NO USAGE",IF($Q41&lt;=$R41,"CRITICAL",IF($Q41&lt;=$R41+$S41,"REORDER","OK")))))</f>
        <v/>
      </c>
      <c r="V41" s="73" t="str">
        <f aca="false">IF(OR($A41="",$U41="NO USAGE"),"",IF(OR($U41="OUT OF STOCK",$Q41&lt;=$R41+$S41),"NOW",WORKDAY.INTL(AsOfDate,INT($Q41-$R41-$S41),WeekendMask,Holidays)))</f>
        <v/>
      </c>
      <c r="W41" s="73" t="str">
        <f aca="false">IF(OR($A41="",$U41="NO USAGE"),"",IF(OR($U41="OUT OF STOCK",$Q41&lt;=$R41),"NOW",WORKDAY.INTL(AsOfDate,ROUNDUP($Q41-$R41,0),WeekendMask,Holidays)))</f>
        <v/>
      </c>
      <c r="X41" s="77" t="str">
        <f aca="false">IF($A41="","",IF(OR($U41="CRITICAL",$U41="REORDER",$U41="OUT OF STOCK"),IF($F41&gt;0,ROUNDUP(MAX(0,$F41-MAX(0,MAX(0,$E41)+$N41-$J41*$R41)),0),"Set capacity"),0))</f>
        <v/>
      </c>
      <c r="Y41" s="16" t="str">
        <f aca="false">IF($A41="","",IF($U41="OUT OF STOCK","Out of stock – production at risk."&amp;IF($N41&gt;0," Next delivery "&amp;TEXT($O41,"ddd dd-mmm")&amp;": expedite it."," Order and expedite now."),IF($U41="CRITICAL",IF(AND($N41&gt;0,$P41&lt;=0),"URGENT – runs out about "&amp;TEXT($M41,"ddd dd-mmm")&amp;", before the next delivery ("&amp;TEXT($O41,"ddd dd-mmm")&amp;"). Expedite it.","URGENT – runs out about "&amp;TEXT($M41,"ddd dd-mmm")&amp;"; a normal order takes "&amp;$R41&amp;" days. Order and expedite now."),IF($U41="REORDER","Order now (about "&amp;TEXT($X41,"#,##0")&amp;" "&amp;$D41&amp;") – becomes critical "&amp;TEXT($W41,"ddd dd-mmm")&amp;".",IF($U41="NO USAGE","No planned or recent usage.","OK – next order by "&amp;TEXT($V41,"ddd dd-mmm")&amp;IF($N41&gt;0,"; "&amp;TEXT($N41,"#,##0")&amp;" "&amp;$D41&amp;" on order (next "&amp;TEXT($O41,"dd-mmm")&amp;")","")&amp;".")))))</f>
        <v/>
      </c>
      <c r="Z41" s="78" t="n">
        <f aca="false">IF(OR($A41="",$V41=""),1000000000,IF($V41="NOW",AsOfDate,$V41))</f>
        <v>1000000000</v>
      </c>
      <c r="AA41" s="78" t="n">
        <f aca="false">IF(OR($A41="",$W41=""),1000000000,IF($W41="NOW",AsOfDate,$W41))</f>
        <v>1000000000</v>
      </c>
      <c r="AB41" s="78" t="n">
        <f aca="false">IF(OR($A41="",$M41=""),1000000000,IF($M41="OUT",AsOfDate,$M41))</f>
        <v>1000000000</v>
      </c>
    </row>
    <row r="42" customFormat="false" ht="15" hidden="false" customHeight="false" outlineLevel="0" collapsed="false">
      <c r="A42" s="16" t="str">
        <f aca="false">IF(ISNUMBER('Current Inventory'!$J42),'Current Inventory'!$A42,"")</f>
        <v/>
      </c>
      <c r="B42" s="64" t="str">
        <f aca="false">IF($A42="","",'Current Inventory'!$B42)</f>
        <v/>
      </c>
      <c r="C42" s="16" t="str">
        <f aca="false">IF($A42="","",'Current Inventory'!$C42)</f>
        <v/>
      </c>
      <c r="D42" s="64" t="str">
        <f aca="false">IF($A42="","",'Current Inventory'!$D42)</f>
        <v/>
      </c>
      <c r="E42" s="67" t="str">
        <f aca="false">IF($A42="","",'Current Inventory'!$J42)</f>
        <v/>
      </c>
      <c r="F42" s="67" t="str">
        <f aca="false">IF($A42="","",N('Current Inventory'!$G42))</f>
        <v/>
      </c>
      <c r="G42" s="69" t="str">
        <f aca="false">IF($A42="","",'Current Inventory'!$K42)</f>
        <v/>
      </c>
      <c r="H42" s="67" t="str">
        <f aca="false">IF($A42="","",IFERROR(SUMIFS(INDEX(PP_Daily,0,MATCH($B42,Mat_Code,0)),PP_Site,$A42),0))</f>
        <v/>
      </c>
      <c r="I42" s="67" t="str">
        <f aca="false">IF($A42="","",IFERROR(SUMIFS(INDEX(Con_Use,0,MATCH($B42,Mat_Code,0)),Con_Site,$A42,Con_Date,"&gt;"&amp;(AsOfDate-7),Con_Date,"&lt;="&amp;AsOfDate)/MAX(1,NETWORKDAYS.INTL(AsOfDate-6,AsOfDate,WeekendMask,Holidays)),0))</f>
        <v/>
      </c>
      <c r="J42" s="67" t="str">
        <f aca="false">IF($A42="","",IF($H42&gt;0,$H42,$I42))</f>
        <v/>
      </c>
      <c r="K42" s="64" t="str">
        <f aca="false">IF($A42="","",IF($H42&gt;0,"Plan",IF($I42&gt;0,"Actual 7-day avg","No usage")))</f>
        <v/>
      </c>
      <c r="L42" s="72" t="str">
        <f aca="false">IF($A42="","",IF($J42&gt;0,MAX(0,$E42)/$J42,""))</f>
        <v/>
      </c>
      <c r="M42" s="73" t="str">
        <f aca="false">IF(OR($A42="",$L42=""),"",IF($E42&lt;=0,"OUT",WORKDAY.INTL(AsOfDate,ROUNDUP($L42,0),WeekendMask,Holidays)))</f>
        <v/>
      </c>
      <c r="N42" s="74" t="str">
        <f aca="false">IF($A42="","",SUMIFS(Del_Qty,Del_Site,$A42,Del_Mat,$B42,Del_Date,"&gt;"&amp;AsOfDate))</f>
        <v/>
      </c>
      <c r="O42" s="73" t="str">
        <f aca="false">IF(OR($A42="",N($N42)&lt;=0),"",SUMPRODUCT(MIN((Del_Site=$A42)*(Del_Mat=$B42)*(Del_Date&gt;AsOfDate)*Del_Date+(1-(Del_Site=$A42)*(Del_Mat=$B42)*(Del_Date&gt;AsOfDate))*1000000000)))</f>
        <v/>
      </c>
      <c r="P42" s="74" t="str">
        <f aca="false">IF($A42="","",IF(ISNUMBER($M42),SUMIFS(Del_Qty,Del_Site,$A42,Del_Mat,$B42,Del_Date,"&gt;"&amp;AsOfDate,Del_Date,"&lt;="&amp;$M42),0))</f>
        <v/>
      </c>
      <c r="Q42" s="75" t="str">
        <f aca="false">IF(OR($A42="",$J42&lt;=0),"",IF($P42&gt;0,(MAX(0,$E42)+$N42)/$J42,$L42))</f>
        <v/>
      </c>
      <c r="R42" s="75" t="str">
        <f aca="false">IF($A42="","",IFERROR(INDEX(Mat_Lead,MATCH($B42,Mat_Code,0)),0))</f>
        <v/>
      </c>
      <c r="S42" s="75" t="str">
        <f aca="false">IF($A42="","",IFERROR(INDEX(Mat_Safety,MATCH($B42,Mat_Code,0)),0))</f>
        <v/>
      </c>
      <c r="T42" s="67" t="str">
        <f aca="false">IF($A42="","",$J42*($R42+$S42))</f>
        <v/>
      </c>
      <c r="U42" s="76" t="str">
        <f aca="false">IF($A42="","",IF($E42&lt;=0,"OUT OF STOCK",IF($J42&lt;=0,"NO USAGE",IF($Q42&lt;=$R42,"CRITICAL",IF($Q42&lt;=$R42+$S42,"REORDER","OK")))))</f>
        <v/>
      </c>
      <c r="V42" s="73" t="str">
        <f aca="false">IF(OR($A42="",$U42="NO USAGE"),"",IF(OR($U42="OUT OF STOCK",$Q42&lt;=$R42+$S42),"NOW",WORKDAY.INTL(AsOfDate,INT($Q42-$R42-$S42),WeekendMask,Holidays)))</f>
        <v/>
      </c>
      <c r="W42" s="73" t="str">
        <f aca="false">IF(OR($A42="",$U42="NO USAGE"),"",IF(OR($U42="OUT OF STOCK",$Q42&lt;=$R42),"NOW",WORKDAY.INTL(AsOfDate,ROUNDUP($Q42-$R42,0),WeekendMask,Holidays)))</f>
        <v/>
      </c>
      <c r="X42" s="77" t="str">
        <f aca="false">IF($A42="","",IF(OR($U42="CRITICAL",$U42="REORDER",$U42="OUT OF STOCK"),IF($F42&gt;0,ROUNDUP(MAX(0,$F42-MAX(0,MAX(0,$E42)+$N42-$J42*$R42)),0),"Set capacity"),0))</f>
        <v/>
      </c>
      <c r="Y42" s="16" t="str">
        <f aca="false">IF($A42="","",IF($U42="OUT OF STOCK","Out of stock – production at risk."&amp;IF($N42&gt;0," Next delivery "&amp;TEXT($O42,"ddd dd-mmm")&amp;": expedite it."," Order and expedite now."),IF($U42="CRITICAL",IF(AND($N42&gt;0,$P42&lt;=0),"URGENT – runs out about "&amp;TEXT($M42,"ddd dd-mmm")&amp;", before the next delivery ("&amp;TEXT($O42,"ddd dd-mmm")&amp;"). Expedite it.","URGENT – runs out about "&amp;TEXT($M42,"ddd dd-mmm")&amp;"; a normal order takes "&amp;$R42&amp;" days. Order and expedite now."),IF($U42="REORDER","Order now (about "&amp;TEXT($X42,"#,##0")&amp;" "&amp;$D42&amp;") – becomes critical "&amp;TEXT($W42,"ddd dd-mmm")&amp;".",IF($U42="NO USAGE","No planned or recent usage.","OK – next order by "&amp;TEXT($V42,"ddd dd-mmm")&amp;IF($N42&gt;0,"; "&amp;TEXT($N42,"#,##0")&amp;" "&amp;$D42&amp;" on order (next "&amp;TEXT($O42,"dd-mmm")&amp;")","")&amp;".")))))</f>
        <v/>
      </c>
      <c r="Z42" s="78" t="n">
        <f aca="false">IF(OR($A42="",$V42=""),1000000000,IF($V42="NOW",AsOfDate,$V42))</f>
        <v>1000000000</v>
      </c>
      <c r="AA42" s="78" t="n">
        <f aca="false">IF(OR($A42="",$W42=""),1000000000,IF($W42="NOW",AsOfDate,$W42))</f>
        <v>1000000000</v>
      </c>
      <c r="AB42" s="78" t="n">
        <f aca="false">IF(OR($A42="",$M42=""),1000000000,IF($M42="OUT",AsOfDate,$M42))</f>
        <v>1000000000</v>
      </c>
    </row>
    <row r="43" customFormat="false" ht="15" hidden="false" customHeight="false" outlineLevel="0" collapsed="false">
      <c r="A43" s="16" t="str">
        <f aca="false">IF(ISNUMBER('Current Inventory'!$J43),'Current Inventory'!$A43,"")</f>
        <v/>
      </c>
      <c r="B43" s="64" t="str">
        <f aca="false">IF($A43="","",'Current Inventory'!$B43)</f>
        <v/>
      </c>
      <c r="C43" s="16" t="str">
        <f aca="false">IF($A43="","",'Current Inventory'!$C43)</f>
        <v/>
      </c>
      <c r="D43" s="64" t="str">
        <f aca="false">IF($A43="","",'Current Inventory'!$D43)</f>
        <v/>
      </c>
      <c r="E43" s="67" t="str">
        <f aca="false">IF($A43="","",'Current Inventory'!$J43)</f>
        <v/>
      </c>
      <c r="F43" s="67" t="str">
        <f aca="false">IF($A43="","",N('Current Inventory'!$G43))</f>
        <v/>
      </c>
      <c r="G43" s="69" t="str">
        <f aca="false">IF($A43="","",'Current Inventory'!$K43)</f>
        <v/>
      </c>
      <c r="H43" s="67" t="str">
        <f aca="false">IF($A43="","",IFERROR(SUMIFS(INDEX(PP_Daily,0,MATCH($B43,Mat_Code,0)),PP_Site,$A43),0))</f>
        <v/>
      </c>
      <c r="I43" s="67" t="str">
        <f aca="false">IF($A43="","",IFERROR(SUMIFS(INDEX(Con_Use,0,MATCH($B43,Mat_Code,0)),Con_Site,$A43,Con_Date,"&gt;"&amp;(AsOfDate-7),Con_Date,"&lt;="&amp;AsOfDate)/MAX(1,NETWORKDAYS.INTL(AsOfDate-6,AsOfDate,WeekendMask,Holidays)),0))</f>
        <v/>
      </c>
      <c r="J43" s="67" t="str">
        <f aca="false">IF($A43="","",IF($H43&gt;0,$H43,$I43))</f>
        <v/>
      </c>
      <c r="K43" s="64" t="str">
        <f aca="false">IF($A43="","",IF($H43&gt;0,"Plan",IF($I43&gt;0,"Actual 7-day avg","No usage")))</f>
        <v/>
      </c>
      <c r="L43" s="72" t="str">
        <f aca="false">IF($A43="","",IF($J43&gt;0,MAX(0,$E43)/$J43,""))</f>
        <v/>
      </c>
      <c r="M43" s="73" t="str">
        <f aca="false">IF(OR($A43="",$L43=""),"",IF($E43&lt;=0,"OUT",WORKDAY.INTL(AsOfDate,ROUNDUP($L43,0),WeekendMask,Holidays)))</f>
        <v/>
      </c>
      <c r="N43" s="74" t="str">
        <f aca="false">IF($A43="","",SUMIFS(Del_Qty,Del_Site,$A43,Del_Mat,$B43,Del_Date,"&gt;"&amp;AsOfDate))</f>
        <v/>
      </c>
      <c r="O43" s="73" t="str">
        <f aca="false">IF(OR($A43="",N($N43)&lt;=0),"",SUMPRODUCT(MIN((Del_Site=$A43)*(Del_Mat=$B43)*(Del_Date&gt;AsOfDate)*Del_Date+(1-(Del_Site=$A43)*(Del_Mat=$B43)*(Del_Date&gt;AsOfDate))*1000000000)))</f>
        <v/>
      </c>
      <c r="P43" s="74" t="str">
        <f aca="false">IF($A43="","",IF(ISNUMBER($M43),SUMIFS(Del_Qty,Del_Site,$A43,Del_Mat,$B43,Del_Date,"&gt;"&amp;AsOfDate,Del_Date,"&lt;="&amp;$M43),0))</f>
        <v/>
      </c>
      <c r="Q43" s="75" t="str">
        <f aca="false">IF(OR($A43="",$J43&lt;=0),"",IF($P43&gt;0,(MAX(0,$E43)+$N43)/$J43,$L43))</f>
        <v/>
      </c>
      <c r="R43" s="75" t="str">
        <f aca="false">IF($A43="","",IFERROR(INDEX(Mat_Lead,MATCH($B43,Mat_Code,0)),0))</f>
        <v/>
      </c>
      <c r="S43" s="75" t="str">
        <f aca="false">IF($A43="","",IFERROR(INDEX(Mat_Safety,MATCH($B43,Mat_Code,0)),0))</f>
        <v/>
      </c>
      <c r="T43" s="67" t="str">
        <f aca="false">IF($A43="","",$J43*($R43+$S43))</f>
        <v/>
      </c>
      <c r="U43" s="76" t="str">
        <f aca="false">IF($A43="","",IF($E43&lt;=0,"OUT OF STOCK",IF($J43&lt;=0,"NO USAGE",IF($Q43&lt;=$R43,"CRITICAL",IF($Q43&lt;=$R43+$S43,"REORDER","OK")))))</f>
        <v/>
      </c>
      <c r="V43" s="73" t="str">
        <f aca="false">IF(OR($A43="",$U43="NO USAGE"),"",IF(OR($U43="OUT OF STOCK",$Q43&lt;=$R43+$S43),"NOW",WORKDAY.INTL(AsOfDate,INT($Q43-$R43-$S43),WeekendMask,Holidays)))</f>
        <v/>
      </c>
      <c r="W43" s="73" t="str">
        <f aca="false">IF(OR($A43="",$U43="NO USAGE"),"",IF(OR($U43="OUT OF STOCK",$Q43&lt;=$R43),"NOW",WORKDAY.INTL(AsOfDate,ROUNDUP($Q43-$R43,0),WeekendMask,Holidays)))</f>
        <v/>
      </c>
      <c r="X43" s="77" t="str">
        <f aca="false">IF($A43="","",IF(OR($U43="CRITICAL",$U43="REORDER",$U43="OUT OF STOCK"),IF($F43&gt;0,ROUNDUP(MAX(0,$F43-MAX(0,MAX(0,$E43)+$N43-$J43*$R43)),0),"Set capacity"),0))</f>
        <v/>
      </c>
      <c r="Y43" s="16" t="str">
        <f aca="false">IF($A43="","",IF($U43="OUT OF STOCK","Out of stock – production at risk."&amp;IF($N43&gt;0," Next delivery "&amp;TEXT($O43,"ddd dd-mmm")&amp;": expedite it."," Order and expedite now."),IF($U43="CRITICAL",IF(AND($N43&gt;0,$P43&lt;=0),"URGENT – runs out about "&amp;TEXT($M43,"ddd dd-mmm")&amp;", before the next delivery ("&amp;TEXT($O43,"ddd dd-mmm")&amp;"). Expedite it.","URGENT – runs out about "&amp;TEXT($M43,"ddd dd-mmm")&amp;"; a normal order takes "&amp;$R43&amp;" days. Order and expedite now."),IF($U43="REORDER","Order now (about "&amp;TEXT($X43,"#,##0")&amp;" "&amp;$D43&amp;") – becomes critical "&amp;TEXT($W43,"ddd dd-mmm")&amp;".",IF($U43="NO USAGE","No planned or recent usage.","OK – next order by "&amp;TEXT($V43,"ddd dd-mmm")&amp;IF($N43&gt;0,"; "&amp;TEXT($N43,"#,##0")&amp;" "&amp;$D43&amp;" on order (next "&amp;TEXT($O43,"dd-mmm")&amp;")","")&amp;".")))))</f>
        <v/>
      </c>
      <c r="Z43" s="78" t="n">
        <f aca="false">IF(OR($A43="",$V43=""),1000000000,IF($V43="NOW",AsOfDate,$V43))</f>
        <v>1000000000</v>
      </c>
      <c r="AA43" s="78" t="n">
        <f aca="false">IF(OR($A43="",$W43=""),1000000000,IF($W43="NOW",AsOfDate,$W43))</f>
        <v>1000000000</v>
      </c>
      <c r="AB43" s="78" t="n">
        <f aca="false">IF(OR($A43="",$M43=""),1000000000,IF($M43="OUT",AsOfDate,$M43))</f>
        <v>1000000000</v>
      </c>
    </row>
    <row r="44" customFormat="false" ht="15" hidden="false" customHeight="false" outlineLevel="0" collapsed="false">
      <c r="A44" s="16" t="str">
        <f aca="false">IF(ISNUMBER('Current Inventory'!$J44),'Current Inventory'!$A44,"")</f>
        <v/>
      </c>
      <c r="B44" s="64" t="str">
        <f aca="false">IF($A44="","",'Current Inventory'!$B44)</f>
        <v/>
      </c>
      <c r="C44" s="16" t="str">
        <f aca="false">IF($A44="","",'Current Inventory'!$C44)</f>
        <v/>
      </c>
      <c r="D44" s="64" t="str">
        <f aca="false">IF($A44="","",'Current Inventory'!$D44)</f>
        <v/>
      </c>
      <c r="E44" s="67" t="str">
        <f aca="false">IF($A44="","",'Current Inventory'!$J44)</f>
        <v/>
      </c>
      <c r="F44" s="67" t="str">
        <f aca="false">IF($A44="","",N('Current Inventory'!$G44))</f>
        <v/>
      </c>
      <c r="G44" s="69" t="str">
        <f aca="false">IF($A44="","",'Current Inventory'!$K44)</f>
        <v/>
      </c>
      <c r="H44" s="67" t="str">
        <f aca="false">IF($A44="","",IFERROR(SUMIFS(INDEX(PP_Daily,0,MATCH($B44,Mat_Code,0)),PP_Site,$A44),0))</f>
        <v/>
      </c>
      <c r="I44" s="67" t="str">
        <f aca="false">IF($A44="","",IFERROR(SUMIFS(INDEX(Con_Use,0,MATCH($B44,Mat_Code,0)),Con_Site,$A44,Con_Date,"&gt;"&amp;(AsOfDate-7),Con_Date,"&lt;="&amp;AsOfDate)/MAX(1,NETWORKDAYS.INTL(AsOfDate-6,AsOfDate,WeekendMask,Holidays)),0))</f>
        <v/>
      </c>
      <c r="J44" s="67" t="str">
        <f aca="false">IF($A44="","",IF($H44&gt;0,$H44,$I44))</f>
        <v/>
      </c>
      <c r="K44" s="64" t="str">
        <f aca="false">IF($A44="","",IF($H44&gt;0,"Plan",IF($I44&gt;0,"Actual 7-day avg","No usage")))</f>
        <v/>
      </c>
      <c r="L44" s="72" t="str">
        <f aca="false">IF($A44="","",IF($J44&gt;0,MAX(0,$E44)/$J44,""))</f>
        <v/>
      </c>
      <c r="M44" s="73" t="str">
        <f aca="false">IF(OR($A44="",$L44=""),"",IF($E44&lt;=0,"OUT",WORKDAY.INTL(AsOfDate,ROUNDUP($L44,0),WeekendMask,Holidays)))</f>
        <v/>
      </c>
      <c r="N44" s="74" t="str">
        <f aca="false">IF($A44="","",SUMIFS(Del_Qty,Del_Site,$A44,Del_Mat,$B44,Del_Date,"&gt;"&amp;AsOfDate))</f>
        <v/>
      </c>
      <c r="O44" s="73" t="str">
        <f aca="false">IF(OR($A44="",N($N44)&lt;=0),"",SUMPRODUCT(MIN((Del_Site=$A44)*(Del_Mat=$B44)*(Del_Date&gt;AsOfDate)*Del_Date+(1-(Del_Site=$A44)*(Del_Mat=$B44)*(Del_Date&gt;AsOfDate))*1000000000)))</f>
        <v/>
      </c>
      <c r="P44" s="74" t="str">
        <f aca="false">IF($A44="","",IF(ISNUMBER($M44),SUMIFS(Del_Qty,Del_Site,$A44,Del_Mat,$B44,Del_Date,"&gt;"&amp;AsOfDate,Del_Date,"&lt;="&amp;$M44),0))</f>
        <v/>
      </c>
      <c r="Q44" s="75" t="str">
        <f aca="false">IF(OR($A44="",$J44&lt;=0),"",IF($P44&gt;0,(MAX(0,$E44)+$N44)/$J44,$L44))</f>
        <v/>
      </c>
      <c r="R44" s="75" t="str">
        <f aca="false">IF($A44="","",IFERROR(INDEX(Mat_Lead,MATCH($B44,Mat_Code,0)),0))</f>
        <v/>
      </c>
      <c r="S44" s="75" t="str">
        <f aca="false">IF($A44="","",IFERROR(INDEX(Mat_Safety,MATCH($B44,Mat_Code,0)),0))</f>
        <v/>
      </c>
      <c r="T44" s="67" t="str">
        <f aca="false">IF($A44="","",$J44*($R44+$S44))</f>
        <v/>
      </c>
      <c r="U44" s="76" t="str">
        <f aca="false">IF($A44="","",IF($E44&lt;=0,"OUT OF STOCK",IF($J44&lt;=0,"NO USAGE",IF($Q44&lt;=$R44,"CRITICAL",IF($Q44&lt;=$R44+$S44,"REORDER","OK")))))</f>
        <v/>
      </c>
      <c r="V44" s="73" t="str">
        <f aca="false">IF(OR($A44="",$U44="NO USAGE"),"",IF(OR($U44="OUT OF STOCK",$Q44&lt;=$R44+$S44),"NOW",WORKDAY.INTL(AsOfDate,INT($Q44-$R44-$S44),WeekendMask,Holidays)))</f>
        <v/>
      </c>
      <c r="W44" s="73" t="str">
        <f aca="false">IF(OR($A44="",$U44="NO USAGE"),"",IF(OR($U44="OUT OF STOCK",$Q44&lt;=$R44),"NOW",WORKDAY.INTL(AsOfDate,ROUNDUP($Q44-$R44,0),WeekendMask,Holidays)))</f>
        <v/>
      </c>
      <c r="X44" s="77" t="str">
        <f aca="false">IF($A44="","",IF(OR($U44="CRITICAL",$U44="REORDER",$U44="OUT OF STOCK"),IF($F44&gt;0,ROUNDUP(MAX(0,$F44-MAX(0,MAX(0,$E44)+$N44-$J44*$R44)),0),"Set capacity"),0))</f>
        <v/>
      </c>
      <c r="Y44" s="16" t="str">
        <f aca="false">IF($A44="","",IF($U44="OUT OF STOCK","Out of stock – production at risk."&amp;IF($N44&gt;0," Next delivery "&amp;TEXT($O44,"ddd dd-mmm")&amp;": expedite it."," Order and expedite now."),IF($U44="CRITICAL",IF(AND($N44&gt;0,$P44&lt;=0),"URGENT – runs out about "&amp;TEXT($M44,"ddd dd-mmm")&amp;", before the next delivery ("&amp;TEXT($O44,"ddd dd-mmm")&amp;"). Expedite it.","URGENT – runs out about "&amp;TEXT($M44,"ddd dd-mmm")&amp;"; a normal order takes "&amp;$R44&amp;" days. Order and expedite now."),IF($U44="REORDER","Order now (about "&amp;TEXT($X44,"#,##0")&amp;" "&amp;$D44&amp;") – becomes critical "&amp;TEXT($W44,"ddd dd-mmm")&amp;".",IF($U44="NO USAGE","No planned or recent usage.","OK – next order by "&amp;TEXT($V44,"ddd dd-mmm")&amp;IF($N44&gt;0,"; "&amp;TEXT($N44,"#,##0")&amp;" "&amp;$D44&amp;" on order (next "&amp;TEXT($O44,"dd-mmm")&amp;")","")&amp;".")))))</f>
        <v/>
      </c>
      <c r="Z44" s="78" t="n">
        <f aca="false">IF(OR($A44="",$V44=""),1000000000,IF($V44="NOW",AsOfDate,$V44))</f>
        <v>1000000000</v>
      </c>
      <c r="AA44" s="78" t="n">
        <f aca="false">IF(OR($A44="",$W44=""),1000000000,IF($W44="NOW",AsOfDate,$W44))</f>
        <v>1000000000</v>
      </c>
      <c r="AB44" s="78" t="n">
        <f aca="false">IF(OR($A44="",$M44=""),1000000000,IF($M44="OUT",AsOfDate,$M44))</f>
        <v>1000000000</v>
      </c>
    </row>
    <row r="45" customFormat="false" ht="15" hidden="false" customHeight="false" outlineLevel="0" collapsed="false">
      <c r="A45" s="16" t="str">
        <f aca="false">IF(ISNUMBER('Current Inventory'!$J45),'Current Inventory'!$A45,"")</f>
        <v/>
      </c>
      <c r="B45" s="64" t="str">
        <f aca="false">IF($A45="","",'Current Inventory'!$B45)</f>
        <v/>
      </c>
      <c r="C45" s="16" t="str">
        <f aca="false">IF($A45="","",'Current Inventory'!$C45)</f>
        <v/>
      </c>
      <c r="D45" s="64" t="str">
        <f aca="false">IF($A45="","",'Current Inventory'!$D45)</f>
        <v/>
      </c>
      <c r="E45" s="67" t="str">
        <f aca="false">IF($A45="","",'Current Inventory'!$J45)</f>
        <v/>
      </c>
      <c r="F45" s="67" t="str">
        <f aca="false">IF($A45="","",N('Current Inventory'!$G45))</f>
        <v/>
      </c>
      <c r="G45" s="69" t="str">
        <f aca="false">IF($A45="","",'Current Inventory'!$K45)</f>
        <v/>
      </c>
      <c r="H45" s="67" t="str">
        <f aca="false">IF($A45="","",IFERROR(SUMIFS(INDEX(PP_Daily,0,MATCH($B45,Mat_Code,0)),PP_Site,$A45),0))</f>
        <v/>
      </c>
      <c r="I45" s="67" t="str">
        <f aca="false">IF($A45="","",IFERROR(SUMIFS(INDEX(Con_Use,0,MATCH($B45,Mat_Code,0)),Con_Site,$A45,Con_Date,"&gt;"&amp;(AsOfDate-7),Con_Date,"&lt;="&amp;AsOfDate)/MAX(1,NETWORKDAYS.INTL(AsOfDate-6,AsOfDate,WeekendMask,Holidays)),0))</f>
        <v/>
      </c>
      <c r="J45" s="67" t="str">
        <f aca="false">IF($A45="","",IF($H45&gt;0,$H45,$I45))</f>
        <v/>
      </c>
      <c r="K45" s="64" t="str">
        <f aca="false">IF($A45="","",IF($H45&gt;0,"Plan",IF($I45&gt;0,"Actual 7-day avg","No usage")))</f>
        <v/>
      </c>
      <c r="L45" s="72" t="str">
        <f aca="false">IF($A45="","",IF($J45&gt;0,MAX(0,$E45)/$J45,""))</f>
        <v/>
      </c>
      <c r="M45" s="73" t="str">
        <f aca="false">IF(OR($A45="",$L45=""),"",IF($E45&lt;=0,"OUT",WORKDAY.INTL(AsOfDate,ROUNDUP($L45,0),WeekendMask,Holidays)))</f>
        <v/>
      </c>
      <c r="N45" s="74" t="str">
        <f aca="false">IF($A45="","",SUMIFS(Del_Qty,Del_Site,$A45,Del_Mat,$B45,Del_Date,"&gt;"&amp;AsOfDate))</f>
        <v/>
      </c>
      <c r="O45" s="73" t="str">
        <f aca="false">IF(OR($A45="",N($N45)&lt;=0),"",SUMPRODUCT(MIN((Del_Site=$A45)*(Del_Mat=$B45)*(Del_Date&gt;AsOfDate)*Del_Date+(1-(Del_Site=$A45)*(Del_Mat=$B45)*(Del_Date&gt;AsOfDate))*1000000000)))</f>
        <v/>
      </c>
      <c r="P45" s="74" t="str">
        <f aca="false">IF($A45="","",IF(ISNUMBER($M45),SUMIFS(Del_Qty,Del_Site,$A45,Del_Mat,$B45,Del_Date,"&gt;"&amp;AsOfDate,Del_Date,"&lt;="&amp;$M45),0))</f>
        <v/>
      </c>
      <c r="Q45" s="75" t="str">
        <f aca="false">IF(OR($A45="",$J45&lt;=0),"",IF($P45&gt;0,(MAX(0,$E45)+$N45)/$J45,$L45))</f>
        <v/>
      </c>
      <c r="R45" s="75" t="str">
        <f aca="false">IF($A45="","",IFERROR(INDEX(Mat_Lead,MATCH($B45,Mat_Code,0)),0))</f>
        <v/>
      </c>
      <c r="S45" s="75" t="str">
        <f aca="false">IF($A45="","",IFERROR(INDEX(Mat_Safety,MATCH($B45,Mat_Code,0)),0))</f>
        <v/>
      </c>
      <c r="T45" s="67" t="str">
        <f aca="false">IF($A45="","",$J45*($R45+$S45))</f>
        <v/>
      </c>
      <c r="U45" s="76" t="str">
        <f aca="false">IF($A45="","",IF($E45&lt;=0,"OUT OF STOCK",IF($J45&lt;=0,"NO USAGE",IF($Q45&lt;=$R45,"CRITICAL",IF($Q45&lt;=$R45+$S45,"REORDER","OK")))))</f>
        <v/>
      </c>
      <c r="V45" s="73" t="str">
        <f aca="false">IF(OR($A45="",$U45="NO USAGE"),"",IF(OR($U45="OUT OF STOCK",$Q45&lt;=$R45+$S45),"NOW",WORKDAY.INTL(AsOfDate,INT($Q45-$R45-$S45),WeekendMask,Holidays)))</f>
        <v/>
      </c>
      <c r="W45" s="73" t="str">
        <f aca="false">IF(OR($A45="",$U45="NO USAGE"),"",IF(OR($U45="OUT OF STOCK",$Q45&lt;=$R45),"NOW",WORKDAY.INTL(AsOfDate,ROUNDUP($Q45-$R45,0),WeekendMask,Holidays)))</f>
        <v/>
      </c>
      <c r="X45" s="77" t="str">
        <f aca="false">IF($A45="","",IF(OR($U45="CRITICAL",$U45="REORDER",$U45="OUT OF STOCK"),IF($F45&gt;0,ROUNDUP(MAX(0,$F45-MAX(0,MAX(0,$E45)+$N45-$J45*$R45)),0),"Set capacity"),0))</f>
        <v/>
      </c>
      <c r="Y45" s="16" t="str">
        <f aca="false">IF($A45="","",IF($U45="OUT OF STOCK","Out of stock – production at risk."&amp;IF($N45&gt;0," Next delivery "&amp;TEXT($O45,"ddd dd-mmm")&amp;": expedite it."," Order and expedite now."),IF($U45="CRITICAL",IF(AND($N45&gt;0,$P45&lt;=0),"URGENT – runs out about "&amp;TEXT($M45,"ddd dd-mmm")&amp;", before the next delivery ("&amp;TEXT($O45,"ddd dd-mmm")&amp;"). Expedite it.","URGENT – runs out about "&amp;TEXT($M45,"ddd dd-mmm")&amp;"; a normal order takes "&amp;$R45&amp;" days. Order and expedite now."),IF($U45="REORDER","Order now (about "&amp;TEXT($X45,"#,##0")&amp;" "&amp;$D45&amp;") – becomes critical "&amp;TEXT($W45,"ddd dd-mmm")&amp;".",IF($U45="NO USAGE","No planned or recent usage.","OK – next order by "&amp;TEXT($V45,"ddd dd-mmm")&amp;IF($N45&gt;0,"; "&amp;TEXT($N45,"#,##0")&amp;" "&amp;$D45&amp;" on order (next "&amp;TEXT($O45,"dd-mmm")&amp;")","")&amp;".")))))</f>
        <v/>
      </c>
      <c r="Z45" s="78" t="n">
        <f aca="false">IF(OR($A45="",$V45=""),1000000000,IF($V45="NOW",AsOfDate,$V45))</f>
        <v>1000000000</v>
      </c>
      <c r="AA45" s="78" t="n">
        <f aca="false">IF(OR($A45="",$W45=""),1000000000,IF($W45="NOW",AsOfDate,$W45))</f>
        <v>1000000000</v>
      </c>
      <c r="AB45" s="78" t="n">
        <f aca="false">IF(OR($A45="",$M45=""),1000000000,IF($M45="OUT",AsOfDate,$M45))</f>
        <v>1000000000</v>
      </c>
    </row>
    <row r="46" customFormat="false" ht="15" hidden="false" customHeight="false" outlineLevel="0" collapsed="false">
      <c r="A46" s="16" t="str">
        <f aca="false">IF(ISNUMBER('Current Inventory'!$J46),'Current Inventory'!$A46,"")</f>
        <v/>
      </c>
      <c r="B46" s="64" t="str">
        <f aca="false">IF($A46="","",'Current Inventory'!$B46)</f>
        <v/>
      </c>
      <c r="C46" s="16" t="str">
        <f aca="false">IF($A46="","",'Current Inventory'!$C46)</f>
        <v/>
      </c>
      <c r="D46" s="64" t="str">
        <f aca="false">IF($A46="","",'Current Inventory'!$D46)</f>
        <v/>
      </c>
      <c r="E46" s="67" t="str">
        <f aca="false">IF($A46="","",'Current Inventory'!$J46)</f>
        <v/>
      </c>
      <c r="F46" s="67" t="str">
        <f aca="false">IF($A46="","",N('Current Inventory'!$G46))</f>
        <v/>
      </c>
      <c r="G46" s="69" t="str">
        <f aca="false">IF($A46="","",'Current Inventory'!$K46)</f>
        <v/>
      </c>
      <c r="H46" s="67" t="str">
        <f aca="false">IF($A46="","",IFERROR(SUMIFS(INDEX(PP_Daily,0,MATCH($B46,Mat_Code,0)),PP_Site,$A46),0))</f>
        <v/>
      </c>
      <c r="I46" s="67" t="str">
        <f aca="false">IF($A46="","",IFERROR(SUMIFS(INDEX(Con_Use,0,MATCH($B46,Mat_Code,0)),Con_Site,$A46,Con_Date,"&gt;"&amp;(AsOfDate-7),Con_Date,"&lt;="&amp;AsOfDate)/MAX(1,NETWORKDAYS.INTL(AsOfDate-6,AsOfDate,WeekendMask,Holidays)),0))</f>
        <v/>
      </c>
      <c r="J46" s="67" t="str">
        <f aca="false">IF($A46="","",IF($H46&gt;0,$H46,$I46))</f>
        <v/>
      </c>
      <c r="K46" s="64" t="str">
        <f aca="false">IF($A46="","",IF($H46&gt;0,"Plan",IF($I46&gt;0,"Actual 7-day avg","No usage")))</f>
        <v/>
      </c>
      <c r="L46" s="72" t="str">
        <f aca="false">IF($A46="","",IF($J46&gt;0,MAX(0,$E46)/$J46,""))</f>
        <v/>
      </c>
      <c r="M46" s="73" t="str">
        <f aca="false">IF(OR($A46="",$L46=""),"",IF($E46&lt;=0,"OUT",WORKDAY.INTL(AsOfDate,ROUNDUP($L46,0),WeekendMask,Holidays)))</f>
        <v/>
      </c>
      <c r="N46" s="74" t="str">
        <f aca="false">IF($A46="","",SUMIFS(Del_Qty,Del_Site,$A46,Del_Mat,$B46,Del_Date,"&gt;"&amp;AsOfDate))</f>
        <v/>
      </c>
      <c r="O46" s="73" t="str">
        <f aca="false">IF(OR($A46="",N($N46)&lt;=0),"",SUMPRODUCT(MIN((Del_Site=$A46)*(Del_Mat=$B46)*(Del_Date&gt;AsOfDate)*Del_Date+(1-(Del_Site=$A46)*(Del_Mat=$B46)*(Del_Date&gt;AsOfDate))*1000000000)))</f>
        <v/>
      </c>
      <c r="P46" s="74" t="str">
        <f aca="false">IF($A46="","",IF(ISNUMBER($M46),SUMIFS(Del_Qty,Del_Site,$A46,Del_Mat,$B46,Del_Date,"&gt;"&amp;AsOfDate,Del_Date,"&lt;="&amp;$M46),0))</f>
        <v/>
      </c>
      <c r="Q46" s="75" t="str">
        <f aca="false">IF(OR($A46="",$J46&lt;=0),"",IF($P46&gt;0,(MAX(0,$E46)+$N46)/$J46,$L46))</f>
        <v/>
      </c>
      <c r="R46" s="75" t="str">
        <f aca="false">IF($A46="","",IFERROR(INDEX(Mat_Lead,MATCH($B46,Mat_Code,0)),0))</f>
        <v/>
      </c>
      <c r="S46" s="75" t="str">
        <f aca="false">IF($A46="","",IFERROR(INDEX(Mat_Safety,MATCH($B46,Mat_Code,0)),0))</f>
        <v/>
      </c>
      <c r="T46" s="67" t="str">
        <f aca="false">IF($A46="","",$J46*($R46+$S46))</f>
        <v/>
      </c>
      <c r="U46" s="76" t="str">
        <f aca="false">IF($A46="","",IF($E46&lt;=0,"OUT OF STOCK",IF($J46&lt;=0,"NO USAGE",IF($Q46&lt;=$R46,"CRITICAL",IF($Q46&lt;=$R46+$S46,"REORDER","OK")))))</f>
        <v/>
      </c>
      <c r="V46" s="73" t="str">
        <f aca="false">IF(OR($A46="",$U46="NO USAGE"),"",IF(OR($U46="OUT OF STOCK",$Q46&lt;=$R46+$S46),"NOW",WORKDAY.INTL(AsOfDate,INT($Q46-$R46-$S46),WeekendMask,Holidays)))</f>
        <v/>
      </c>
      <c r="W46" s="73" t="str">
        <f aca="false">IF(OR($A46="",$U46="NO USAGE"),"",IF(OR($U46="OUT OF STOCK",$Q46&lt;=$R46),"NOW",WORKDAY.INTL(AsOfDate,ROUNDUP($Q46-$R46,0),WeekendMask,Holidays)))</f>
        <v/>
      </c>
      <c r="X46" s="77" t="str">
        <f aca="false">IF($A46="","",IF(OR($U46="CRITICAL",$U46="REORDER",$U46="OUT OF STOCK"),IF($F46&gt;0,ROUNDUP(MAX(0,$F46-MAX(0,MAX(0,$E46)+$N46-$J46*$R46)),0),"Set capacity"),0))</f>
        <v/>
      </c>
      <c r="Y46" s="16" t="str">
        <f aca="false">IF($A46="","",IF($U46="OUT OF STOCK","Out of stock – production at risk."&amp;IF($N46&gt;0," Next delivery "&amp;TEXT($O46,"ddd dd-mmm")&amp;": expedite it."," Order and expedite now."),IF($U46="CRITICAL",IF(AND($N46&gt;0,$P46&lt;=0),"URGENT – runs out about "&amp;TEXT($M46,"ddd dd-mmm")&amp;", before the next delivery ("&amp;TEXT($O46,"ddd dd-mmm")&amp;"). Expedite it.","URGENT – runs out about "&amp;TEXT($M46,"ddd dd-mmm")&amp;"; a normal order takes "&amp;$R46&amp;" days. Order and expedite now."),IF($U46="REORDER","Order now (about "&amp;TEXT($X46,"#,##0")&amp;" "&amp;$D46&amp;") – becomes critical "&amp;TEXT($W46,"ddd dd-mmm")&amp;".",IF($U46="NO USAGE","No planned or recent usage.","OK – next order by "&amp;TEXT($V46,"ddd dd-mmm")&amp;IF($N46&gt;0,"; "&amp;TEXT($N46,"#,##0")&amp;" "&amp;$D46&amp;" on order (next "&amp;TEXT($O46,"dd-mmm")&amp;")","")&amp;".")))))</f>
        <v/>
      </c>
      <c r="Z46" s="78" t="n">
        <f aca="false">IF(OR($A46="",$V46=""),1000000000,IF($V46="NOW",AsOfDate,$V46))</f>
        <v>1000000000</v>
      </c>
      <c r="AA46" s="78" t="n">
        <f aca="false">IF(OR($A46="",$W46=""),1000000000,IF($W46="NOW",AsOfDate,$W46))</f>
        <v>1000000000</v>
      </c>
      <c r="AB46" s="78" t="n">
        <f aca="false">IF(OR($A46="",$M46=""),1000000000,IF($M46="OUT",AsOfDate,$M46))</f>
        <v>1000000000</v>
      </c>
    </row>
    <row r="47" customFormat="false" ht="15" hidden="false" customHeight="false" outlineLevel="0" collapsed="false">
      <c r="A47" s="16" t="str">
        <f aca="false">IF(ISNUMBER('Current Inventory'!$J47),'Current Inventory'!$A47,"")</f>
        <v/>
      </c>
      <c r="B47" s="64" t="str">
        <f aca="false">IF($A47="","",'Current Inventory'!$B47)</f>
        <v/>
      </c>
      <c r="C47" s="16" t="str">
        <f aca="false">IF($A47="","",'Current Inventory'!$C47)</f>
        <v/>
      </c>
      <c r="D47" s="64" t="str">
        <f aca="false">IF($A47="","",'Current Inventory'!$D47)</f>
        <v/>
      </c>
      <c r="E47" s="67" t="str">
        <f aca="false">IF($A47="","",'Current Inventory'!$J47)</f>
        <v/>
      </c>
      <c r="F47" s="67" t="str">
        <f aca="false">IF($A47="","",N('Current Inventory'!$G47))</f>
        <v/>
      </c>
      <c r="G47" s="69" t="str">
        <f aca="false">IF($A47="","",'Current Inventory'!$K47)</f>
        <v/>
      </c>
      <c r="H47" s="67" t="str">
        <f aca="false">IF($A47="","",IFERROR(SUMIFS(INDEX(PP_Daily,0,MATCH($B47,Mat_Code,0)),PP_Site,$A47),0))</f>
        <v/>
      </c>
      <c r="I47" s="67" t="str">
        <f aca="false">IF($A47="","",IFERROR(SUMIFS(INDEX(Con_Use,0,MATCH($B47,Mat_Code,0)),Con_Site,$A47,Con_Date,"&gt;"&amp;(AsOfDate-7),Con_Date,"&lt;="&amp;AsOfDate)/MAX(1,NETWORKDAYS.INTL(AsOfDate-6,AsOfDate,WeekendMask,Holidays)),0))</f>
        <v/>
      </c>
      <c r="J47" s="67" t="str">
        <f aca="false">IF($A47="","",IF($H47&gt;0,$H47,$I47))</f>
        <v/>
      </c>
      <c r="K47" s="64" t="str">
        <f aca="false">IF($A47="","",IF($H47&gt;0,"Plan",IF($I47&gt;0,"Actual 7-day avg","No usage")))</f>
        <v/>
      </c>
      <c r="L47" s="72" t="str">
        <f aca="false">IF($A47="","",IF($J47&gt;0,MAX(0,$E47)/$J47,""))</f>
        <v/>
      </c>
      <c r="M47" s="73" t="str">
        <f aca="false">IF(OR($A47="",$L47=""),"",IF($E47&lt;=0,"OUT",WORKDAY.INTL(AsOfDate,ROUNDUP($L47,0),WeekendMask,Holidays)))</f>
        <v/>
      </c>
      <c r="N47" s="74" t="str">
        <f aca="false">IF($A47="","",SUMIFS(Del_Qty,Del_Site,$A47,Del_Mat,$B47,Del_Date,"&gt;"&amp;AsOfDate))</f>
        <v/>
      </c>
      <c r="O47" s="73" t="str">
        <f aca="false">IF(OR($A47="",N($N47)&lt;=0),"",SUMPRODUCT(MIN((Del_Site=$A47)*(Del_Mat=$B47)*(Del_Date&gt;AsOfDate)*Del_Date+(1-(Del_Site=$A47)*(Del_Mat=$B47)*(Del_Date&gt;AsOfDate))*1000000000)))</f>
        <v/>
      </c>
      <c r="P47" s="74" t="str">
        <f aca="false">IF($A47="","",IF(ISNUMBER($M47),SUMIFS(Del_Qty,Del_Site,$A47,Del_Mat,$B47,Del_Date,"&gt;"&amp;AsOfDate,Del_Date,"&lt;="&amp;$M47),0))</f>
        <v/>
      </c>
      <c r="Q47" s="75" t="str">
        <f aca="false">IF(OR($A47="",$J47&lt;=0),"",IF($P47&gt;0,(MAX(0,$E47)+$N47)/$J47,$L47))</f>
        <v/>
      </c>
      <c r="R47" s="75" t="str">
        <f aca="false">IF($A47="","",IFERROR(INDEX(Mat_Lead,MATCH($B47,Mat_Code,0)),0))</f>
        <v/>
      </c>
      <c r="S47" s="75" t="str">
        <f aca="false">IF($A47="","",IFERROR(INDEX(Mat_Safety,MATCH($B47,Mat_Code,0)),0))</f>
        <v/>
      </c>
      <c r="T47" s="67" t="str">
        <f aca="false">IF($A47="","",$J47*($R47+$S47))</f>
        <v/>
      </c>
      <c r="U47" s="76" t="str">
        <f aca="false">IF($A47="","",IF($E47&lt;=0,"OUT OF STOCK",IF($J47&lt;=0,"NO USAGE",IF($Q47&lt;=$R47,"CRITICAL",IF($Q47&lt;=$R47+$S47,"REORDER","OK")))))</f>
        <v/>
      </c>
      <c r="V47" s="73" t="str">
        <f aca="false">IF(OR($A47="",$U47="NO USAGE"),"",IF(OR($U47="OUT OF STOCK",$Q47&lt;=$R47+$S47),"NOW",WORKDAY.INTL(AsOfDate,INT($Q47-$R47-$S47),WeekendMask,Holidays)))</f>
        <v/>
      </c>
      <c r="W47" s="73" t="str">
        <f aca="false">IF(OR($A47="",$U47="NO USAGE"),"",IF(OR($U47="OUT OF STOCK",$Q47&lt;=$R47),"NOW",WORKDAY.INTL(AsOfDate,ROUNDUP($Q47-$R47,0),WeekendMask,Holidays)))</f>
        <v/>
      </c>
      <c r="X47" s="77" t="str">
        <f aca="false">IF($A47="","",IF(OR($U47="CRITICAL",$U47="REORDER",$U47="OUT OF STOCK"),IF($F47&gt;0,ROUNDUP(MAX(0,$F47-MAX(0,MAX(0,$E47)+$N47-$J47*$R47)),0),"Set capacity"),0))</f>
        <v/>
      </c>
      <c r="Y47" s="16" t="str">
        <f aca="false">IF($A47="","",IF($U47="OUT OF STOCK","Out of stock – production at risk."&amp;IF($N47&gt;0," Next delivery "&amp;TEXT($O47,"ddd dd-mmm")&amp;": expedite it."," Order and expedite now."),IF($U47="CRITICAL",IF(AND($N47&gt;0,$P47&lt;=0),"URGENT – runs out about "&amp;TEXT($M47,"ddd dd-mmm")&amp;", before the next delivery ("&amp;TEXT($O47,"ddd dd-mmm")&amp;"). Expedite it.","URGENT – runs out about "&amp;TEXT($M47,"ddd dd-mmm")&amp;"; a normal order takes "&amp;$R47&amp;" days. Order and expedite now."),IF($U47="REORDER","Order now (about "&amp;TEXT($X47,"#,##0")&amp;" "&amp;$D47&amp;") – becomes critical "&amp;TEXT($W47,"ddd dd-mmm")&amp;".",IF($U47="NO USAGE","No planned or recent usage.","OK – next order by "&amp;TEXT($V47,"ddd dd-mmm")&amp;IF($N47&gt;0,"; "&amp;TEXT($N47,"#,##0")&amp;" "&amp;$D47&amp;" on order (next "&amp;TEXT($O47,"dd-mmm")&amp;")","")&amp;".")))))</f>
        <v/>
      </c>
      <c r="Z47" s="78" t="n">
        <f aca="false">IF(OR($A47="",$V47=""),1000000000,IF($V47="NOW",AsOfDate,$V47))</f>
        <v>1000000000</v>
      </c>
      <c r="AA47" s="78" t="n">
        <f aca="false">IF(OR($A47="",$W47=""),1000000000,IF($W47="NOW",AsOfDate,$W47))</f>
        <v>1000000000</v>
      </c>
      <c r="AB47" s="78" t="n">
        <f aca="false">IF(OR($A47="",$M47=""),1000000000,IF($M47="OUT",AsOfDate,$M47))</f>
        <v>1000000000</v>
      </c>
    </row>
    <row r="48" customFormat="false" ht="15" hidden="false" customHeight="false" outlineLevel="0" collapsed="false">
      <c r="A48" s="16" t="str">
        <f aca="false">IF(ISNUMBER('Current Inventory'!$J48),'Current Inventory'!$A48,"")</f>
        <v/>
      </c>
      <c r="B48" s="64" t="str">
        <f aca="false">IF($A48="","",'Current Inventory'!$B48)</f>
        <v/>
      </c>
      <c r="C48" s="16" t="str">
        <f aca="false">IF($A48="","",'Current Inventory'!$C48)</f>
        <v/>
      </c>
      <c r="D48" s="64" t="str">
        <f aca="false">IF($A48="","",'Current Inventory'!$D48)</f>
        <v/>
      </c>
      <c r="E48" s="67" t="str">
        <f aca="false">IF($A48="","",'Current Inventory'!$J48)</f>
        <v/>
      </c>
      <c r="F48" s="67" t="str">
        <f aca="false">IF($A48="","",N('Current Inventory'!$G48))</f>
        <v/>
      </c>
      <c r="G48" s="69" t="str">
        <f aca="false">IF($A48="","",'Current Inventory'!$K48)</f>
        <v/>
      </c>
      <c r="H48" s="67" t="str">
        <f aca="false">IF($A48="","",IFERROR(SUMIFS(INDEX(PP_Daily,0,MATCH($B48,Mat_Code,0)),PP_Site,$A48),0))</f>
        <v/>
      </c>
      <c r="I48" s="67" t="str">
        <f aca="false">IF($A48="","",IFERROR(SUMIFS(INDEX(Con_Use,0,MATCH($B48,Mat_Code,0)),Con_Site,$A48,Con_Date,"&gt;"&amp;(AsOfDate-7),Con_Date,"&lt;="&amp;AsOfDate)/MAX(1,NETWORKDAYS.INTL(AsOfDate-6,AsOfDate,WeekendMask,Holidays)),0))</f>
        <v/>
      </c>
      <c r="J48" s="67" t="str">
        <f aca="false">IF($A48="","",IF($H48&gt;0,$H48,$I48))</f>
        <v/>
      </c>
      <c r="K48" s="64" t="str">
        <f aca="false">IF($A48="","",IF($H48&gt;0,"Plan",IF($I48&gt;0,"Actual 7-day avg","No usage")))</f>
        <v/>
      </c>
      <c r="L48" s="72" t="str">
        <f aca="false">IF($A48="","",IF($J48&gt;0,MAX(0,$E48)/$J48,""))</f>
        <v/>
      </c>
      <c r="M48" s="73" t="str">
        <f aca="false">IF(OR($A48="",$L48=""),"",IF($E48&lt;=0,"OUT",WORKDAY.INTL(AsOfDate,ROUNDUP($L48,0),WeekendMask,Holidays)))</f>
        <v/>
      </c>
      <c r="N48" s="74" t="str">
        <f aca="false">IF($A48="","",SUMIFS(Del_Qty,Del_Site,$A48,Del_Mat,$B48,Del_Date,"&gt;"&amp;AsOfDate))</f>
        <v/>
      </c>
      <c r="O48" s="73" t="str">
        <f aca="false">IF(OR($A48="",N($N48)&lt;=0),"",SUMPRODUCT(MIN((Del_Site=$A48)*(Del_Mat=$B48)*(Del_Date&gt;AsOfDate)*Del_Date+(1-(Del_Site=$A48)*(Del_Mat=$B48)*(Del_Date&gt;AsOfDate))*1000000000)))</f>
        <v/>
      </c>
      <c r="P48" s="74" t="str">
        <f aca="false">IF($A48="","",IF(ISNUMBER($M48),SUMIFS(Del_Qty,Del_Site,$A48,Del_Mat,$B48,Del_Date,"&gt;"&amp;AsOfDate,Del_Date,"&lt;="&amp;$M48),0))</f>
        <v/>
      </c>
      <c r="Q48" s="75" t="str">
        <f aca="false">IF(OR($A48="",$J48&lt;=0),"",IF($P48&gt;0,(MAX(0,$E48)+$N48)/$J48,$L48))</f>
        <v/>
      </c>
      <c r="R48" s="75" t="str">
        <f aca="false">IF($A48="","",IFERROR(INDEX(Mat_Lead,MATCH($B48,Mat_Code,0)),0))</f>
        <v/>
      </c>
      <c r="S48" s="75" t="str">
        <f aca="false">IF($A48="","",IFERROR(INDEX(Mat_Safety,MATCH($B48,Mat_Code,0)),0))</f>
        <v/>
      </c>
      <c r="T48" s="67" t="str">
        <f aca="false">IF($A48="","",$J48*($R48+$S48))</f>
        <v/>
      </c>
      <c r="U48" s="76" t="str">
        <f aca="false">IF($A48="","",IF($E48&lt;=0,"OUT OF STOCK",IF($J48&lt;=0,"NO USAGE",IF($Q48&lt;=$R48,"CRITICAL",IF($Q48&lt;=$R48+$S48,"REORDER","OK")))))</f>
        <v/>
      </c>
      <c r="V48" s="73" t="str">
        <f aca="false">IF(OR($A48="",$U48="NO USAGE"),"",IF(OR($U48="OUT OF STOCK",$Q48&lt;=$R48+$S48),"NOW",WORKDAY.INTL(AsOfDate,INT($Q48-$R48-$S48),WeekendMask,Holidays)))</f>
        <v/>
      </c>
      <c r="W48" s="73" t="str">
        <f aca="false">IF(OR($A48="",$U48="NO USAGE"),"",IF(OR($U48="OUT OF STOCK",$Q48&lt;=$R48),"NOW",WORKDAY.INTL(AsOfDate,ROUNDUP($Q48-$R48,0),WeekendMask,Holidays)))</f>
        <v/>
      </c>
      <c r="X48" s="77" t="str">
        <f aca="false">IF($A48="","",IF(OR($U48="CRITICAL",$U48="REORDER",$U48="OUT OF STOCK"),IF($F48&gt;0,ROUNDUP(MAX(0,$F48-MAX(0,MAX(0,$E48)+$N48-$J48*$R48)),0),"Set capacity"),0))</f>
        <v/>
      </c>
      <c r="Y48" s="16" t="str">
        <f aca="false">IF($A48="","",IF($U48="OUT OF STOCK","Out of stock – production at risk."&amp;IF($N48&gt;0," Next delivery "&amp;TEXT($O48,"ddd dd-mmm")&amp;": expedite it."," Order and expedite now."),IF($U48="CRITICAL",IF(AND($N48&gt;0,$P48&lt;=0),"URGENT – runs out about "&amp;TEXT($M48,"ddd dd-mmm")&amp;", before the next delivery ("&amp;TEXT($O48,"ddd dd-mmm")&amp;"). Expedite it.","URGENT – runs out about "&amp;TEXT($M48,"ddd dd-mmm")&amp;"; a normal order takes "&amp;$R48&amp;" days. Order and expedite now."),IF($U48="REORDER","Order now (about "&amp;TEXT($X48,"#,##0")&amp;" "&amp;$D48&amp;") – becomes critical "&amp;TEXT($W48,"ddd dd-mmm")&amp;".",IF($U48="NO USAGE","No planned or recent usage.","OK – next order by "&amp;TEXT($V48,"ddd dd-mmm")&amp;IF($N48&gt;0,"; "&amp;TEXT($N48,"#,##0")&amp;" "&amp;$D48&amp;" on order (next "&amp;TEXT($O48,"dd-mmm")&amp;")","")&amp;".")))))</f>
        <v/>
      </c>
      <c r="Z48" s="78" t="n">
        <f aca="false">IF(OR($A48="",$V48=""),1000000000,IF($V48="NOW",AsOfDate,$V48))</f>
        <v>1000000000</v>
      </c>
      <c r="AA48" s="78" t="n">
        <f aca="false">IF(OR($A48="",$W48=""),1000000000,IF($W48="NOW",AsOfDate,$W48))</f>
        <v>1000000000</v>
      </c>
      <c r="AB48" s="78" t="n">
        <f aca="false">IF(OR($A48="",$M48=""),1000000000,IF($M48="OUT",AsOfDate,$M48))</f>
        <v>1000000000</v>
      </c>
    </row>
    <row r="49" customFormat="false" ht="15" hidden="false" customHeight="false" outlineLevel="0" collapsed="false">
      <c r="A49" s="16" t="str">
        <f aca="false">IF(ISNUMBER('Current Inventory'!$J49),'Current Inventory'!$A49,"")</f>
        <v/>
      </c>
      <c r="B49" s="64" t="str">
        <f aca="false">IF($A49="","",'Current Inventory'!$B49)</f>
        <v/>
      </c>
      <c r="C49" s="16" t="str">
        <f aca="false">IF($A49="","",'Current Inventory'!$C49)</f>
        <v/>
      </c>
      <c r="D49" s="64" t="str">
        <f aca="false">IF($A49="","",'Current Inventory'!$D49)</f>
        <v/>
      </c>
      <c r="E49" s="67" t="str">
        <f aca="false">IF($A49="","",'Current Inventory'!$J49)</f>
        <v/>
      </c>
      <c r="F49" s="67" t="str">
        <f aca="false">IF($A49="","",N('Current Inventory'!$G49))</f>
        <v/>
      </c>
      <c r="G49" s="69" t="str">
        <f aca="false">IF($A49="","",'Current Inventory'!$K49)</f>
        <v/>
      </c>
      <c r="H49" s="67" t="str">
        <f aca="false">IF($A49="","",IFERROR(SUMIFS(INDEX(PP_Daily,0,MATCH($B49,Mat_Code,0)),PP_Site,$A49),0))</f>
        <v/>
      </c>
      <c r="I49" s="67" t="str">
        <f aca="false">IF($A49="","",IFERROR(SUMIFS(INDEX(Con_Use,0,MATCH($B49,Mat_Code,0)),Con_Site,$A49,Con_Date,"&gt;"&amp;(AsOfDate-7),Con_Date,"&lt;="&amp;AsOfDate)/MAX(1,NETWORKDAYS.INTL(AsOfDate-6,AsOfDate,WeekendMask,Holidays)),0))</f>
        <v/>
      </c>
      <c r="J49" s="67" t="str">
        <f aca="false">IF($A49="","",IF($H49&gt;0,$H49,$I49))</f>
        <v/>
      </c>
      <c r="K49" s="64" t="str">
        <f aca="false">IF($A49="","",IF($H49&gt;0,"Plan",IF($I49&gt;0,"Actual 7-day avg","No usage")))</f>
        <v/>
      </c>
      <c r="L49" s="72" t="str">
        <f aca="false">IF($A49="","",IF($J49&gt;0,MAX(0,$E49)/$J49,""))</f>
        <v/>
      </c>
      <c r="M49" s="73" t="str">
        <f aca="false">IF(OR($A49="",$L49=""),"",IF($E49&lt;=0,"OUT",WORKDAY.INTL(AsOfDate,ROUNDUP($L49,0),WeekendMask,Holidays)))</f>
        <v/>
      </c>
      <c r="N49" s="74" t="str">
        <f aca="false">IF($A49="","",SUMIFS(Del_Qty,Del_Site,$A49,Del_Mat,$B49,Del_Date,"&gt;"&amp;AsOfDate))</f>
        <v/>
      </c>
      <c r="O49" s="73" t="str">
        <f aca="false">IF(OR($A49="",N($N49)&lt;=0),"",SUMPRODUCT(MIN((Del_Site=$A49)*(Del_Mat=$B49)*(Del_Date&gt;AsOfDate)*Del_Date+(1-(Del_Site=$A49)*(Del_Mat=$B49)*(Del_Date&gt;AsOfDate))*1000000000)))</f>
        <v/>
      </c>
      <c r="P49" s="74" t="str">
        <f aca="false">IF($A49="","",IF(ISNUMBER($M49),SUMIFS(Del_Qty,Del_Site,$A49,Del_Mat,$B49,Del_Date,"&gt;"&amp;AsOfDate,Del_Date,"&lt;="&amp;$M49),0))</f>
        <v/>
      </c>
      <c r="Q49" s="75" t="str">
        <f aca="false">IF(OR($A49="",$J49&lt;=0),"",IF($P49&gt;0,(MAX(0,$E49)+$N49)/$J49,$L49))</f>
        <v/>
      </c>
      <c r="R49" s="75" t="str">
        <f aca="false">IF($A49="","",IFERROR(INDEX(Mat_Lead,MATCH($B49,Mat_Code,0)),0))</f>
        <v/>
      </c>
      <c r="S49" s="75" t="str">
        <f aca="false">IF($A49="","",IFERROR(INDEX(Mat_Safety,MATCH($B49,Mat_Code,0)),0))</f>
        <v/>
      </c>
      <c r="T49" s="67" t="str">
        <f aca="false">IF($A49="","",$J49*($R49+$S49))</f>
        <v/>
      </c>
      <c r="U49" s="76" t="str">
        <f aca="false">IF($A49="","",IF($E49&lt;=0,"OUT OF STOCK",IF($J49&lt;=0,"NO USAGE",IF($Q49&lt;=$R49,"CRITICAL",IF($Q49&lt;=$R49+$S49,"REORDER","OK")))))</f>
        <v/>
      </c>
      <c r="V49" s="73" t="str">
        <f aca="false">IF(OR($A49="",$U49="NO USAGE"),"",IF(OR($U49="OUT OF STOCK",$Q49&lt;=$R49+$S49),"NOW",WORKDAY.INTL(AsOfDate,INT($Q49-$R49-$S49),WeekendMask,Holidays)))</f>
        <v/>
      </c>
      <c r="W49" s="73" t="str">
        <f aca="false">IF(OR($A49="",$U49="NO USAGE"),"",IF(OR($U49="OUT OF STOCK",$Q49&lt;=$R49),"NOW",WORKDAY.INTL(AsOfDate,ROUNDUP($Q49-$R49,0),WeekendMask,Holidays)))</f>
        <v/>
      </c>
      <c r="X49" s="77" t="str">
        <f aca="false">IF($A49="","",IF(OR($U49="CRITICAL",$U49="REORDER",$U49="OUT OF STOCK"),IF($F49&gt;0,ROUNDUP(MAX(0,$F49-MAX(0,MAX(0,$E49)+$N49-$J49*$R49)),0),"Set capacity"),0))</f>
        <v/>
      </c>
      <c r="Y49" s="16" t="str">
        <f aca="false">IF($A49="","",IF($U49="OUT OF STOCK","Out of stock – production at risk."&amp;IF($N49&gt;0," Next delivery "&amp;TEXT($O49,"ddd dd-mmm")&amp;": expedite it."," Order and expedite now."),IF($U49="CRITICAL",IF(AND($N49&gt;0,$P49&lt;=0),"URGENT – runs out about "&amp;TEXT($M49,"ddd dd-mmm")&amp;", before the next delivery ("&amp;TEXT($O49,"ddd dd-mmm")&amp;"). Expedite it.","URGENT – runs out about "&amp;TEXT($M49,"ddd dd-mmm")&amp;"; a normal order takes "&amp;$R49&amp;" days. Order and expedite now."),IF($U49="REORDER","Order now (about "&amp;TEXT($X49,"#,##0")&amp;" "&amp;$D49&amp;") – becomes critical "&amp;TEXT($W49,"ddd dd-mmm")&amp;".",IF($U49="NO USAGE","No planned or recent usage.","OK – next order by "&amp;TEXT($V49,"ddd dd-mmm")&amp;IF($N49&gt;0,"; "&amp;TEXT($N49,"#,##0")&amp;" "&amp;$D49&amp;" on order (next "&amp;TEXT($O49,"dd-mmm")&amp;")","")&amp;".")))))</f>
        <v/>
      </c>
      <c r="Z49" s="78" t="n">
        <f aca="false">IF(OR($A49="",$V49=""),1000000000,IF($V49="NOW",AsOfDate,$V49))</f>
        <v>1000000000</v>
      </c>
      <c r="AA49" s="78" t="n">
        <f aca="false">IF(OR($A49="",$W49=""),1000000000,IF($W49="NOW",AsOfDate,$W49))</f>
        <v>1000000000</v>
      </c>
      <c r="AB49" s="78" t="n">
        <f aca="false">IF(OR($A49="",$M49=""),1000000000,IF($M49="OUT",AsOfDate,$M49))</f>
        <v>1000000000</v>
      </c>
    </row>
    <row r="50" customFormat="false" ht="15" hidden="false" customHeight="false" outlineLevel="0" collapsed="false">
      <c r="A50" s="16" t="str">
        <f aca="false">IF(ISNUMBER('Current Inventory'!$J50),'Current Inventory'!$A50,"")</f>
        <v/>
      </c>
      <c r="B50" s="64" t="str">
        <f aca="false">IF($A50="","",'Current Inventory'!$B50)</f>
        <v/>
      </c>
      <c r="C50" s="16" t="str">
        <f aca="false">IF($A50="","",'Current Inventory'!$C50)</f>
        <v/>
      </c>
      <c r="D50" s="64" t="str">
        <f aca="false">IF($A50="","",'Current Inventory'!$D50)</f>
        <v/>
      </c>
      <c r="E50" s="67" t="str">
        <f aca="false">IF($A50="","",'Current Inventory'!$J50)</f>
        <v/>
      </c>
      <c r="F50" s="67" t="str">
        <f aca="false">IF($A50="","",N('Current Inventory'!$G50))</f>
        <v/>
      </c>
      <c r="G50" s="69" t="str">
        <f aca="false">IF($A50="","",'Current Inventory'!$K50)</f>
        <v/>
      </c>
      <c r="H50" s="67" t="str">
        <f aca="false">IF($A50="","",IFERROR(SUMIFS(INDEX(PP_Daily,0,MATCH($B50,Mat_Code,0)),PP_Site,$A50),0))</f>
        <v/>
      </c>
      <c r="I50" s="67" t="str">
        <f aca="false">IF($A50="","",IFERROR(SUMIFS(INDEX(Con_Use,0,MATCH($B50,Mat_Code,0)),Con_Site,$A50,Con_Date,"&gt;"&amp;(AsOfDate-7),Con_Date,"&lt;="&amp;AsOfDate)/MAX(1,NETWORKDAYS.INTL(AsOfDate-6,AsOfDate,WeekendMask,Holidays)),0))</f>
        <v/>
      </c>
      <c r="J50" s="67" t="str">
        <f aca="false">IF($A50="","",IF($H50&gt;0,$H50,$I50))</f>
        <v/>
      </c>
      <c r="K50" s="64" t="str">
        <f aca="false">IF($A50="","",IF($H50&gt;0,"Plan",IF($I50&gt;0,"Actual 7-day avg","No usage")))</f>
        <v/>
      </c>
      <c r="L50" s="72" t="str">
        <f aca="false">IF($A50="","",IF($J50&gt;0,MAX(0,$E50)/$J50,""))</f>
        <v/>
      </c>
      <c r="M50" s="73" t="str">
        <f aca="false">IF(OR($A50="",$L50=""),"",IF($E50&lt;=0,"OUT",WORKDAY.INTL(AsOfDate,ROUNDUP($L50,0),WeekendMask,Holidays)))</f>
        <v/>
      </c>
      <c r="N50" s="74" t="str">
        <f aca="false">IF($A50="","",SUMIFS(Del_Qty,Del_Site,$A50,Del_Mat,$B50,Del_Date,"&gt;"&amp;AsOfDate))</f>
        <v/>
      </c>
      <c r="O50" s="73" t="str">
        <f aca="false">IF(OR($A50="",N($N50)&lt;=0),"",SUMPRODUCT(MIN((Del_Site=$A50)*(Del_Mat=$B50)*(Del_Date&gt;AsOfDate)*Del_Date+(1-(Del_Site=$A50)*(Del_Mat=$B50)*(Del_Date&gt;AsOfDate))*1000000000)))</f>
        <v/>
      </c>
      <c r="P50" s="74" t="str">
        <f aca="false">IF($A50="","",IF(ISNUMBER($M50),SUMIFS(Del_Qty,Del_Site,$A50,Del_Mat,$B50,Del_Date,"&gt;"&amp;AsOfDate,Del_Date,"&lt;="&amp;$M50),0))</f>
        <v/>
      </c>
      <c r="Q50" s="75" t="str">
        <f aca="false">IF(OR($A50="",$J50&lt;=0),"",IF($P50&gt;0,(MAX(0,$E50)+$N50)/$J50,$L50))</f>
        <v/>
      </c>
      <c r="R50" s="75" t="str">
        <f aca="false">IF($A50="","",IFERROR(INDEX(Mat_Lead,MATCH($B50,Mat_Code,0)),0))</f>
        <v/>
      </c>
      <c r="S50" s="75" t="str">
        <f aca="false">IF($A50="","",IFERROR(INDEX(Mat_Safety,MATCH($B50,Mat_Code,0)),0))</f>
        <v/>
      </c>
      <c r="T50" s="67" t="str">
        <f aca="false">IF($A50="","",$J50*($R50+$S50))</f>
        <v/>
      </c>
      <c r="U50" s="76" t="str">
        <f aca="false">IF($A50="","",IF($E50&lt;=0,"OUT OF STOCK",IF($J50&lt;=0,"NO USAGE",IF($Q50&lt;=$R50,"CRITICAL",IF($Q50&lt;=$R50+$S50,"REORDER","OK")))))</f>
        <v/>
      </c>
      <c r="V50" s="73" t="str">
        <f aca="false">IF(OR($A50="",$U50="NO USAGE"),"",IF(OR($U50="OUT OF STOCK",$Q50&lt;=$R50+$S50),"NOW",WORKDAY.INTL(AsOfDate,INT($Q50-$R50-$S50),WeekendMask,Holidays)))</f>
        <v/>
      </c>
      <c r="W50" s="73" t="str">
        <f aca="false">IF(OR($A50="",$U50="NO USAGE"),"",IF(OR($U50="OUT OF STOCK",$Q50&lt;=$R50),"NOW",WORKDAY.INTL(AsOfDate,ROUNDUP($Q50-$R50,0),WeekendMask,Holidays)))</f>
        <v/>
      </c>
      <c r="X50" s="77" t="str">
        <f aca="false">IF($A50="","",IF(OR($U50="CRITICAL",$U50="REORDER",$U50="OUT OF STOCK"),IF($F50&gt;0,ROUNDUP(MAX(0,$F50-MAX(0,MAX(0,$E50)+$N50-$J50*$R50)),0),"Set capacity"),0))</f>
        <v/>
      </c>
      <c r="Y50" s="16" t="str">
        <f aca="false">IF($A50="","",IF($U50="OUT OF STOCK","Out of stock – production at risk."&amp;IF($N50&gt;0," Next delivery "&amp;TEXT($O50,"ddd dd-mmm")&amp;": expedite it."," Order and expedite now."),IF($U50="CRITICAL",IF(AND($N50&gt;0,$P50&lt;=0),"URGENT – runs out about "&amp;TEXT($M50,"ddd dd-mmm")&amp;", before the next delivery ("&amp;TEXT($O50,"ddd dd-mmm")&amp;"). Expedite it.","URGENT – runs out about "&amp;TEXT($M50,"ddd dd-mmm")&amp;"; a normal order takes "&amp;$R50&amp;" days. Order and expedite now."),IF($U50="REORDER","Order now (about "&amp;TEXT($X50,"#,##0")&amp;" "&amp;$D50&amp;") – becomes critical "&amp;TEXT($W50,"ddd dd-mmm")&amp;".",IF($U50="NO USAGE","No planned or recent usage.","OK – next order by "&amp;TEXT($V50,"ddd dd-mmm")&amp;IF($N50&gt;0,"; "&amp;TEXT($N50,"#,##0")&amp;" "&amp;$D50&amp;" on order (next "&amp;TEXT($O50,"dd-mmm")&amp;")","")&amp;".")))))</f>
        <v/>
      </c>
      <c r="Z50" s="78" t="n">
        <f aca="false">IF(OR($A50="",$V50=""),1000000000,IF($V50="NOW",AsOfDate,$V50))</f>
        <v>1000000000</v>
      </c>
      <c r="AA50" s="78" t="n">
        <f aca="false">IF(OR($A50="",$W50=""),1000000000,IF($W50="NOW",AsOfDate,$W50))</f>
        <v>1000000000</v>
      </c>
      <c r="AB50" s="78" t="n">
        <f aca="false">IF(OR($A50="",$M50=""),1000000000,IF($M50="OUT",AsOfDate,$M50))</f>
        <v>1000000000</v>
      </c>
    </row>
    <row r="51" customFormat="false" ht="15" hidden="false" customHeight="false" outlineLevel="0" collapsed="false">
      <c r="A51" s="16" t="str">
        <f aca="false">IF(ISNUMBER('Current Inventory'!$J51),'Current Inventory'!$A51,"")</f>
        <v/>
      </c>
      <c r="B51" s="64" t="str">
        <f aca="false">IF($A51="","",'Current Inventory'!$B51)</f>
        <v/>
      </c>
      <c r="C51" s="16" t="str">
        <f aca="false">IF($A51="","",'Current Inventory'!$C51)</f>
        <v/>
      </c>
      <c r="D51" s="64" t="str">
        <f aca="false">IF($A51="","",'Current Inventory'!$D51)</f>
        <v/>
      </c>
      <c r="E51" s="67" t="str">
        <f aca="false">IF($A51="","",'Current Inventory'!$J51)</f>
        <v/>
      </c>
      <c r="F51" s="67" t="str">
        <f aca="false">IF($A51="","",N('Current Inventory'!$G51))</f>
        <v/>
      </c>
      <c r="G51" s="69" t="str">
        <f aca="false">IF($A51="","",'Current Inventory'!$K51)</f>
        <v/>
      </c>
      <c r="H51" s="67" t="str">
        <f aca="false">IF($A51="","",IFERROR(SUMIFS(INDEX(PP_Daily,0,MATCH($B51,Mat_Code,0)),PP_Site,$A51),0))</f>
        <v/>
      </c>
      <c r="I51" s="67" t="str">
        <f aca="false">IF($A51="","",IFERROR(SUMIFS(INDEX(Con_Use,0,MATCH($B51,Mat_Code,0)),Con_Site,$A51,Con_Date,"&gt;"&amp;(AsOfDate-7),Con_Date,"&lt;="&amp;AsOfDate)/MAX(1,NETWORKDAYS.INTL(AsOfDate-6,AsOfDate,WeekendMask,Holidays)),0))</f>
        <v/>
      </c>
      <c r="J51" s="67" t="str">
        <f aca="false">IF($A51="","",IF($H51&gt;0,$H51,$I51))</f>
        <v/>
      </c>
      <c r="K51" s="64" t="str">
        <f aca="false">IF($A51="","",IF($H51&gt;0,"Plan",IF($I51&gt;0,"Actual 7-day avg","No usage")))</f>
        <v/>
      </c>
      <c r="L51" s="72" t="str">
        <f aca="false">IF($A51="","",IF($J51&gt;0,MAX(0,$E51)/$J51,""))</f>
        <v/>
      </c>
      <c r="M51" s="73" t="str">
        <f aca="false">IF(OR($A51="",$L51=""),"",IF($E51&lt;=0,"OUT",WORKDAY.INTL(AsOfDate,ROUNDUP($L51,0),WeekendMask,Holidays)))</f>
        <v/>
      </c>
      <c r="N51" s="74" t="str">
        <f aca="false">IF($A51="","",SUMIFS(Del_Qty,Del_Site,$A51,Del_Mat,$B51,Del_Date,"&gt;"&amp;AsOfDate))</f>
        <v/>
      </c>
      <c r="O51" s="73" t="str">
        <f aca="false">IF(OR($A51="",N($N51)&lt;=0),"",SUMPRODUCT(MIN((Del_Site=$A51)*(Del_Mat=$B51)*(Del_Date&gt;AsOfDate)*Del_Date+(1-(Del_Site=$A51)*(Del_Mat=$B51)*(Del_Date&gt;AsOfDate))*1000000000)))</f>
        <v/>
      </c>
      <c r="P51" s="74" t="str">
        <f aca="false">IF($A51="","",IF(ISNUMBER($M51),SUMIFS(Del_Qty,Del_Site,$A51,Del_Mat,$B51,Del_Date,"&gt;"&amp;AsOfDate,Del_Date,"&lt;="&amp;$M51),0))</f>
        <v/>
      </c>
      <c r="Q51" s="75" t="str">
        <f aca="false">IF(OR($A51="",$J51&lt;=0),"",IF($P51&gt;0,(MAX(0,$E51)+$N51)/$J51,$L51))</f>
        <v/>
      </c>
      <c r="R51" s="75" t="str">
        <f aca="false">IF($A51="","",IFERROR(INDEX(Mat_Lead,MATCH($B51,Mat_Code,0)),0))</f>
        <v/>
      </c>
      <c r="S51" s="75" t="str">
        <f aca="false">IF($A51="","",IFERROR(INDEX(Mat_Safety,MATCH($B51,Mat_Code,0)),0))</f>
        <v/>
      </c>
      <c r="T51" s="67" t="str">
        <f aca="false">IF($A51="","",$J51*($R51+$S51))</f>
        <v/>
      </c>
      <c r="U51" s="76" t="str">
        <f aca="false">IF($A51="","",IF($E51&lt;=0,"OUT OF STOCK",IF($J51&lt;=0,"NO USAGE",IF($Q51&lt;=$R51,"CRITICAL",IF($Q51&lt;=$R51+$S51,"REORDER","OK")))))</f>
        <v/>
      </c>
      <c r="V51" s="73" t="str">
        <f aca="false">IF(OR($A51="",$U51="NO USAGE"),"",IF(OR($U51="OUT OF STOCK",$Q51&lt;=$R51+$S51),"NOW",WORKDAY.INTL(AsOfDate,INT($Q51-$R51-$S51),WeekendMask,Holidays)))</f>
        <v/>
      </c>
      <c r="W51" s="73" t="str">
        <f aca="false">IF(OR($A51="",$U51="NO USAGE"),"",IF(OR($U51="OUT OF STOCK",$Q51&lt;=$R51),"NOW",WORKDAY.INTL(AsOfDate,ROUNDUP($Q51-$R51,0),WeekendMask,Holidays)))</f>
        <v/>
      </c>
      <c r="X51" s="77" t="str">
        <f aca="false">IF($A51="","",IF(OR($U51="CRITICAL",$U51="REORDER",$U51="OUT OF STOCK"),IF($F51&gt;0,ROUNDUP(MAX(0,$F51-MAX(0,MAX(0,$E51)+$N51-$J51*$R51)),0),"Set capacity"),0))</f>
        <v/>
      </c>
      <c r="Y51" s="16" t="str">
        <f aca="false">IF($A51="","",IF($U51="OUT OF STOCK","Out of stock – production at risk."&amp;IF($N51&gt;0," Next delivery "&amp;TEXT($O51,"ddd dd-mmm")&amp;": expedite it."," Order and expedite now."),IF($U51="CRITICAL",IF(AND($N51&gt;0,$P51&lt;=0),"URGENT – runs out about "&amp;TEXT($M51,"ddd dd-mmm")&amp;", before the next delivery ("&amp;TEXT($O51,"ddd dd-mmm")&amp;"). Expedite it.","URGENT – runs out about "&amp;TEXT($M51,"ddd dd-mmm")&amp;"; a normal order takes "&amp;$R51&amp;" days. Order and expedite now."),IF($U51="REORDER","Order now (about "&amp;TEXT($X51,"#,##0")&amp;" "&amp;$D51&amp;") – becomes critical "&amp;TEXT($W51,"ddd dd-mmm")&amp;".",IF($U51="NO USAGE","No planned or recent usage.","OK – next order by "&amp;TEXT($V51,"ddd dd-mmm")&amp;IF($N51&gt;0,"; "&amp;TEXT($N51,"#,##0")&amp;" "&amp;$D51&amp;" on order (next "&amp;TEXT($O51,"dd-mmm")&amp;")","")&amp;".")))))</f>
        <v/>
      </c>
      <c r="Z51" s="78" t="n">
        <f aca="false">IF(OR($A51="",$V51=""),1000000000,IF($V51="NOW",AsOfDate,$V51))</f>
        <v>1000000000</v>
      </c>
      <c r="AA51" s="78" t="n">
        <f aca="false">IF(OR($A51="",$W51=""),1000000000,IF($W51="NOW",AsOfDate,$W51))</f>
        <v>1000000000</v>
      </c>
      <c r="AB51" s="78" t="n">
        <f aca="false">IF(OR($A51="",$M51=""),1000000000,IF($M51="OUT",AsOfDate,$M51))</f>
        <v>1000000000</v>
      </c>
    </row>
    <row r="52" customFormat="false" ht="15" hidden="false" customHeight="false" outlineLevel="0" collapsed="false">
      <c r="A52" s="16" t="str">
        <f aca="false">IF(ISNUMBER('Current Inventory'!$J52),'Current Inventory'!$A52,"")</f>
        <v/>
      </c>
      <c r="B52" s="64" t="str">
        <f aca="false">IF($A52="","",'Current Inventory'!$B52)</f>
        <v/>
      </c>
      <c r="C52" s="16" t="str">
        <f aca="false">IF($A52="","",'Current Inventory'!$C52)</f>
        <v/>
      </c>
      <c r="D52" s="64" t="str">
        <f aca="false">IF($A52="","",'Current Inventory'!$D52)</f>
        <v/>
      </c>
      <c r="E52" s="67" t="str">
        <f aca="false">IF($A52="","",'Current Inventory'!$J52)</f>
        <v/>
      </c>
      <c r="F52" s="67" t="str">
        <f aca="false">IF($A52="","",N('Current Inventory'!$G52))</f>
        <v/>
      </c>
      <c r="G52" s="69" t="str">
        <f aca="false">IF($A52="","",'Current Inventory'!$K52)</f>
        <v/>
      </c>
      <c r="H52" s="67" t="str">
        <f aca="false">IF($A52="","",IFERROR(SUMIFS(INDEX(PP_Daily,0,MATCH($B52,Mat_Code,0)),PP_Site,$A52),0))</f>
        <v/>
      </c>
      <c r="I52" s="67" t="str">
        <f aca="false">IF($A52="","",IFERROR(SUMIFS(INDEX(Con_Use,0,MATCH($B52,Mat_Code,0)),Con_Site,$A52,Con_Date,"&gt;"&amp;(AsOfDate-7),Con_Date,"&lt;="&amp;AsOfDate)/MAX(1,NETWORKDAYS.INTL(AsOfDate-6,AsOfDate,WeekendMask,Holidays)),0))</f>
        <v/>
      </c>
      <c r="J52" s="67" t="str">
        <f aca="false">IF($A52="","",IF($H52&gt;0,$H52,$I52))</f>
        <v/>
      </c>
      <c r="K52" s="64" t="str">
        <f aca="false">IF($A52="","",IF($H52&gt;0,"Plan",IF($I52&gt;0,"Actual 7-day avg","No usage")))</f>
        <v/>
      </c>
      <c r="L52" s="72" t="str">
        <f aca="false">IF($A52="","",IF($J52&gt;0,MAX(0,$E52)/$J52,""))</f>
        <v/>
      </c>
      <c r="M52" s="73" t="str">
        <f aca="false">IF(OR($A52="",$L52=""),"",IF($E52&lt;=0,"OUT",WORKDAY.INTL(AsOfDate,ROUNDUP($L52,0),WeekendMask,Holidays)))</f>
        <v/>
      </c>
      <c r="N52" s="74" t="str">
        <f aca="false">IF($A52="","",SUMIFS(Del_Qty,Del_Site,$A52,Del_Mat,$B52,Del_Date,"&gt;"&amp;AsOfDate))</f>
        <v/>
      </c>
      <c r="O52" s="73" t="str">
        <f aca="false">IF(OR($A52="",N($N52)&lt;=0),"",SUMPRODUCT(MIN((Del_Site=$A52)*(Del_Mat=$B52)*(Del_Date&gt;AsOfDate)*Del_Date+(1-(Del_Site=$A52)*(Del_Mat=$B52)*(Del_Date&gt;AsOfDate))*1000000000)))</f>
        <v/>
      </c>
      <c r="P52" s="74" t="str">
        <f aca="false">IF($A52="","",IF(ISNUMBER($M52),SUMIFS(Del_Qty,Del_Site,$A52,Del_Mat,$B52,Del_Date,"&gt;"&amp;AsOfDate,Del_Date,"&lt;="&amp;$M52),0))</f>
        <v/>
      </c>
      <c r="Q52" s="75" t="str">
        <f aca="false">IF(OR($A52="",$J52&lt;=0),"",IF($P52&gt;0,(MAX(0,$E52)+$N52)/$J52,$L52))</f>
        <v/>
      </c>
      <c r="R52" s="75" t="str">
        <f aca="false">IF($A52="","",IFERROR(INDEX(Mat_Lead,MATCH($B52,Mat_Code,0)),0))</f>
        <v/>
      </c>
      <c r="S52" s="75" t="str">
        <f aca="false">IF($A52="","",IFERROR(INDEX(Mat_Safety,MATCH($B52,Mat_Code,0)),0))</f>
        <v/>
      </c>
      <c r="T52" s="67" t="str">
        <f aca="false">IF($A52="","",$J52*($R52+$S52))</f>
        <v/>
      </c>
      <c r="U52" s="76" t="str">
        <f aca="false">IF($A52="","",IF($E52&lt;=0,"OUT OF STOCK",IF($J52&lt;=0,"NO USAGE",IF($Q52&lt;=$R52,"CRITICAL",IF($Q52&lt;=$R52+$S52,"REORDER","OK")))))</f>
        <v/>
      </c>
      <c r="V52" s="73" t="str">
        <f aca="false">IF(OR($A52="",$U52="NO USAGE"),"",IF(OR($U52="OUT OF STOCK",$Q52&lt;=$R52+$S52),"NOW",WORKDAY.INTL(AsOfDate,INT($Q52-$R52-$S52),WeekendMask,Holidays)))</f>
        <v/>
      </c>
      <c r="W52" s="73" t="str">
        <f aca="false">IF(OR($A52="",$U52="NO USAGE"),"",IF(OR($U52="OUT OF STOCK",$Q52&lt;=$R52),"NOW",WORKDAY.INTL(AsOfDate,ROUNDUP($Q52-$R52,0),WeekendMask,Holidays)))</f>
        <v/>
      </c>
      <c r="X52" s="77" t="str">
        <f aca="false">IF($A52="","",IF(OR($U52="CRITICAL",$U52="REORDER",$U52="OUT OF STOCK"),IF($F52&gt;0,ROUNDUP(MAX(0,$F52-MAX(0,MAX(0,$E52)+$N52-$J52*$R52)),0),"Set capacity"),0))</f>
        <v/>
      </c>
      <c r="Y52" s="16" t="str">
        <f aca="false">IF($A52="","",IF($U52="OUT OF STOCK","Out of stock – production at risk."&amp;IF($N52&gt;0," Next delivery "&amp;TEXT($O52,"ddd dd-mmm")&amp;": expedite it."," Order and expedite now."),IF($U52="CRITICAL",IF(AND($N52&gt;0,$P52&lt;=0),"URGENT – runs out about "&amp;TEXT($M52,"ddd dd-mmm")&amp;", before the next delivery ("&amp;TEXT($O52,"ddd dd-mmm")&amp;"). Expedite it.","URGENT – runs out about "&amp;TEXT($M52,"ddd dd-mmm")&amp;"; a normal order takes "&amp;$R52&amp;" days. Order and expedite now."),IF($U52="REORDER","Order now (about "&amp;TEXT($X52,"#,##0")&amp;" "&amp;$D52&amp;") – becomes critical "&amp;TEXT($W52,"ddd dd-mmm")&amp;".",IF($U52="NO USAGE","No planned or recent usage.","OK – next order by "&amp;TEXT($V52,"ddd dd-mmm")&amp;IF($N52&gt;0,"; "&amp;TEXT($N52,"#,##0")&amp;" "&amp;$D52&amp;" on order (next "&amp;TEXT($O52,"dd-mmm")&amp;")","")&amp;".")))))</f>
        <v/>
      </c>
      <c r="Z52" s="78" t="n">
        <f aca="false">IF(OR($A52="",$V52=""),1000000000,IF($V52="NOW",AsOfDate,$V52))</f>
        <v>1000000000</v>
      </c>
      <c r="AA52" s="78" t="n">
        <f aca="false">IF(OR($A52="",$W52=""),1000000000,IF($W52="NOW",AsOfDate,$W52))</f>
        <v>1000000000</v>
      </c>
      <c r="AB52" s="78" t="n">
        <f aca="false">IF(OR($A52="",$M52=""),1000000000,IF($M52="OUT",AsOfDate,$M52))</f>
        <v>1000000000</v>
      </c>
    </row>
    <row r="53" customFormat="false" ht="15" hidden="false" customHeight="false" outlineLevel="0" collapsed="false">
      <c r="A53" s="16" t="str">
        <f aca="false">IF(ISNUMBER('Current Inventory'!$J53),'Current Inventory'!$A53,"")</f>
        <v/>
      </c>
      <c r="B53" s="64" t="str">
        <f aca="false">IF($A53="","",'Current Inventory'!$B53)</f>
        <v/>
      </c>
      <c r="C53" s="16" t="str">
        <f aca="false">IF($A53="","",'Current Inventory'!$C53)</f>
        <v/>
      </c>
      <c r="D53" s="64" t="str">
        <f aca="false">IF($A53="","",'Current Inventory'!$D53)</f>
        <v/>
      </c>
      <c r="E53" s="67" t="str">
        <f aca="false">IF($A53="","",'Current Inventory'!$J53)</f>
        <v/>
      </c>
      <c r="F53" s="67" t="str">
        <f aca="false">IF($A53="","",N('Current Inventory'!$G53))</f>
        <v/>
      </c>
      <c r="G53" s="69" t="str">
        <f aca="false">IF($A53="","",'Current Inventory'!$K53)</f>
        <v/>
      </c>
      <c r="H53" s="67" t="str">
        <f aca="false">IF($A53="","",IFERROR(SUMIFS(INDEX(PP_Daily,0,MATCH($B53,Mat_Code,0)),PP_Site,$A53),0))</f>
        <v/>
      </c>
      <c r="I53" s="67" t="str">
        <f aca="false">IF($A53="","",IFERROR(SUMIFS(INDEX(Con_Use,0,MATCH($B53,Mat_Code,0)),Con_Site,$A53,Con_Date,"&gt;"&amp;(AsOfDate-7),Con_Date,"&lt;="&amp;AsOfDate)/MAX(1,NETWORKDAYS.INTL(AsOfDate-6,AsOfDate,WeekendMask,Holidays)),0))</f>
        <v/>
      </c>
      <c r="J53" s="67" t="str">
        <f aca="false">IF($A53="","",IF($H53&gt;0,$H53,$I53))</f>
        <v/>
      </c>
      <c r="K53" s="64" t="str">
        <f aca="false">IF($A53="","",IF($H53&gt;0,"Plan",IF($I53&gt;0,"Actual 7-day avg","No usage")))</f>
        <v/>
      </c>
      <c r="L53" s="72" t="str">
        <f aca="false">IF($A53="","",IF($J53&gt;0,MAX(0,$E53)/$J53,""))</f>
        <v/>
      </c>
      <c r="M53" s="73" t="str">
        <f aca="false">IF(OR($A53="",$L53=""),"",IF($E53&lt;=0,"OUT",WORKDAY.INTL(AsOfDate,ROUNDUP($L53,0),WeekendMask,Holidays)))</f>
        <v/>
      </c>
      <c r="N53" s="74" t="str">
        <f aca="false">IF($A53="","",SUMIFS(Del_Qty,Del_Site,$A53,Del_Mat,$B53,Del_Date,"&gt;"&amp;AsOfDate))</f>
        <v/>
      </c>
      <c r="O53" s="73" t="str">
        <f aca="false">IF(OR($A53="",N($N53)&lt;=0),"",SUMPRODUCT(MIN((Del_Site=$A53)*(Del_Mat=$B53)*(Del_Date&gt;AsOfDate)*Del_Date+(1-(Del_Site=$A53)*(Del_Mat=$B53)*(Del_Date&gt;AsOfDate))*1000000000)))</f>
        <v/>
      </c>
      <c r="P53" s="74" t="str">
        <f aca="false">IF($A53="","",IF(ISNUMBER($M53),SUMIFS(Del_Qty,Del_Site,$A53,Del_Mat,$B53,Del_Date,"&gt;"&amp;AsOfDate,Del_Date,"&lt;="&amp;$M53),0))</f>
        <v/>
      </c>
      <c r="Q53" s="75" t="str">
        <f aca="false">IF(OR($A53="",$J53&lt;=0),"",IF($P53&gt;0,(MAX(0,$E53)+$N53)/$J53,$L53))</f>
        <v/>
      </c>
      <c r="R53" s="75" t="str">
        <f aca="false">IF($A53="","",IFERROR(INDEX(Mat_Lead,MATCH($B53,Mat_Code,0)),0))</f>
        <v/>
      </c>
      <c r="S53" s="75" t="str">
        <f aca="false">IF($A53="","",IFERROR(INDEX(Mat_Safety,MATCH($B53,Mat_Code,0)),0))</f>
        <v/>
      </c>
      <c r="T53" s="67" t="str">
        <f aca="false">IF($A53="","",$J53*($R53+$S53))</f>
        <v/>
      </c>
      <c r="U53" s="76" t="str">
        <f aca="false">IF($A53="","",IF($E53&lt;=0,"OUT OF STOCK",IF($J53&lt;=0,"NO USAGE",IF($Q53&lt;=$R53,"CRITICAL",IF($Q53&lt;=$R53+$S53,"REORDER","OK")))))</f>
        <v/>
      </c>
      <c r="V53" s="73" t="str">
        <f aca="false">IF(OR($A53="",$U53="NO USAGE"),"",IF(OR($U53="OUT OF STOCK",$Q53&lt;=$R53+$S53),"NOW",WORKDAY.INTL(AsOfDate,INT($Q53-$R53-$S53),WeekendMask,Holidays)))</f>
        <v/>
      </c>
      <c r="W53" s="73" t="str">
        <f aca="false">IF(OR($A53="",$U53="NO USAGE"),"",IF(OR($U53="OUT OF STOCK",$Q53&lt;=$R53),"NOW",WORKDAY.INTL(AsOfDate,ROUNDUP($Q53-$R53,0),WeekendMask,Holidays)))</f>
        <v/>
      </c>
      <c r="X53" s="77" t="str">
        <f aca="false">IF($A53="","",IF(OR($U53="CRITICAL",$U53="REORDER",$U53="OUT OF STOCK"),IF($F53&gt;0,ROUNDUP(MAX(0,$F53-MAX(0,MAX(0,$E53)+$N53-$J53*$R53)),0),"Set capacity"),0))</f>
        <v/>
      </c>
      <c r="Y53" s="16" t="str">
        <f aca="false">IF($A53="","",IF($U53="OUT OF STOCK","Out of stock – production at risk."&amp;IF($N53&gt;0," Next delivery "&amp;TEXT($O53,"ddd dd-mmm")&amp;": expedite it."," Order and expedite now."),IF($U53="CRITICAL",IF(AND($N53&gt;0,$P53&lt;=0),"URGENT – runs out about "&amp;TEXT($M53,"ddd dd-mmm")&amp;", before the next delivery ("&amp;TEXT($O53,"ddd dd-mmm")&amp;"). Expedite it.","URGENT – runs out about "&amp;TEXT($M53,"ddd dd-mmm")&amp;"; a normal order takes "&amp;$R53&amp;" days. Order and expedite now."),IF($U53="REORDER","Order now (about "&amp;TEXT($X53,"#,##0")&amp;" "&amp;$D53&amp;") – becomes critical "&amp;TEXT($W53,"ddd dd-mmm")&amp;".",IF($U53="NO USAGE","No planned or recent usage.","OK – next order by "&amp;TEXT($V53,"ddd dd-mmm")&amp;IF($N53&gt;0,"; "&amp;TEXT($N53,"#,##0")&amp;" "&amp;$D53&amp;" on order (next "&amp;TEXT($O53,"dd-mmm")&amp;")","")&amp;".")))))</f>
        <v/>
      </c>
      <c r="Z53" s="78" t="n">
        <f aca="false">IF(OR($A53="",$V53=""),1000000000,IF($V53="NOW",AsOfDate,$V53))</f>
        <v>1000000000</v>
      </c>
      <c r="AA53" s="78" t="n">
        <f aca="false">IF(OR($A53="",$W53=""),1000000000,IF($W53="NOW",AsOfDate,$W53))</f>
        <v>1000000000</v>
      </c>
      <c r="AB53" s="78" t="n">
        <f aca="false">IF(OR($A53="",$M53=""),1000000000,IF($M53="OUT",AsOfDate,$M53))</f>
        <v>1000000000</v>
      </c>
    </row>
    <row r="54" customFormat="false" ht="15" hidden="false" customHeight="false" outlineLevel="0" collapsed="false">
      <c r="A54" s="16" t="str">
        <f aca="false">IF(ISNUMBER('Current Inventory'!$J54),'Current Inventory'!$A54,"")</f>
        <v/>
      </c>
      <c r="B54" s="64" t="str">
        <f aca="false">IF($A54="","",'Current Inventory'!$B54)</f>
        <v/>
      </c>
      <c r="C54" s="16" t="str">
        <f aca="false">IF($A54="","",'Current Inventory'!$C54)</f>
        <v/>
      </c>
      <c r="D54" s="64" t="str">
        <f aca="false">IF($A54="","",'Current Inventory'!$D54)</f>
        <v/>
      </c>
      <c r="E54" s="67" t="str">
        <f aca="false">IF($A54="","",'Current Inventory'!$J54)</f>
        <v/>
      </c>
      <c r="F54" s="67" t="str">
        <f aca="false">IF($A54="","",N('Current Inventory'!$G54))</f>
        <v/>
      </c>
      <c r="G54" s="69" t="str">
        <f aca="false">IF($A54="","",'Current Inventory'!$K54)</f>
        <v/>
      </c>
      <c r="H54" s="67" t="str">
        <f aca="false">IF($A54="","",IFERROR(SUMIFS(INDEX(PP_Daily,0,MATCH($B54,Mat_Code,0)),PP_Site,$A54),0))</f>
        <v/>
      </c>
      <c r="I54" s="67" t="str">
        <f aca="false">IF($A54="","",IFERROR(SUMIFS(INDEX(Con_Use,0,MATCH($B54,Mat_Code,0)),Con_Site,$A54,Con_Date,"&gt;"&amp;(AsOfDate-7),Con_Date,"&lt;="&amp;AsOfDate)/MAX(1,NETWORKDAYS.INTL(AsOfDate-6,AsOfDate,WeekendMask,Holidays)),0))</f>
        <v/>
      </c>
      <c r="J54" s="67" t="str">
        <f aca="false">IF($A54="","",IF($H54&gt;0,$H54,$I54))</f>
        <v/>
      </c>
      <c r="K54" s="64" t="str">
        <f aca="false">IF($A54="","",IF($H54&gt;0,"Plan",IF($I54&gt;0,"Actual 7-day avg","No usage")))</f>
        <v/>
      </c>
      <c r="L54" s="72" t="str">
        <f aca="false">IF($A54="","",IF($J54&gt;0,MAX(0,$E54)/$J54,""))</f>
        <v/>
      </c>
      <c r="M54" s="73" t="str">
        <f aca="false">IF(OR($A54="",$L54=""),"",IF($E54&lt;=0,"OUT",WORKDAY.INTL(AsOfDate,ROUNDUP($L54,0),WeekendMask,Holidays)))</f>
        <v/>
      </c>
      <c r="N54" s="74" t="str">
        <f aca="false">IF($A54="","",SUMIFS(Del_Qty,Del_Site,$A54,Del_Mat,$B54,Del_Date,"&gt;"&amp;AsOfDate))</f>
        <v/>
      </c>
      <c r="O54" s="73" t="str">
        <f aca="false">IF(OR($A54="",N($N54)&lt;=0),"",SUMPRODUCT(MIN((Del_Site=$A54)*(Del_Mat=$B54)*(Del_Date&gt;AsOfDate)*Del_Date+(1-(Del_Site=$A54)*(Del_Mat=$B54)*(Del_Date&gt;AsOfDate))*1000000000)))</f>
        <v/>
      </c>
      <c r="P54" s="74" t="str">
        <f aca="false">IF($A54="","",IF(ISNUMBER($M54),SUMIFS(Del_Qty,Del_Site,$A54,Del_Mat,$B54,Del_Date,"&gt;"&amp;AsOfDate,Del_Date,"&lt;="&amp;$M54),0))</f>
        <v/>
      </c>
      <c r="Q54" s="75" t="str">
        <f aca="false">IF(OR($A54="",$J54&lt;=0),"",IF($P54&gt;0,(MAX(0,$E54)+$N54)/$J54,$L54))</f>
        <v/>
      </c>
      <c r="R54" s="75" t="str">
        <f aca="false">IF($A54="","",IFERROR(INDEX(Mat_Lead,MATCH($B54,Mat_Code,0)),0))</f>
        <v/>
      </c>
      <c r="S54" s="75" t="str">
        <f aca="false">IF($A54="","",IFERROR(INDEX(Mat_Safety,MATCH($B54,Mat_Code,0)),0))</f>
        <v/>
      </c>
      <c r="T54" s="67" t="str">
        <f aca="false">IF($A54="","",$J54*($R54+$S54))</f>
        <v/>
      </c>
      <c r="U54" s="76" t="str">
        <f aca="false">IF($A54="","",IF($E54&lt;=0,"OUT OF STOCK",IF($J54&lt;=0,"NO USAGE",IF($Q54&lt;=$R54,"CRITICAL",IF($Q54&lt;=$R54+$S54,"REORDER","OK")))))</f>
        <v/>
      </c>
      <c r="V54" s="73" t="str">
        <f aca="false">IF(OR($A54="",$U54="NO USAGE"),"",IF(OR($U54="OUT OF STOCK",$Q54&lt;=$R54+$S54),"NOW",WORKDAY.INTL(AsOfDate,INT($Q54-$R54-$S54),WeekendMask,Holidays)))</f>
        <v/>
      </c>
      <c r="W54" s="73" t="str">
        <f aca="false">IF(OR($A54="",$U54="NO USAGE"),"",IF(OR($U54="OUT OF STOCK",$Q54&lt;=$R54),"NOW",WORKDAY.INTL(AsOfDate,ROUNDUP($Q54-$R54,0),WeekendMask,Holidays)))</f>
        <v/>
      </c>
      <c r="X54" s="77" t="str">
        <f aca="false">IF($A54="","",IF(OR($U54="CRITICAL",$U54="REORDER",$U54="OUT OF STOCK"),IF($F54&gt;0,ROUNDUP(MAX(0,$F54-MAX(0,MAX(0,$E54)+$N54-$J54*$R54)),0),"Set capacity"),0))</f>
        <v/>
      </c>
      <c r="Y54" s="16" t="str">
        <f aca="false">IF($A54="","",IF($U54="OUT OF STOCK","Out of stock – production at risk."&amp;IF($N54&gt;0," Next delivery "&amp;TEXT($O54,"ddd dd-mmm")&amp;": expedite it."," Order and expedite now."),IF($U54="CRITICAL",IF(AND($N54&gt;0,$P54&lt;=0),"URGENT – runs out about "&amp;TEXT($M54,"ddd dd-mmm")&amp;", before the next delivery ("&amp;TEXT($O54,"ddd dd-mmm")&amp;"). Expedite it.","URGENT – runs out about "&amp;TEXT($M54,"ddd dd-mmm")&amp;"; a normal order takes "&amp;$R54&amp;" days. Order and expedite now."),IF($U54="REORDER","Order now (about "&amp;TEXT($X54,"#,##0")&amp;" "&amp;$D54&amp;") – becomes critical "&amp;TEXT($W54,"ddd dd-mmm")&amp;".",IF($U54="NO USAGE","No planned or recent usage.","OK – next order by "&amp;TEXT($V54,"ddd dd-mmm")&amp;IF($N54&gt;0,"; "&amp;TEXT($N54,"#,##0")&amp;" "&amp;$D54&amp;" on order (next "&amp;TEXT($O54,"dd-mmm")&amp;")","")&amp;".")))))</f>
        <v/>
      </c>
      <c r="Z54" s="78" t="n">
        <f aca="false">IF(OR($A54="",$V54=""),1000000000,IF($V54="NOW",AsOfDate,$V54))</f>
        <v>1000000000</v>
      </c>
      <c r="AA54" s="78" t="n">
        <f aca="false">IF(OR($A54="",$W54=""),1000000000,IF($W54="NOW",AsOfDate,$W54))</f>
        <v>1000000000</v>
      </c>
      <c r="AB54" s="78" t="n">
        <f aca="false">IF(OR($A54="",$M54=""),1000000000,IF($M54="OUT",AsOfDate,$M54))</f>
        <v>1000000000</v>
      </c>
    </row>
    <row r="55" customFormat="false" ht="15" hidden="false" customHeight="false" outlineLevel="0" collapsed="false">
      <c r="A55" s="16" t="str">
        <f aca="false">IF(ISNUMBER('Current Inventory'!$J55),'Current Inventory'!$A55,"")</f>
        <v/>
      </c>
      <c r="B55" s="64" t="str">
        <f aca="false">IF($A55="","",'Current Inventory'!$B55)</f>
        <v/>
      </c>
      <c r="C55" s="16" t="str">
        <f aca="false">IF($A55="","",'Current Inventory'!$C55)</f>
        <v/>
      </c>
      <c r="D55" s="64" t="str">
        <f aca="false">IF($A55="","",'Current Inventory'!$D55)</f>
        <v/>
      </c>
      <c r="E55" s="67" t="str">
        <f aca="false">IF($A55="","",'Current Inventory'!$J55)</f>
        <v/>
      </c>
      <c r="F55" s="67" t="str">
        <f aca="false">IF($A55="","",N('Current Inventory'!$G55))</f>
        <v/>
      </c>
      <c r="G55" s="69" t="str">
        <f aca="false">IF($A55="","",'Current Inventory'!$K55)</f>
        <v/>
      </c>
      <c r="H55" s="67" t="str">
        <f aca="false">IF($A55="","",IFERROR(SUMIFS(INDEX(PP_Daily,0,MATCH($B55,Mat_Code,0)),PP_Site,$A55),0))</f>
        <v/>
      </c>
      <c r="I55" s="67" t="str">
        <f aca="false">IF($A55="","",IFERROR(SUMIFS(INDEX(Con_Use,0,MATCH($B55,Mat_Code,0)),Con_Site,$A55,Con_Date,"&gt;"&amp;(AsOfDate-7),Con_Date,"&lt;="&amp;AsOfDate)/MAX(1,NETWORKDAYS.INTL(AsOfDate-6,AsOfDate,WeekendMask,Holidays)),0))</f>
        <v/>
      </c>
      <c r="J55" s="67" t="str">
        <f aca="false">IF($A55="","",IF($H55&gt;0,$H55,$I55))</f>
        <v/>
      </c>
      <c r="K55" s="64" t="str">
        <f aca="false">IF($A55="","",IF($H55&gt;0,"Plan",IF($I55&gt;0,"Actual 7-day avg","No usage")))</f>
        <v/>
      </c>
      <c r="L55" s="72" t="str">
        <f aca="false">IF($A55="","",IF($J55&gt;0,MAX(0,$E55)/$J55,""))</f>
        <v/>
      </c>
      <c r="M55" s="73" t="str">
        <f aca="false">IF(OR($A55="",$L55=""),"",IF($E55&lt;=0,"OUT",WORKDAY.INTL(AsOfDate,ROUNDUP($L55,0),WeekendMask,Holidays)))</f>
        <v/>
      </c>
      <c r="N55" s="74" t="str">
        <f aca="false">IF($A55="","",SUMIFS(Del_Qty,Del_Site,$A55,Del_Mat,$B55,Del_Date,"&gt;"&amp;AsOfDate))</f>
        <v/>
      </c>
      <c r="O55" s="73" t="str">
        <f aca="false">IF(OR($A55="",N($N55)&lt;=0),"",SUMPRODUCT(MIN((Del_Site=$A55)*(Del_Mat=$B55)*(Del_Date&gt;AsOfDate)*Del_Date+(1-(Del_Site=$A55)*(Del_Mat=$B55)*(Del_Date&gt;AsOfDate))*1000000000)))</f>
        <v/>
      </c>
      <c r="P55" s="74" t="str">
        <f aca="false">IF($A55="","",IF(ISNUMBER($M55),SUMIFS(Del_Qty,Del_Site,$A55,Del_Mat,$B55,Del_Date,"&gt;"&amp;AsOfDate,Del_Date,"&lt;="&amp;$M55),0))</f>
        <v/>
      </c>
      <c r="Q55" s="75" t="str">
        <f aca="false">IF(OR($A55="",$J55&lt;=0),"",IF($P55&gt;0,(MAX(0,$E55)+$N55)/$J55,$L55))</f>
        <v/>
      </c>
      <c r="R55" s="75" t="str">
        <f aca="false">IF($A55="","",IFERROR(INDEX(Mat_Lead,MATCH($B55,Mat_Code,0)),0))</f>
        <v/>
      </c>
      <c r="S55" s="75" t="str">
        <f aca="false">IF($A55="","",IFERROR(INDEX(Mat_Safety,MATCH($B55,Mat_Code,0)),0))</f>
        <v/>
      </c>
      <c r="T55" s="67" t="str">
        <f aca="false">IF($A55="","",$J55*($R55+$S55))</f>
        <v/>
      </c>
      <c r="U55" s="76" t="str">
        <f aca="false">IF($A55="","",IF($E55&lt;=0,"OUT OF STOCK",IF($J55&lt;=0,"NO USAGE",IF($Q55&lt;=$R55,"CRITICAL",IF($Q55&lt;=$R55+$S55,"REORDER","OK")))))</f>
        <v/>
      </c>
      <c r="V55" s="73" t="str">
        <f aca="false">IF(OR($A55="",$U55="NO USAGE"),"",IF(OR($U55="OUT OF STOCK",$Q55&lt;=$R55+$S55),"NOW",WORKDAY.INTL(AsOfDate,INT($Q55-$R55-$S55),WeekendMask,Holidays)))</f>
        <v/>
      </c>
      <c r="W55" s="73" t="str">
        <f aca="false">IF(OR($A55="",$U55="NO USAGE"),"",IF(OR($U55="OUT OF STOCK",$Q55&lt;=$R55),"NOW",WORKDAY.INTL(AsOfDate,ROUNDUP($Q55-$R55,0),WeekendMask,Holidays)))</f>
        <v/>
      </c>
      <c r="X55" s="77" t="str">
        <f aca="false">IF($A55="","",IF(OR($U55="CRITICAL",$U55="REORDER",$U55="OUT OF STOCK"),IF($F55&gt;0,ROUNDUP(MAX(0,$F55-MAX(0,MAX(0,$E55)+$N55-$J55*$R55)),0),"Set capacity"),0))</f>
        <v/>
      </c>
      <c r="Y55" s="16" t="str">
        <f aca="false">IF($A55="","",IF($U55="OUT OF STOCK","Out of stock – production at risk."&amp;IF($N55&gt;0," Next delivery "&amp;TEXT($O55,"ddd dd-mmm")&amp;": expedite it."," Order and expedite now."),IF($U55="CRITICAL",IF(AND($N55&gt;0,$P55&lt;=0),"URGENT – runs out about "&amp;TEXT($M55,"ddd dd-mmm")&amp;", before the next delivery ("&amp;TEXT($O55,"ddd dd-mmm")&amp;"). Expedite it.","URGENT – runs out about "&amp;TEXT($M55,"ddd dd-mmm")&amp;"; a normal order takes "&amp;$R55&amp;" days. Order and expedite now."),IF($U55="REORDER","Order now (about "&amp;TEXT($X55,"#,##0")&amp;" "&amp;$D55&amp;") – becomes critical "&amp;TEXT($W55,"ddd dd-mmm")&amp;".",IF($U55="NO USAGE","No planned or recent usage.","OK – next order by "&amp;TEXT($V55,"ddd dd-mmm")&amp;IF($N55&gt;0,"; "&amp;TEXT($N55,"#,##0")&amp;" "&amp;$D55&amp;" on order (next "&amp;TEXT($O55,"dd-mmm")&amp;")","")&amp;".")))))</f>
        <v/>
      </c>
      <c r="Z55" s="78" t="n">
        <f aca="false">IF(OR($A55="",$V55=""),1000000000,IF($V55="NOW",AsOfDate,$V55))</f>
        <v>1000000000</v>
      </c>
      <c r="AA55" s="78" t="n">
        <f aca="false">IF(OR($A55="",$W55=""),1000000000,IF($W55="NOW",AsOfDate,$W55))</f>
        <v>1000000000</v>
      </c>
      <c r="AB55" s="78" t="n">
        <f aca="false">IF(OR($A55="",$M55=""),1000000000,IF($M55="OUT",AsOfDate,$M55))</f>
        <v>1000000000</v>
      </c>
    </row>
    <row r="56" customFormat="false" ht="15" hidden="false" customHeight="false" outlineLevel="0" collapsed="false">
      <c r="A56" s="16" t="str">
        <f aca="false">IF(ISNUMBER('Current Inventory'!$J56),'Current Inventory'!$A56,"")</f>
        <v/>
      </c>
      <c r="B56" s="64" t="str">
        <f aca="false">IF($A56="","",'Current Inventory'!$B56)</f>
        <v/>
      </c>
      <c r="C56" s="16" t="str">
        <f aca="false">IF($A56="","",'Current Inventory'!$C56)</f>
        <v/>
      </c>
      <c r="D56" s="64" t="str">
        <f aca="false">IF($A56="","",'Current Inventory'!$D56)</f>
        <v/>
      </c>
      <c r="E56" s="67" t="str">
        <f aca="false">IF($A56="","",'Current Inventory'!$J56)</f>
        <v/>
      </c>
      <c r="F56" s="67" t="str">
        <f aca="false">IF($A56="","",N('Current Inventory'!$G56))</f>
        <v/>
      </c>
      <c r="G56" s="69" t="str">
        <f aca="false">IF($A56="","",'Current Inventory'!$K56)</f>
        <v/>
      </c>
      <c r="H56" s="67" t="str">
        <f aca="false">IF($A56="","",IFERROR(SUMIFS(INDEX(PP_Daily,0,MATCH($B56,Mat_Code,0)),PP_Site,$A56),0))</f>
        <v/>
      </c>
      <c r="I56" s="67" t="str">
        <f aca="false">IF($A56="","",IFERROR(SUMIFS(INDEX(Con_Use,0,MATCH($B56,Mat_Code,0)),Con_Site,$A56,Con_Date,"&gt;"&amp;(AsOfDate-7),Con_Date,"&lt;="&amp;AsOfDate)/MAX(1,NETWORKDAYS.INTL(AsOfDate-6,AsOfDate,WeekendMask,Holidays)),0))</f>
        <v/>
      </c>
      <c r="J56" s="67" t="str">
        <f aca="false">IF($A56="","",IF($H56&gt;0,$H56,$I56))</f>
        <v/>
      </c>
      <c r="K56" s="64" t="str">
        <f aca="false">IF($A56="","",IF($H56&gt;0,"Plan",IF($I56&gt;0,"Actual 7-day avg","No usage")))</f>
        <v/>
      </c>
      <c r="L56" s="72" t="str">
        <f aca="false">IF($A56="","",IF($J56&gt;0,MAX(0,$E56)/$J56,""))</f>
        <v/>
      </c>
      <c r="M56" s="73" t="str">
        <f aca="false">IF(OR($A56="",$L56=""),"",IF($E56&lt;=0,"OUT",WORKDAY.INTL(AsOfDate,ROUNDUP($L56,0),WeekendMask,Holidays)))</f>
        <v/>
      </c>
      <c r="N56" s="74" t="str">
        <f aca="false">IF($A56="","",SUMIFS(Del_Qty,Del_Site,$A56,Del_Mat,$B56,Del_Date,"&gt;"&amp;AsOfDate))</f>
        <v/>
      </c>
      <c r="O56" s="73" t="str">
        <f aca="false">IF(OR($A56="",N($N56)&lt;=0),"",SUMPRODUCT(MIN((Del_Site=$A56)*(Del_Mat=$B56)*(Del_Date&gt;AsOfDate)*Del_Date+(1-(Del_Site=$A56)*(Del_Mat=$B56)*(Del_Date&gt;AsOfDate))*1000000000)))</f>
        <v/>
      </c>
      <c r="P56" s="74" t="str">
        <f aca="false">IF($A56="","",IF(ISNUMBER($M56),SUMIFS(Del_Qty,Del_Site,$A56,Del_Mat,$B56,Del_Date,"&gt;"&amp;AsOfDate,Del_Date,"&lt;="&amp;$M56),0))</f>
        <v/>
      </c>
      <c r="Q56" s="75" t="str">
        <f aca="false">IF(OR($A56="",$J56&lt;=0),"",IF($P56&gt;0,(MAX(0,$E56)+$N56)/$J56,$L56))</f>
        <v/>
      </c>
      <c r="R56" s="75" t="str">
        <f aca="false">IF($A56="","",IFERROR(INDEX(Mat_Lead,MATCH($B56,Mat_Code,0)),0))</f>
        <v/>
      </c>
      <c r="S56" s="75" t="str">
        <f aca="false">IF($A56="","",IFERROR(INDEX(Mat_Safety,MATCH($B56,Mat_Code,0)),0))</f>
        <v/>
      </c>
      <c r="T56" s="67" t="str">
        <f aca="false">IF($A56="","",$J56*($R56+$S56))</f>
        <v/>
      </c>
      <c r="U56" s="76" t="str">
        <f aca="false">IF($A56="","",IF($E56&lt;=0,"OUT OF STOCK",IF($J56&lt;=0,"NO USAGE",IF($Q56&lt;=$R56,"CRITICAL",IF($Q56&lt;=$R56+$S56,"REORDER","OK")))))</f>
        <v/>
      </c>
      <c r="V56" s="73" t="str">
        <f aca="false">IF(OR($A56="",$U56="NO USAGE"),"",IF(OR($U56="OUT OF STOCK",$Q56&lt;=$R56+$S56),"NOW",WORKDAY.INTL(AsOfDate,INT($Q56-$R56-$S56),WeekendMask,Holidays)))</f>
        <v/>
      </c>
      <c r="W56" s="73" t="str">
        <f aca="false">IF(OR($A56="",$U56="NO USAGE"),"",IF(OR($U56="OUT OF STOCK",$Q56&lt;=$R56),"NOW",WORKDAY.INTL(AsOfDate,ROUNDUP($Q56-$R56,0),WeekendMask,Holidays)))</f>
        <v/>
      </c>
      <c r="X56" s="77" t="str">
        <f aca="false">IF($A56="","",IF(OR($U56="CRITICAL",$U56="REORDER",$U56="OUT OF STOCK"),IF($F56&gt;0,ROUNDUP(MAX(0,$F56-MAX(0,MAX(0,$E56)+$N56-$J56*$R56)),0),"Set capacity"),0))</f>
        <v/>
      </c>
      <c r="Y56" s="16" t="str">
        <f aca="false">IF($A56="","",IF($U56="OUT OF STOCK","Out of stock – production at risk."&amp;IF($N56&gt;0," Next delivery "&amp;TEXT($O56,"ddd dd-mmm")&amp;": expedite it."," Order and expedite now."),IF($U56="CRITICAL",IF(AND($N56&gt;0,$P56&lt;=0),"URGENT – runs out about "&amp;TEXT($M56,"ddd dd-mmm")&amp;", before the next delivery ("&amp;TEXT($O56,"ddd dd-mmm")&amp;"). Expedite it.","URGENT – runs out about "&amp;TEXT($M56,"ddd dd-mmm")&amp;"; a normal order takes "&amp;$R56&amp;" days. Order and expedite now."),IF($U56="REORDER","Order now (about "&amp;TEXT($X56,"#,##0")&amp;" "&amp;$D56&amp;") – becomes critical "&amp;TEXT($W56,"ddd dd-mmm")&amp;".",IF($U56="NO USAGE","No planned or recent usage.","OK – next order by "&amp;TEXT($V56,"ddd dd-mmm")&amp;IF($N56&gt;0,"; "&amp;TEXT($N56,"#,##0")&amp;" "&amp;$D56&amp;" on order (next "&amp;TEXT($O56,"dd-mmm")&amp;")","")&amp;".")))))</f>
        <v/>
      </c>
      <c r="Z56" s="78" t="n">
        <f aca="false">IF(OR($A56="",$V56=""),1000000000,IF($V56="NOW",AsOfDate,$V56))</f>
        <v>1000000000</v>
      </c>
      <c r="AA56" s="78" t="n">
        <f aca="false">IF(OR($A56="",$W56=""),1000000000,IF($W56="NOW",AsOfDate,$W56))</f>
        <v>1000000000</v>
      </c>
      <c r="AB56" s="78" t="n">
        <f aca="false">IF(OR($A56="",$M56=""),1000000000,IF($M56="OUT",AsOfDate,$M56))</f>
        <v>1000000000</v>
      </c>
    </row>
    <row r="57" customFormat="false" ht="15" hidden="false" customHeight="false" outlineLevel="0" collapsed="false">
      <c r="A57" s="16" t="str">
        <f aca="false">IF(ISNUMBER('Current Inventory'!$J57),'Current Inventory'!$A57,"")</f>
        <v/>
      </c>
      <c r="B57" s="64" t="str">
        <f aca="false">IF($A57="","",'Current Inventory'!$B57)</f>
        <v/>
      </c>
      <c r="C57" s="16" t="str">
        <f aca="false">IF($A57="","",'Current Inventory'!$C57)</f>
        <v/>
      </c>
      <c r="D57" s="64" t="str">
        <f aca="false">IF($A57="","",'Current Inventory'!$D57)</f>
        <v/>
      </c>
      <c r="E57" s="67" t="str">
        <f aca="false">IF($A57="","",'Current Inventory'!$J57)</f>
        <v/>
      </c>
      <c r="F57" s="67" t="str">
        <f aca="false">IF($A57="","",N('Current Inventory'!$G57))</f>
        <v/>
      </c>
      <c r="G57" s="69" t="str">
        <f aca="false">IF($A57="","",'Current Inventory'!$K57)</f>
        <v/>
      </c>
      <c r="H57" s="67" t="str">
        <f aca="false">IF($A57="","",IFERROR(SUMIFS(INDEX(PP_Daily,0,MATCH($B57,Mat_Code,0)),PP_Site,$A57),0))</f>
        <v/>
      </c>
      <c r="I57" s="67" t="str">
        <f aca="false">IF($A57="","",IFERROR(SUMIFS(INDEX(Con_Use,0,MATCH($B57,Mat_Code,0)),Con_Site,$A57,Con_Date,"&gt;"&amp;(AsOfDate-7),Con_Date,"&lt;="&amp;AsOfDate)/MAX(1,NETWORKDAYS.INTL(AsOfDate-6,AsOfDate,WeekendMask,Holidays)),0))</f>
        <v/>
      </c>
      <c r="J57" s="67" t="str">
        <f aca="false">IF($A57="","",IF($H57&gt;0,$H57,$I57))</f>
        <v/>
      </c>
      <c r="K57" s="64" t="str">
        <f aca="false">IF($A57="","",IF($H57&gt;0,"Plan",IF($I57&gt;0,"Actual 7-day avg","No usage")))</f>
        <v/>
      </c>
      <c r="L57" s="72" t="str">
        <f aca="false">IF($A57="","",IF($J57&gt;0,MAX(0,$E57)/$J57,""))</f>
        <v/>
      </c>
      <c r="M57" s="73" t="str">
        <f aca="false">IF(OR($A57="",$L57=""),"",IF($E57&lt;=0,"OUT",WORKDAY.INTL(AsOfDate,ROUNDUP($L57,0),WeekendMask,Holidays)))</f>
        <v/>
      </c>
      <c r="N57" s="74" t="str">
        <f aca="false">IF($A57="","",SUMIFS(Del_Qty,Del_Site,$A57,Del_Mat,$B57,Del_Date,"&gt;"&amp;AsOfDate))</f>
        <v/>
      </c>
      <c r="O57" s="73" t="str">
        <f aca="false">IF(OR($A57="",N($N57)&lt;=0),"",SUMPRODUCT(MIN((Del_Site=$A57)*(Del_Mat=$B57)*(Del_Date&gt;AsOfDate)*Del_Date+(1-(Del_Site=$A57)*(Del_Mat=$B57)*(Del_Date&gt;AsOfDate))*1000000000)))</f>
        <v/>
      </c>
      <c r="P57" s="74" t="str">
        <f aca="false">IF($A57="","",IF(ISNUMBER($M57),SUMIFS(Del_Qty,Del_Site,$A57,Del_Mat,$B57,Del_Date,"&gt;"&amp;AsOfDate,Del_Date,"&lt;="&amp;$M57),0))</f>
        <v/>
      </c>
      <c r="Q57" s="75" t="str">
        <f aca="false">IF(OR($A57="",$J57&lt;=0),"",IF($P57&gt;0,(MAX(0,$E57)+$N57)/$J57,$L57))</f>
        <v/>
      </c>
      <c r="R57" s="75" t="str">
        <f aca="false">IF($A57="","",IFERROR(INDEX(Mat_Lead,MATCH($B57,Mat_Code,0)),0))</f>
        <v/>
      </c>
      <c r="S57" s="75" t="str">
        <f aca="false">IF($A57="","",IFERROR(INDEX(Mat_Safety,MATCH($B57,Mat_Code,0)),0))</f>
        <v/>
      </c>
      <c r="T57" s="67" t="str">
        <f aca="false">IF($A57="","",$J57*($R57+$S57))</f>
        <v/>
      </c>
      <c r="U57" s="76" t="str">
        <f aca="false">IF($A57="","",IF($E57&lt;=0,"OUT OF STOCK",IF($J57&lt;=0,"NO USAGE",IF($Q57&lt;=$R57,"CRITICAL",IF($Q57&lt;=$R57+$S57,"REORDER","OK")))))</f>
        <v/>
      </c>
      <c r="V57" s="73" t="str">
        <f aca="false">IF(OR($A57="",$U57="NO USAGE"),"",IF(OR($U57="OUT OF STOCK",$Q57&lt;=$R57+$S57),"NOW",WORKDAY.INTL(AsOfDate,INT($Q57-$R57-$S57),WeekendMask,Holidays)))</f>
        <v/>
      </c>
      <c r="W57" s="73" t="str">
        <f aca="false">IF(OR($A57="",$U57="NO USAGE"),"",IF(OR($U57="OUT OF STOCK",$Q57&lt;=$R57),"NOW",WORKDAY.INTL(AsOfDate,ROUNDUP($Q57-$R57,0),WeekendMask,Holidays)))</f>
        <v/>
      </c>
      <c r="X57" s="77" t="str">
        <f aca="false">IF($A57="","",IF(OR($U57="CRITICAL",$U57="REORDER",$U57="OUT OF STOCK"),IF($F57&gt;0,ROUNDUP(MAX(0,$F57-MAX(0,MAX(0,$E57)+$N57-$J57*$R57)),0),"Set capacity"),0))</f>
        <v/>
      </c>
      <c r="Y57" s="16" t="str">
        <f aca="false">IF($A57="","",IF($U57="OUT OF STOCK","Out of stock – production at risk."&amp;IF($N57&gt;0," Next delivery "&amp;TEXT($O57,"ddd dd-mmm")&amp;": expedite it."," Order and expedite now."),IF($U57="CRITICAL",IF(AND($N57&gt;0,$P57&lt;=0),"URGENT – runs out about "&amp;TEXT($M57,"ddd dd-mmm")&amp;", before the next delivery ("&amp;TEXT($O57,"ddd dd-mmm")&amp;"). Expedite it.","URGENT – runs out about "&amp;TEXT($M57,"ddd dd-mmm")&amp;"; a normal order takes "&amp;$R57&amp;" days. Order and expedite now."),IF($U57="REORDER","Order now (about "&amp;TEXT($X57,"#,##0")&amp;" "&amp;$D57&amp;") – becomes critical "&amp;TEXT($W57,"ddd dd-mmm")&amp;".",IF($U57="NO USAGE","No planned or recent usage.","OK – next order by "&amp;TEXT($V57,"ddd dd-mmm")&amp;IF($N57&gt;0,"; "&amp;TEXT($N57,"#,##0")&amp;" "&amp;$D57&amp;" on order (next "&amp;TEXT($O57,"dd-mmm")&amp;")","")&amp;".")))))</f>
        <v/>
      </c>
      <c r="Z57" s="78" t="n">
        <f aca="false">IF(OR($A57="",$V57=""),1000000000,IF($V57="NOW",AsOfDate,$V57))</f>
        <v>1000000000</v>
      </c>
      <c r="AA57" s="78" t="n">
        <f aca="false">IF(OR($A57="",$W57=""),1000000000,IF($W57="NOW",AsOfDate,$W57))</f>
        <v>1000000000</v>
      </c>
      <c r="AB57" s="78" t="n">
        <f aca="false">IF(OR($A57="",$M57=""),1000000000,IF($M57="OUT",AsOfDate,$M57))</f>
        <v>1000000000</v>
      </c>
    </row>
    <row r="58" customFormat="false" ht="15" hidden="false" customHeight="false" outlineLevel="0" collapsed="false">
      <c r="A58" s="16" t="str">
        <f aca="false">IF(ISNUMBER('Current Inventory'!$J58),'Current Inventory'!$A58,"")</f>
        <v/>
      </c>
      <c r="B58" s="64" t="str">
        <f aca="false">IF($A58="","",'Current Inventory'!$B58)</f>
        <v/>
      </c>
      <c r="C58" s="16" t="str">
        <f aca="false">IF($A58="","",'Current Inventory'!$C58)</f>
        <v/>
      </c>
      <c r="D58" s="64" t="str">
        <f aca="false">IF($A58="","",'Current Inventory'!$D58)</f>
        <v/>
      </c>
      <c r="E58" s="67" t="str">
        <f aca="false">IF($A58="","",'Current Inventory'!$J58)</f>
        <v/>
      </c>
      <c r="F58" s="67" t="str">
        <f aca="false">IF($A58="","",N('Current Inventory'!$G58))</f>
        <v/>
      </c>
      <c r="G58" s="69" t="str">
        <f aca="false">IF($A58="","",'Current Inventory'!$K58)</f>
        <v/>
      </c>
      <c r="H58" s="67" t="str">
        <f aca="false">IF($A58="","",IFERROR(SUMIFS(INDEX(PP_Daily,0,MATCH($B58,Mat_Code,0)),PP_Site,$A58),0))</f>
        <v/>
      </c>
      <c r="I58" s="67" t="str">
        <f aca="false">IF($A58="","",IFERROR(SUMIFS(INDEX(Con_Use,0,MATCH($B58,Mat_Code,0)),Con_Site,$A58,Con_Date,"&gt;"&amp;(AsOfDate-7),Con_Date,"&lt;="&amp;AsOfDate)/MAX(1,NETWORKDAYS.INTL(AsOfDate-6,AsOfDate,WeekendMask,Holidays)),0))</f>
        <v/>
      </c>
      <c r="J58" s="67" t="str">
        <f aca="false">IF($A58="","",IF($H58&gt;0,$H58,$I58))</f>
        <v/>
      </c>
      <c r="K58" s="64" t="str">
        <f aca="false">IF($A58="","",IF($H58&gt;0,"Plan",IF($I58&gt;0,"Actual 7-day avg","No usage")))</f>
        <v/>
      </c>
      <c r="L58" s="72" t="str">
        <f aca="false">IF($A58="","",IF($J58&gt;0,MAX(0,$E58)/$J58,""))</f>
        <v/>
      </c>
      <c r="M58" s="73" t="str">
        <f aca="false">IF(OR($A58="",$L58=""),"",IF($E58&lt;=0,"OUT",WORKDAY.INTL(AsOfDate,ROUNDUP($L58,0),WeekendMask,Holidays)))</f>
        <v/>
      </c>
      <c r="N58" s="74" t="str">
        <f aca="false">IF($A58="","",SUMIFS(Del_Qty,Del_Site,$A58,Del_Mat,$B58,Del_Date,"&gt;"&amp;AsOfDate))</f>
        <v/>
      </c>
      <c r="O58" s="73" t="str">
        <f aca="false">IF(OR($A58="",N($N58)&lt;=0),"",SUMPRODUCT(MIN((Del_Site=$A58)*(Del_Mat=$B58)*(Del_Date&gt;AsOfDate)*Del_Date+(1-(Del_Site=$A58)*(Del_Mat=$B58)*(Del_Date&gt;AsOfDate))*1000000000)))</f>
        <v/>
      </c>
      <c r="P58" s="74" t="str">
        <f aca="false">IF($A58="","",IF(ISNUMBER($M58),SUMIFS(Del_Qty,Del_Site,$A58,Del_Mat,$B58,Del_Date,"&gt;"&amp;AsOfDate,Del_Date,"&lt;="&amp;$M58),0))</f>
        <v/>
      </c>
      <c r="Q58" s="75" t="str">
        <f aca="false">IF(OR($A58="",$J58&lt;=0),"",IF($P58&gt;0,(MAX(0,$E58)+$N58)/$J58,$L58))</f>
        <v/>
      </c>
      <c r="R58" s="75" t="str">
        <f aca="false">IF($A58="","",IFERROR(INDEX(Mat_Lead,MATCH($B58,Mat_Code,0)),0))</f>
        <v/>
      </c>
      <c r="S58" s="75" t="str">
        <f aca="false">IF($A58="","",IFERROR(INDEX(Mat_Safety,MATCH($B58,Mat_Code,0)),0))</f>
        <v/>
      </c>
      <c r="T58" s="67" t="str">
        <f aca="false">IF($A58="","",$J58*($R58+$S58))</f>
        <v/>
      </c>
      <c r="U58" s="76" t="str">
        <f aca="false">IF($A58="","",IF($E58&lt;=0,"OUT OF STOCK",IF($J58&lt;=0,"NO USAGE",IF($Q58&lt;=$R58,"CRITICAL",IF($Q58&lt;=$R58+$S58,"REORDER","OK")))))</f>
        <v/>
      </c>
      <c r="V58" s="73" t="str">
        <f aca="false">IF(OR($A58="",$U58="NO USAGE"),"",IF(OR($U58="OUT OF STOCK",$Q58&lt;=$R58+$S58),"NOW",WORKDAY.INTL(AsOfDate,INT($Q58-$R58-$S58),WeekendMask,Holidays)))</f>
        <v/>
      </c>
      <c r="W58" s="73" t="str">
        <f aca="false">IF(OR($A58="",$U58="NO USAGE"),"",IF(OR($U58="OUT OF STOCK",$Q58&lt;=$R58),"NOW",WORKDAY.INTL(AsOfDate,ROUNDUP($Q58-$R58,0),WeekendMask,Holidays)))</f>
        <v/>
      </c>
      <c r="X58" s="77" t="str">
        <f aca="false">IF($A58="","",IF(OR($U58="CRITICAL",$U58="REORDER",$U58="OUT OF STOCK"),IF($F58&gt;0,ROUNDUP(MAX(0,$F58-MAX(0,MAX(0,$E58)+$N58-$J58*$R58)),0),"Set capacity"),0))</f>
        <v/>
      </c>
      <c r="Y58" s="16" t="str">
        <f aca="false">IF($A58="","",IF($U58="OUT OF STOCK","Out of stock – production at risk."&amp;IF($N58&gt;0," Next delivery "&amp;TEXT($O58,"ddd dd-mmm")&amp;": expedite it."," Order and expedite now."),IF($U58="CRITICAL",IF(AND($N58&gt;0,$P58&lt;=0),"URGENT – runs out about "&amp;TEXT($M58,"ddd dd-mmm")&amp;", before the next delivery ("&amp;TEXT($O58,"ddd dd-mmm")&amp;"). Expedite it.","URGENT – runs out about "&amp;TEXT($M58,"ddd dd-mmm")&amp;"; a normal order takes "&amp;$R58&amp;" days. Order and expedite now."),IF($U58="REORDER","Order now (about "&amp;TEXT($X58,"#,##0")&amp;" "&amp;$D58&amp;") – becomes critical "&amp;TEXT($W58,"ddd dd-mmm")&amp;".",IF($U58="NO USAGE","No planned or recent usage.","OK – next order by "&amp;TEXT($V58,"ddd dd-mmm")&amp;IF($N58&gt;0,"; "&amp;TEXT($N58,"#,##0")&amp;" "&amp;$D58&amp;" on order (next "&amp;TEXT($O58,"dd-mmm")&amp;")","")&amp;".")))))</f>
        <v/>
      </c>
      <c r="Z58" s="78" t="n">
        <f aca="false">IF(OR($A58="",$V58=""),1000000000,IF($V58="NOW",AsOfDate,$V58))</f>
        <v>1000000000</v>
      </c>
      <c r="AA58" s="78" t="n">
        <f aca="false">IF(OR($A58="",$W58=""),1000000000,IF($W58="NOW",AsOfDate,$W58))</f>
        <v>1000000000</v>
      </c>
      <c r="AB58" s="78" t="n">
        <f aca="false">IF(OR($A58="",$M58=""),1000000000,IF($M58="OUT",AsOfDate,$M58))</f>
        <v>1000000000</v>
      </c>
    </row>
    <row r="59" customFormat="false" ht="15" hidden="false" customHeight="false" outlineLevel="0" collapsed="false">
      <c r="A59" s="16" t="str">
        <f aca="false">IF(ISNUMBER('Current Inventory'!$J59),'Current Inventory'!$A59,"")</f>
        <v/>
      </c>
      <c r="B59" s="64" t="str">
        <f aca="false">IF($A59="","",'Current Inventory'!$B59)</f>
        <v/>
      </c>
      <c r="C59" s="16" t="str">
        <f aca="false">IF($A59="","",'Current Inventory'!$C59)</f>
        <v/>
      </c>
      <c r="D59" s="64" t="str">
        <f aca="false">IF($A59="","",'Current Inventory'!$D59)</f>
        <v/>
      </c>
      <c r="E59" s="67" t="str">
        <f aca="false">IF($A59="","",'Current Inventory'!$J59)</f>
        <v/>
      </c>
      <c r="F59" s="67" t="str">
        <f aca="false">IF($A59="","",N('Current Inventory'!$G59))</f>
        <v/>
      </c>
      <c r="G59" s="69" t="str">
        <f aca="false">IF($A59="","",'Current Inventory'!$K59)</f>
        <v/>
      </c>
      <c r="H59" s="67" t="str">
        <f aca="false">IF($A59="","",IFERROR(SUMIFS(INDEX(PP_Daily,0,MATCH($B59,Mat_Code,0)),PP_Site,$A59),0))</f>
        <v/>
      </c>
      <c r="I59" s="67" t="str">
        <f aca="false">IF($A59="","",IFERROR(SUMIFS(INDEX(Con_Use,0,MATCH($B59,Mat_Code,0)),Con_Site,$A59,Con_Date,"&gt;"&amp;(AsOfDate-7),Con_Date,"&lt;="&amp;AsOfDate)/MAX(1,NETWORKDAYS.INTL(AsOfDate-6,AsOfDate,WeekendMask,Holidays)),0))</f>
        <v/>
      </c>
      <c r="J59" s="67" t="str">
        <f aca="false">IF($A59="","",IF($H59&gt;0,$H59,$I59))</f>
        <v/>
      </c>
      <c r="K59" s="64" t="str">
        <f aca="false">IF($A59="","",IF($H59&gt;0,"Plan",IF($I59&gt;0,"Actual 7-day avg","No usage")))</f>
        <v/>
      </c>
      <c r="L59" s="72" t="str">
        <f aca="false">IF($A59="","",IF($J59&gt;0,MAX(0,$E59)/$J59,""))</f>
        <v/>
      </c>
      <c r="M59" s="73" t="str">
        <f aca="false">IF(OR($A59="",$L59=""),"",IF($E59&lt;=0,"OUT",WORKDAY.INTL(AsOfDate,ROUNDUP($L59,0),WeekendMask,Holidays)))</f>
        <v/>
      </c>
      <c r="N59" s="74" t="str">
        <f aca="false">IF($A59="","",SUMIFS(Del_Qty,Del_Site,$A59,Del_Mat,$B59,Del_Date,"&gt;"&amp;AsOfDate))</f>
        <v/>
      </c>
      <c r="O59" s="73" t="str">
        <f aca="false">IF(OR($A59="",N($N59)&lt;=0),"",SUMPRODUCT(MIN((Del_Site=$A59)*(Del_Mat=$B59)*(Del_Date&gt;AsOfDate)*Del_Date+(1-(Del_Site=$A59)*(Del_Mat=$B59)*(Del_Date&gt;AsOfDate))*1000000000)))</f>
        <v/>
      </c>
      <c r="P59" s="74" t="str">
        <f aca="false">IF($A59="","",IF(ISNUMBER($M59),SUMIFS(Del_Qty,Del_Site,$A59,Del_Mat,$B59,Del_Date,"&gt;"&amp;AsOfDate,Del_Date,"&lt;="&amp;$M59),0))</f>
        <v/>
      </c>
      <c r="Q59" s="75" t="str">
        <f aca="false">IF(OR($A59="",$J59&lt;=0),"",IF($P59&gt;0,(MAX(0,$E59)+$N59)/$J59,$L59))</f>
        <v/>
      </c>
      <c r="R59" s="75" t="str">
        <f aca="false">IF($A59="","",IFERROR(INDEX(Mat_Lead,MATCH($B59,Mat_Code,0)),0))</f>
        <v/>
      </c>
      <c r="S59" s="75" t="str">
        <f aca="false">IF($A59="","",IFERROR(INDEX(Mat_Safety,MATCH($B59,Mat_Code,0)),0))</f>
        <v/>
      </c>
      <c r="T59" s="67" t="str">
        <f aca="false">IF($A59="","",$J59*($R59+$S59))</f>
        <v/>
      </c>
      <c r="U59" s="76" t="str">
        <f aca="false">IF($A59="","",IF($E59&lt;=0,"OUT OF STOCK",IF($J59&lt;=0,"NO USAGE",IF($Q59&lt;=$R59,"CRITICAL",IF($Q59&lt;=$R59+$S59,"REORDER","OK")))))</f>
        <v/>
      </c>
      <c r="V59" s="73" t="str">
        <f aca="false">IF(OR($A59="",$U59="NO USAGE"),"",IF(OR($U59="OUT OF STOCK",$Q59&lt;=$R59+$S59),"NOW",WORKDAY.INTL(AsOfDate,INT($Q59-$R59-$S59),WeekendMask,Holidays)))</f>
        <v/>
      </c>
      <c r="W59" s="73" t="str">
        <f aca="false">IF(OR($A59="",$U59="NO USAGE"),"",IF(OR($U59="OUT OF STOCK",$Q59&lt;=$R59),"NOW",WORKDAY.INTL(AsOfDate,ROUNDUP($Q59-$R59,0),WeekendMask,Holidays)))</f>
        <v/>
      </c>
      <c r="X59" s="77" t="str">
        <f aca="false">IF($A59="","",IF(OR($U59="CRITICAL",$U59="REORDER",$U59="OUT OF STOCK"),IF($F59&gt;0,ROUNDUP(MAX(0,$F59-MAX(0,MAX(0,$E59)+$N59-$J59*$R59)),0),"Set capacity"),0))</f>
        <v/>
      </c>
      <c r="Y59" s="16" t="str">
        <f aca="false">IF($A59="","",IF($U59="OUT OF STOCK","Out of stock – production at risk."&amp;IF($N59&gt;0," Next delivery "&amp;TEXT($O59,"ddd dd-mmm")&amp;": expedite it."," Order and expedite now."),IF($U59="CRITICAL",IF(AND($N59&gt;0,$P59&lt;=0),"URGENT – runs out about "&amp;TEXT($M59,"ddd dd-mmm")&amp;", before the next delivery ("&amp;TEXT($O59,"ddd dd-mmm")&amp;"). Expedite it.","URGENT – runs out about "&amp;TEXT($M59,"ddd dd-mmm")&amp;"; a normal order takes "&amp;$R59&amp;" days. Order and expedite now."),IF($U59="REORDER","Order now (about "&amp;TEXT($X59,"#,##0")&amp;" "&amp;$D59&amp;") – becomes critical "&amp;TEXT($W59,"ddd dd-mmm")&amp;".",IF($U59="NO USAGE","No planned or recent usage.","OK – next order by "&amp;TEXT($V59,"ddd dd-mmm")&amp;IF($N59&gt;0,"; "&amp;TEXT($N59,"#,##0")&amp;" "&amp;$D59&amp;" on order (next "&amp;TEXT($O59,"dd-mmm")&amp;")","")&amp;".")))))</f>
        <v/>
      </c>
      <c r="Z59" s="78" t="n">
        <f aca="false">IF(OR($A59="",$V59=""),1000000000,IF($V59="NOW",AsOfDate,$V59))</f>
        <v>1000000000</v>
      </c>
      <c r="AA59" s="78" t="n">
        <f aca="false">IF(OR($A59="",$W59=""),1000000000,IF($W59="NOW",AsOfDate,$W59))</f>
        <v>1000000000</v>
      </c>
      <c r="AB59" s="78" t="n">
        <f aca="false">IF(OR($A59="",$M59=""),1000000000,IF($M59="OUT",AsOfDate,$M59))</f>
        <v>1000000000</v>
      </c>
    </row>
    <row r="60" customFormat="false" ht="15" hidden="false" customHeight="false" outlineLevel="0" collapsed="false">
      <c r="A60" s="16" t="str">
        <f aca="false">IF(ISNUMBER('Current Inventory'!$J60),'Current Inventory'!$A60,"")</f>
        <v/>
      </c>
      <c r="B60" s="64" t="str">
        <f aca="false">IF($A60="","",'Current Inventory'!$B60)</f>
        <v/>
      </c>
      <c r="C60" s="16" t="str">
        <f aca="false">IF($A60="","",'Current Inventory'!$C60)</f>
        <v/>
      </c>
      <c r="D60" s="64" t="str">
        <f aca="false">IF($A60="","",'Current Inventory'!$D60)</f>
        <v/>
      </c>
      <c r="E60" s="67" t="str">
        <f aca="false">IF($A60="","",'Current Inventory'!$J60)</f>
        <v/>
      </c>
      <c r="F60" s="67" t="str">
        <f aca="false">IF($A60="","",N('Current Inventory'!$G60))</f>
        <v/>
      </c>
      <c r="G60" s="69" t="str">
        <f aca="false">IF($A60="","",'Current Inventory'!$K60)</f>
        <v/>
      </c>
      <c r="H60" s="67" t="str">
        <f aca="false">IF($A60="","",IFERROR(SUMIFS(INDEX(PP_Daily,0,MATCH($B60,Mat_Code,0)),PP_Site,$A60),0))</f>
        <v/>
      </c>
      <c r="I60" s="67" t="str">
        <f aca="false">IF($A60="","",IFERROR(SUMIFS(INDEX(Con_Use,0,MATCH($B60,Mat_Code,0)),Con_Site,$A60,Con_Date,"&gt;"&amp;(AsOfDate-7),Con_Date,"&lt;="&amp;AsOfDate)/MAX(1,NETWORKDAYS.INTL(AsOfDate-6,AsOfDate,WeekendMask,Holidays)),0))</f>
        <v/>
      </c>
      <c r="J60" s="67" t="str">
        <f aca="false">IF($A60="","",IF($H60&gt;0,$H60,$I60))</f>
        <v/>
      </c>
      <c r="K60" s="64" t="str">
        <f aca="false">IF($A60="","",IF($H60&gt;0,"Plan",IF($I60&gt;0,"Actual 7-day avg","No usage")))</f>
        <v/>
      </c>
      <c r="L60" s="72" t="str">
        <f aca="false">IF($A60="","",IF($J60&gt;0,MAX(0,$E60)/$J60,""))</f>
        <v/>
      </c>
      <c r="M60" s="73" t="str">
        <f aca="false">IF(OR($A60="",$L60=""),"",IF($E60&lt;=0,"OUT",WORKDAY.INTL(AsOfDate,ROUNDUP($L60,0),WeekendMask,Holidays)))</f>
        <v/>
      </c>
      <c r="N60" s="74" t="str">
        <f aca="false">IF($A60="","",SUMIFS(Del_Qty,Del_Site,$A60,Del_Mat,$B60,Del_Date,"&gt;"&amp;AsOfDate))</f>
        <v/>
      </c>
      <c r="O60" s="73" t="str">
        <f aca="false">IF(OR($A60="",N($N60)&lt;=0),"",SUMPRODUCT(MIN((Del_Site=$A60)*(Del_Mat=$B60)*(Del_Date&gt;AsOfDate)*Del_Date+(1-(Del_Site=$A60)*(Del_Mat=$B60)*(Del_Date&gt;AsOfDate))*1000000000)))</f>
        <v/>
      </c>
      <c r="P60" s="74" t="str">
        <f aca="false">IF($A60="","",IF(ISNUMBER($M60),SUMIFS(Del_Qty,Del_Site,$A60,Del_Mat,$B60,Del_Date,"&gt;"&amp;AsOfDate,Del_Date,"&lt;="&amp;$M60),0))</f>
        <v/>
      </c>
      <c r="Q60" s="75" t="str">
        <f aca="false">IF(OR($A60="",$J60&lt;=0),"",IF($P60&gt;0,(MAX(0,$E60)+$N60)/$J60,$L60))</f>
        <v/>
      </c>
      <c r="R60" s="75" t="str">
        <f aca="false">IF($A60="","",IFERROR(INDEX(Mat_Lead,MATCH($B60,Mat_Code,0)),0))</f>
        <v/>
      </c>
      <c r="S60" s="75" t="str">
        <f aca="false">IF($A60="","",IFERROR(INDEX(Mat_Safety,MATCH($B60,Mat_Code,0)),0))</f>
        <v/>
      </c>
      <c r="T60" s="67" t="str">
        <f aca="false">IF($A60="","",$J60*($R60+$S60))</f>
        <v/>
      </c>
      <c r="U60" s="76" t="str">
        <f aca="false">IF($A60="","",IF($E60&lt;=0,"OUT OF STOCK",IF($J60&lt;=0,"NO USAGE",IF($Q60&lt;=$R60,"CRITICAL",IF($Q60&lt;=$R60+$S60,"REORDER","OK")))))</f>
        <v/>
      </c>
      <c r="V60" s="73" t="str">
        <f aca="false">IF(OR($A60="",$U60="NO USAGE"),"",IF(OR($U60="OUT OF STOCK",$Q60&lt;=$R60+$S60),"NOW",WORKDAY.INTL(AsOfDate,INT($Q60-$R60-$S60),WeekendMask,Holidays)))</f>
        <v/>
      </c>
      <c r="W60" s="73" t="str">
        <f aca="false">IF(OR($A60="",$U60="NO USAGE"),"",IF(OR($U60="OUT OF STOCK",$Q60&lt;=$R60),"NOW",WORKDAY.INTL(AsOfDate,ROUNDUP($Q60-$R60,0),WeekendMask,Holidays)))</f>
        <v/>
      </c>
      <c r="X60" s="77" t="str">
        <f aca="false">IF($A60="","",IF(OR($U60="CRITICAL",$U60="REORDER",$U60="OUT OF STOCK"),IF($F60&gt;0,ROUNDUP(MAX(0,$F60-MAX(0,MAX(0,$E60)+$N60-$J60*$R60)),0),"Set capacity"),0))</f>
        <v/>
      </c>
      <c r="Y60" s="16" t="str">
        <f aca="false">IF($A60="","",IF($U60="OUT OF STOCK","Out of stock – production at risk."&amp;IF($N60&gt;0," Next delivery "&amp;TEXT($O60,"ddd dd-mmm")&amp;": expedite it."," Order and expedite now."),IF($U60="CRITICAL",IF(AND($N60&gt;0,$P60&lt;=0),"URGENT – runs out about "&amp;TEXT($M60,"ddd dd-mmm")&amp;", before the next delivery ("&amp;TEXT($O60,"ddd dd-mmm")&amp;"). Expedite it.","URGENT – runs out about "&amp;TEXT($M60,"ddd dd-mmm")&amp;"; a normal order takes "&amp;$R60&amp;" days. Order and expedite now."),IF($U60="REORDER","Order now (about "&amp;TEXT($X60,"#,##0")&amp;" "&amp;$D60&amp;") – becomes critical "&amp;TEXT($W60,"ddd dd-mmm")&amp;".",IF($U60="NO USAGE","No planned or recent usage.","OK – next order by "&amp;TEXT($V60,"ddd dd-mmm")&amp;IF($N60&gt;0,"; "&amp;TEXT($N60,"#,##0")&amp;" "&amp;$D60&amp;" on order (next "&amp;TEXT($O60,"dd-mmm")&amp;")","")&amp;".")))))</f>
        <v/>
      </c>
      <c r="Z60" s="78" t="n">
        <f aca="false">IF(OR($A60="",$V60=""),1000000000,IF($V60="NOW",AsOfDate,$V60))</f>
        <v>1000000000</v>
      </c>
      <c r="AA60" s="78" t="n">
        <f aca="false">IF(OR($A60="",$W60=""),1000000000,IF($W60="NOW",AsOfDate,$W60))</f>
        <v>1000000000</v>
      </c>
      <c r="AB60" s="78" t="n">
        <f aca="false">IF(OR($A60="",$M60=""),1000000000,IF($M60="OUT",AsOfDate,$M60))</f>
        <v>1000000000</v>
      </c>
    </row>
    <row r="61" customFormat="false" ht="15" hidden="false" customHeight="false" outlineLevel="0" collapsed="false">
      <c r="A61" s="16" t="str">
        <f aca="false">IF(ISNUMBER('Current Inventory'!$J61),'Current Inventory'!$A61,"")</f>
        <v/>
      </c>
      <c r="B61" s="64" t="str">
        <f aca="false">IF($A61="","",'Current Inventory'!$B61)</f>
        <v/>
      </c>
      <c r="C61" s="16" t="str">
        <f aca="false">IF($A61="","",'Current Inventory'!$C61)</f>
        <v/>
      </c>
      <c r="D61" s="64" t="str">
        <f aca="false">IF($A61="","",'Current Inventory'!$D61)</f>
        <v/>
      </c>
      <c r="E61" s="67" t="str">
        <f aca="false">IF($A61="","",'Current Inventory'!$J61)</f>
        <v/>
      </c>
      <c r="F61" s="67" t="str">
        <f aca="false">IF($A61="","",N('Current Inventory'!$G61))</f>
        <v/>
      </c>
      <c r="G61" s="69" t="str">
        <f aca="false">IF($A61="","",'Current Inventory'!$K61)</f>
        <v/>
      </c>
      <c r="H61" s="67" t="str">
        <f aca="false">IF($A61="","",IFERROR(SUMIFS(INDEX(PP_Daily,0,MATCH($B61,Mat_Code,0)),PP_Site,$A61),0))</f>
        <v/>
      </c>
      <c r="I61" s="67" t="str">
        <f aca="false">IF($A61="","",IFERROR(SUMIFS(INDEX(Con_Use,0,MATCH($B61,Mat_Code,0)),Con_Site,$A61,Con_Date,"&gt;"&amp;(AsOfDate-7),Con_Date,"&lt;="&amp;AsOfDate)/MAX(1,NETWORKDAYS.INTL(AsOfDate-6,AsOfDate,WeekendMask,Holidays)),0))</f>
        <v/>
      </c>
      <c r="J61" s="67" t="str">
        <f aca="false">IF($A61="","",IF($H61&gt;0,$H61,$I61))</f>
        <v/>
      </c>
      <c r="K61" s="64" t="str">
        <f aca="false">IF($A61="","",IF($H61&gt;0,"Plan",IF($I61&gt;0,"Actual 7-day avg","No usage")))</f>
        <v/>
      </c>
      <c r="L61" s="72" t="str">
        <f aca="false">IF($A61="","",IF($J61&gt;0,MAX(0,$E61)/$J61,""))</f>
        <v/>
      </c>
      <c r="M61" s="73" t="str">
        <f aca="false">IF(OR($A61="",$L61=""),"",IF($E61&lt;=0,"OUT",WORKDAY.INTL(AsOfDate,ROUNDUP($L61,0),WeekendMask,Holidays)))</f>
        <v/>
      </c>
      <c r="N61" s="74" t="str">
        <f aca="false">IF($A61="","",SUMIFS(Del_Qty,Del_Site,$A61,Del_Mat,$B61,Del_Date,"&gt;"&amp;AsOfDate))</f>
        <v/>
      </c>
      <c r="O61" s="73" t="str">
        <f aca="false">IF(OR($A61="",N($N61)&lt;=0),"",SUMPRODUCT(MIN((Del_Site=$A61)*(Del_Mat=$B61)*(Del_Date&gt;AsOfDate)*Del_Date+(1-(Del_Site=$A61)*(Del_Mat=$B61)*(Del_Date&gt;AsOfDate))*1000000000)))</f>
        <v/>
      </c>
      <c r="P61" s="74" t="str">
        <f aca="false">IF($A61="","",IF(ISNUMBER($M61),SUMIFS(Del_Qty,Del_Site,$A61,Del_Mat,$B61,Del_Date,"&gt;"&amp;AsOfDate,Del_Date,"&lt;="&amp;$M61),0))</f>
        <v/>
      </c>
      <c r="Q61" s="75" t="str">
        <f aca="false">IF(OR($A61="",$J61&lt;=0),"",IF($P61&gt;0,(MAX(0,$E61)+$N61)/$J61,$L61))</f>
        <v/>
      </c>
      <c r="R61" s="75" t="str">
        <f aca="false">IF($A61="","",IFERROR(INDEX(Mat_Lead,MATCH($B61,Mat_Code,0)),0))</f>
        <v/>
      </c>
      <c r="S61" s="75" t="str">
        <f aca="false">IF($A61="","",IFERROR(INDEX(Mat_Safety,MATCH($B61,Mat_Code,0)),0))</f>
        <v/>
      </c>
      <c r="T61" s="67" t="str">
        <f aca="false">IF($A61="","",$J61*($R61+$S61))</f>
        <v/>
      </c>
      <c r="U61" s="76" t="str">
        <f aca="false">IF($A61="","",IF($E61&lt;=0,"OUT OF STOCK",IF($J61&lt;=0,"NO USAGE",IF($Q61&lt;=$R61,"CRITICAL",IF($Q61&lt;=$R61+$S61,"REORDER","OK")))))</f>
        <v/>
      </c>
      <c r="V61" s="73" t="str">
        <f aca="false">IF(OR($A61="",$U61="NO USAGE"),"",IF(OR($U61="OUT OF STOCK",$Q61&lt;=$R61+$S61),"NOW",WORKDAY.INTL(AsOfDate,INT($Q61-$R61-$S61),WeekendMask,Holidays)))</f>
        <v/>
      </c>
      <c r="W61" s="73" t="str">
        <f aca="false">IF(OR($A61="",$U61="NO USAGE"),"",IF(OR($U61="OUT OF STOCK",$Q61&lt;=$R61),"NOW",WORKDAY.INTL(AsOfDate,ROUNDUP($Q61-$R61,0),WeekendMask,Holidays)))</f>
        <v/>
      </c>
      <c r="X61" s="77" t="str">
        <f aca="false">IF($A61="","",IF(OR($U61="CRITICAL",$U61="REORDER",$U61="OUT OF STOCK"),IF($F61&gt;0,ROUNDUP(MAX(0,$F61-MAX(0,MAX(0,$E61)+$N61-$J61*$R61)),0),"Set capacity"),0))</f>
        <v/>
      </c>
      <c r="Y61" s="16" t="str">
        <f aca="false">IF($A61="","",IF($U61="OUT OF STOCK","Out of stock – production at risk."&amp;IF($N61&gt;0," Next delivery "&amp;TEXT($O61,"ddd dd-mmm")&amp;": expedite it."," Order and expedite now."),IF($U61="CRITICAL",IF(AND($N61&gt;0,$P61&lt;=0),"URGENT – runs out about "&amp;TEXT($M61,"ddd dd-mmm")&amp;", before the next delivery ("&amp;TEXT($O61,"ddd dd-mmm")&amp;"). Expedite it.","URGENT – runs out about "&amp;TEXT($M61,"ddd dd-mmm")&amp;"; a normal order takes "&amp;$R61&amp;" days. Order and expedite now."),IF($U61="REORDER","Order now (about "&amp;TEXT($X61,"#,##0")&amp;" "&amp;$D61&amp;") – becomes critical "&amp;TEXT($W61,"ddd dd-mmm")&amp;".",IF($U61="NO USAGE","No planned or recent usage.","OK – next order by "&amp;TEXT($V61,"ddd dd-mmm")&amp;IF($N61&gt;0,"; "&amp;TEXT($N61,"#,##0")&amp;" "&amp;$D61&amp;" on order (next "&amp;TEXT($O61,"dd-mmm")&amp;")","")&amp;".")))))</f>
        <v/>
      </c>
      <c r="Z61" s="78" t="n">
        <f aca="false">IF(OR($A61="",$V61=""),1000000000,IF($V61="NOW",AsOfDate,$V61))</f>
        <v>1000000000</v>
      </c>
      <c r="AA61" s="78" t="n">
        <f aca="false">IF(OR($A61="",$W61=""),1000000000,IF($W61="NOW",AsOfDate,$W61))</f>
        <v>1000000000</v>
      </c>
      <c r="AB61" s="78" t="n">
        <f aca="false">IF(OR($A61="",$M61=""),1000000000,IF($M61="OUT",AsOfDate,$M61))</f>
        <v>1000000000</v>
      </c>
    </row>
    <row r="62" customFormat="false" ht="15" hidden="false" customHeight="false" outlineLevel="0" collapsed="false">
      <c r="A62" s="16" t="str">
        <f aca="false">IF(ISNUMBER('Current Inventory'!$J62),'Current Inventory'!$A62,"")</f>
        <v/>
      </c>
      <c r="B62" s="64" t="str">
        <f aca="false">IF($A62="","",'Current Inventory'!$B62)</f>
        <v/>
      </c>
      <c r="C62" s="16" t="str">
        <f aca="false">IF($A62="","",'Current Inventory'!$C62)</f>
        <v/>
      </c>
      <c r="D62" s="64" t="str">
        <f aca="false">IF($A62="","",'Current Inventory'!$D62)</f>
        <v/>
      </c>
      <c r="E62" s="67" t="str">
        <f aca="false">IF($A62="","",'Current Inventory'!$J62)</f>
        <v/>
      </c>
      <c r="F62" s="67" t="str">
        <f aca="false">IF($A62="","",N('Current Inventory'!$G62))</f>
        <v/>
      </c>
      <c r="G62" s="69" t="str">
        <f aca="false">IF($A62="","",'Current Inventory'!$K62)</f>
        <v/>
      </c>
      <c r="H62" s="67" t="str">
        <f aca="false">IF($A62="","",IFERROR(SUMIFS(INDEX(PP_Daily,0,MATCH($B62,Mat_Code,0)),PP_Site,$A62),0))</f>
        <v/>
      </c>
      <c r="I62" s="67" t="str">
        <f aca="false">IF($A62="","",IFERROR(SUMIFS(INDEX(Con_Use,0,MATCH($B62,Mat_Code,0)),Con_Site,$A62,Con_Date,"&gt;"&amp;(AsOfDate-7),Con_Date,"&lt;="&amp;AsOfDate)/MAX(1,NETWORKDAYS.INTL(AsOfDate-6,AsOfDate,WeekendMask,Holidays)),0))</f>
        <v/>
      </c>
      <c r="J62" s="67" t="str">
        <f aca="false">IF($A62="","",IF($H62&gt;0,$H62,$I62))</f>
        <v/>
      </c>
      <c r="K62" s="64" t="str">
        <f aca="false">IF($A62="","",IF($H62&gt;0,"Plan",IF($I62&gt;0,"Actual 7-day avg","No usage")))</f>
        <v/>
      </c>
      <c r="L62" s="72" t="str">
        <f aca="false">IF($A62="","",IF($J62&gt;0,MAX(0,$E62)/$J62,""))</f>
        <v/>
      </c>
      <c r="M62" s="73" t="str">
        <f aca="false">IF(OR($A62="",$L62=""),"",IF($E62&lt;=0,"OUT",WORKDAY.INTL(AsOfDate,ROUNDUP($L62,0),WeekendMask,Holidays)))</f>
        <v/>
      </c>
      <c r="N62" s="74" t="str">
        <f aca="false">IF($A62="","",SUMIFS(Del_Qty,Del_Site,$A62,Del_Mat,$B62,Del_Date,"&gt;"&amp;AsOfDate))</f>
        <v/>
      </c>
      <c r="O62" s="73" t="str">
        <f aca="false">IF(OR($A62="",N($N62)&lt;=0),"",SUMPRODUCT(MIN((Del_Site=$A62)*(Del_Mat=$B62)*(Del_Date&gt;AsOfDate)*Del_Date+(1-(Del_Site=$A62)*(Del_Mat=$B62)*(Del_Date&gt;AsOfDate))*1000000000)))</f>
        <v/>
      </c>
      <c r="P62" s="74" t="str">
        <f aca="false">IF($A62="","",IF(ISNUMBER($M62),SUMIFS(Del_Qty,Del_Site,$A62,Del_Mat,$B62,Del_Date,"&gt;"&amp;AsOfDate,Del_Date,"&lt;="&amp;$M62),0))</f>
        <v/>
      </c>
      <c r="Q62" s="75" t="str">
        <f aca="false">IF(OR($A62="",$J62&lt;=0),"",IF($P62&gt;0,(MAX(0,$E62)+$N62)/$J62,$L62))</f>
        <v/>
      </c>
      <c r="R62" s="75" t="str">
        <f aca="false">IF($A62="","",IFERROR(INDEX(Mat_Lead,MATCH($B62,Mat_Code,0)),0))</f>
        <v/>
      </c>
      <c r="S62" s="75" t="str">
        <f aca="false">IF($A62="","",IFERROR(INDEX(Mat_Safety,MATCH($B62,Mat_Code,0)),0))</f>
        <v/>
      </c>
      <c r="T62" s="67" t="str">
        <f aca="false">IF($A62="","",$J62*($R62+$S62))</f>
        <v/>
      </c>
      <c r="U62" s="76" t="str">
        <f aca="false">IF($A62="","",IF($E62&lt;=0,"OUT OF STOCK",IF($J62&lt;=0,"NO USAGE",IF($Q62&lt;=$R62,"CRITICAL",IF($Q62&lt;=$R62+$S62,"REORDER","OK")))))</f>
        <v/>
      </c>
      <c r="V62" s="73" t="str">
        <f aca="false">IF(OR($A62="",$U62="NO USAGE"),"",IF(OR($U62="OUT OF STOCK",$Q62&lt;=$R62+$S62),"NOW",WORKDAY.INTL(AsOfDate,INT($Q62-$R62-$S62),WeekendMask,Holidays)))</f>
        <v/>
      </c>
      <c r="W62" s="73" t="str">
        <f aca="false">IF(OR($A62="",$U62="NO USAGE"),"",IF(OR($U62="OUT OF STOCK",$Q62&lt;=$R62),"NOW",WORKDAY.INTL(AsOfDate,ROUNDUP($Q62-$R62,0),WeekendMask,Holidays)))</f>
        <v/>
      </c>
      <c r="X62" s="77" t="str">
        <f aca="false">IF($A62="","",IF(OR($U62="CRITICAL",$U62="REORDER",$U62="OUT OF STOCK"),IF($F62&gt;0,ROUNDUP(MAX(0,$F62-MAX(0,MAX(0,$E62)+$N62-$J62*$R62)),0),"Set capacity"),0))</f>
        <v/>
      </c>
      <c r="Y62" s="16" t="str">
        <f aca="false">IF($A62="","",IF($U62="OUT OF STOCK","Out of stock – production at risk."&amp;IF($N62&gt;0," Next delivery "&amp;TEXT($O62,"ddd dd-mmm")&amp;": expedite it."," Order and expedite now."),IF($U62="CRITICAL",IF(AND($N62&gt;0,$P62&lt;=0),"URGENT – runs out about "&amp;TEXT($M62,"ddd dd-mmm")&amp;", before the next delivery ("&amp;TEXT($O62,"ddd dd-mmm")&amp;"). Expedite it.","URGENT – runs out about "&amp;TEXT($M62,"ddd dd-mmm")&amp;"; a normal order takes "&amp;$R62&amp;" days. Order and expedite now."),IF($U62="REORDER","Order now (about "&amp;TEXT($X62,"#,##0")&amp;" "&amp;$D62&amp;") – becomes critical "&amp;TEXT($W62,"ddd dd-mmm")&amp;".",IF($U62="NO USAGE","No planned or recent usage.","OK – next order by "&amp;TEXT($V62,"ddd dd-mmm")&amp;IF($N62&gt;0,"; "&amp;TEXT($N62,"#,##0")&amp;" "&amp;$D62&amp;" on order (next "&amp;TEXT($O62,"dd-mmm")&amp;")","")&amp;".")))))</f>
        <v/>
      </c>
      <c r="Z62" s="78" t="n">
        <f aca="false">IF(OR($A62="",$V62=""),1000000000,IF($V62="NOW",AsOfDate,$V62))</f>
        <v>1000000000</v>
      </c>
      <c r="AA62" s="78" t="n">
        <f aca="false">IF(OR($A62="",$W62=""),1000000000,IF($W62="NOW",AsOfDate,$W62))</f>
        <v>1000000000</v>
      </c>
      <c r="AB62" s="78" t="n">
        <f aca="false">IF(OR($A62="",$M62=""),1000000000,IF($M62="OUT",AsOfDate,$M62))</f>
        <v>1000000000</v>
      </c>
    </row>
    <row r="63" customFormat="false" ht="15" hidden="false" customHeight="false" outlineLevel="0" collapsed="false">
      <c r="A63" s="16" t="str">
        <f aca="false">IF(ISNUMBER('Current Inventory'!$J63),'Current Inventory'!$A63,"")</f>
        <v/>
      </c>
      <c r="B63" s="64" t="str">
        <f aca="false">IF($A63="","",'Current Inventory'!$B63)</f>
        <v/>
      </c>
      <c r="C63" s="16" t="str">
        <f aca="false">IF($A63="","",'Current Inventory'!$C63)</f>
        <v/>
      </c>
      <c r="D63" s="64" t="str">
        <f aca="false">IF($A63="","",'Current Inventory'!$D63)</f>
        <v/>
      </c>
      <c r="E63" s="67" t="str">
        <f aca="false">IF($A63="","",'Current Inventory'!$J63)</f>
        <v/>
      </c>
      <c r="F63" s="67" t="str">
        <f aca="false">IF($A63="","",N('Current Inventory'!$G63))</f>
        <v/>
      </c>
      <c r="G63" s="69" t="str">
        <f aca="false">IF($A63="","",'Current Inventory'!$K63)</f>
        <v/>
      </c>
      <c r="H63" s="67" t="str">
        <f aca="false">IF($A63="","",IFERROR(SUMIFS(INDEX(PP_Daily,0,MATCH($B63,Mat_Code,0)),PP_Site,$A63),0))</f>
        <v/>
      </c>
      <c r="I63" s="67" t="str">
        <f aca="false">IF($A63="","",IFERROR(SUMIFS(INDEX(Con_Use,0,MATCH($B63,Mat_Code,0)),Con_Site,$A63,Con_Date,"&gt;"&amp;(AsOfDate-7),Con_Date,"&lt;="&amp;AsOfDate)/MAX(1,NETWORKDAYS.INTL(AsOfDate-6,AsOfDate,WeekendMask,Holidays)),0))</f>
        <v/>
      </c>
      <c r="J63" s="67" t="str">
        <f aca="false">IF($A63="","",IF($H63&gt;0,$H63,$I63))</f>
        <v/>
      </c>
      <c r="K63" s="64" t="str">
        <f aca="false">IF($A63="","",IF($H63&gt;0,"Plan",IF($I63&gt;0,"Actual 7-day avg","No usage")))</f>
        <v/>
      </c>
      <c r="L63" s="72" t="str">
        <f aca="false">IF($A63="","",IF($J63&gt;0,MAX(0,$E63)/$J63,""))</f>
        <v/>
      </c>
      <c r="M63" s="73" t="str">
        <f aca="false">IF(OR($A63="",$L63=""),"",IF($E63&lt;=0,"OUT",WORKDAY.INTL(AsOfDate,ROUNDUP($L63,0),WeekendMask,Holidays)))</f>
        <v/>
      </c>
      <c r="N63" s="74" t="str">
        <f aca="false">IF($A63="","",SUMIFS(Del_Qty,Del_Site,$A63,Del_Mat,$B63,Del_Date,"&gt;"&amp;AsOfDate))</f>
        <v/>
      </c>
      <c r="O63" s="73" t="str">
        <f aca="false">IF(OR($A63="",N($N63)&lt;=0),"",SUMPRODUCT(MIN((Del_Site=$A63)*(Del_Mat=$B63)*(Del_Date&gt;AsOfDate)*Del_Date+(1-(Del_Site=$A63)*(Del_Mat=$B63)*(Del_Date&gt;AsOfDate))*1000000000)))</f>
        <v/>
      </c>
      <c r="P63" s="74" t="str">
        <f aca="false">IF($A63="","",IF(ISNUMBER($M63),SUMIFS(Del_Qty,Del_Site,$A63,Del_Mat,$B63,Del_Date,"&gt;"&amp;AsOfDate,Del_Date,"&lt;="&amp;$M63),0))</f>
        <v/>
      </c>
      <c r="Q63" s="75" t="str">
        <f aca="false">IF(OR($A63="",$J63&lt;=0),"",IF($P63&gt;0,(MAX(0,$E63)+$N63)/$J63,$L63))</f>
        <v/>
      </c>
      <c r="R63" s="75" t="str">
        <f aca="false">IF($A63="","",IFERROR(INDEX(Mat_Lead,MATCH($B63,Mat_Code,0)),0))</f>
        <v/>
      </c>
      <c r="S63" s="75" t="str">
        <f aca="false">IF($A63="","",IFERROR(INDEX(Mat_Safety,MATCH($B63,Mat_Code,0)),0))</f>
        <v/>
      </c>
      <c r="T63" s="67" t="str">
        <f aca="false">IF($A63="","",$J63*($R63+$S63))</f>
        <v/>
      </c>
      <c r="U63" s="76" t="str">
        <f aca="false">IF($A63="","",IF($E63&lt;=0,"OUT OF STOCK",IF($J63&lt;=0,"NO USAGE",IF($Q63&lt;=$R63,"CRITICAL",IF($Q63&lt;=$R63+$S63,"REORDER","OK")))))</f>
        <v/>
      </c>
      <c r="V63" s="73" t="str">
        <f aca="false">IF(OR($A63="",$U63="NO USAGE"),"",IF(OR($U63="OUT OF STOCK",$Q63&lt;=$R63+$S63),"NOW",WORKDAY.INTL(AsOfDate,INT($Q63-$R63-$S63),WeekendMask,Holidays)))</f>
        <v/>
      </c>
      <c r="W63" s="73" t="str">
        <f aca="false">IF(OR($A63="",$U63="NO USAGE"),"",IF(OR($U63="OUT OF STOCK",$Q63&lt;=$R63),"NOW",WORKDAY.INTL(AsOfDate,ROUNDUP($Q63-$R63,0),WeekendMask,Holidays)))</f>
        <v/>
      </c>
      <c r="X63" s="77" t="str">
        <f aca="false">IF($A63="","",IF(OR($U63="CRITICAL",$U63="REORDER",$U63="OUT OF STOCK"),IF($F63&gt;0,ROUNDUP(MAX(0,$F63-MAX(0,MAX(0,$E63)+$N63-$J63*$R63)),0),"Set capacity"),0))</f>
        <v/>
      </c>
      <c r="Y63" s="16" t="str">
        <f aca="false">IF($A63="","",IF($U63="OUT OF STOCK","Out of stock – production at risk."&amp;IF($N63&gt;0," Next delivery "&amp;TEXT($O63,"ddd dd-mmm")&amp;": expedite it."," Order and expedite now."),IF($U63="CRITICAL",IF(AND($N63&gt;0,$P63&lt;=0),"URGENT – runs out about "&amp;TEXT($M63,"ddd dd-mmm")&amp;", before the next delivery ("&amp;TEXT($O63,"ddd dd-mmm")&amp;"). Expedite it.","URGENT – runs out about "&amp;TEXT($M63,"ddd dd-mmm")&amp;"; a normal order takes "&amp;$R63&amp;" days. Order and expedite now."),IF($U63="REORDER","Order now (about "&amp;TEXT($X63,"#,##0")&amp;" "&amp;$D63&amp;") – becomes critical "&amp;TEXT($W63,"ddd dd-mmm")&amp;".",IF($U63="NO USAGE","No planned or recent usage.","OK – next order by "&amp;TEXT($V63,"ddd dd-mmm")&amp;IF($N63&gt;0,"; "&amp;TEXT($N63,"#,##0")&amp;" "&amp;$D63&amp;" on order (next "&amp;TEXT($O63,"dd-mmm")&amp;")","")&amp;".")))))</f>
        <v/>
      </c>
      <c r="Z63" s="78" t="n">
        <f aca="false">IF(OR($A63="",$V63=""),1000000000,IF($V63="NOW",AsOfDate,$V63))</f>
        <v>1000000000</v>
      </c>
      <c r="AA63" s="78" t="n">
        <f aca="false">IF(OR($A63="",$W63=""),1000000000,IF($W63="NOW",AsOfDate,$W63))</f>
        <v>1000000000</v>
      </c>
      <c r="AB63" s="78" t="n">
        <f aca="false">IF(OR($A63="",$M63=""),1000000000,IF($M63="OUT",AsOfDate,$M63))</f>
        <v>1000000000</v>
      </c>
    </row>
    <row r="64" customFormat="false" ht="15" hidden="false" customHeight="false" outlineLevel="0" collapsed="false">
      <c r="A64" s="16" t="str">
        <f aca="false">IF(ISNUMBER('Current Inventory'!$J64),'Current Inventory'!$A64,"")</f>
        <v/>
      </c>
      <c r="B64" s="64" t="str">
        <f aca="false">IF($A64="","",'Current Inventory'!$B64)</f>
        <v/>
      </c>
      <c r="C64" s="16" t="str">
        <f aca="false">IF($A64="","",'Current Inventory'!$C64)</f>
        <v/>
      </c>
      <c r="D64" s="64" t="str">
        <f aca="false">IF($A64="","",'Current Inventory'!$D64)</f>
        <v/>
      </c>
      <c r="E64" s="67" t="str">
        <f aca="false">IF($A64="","",'Current Inventory'!$J64)</f>
        <v/>
      </c>
      <c r="F64" s="67" t="str">
        <f aca="false">IF($A64="","",N('Current Inventory'!$G64))</f>
        <v/>
      </c>
      <c r="G64" s="69" t="str">
        <f aca="false">IF($A64="","",'Current Inventory'!$K64)</f>
        <v/>
      </c>
      <c r="H64" s="67" t="str">
        <f aca="false">IF($A64="","",IFERROR(SUMIFS(INDEX(PP_Daily,0,MATCH($B64,Mat_Code,0)),PP_Site,$A64),0))</f>
        <v/>
      </c>
      <c r="I64" s="67" t="str">
        <f aca="false">IF($A64="","",IFERROR(SUMIFS(INDEX(Con_Use,0,MATCH($B64,Mat_Code,0)),Con_Site,$A64,Con_Date,"&gt;"&amp;(AsOfDate-7),Con_Date,"&lt;="&amp;AsOfDate)/MAX(1,NETWORKDAYS.INTL(AsOfDate-6,AsOfDate,WeekendMask,Holidays)),0))</f>
        <v/>
      </c>
      <c r="J64" s="67" t="str">
        <f aca="false">IF($A64="","",IF($H64&gt;0,$H64,$I64))</f>
        <v/>
      </c>
      <c r="K64" s="64" t="str">
        <f aca="false">IF($A64="","",IF($H64&gt;0,"Plan",IF($I64&gt;0,"Actual 7-day avg","No usage")))</f>
        <v/>
      </c>
      <c r="L64" s="72" t="str">
        <f aca="false">IF($A64="","",IF($J64&gt;0,MAX(0,$E64)/$J64,""))</f>
        <v/>
      </c>
      <c r="M64" s="73" t="str">
        <f aca="false">IF(OR($A64="",$L64=""),"",IF($E64&lt;=0,"OUT",WORKDAY.INTL(AsOfDate,ROUNDUP($L64,0),WeekendMask,Holidays)))</f>
        <v/>
      </c>
      <c r="N64" s="74" t="str">
        <f aca="false">IF($A64="","",SUMIFS(Del_Qty,Del_Site,$A64,Del_Mat,$B64,Del_Date,"&gt;"&amp;AsOfDate))</f>
        <v/>
      </c>
      <c r="O64" s="73" t="str">
        <f aca="false">IF(OR($A64="",N($N64)&lt;=0),"",SUMPRODUCT(MIN((Del_Site=$A64)*(Del_Mat=$B64)*(Del_Date&gt;AsOfDate)*Del_Date+(1-(Del_Site=$A64)*(Del_Mat=$B64)*(Del_Date&gt;AsOfDate))*1000000000)))</f>
        <v/>
      </c>
      <c r="P64" s="74" t="str">
        <f aca="false">IF($A64="","",IF(ISNUMBER($M64),SUMIFS(Del_Qty,Del_Site,$A64,Del_Mat,$B64,Del_Date,"&gt;"&amp;AsOfDate,Del_Date,"&lt;="&amp;$M64),0))</f>
        <v/>
      </c>
      <c r="Q64" s="75" t="str">
        <f aca="false">IF(OR($A64="",$J64&lt;=0),"",IF($P64&gt;0,(MAX(0,$E64)+$N64)/$J64,$L64))</f>
        <v/>
      </c>
      <c r="R64" s="75" t="str">
        <f aca="false">IF($A64="","",IFERROR(INDEX(Mat_Lead,MATCH($B64,Mat_Code,0)),0))</f>
        <v/>
      </c>
      <c r="S64" s="75" t="str">
        <f aca="false">IF($A64="","",IFERROR(INDEX(Mat_Safety,MATCH($B64,Mat_Code,0)),0))</f>
        <v/>
      </c>
      <c r="T64" s="67" t="str">
        <f aca="false">IF($A64="","",$J64*($R64+$S64))</f>
        <v/>
      </c>
      <c r="U64" s="76" t="str">
        <f aca="false">IF($A64="","",IF($E64&lt;=0,"OUT OF STOCK",IF($J64&lt;=0,"NO USAGE",IF($Q64&lt;=$R64,"CRITICAL",IF($Q64&lt;=$R64+$S64,"REORDER","OK")))))</f>
        <v/>
      </c>
      <c r="V64" s="73" t="str">
        <f aca="false">IF(OR($A64="",$U64="NO USAGE"),"",IF(OR($U64="OUT OF STOCK",$Q64&lt;=$R64+$S64),"NOW",WORKDAY.INTL(AsOfDate,INT($Q64-$R64-$S64),WeekendMask,Holidays)))</f>
        <v/>
      </c>
      <c r="W64" s="73" t="str">
        <f aca="false">IF(OR($A64="",$U64="NO USAGE"),"",IF(OR($U64="OUT OF STOCK",$Q64&lt;=$R64),"NOW",WORKDAY.INTL(AsOfDate,ROUNDUP($Q64-$R64,0),WeekendMask,Holidays)))</f>
        <v/>
      </c>
      <c r="X64" s="77" t="str">
        <f aca="false">IF($A64="","",IF(OR($U64="CRITICAL",$U64="REORDER",$U64="OUT OF STOCK"),IF($F64&gt;0,ROUNDUP(MAX(0,$F64-MAX(0,MAX(0,$E64)+$N64-$J64*$R64)),0),"Set capacity"),0))</f>
        <v/>
      </c>
      <c r="Y64" s="16" t="str">
        <f aca="false">IF($A64="","",IF($U64="OUT OF STOCK","Out of stock – production at risk."&amp;IF($N64&gt;0," Next delivery "&amp;TEXT($O64,"ddd dd-mmm")&amp;": expedite it."," Order and expedite now."),IF($U64="CRITICAL",IF(AND($N64&gt;0,$P64&lt;=0),"URGENT – runs out about "&amp;TEXT($M64,"ddd dd-mmm")&amp;", before the next delivery ("&amp;TEXT($O64,"ddd dd-mmm")&amp;"). Expedite it.","URGENT – runs out about "&amp;TEXT($M64,"ddd dd-mmm")&amp;"; a normal order takes "&amp;$R64&amp;" days. Order and expedite now."),IF($U64="REORDER","Order now (about "&amp;TEXT($X64,"#,##0")&amp;" "&amp;$D64&amp;") – becomes critical "&amp;TEXT($W64,"ddd dd-mmm")&amp;".",IF($U64="NO USAGE","No planned or recent usage.","OK – next order by "&amp;TEXT($V64,"ddd dd-mmm")&amp;IF($N64&gt;0,"; "&amp;TEXT($N64,"#,##0")&amp;" "&amp;$D64&amp;" on order (next "&amp;TEXT($O64,"dd-mmm")&amp;")","")&amp;".")))))</f>
        <v/>
      </c>
      <c r="Z64" s="78" t="n">
        <f aca="false">IF(OR($A64="",$V64=""),1000000000,IF($V64="NOW",AsOfDate,$V64))</f>
        <v>1000000000</v>
      </c>
      <c r="AA64" s="78" t="n">
        <f aca="false">IF(OR($A64="",$W64=""),1000000000,IF($W64="NOW",AsOfDate,$W64))</f>
        <v>1000000000</v>
      </c>
      <c r="AB64" s="78" t="n">
        <f aca="false">IF(OR($A64="",$M64=""),1000000000,IF($M64="OUT",AsOfDate,$M64))</f>
        <v>1000000000</v>
      </c>
    </row>
    <row r="65" customFormat="false" ht="15" hidden="false" customHeight="false" outlineLevel="0" collapsed="false">
      <c r="A65" s="16" t="str">
        <f aca="false">IF(ISNUMBER('Current Inventory'!$J65),'Current Inventory'!$A65,"")</f>
        <v/>
      </c>
      <c r="B65" s="64" t="str">
        <f aca="false">IF($A65="","",'Current Inventory'!$B65)</f>
        <v/>
      </c>
      <c r="C65" s="16" t="str">
        <f aca="false">IF($A65="","",'Current Inventory'!$C65)</f>
        <v/>
      </c>
      <c r="D65" s="64" t="str">
        <f aca="false">IF($A65="","",'Current Inventory'!$D65)</f>
        <v/>
      </c>
      <c r="E65" s="67" t="str">
        <f aca="false">IF($A65="","",'Current Inventory'!$J65)</f>
        <v/>
      </c>
      <c r="F65" s="67" t="str">
        <f aca="false">IF($A65="","",N('Current Inventory'!$G65))</f>
        <v/>
      </c>
      <c r="G65" s="69" t="str">
        <f aca="false">IF($A65="","",'Current Inventory'!$K65)</f>
        <v/>
      </c>
      <c r="H65" s="67" t="str">
        <f aca="false">IF($A65="","",IFERROR(SUMIFS(INDEX(PP_Daily,0,MATCH($B65,Mat_Code,0)),PP_Site,$A65),0))</f>
        <v/>
      </c>
      <c r="I65" s="67" t="str">
        <f aca="false">IF($A65="","",IFERROR(SUMIFS(INDEX(Con_Use,0,MATCH($B65,Mat_Code,0)),Con_Site,$A65,Con_Date,"&gt;"&amp;(AsOfDate-7),Con_Date,"&lt;="&amp;AsOfDate)/MAX(1,NETWORKDAYS.INTL(AsOfDate-6,AsOfDate,WeekendMask,Holidays)),0))</f>
        <v/>
      </c>
      <c r="J65" s="67" t="str">
        <f aca="false">IF($A65="","",IF($H65&gt;0,$H65,$I65))</f>
        <v/>
      </c>
      <c r="K65" s="64" t="str">
        <f aca="false">IF($A65="","",IF($H65&gt;0,"Plan",IF($I65&gt;0,"Actual 7-day avg","No usage")))</f>
        <v/>
      </c>
      <c r="L65" s="72" t="str">
        <f aca="false">IF($A65="","",IF($J65&gt;0,MAX(0,$E65)/$J65,""))</f>
        <v/>
      </c>
      <c r="M65" s="73" t="str">
        <f aca="false">IF(OR($A65="",$L65=""),"",IF($E65&lt;=0,"OUT",WORKDAY.INTL(AsOfDate,ROUNDUP($L65,0),WeekendMask,Holidays)))</f>
        <v/>
      </c>
      <c r="N65" s="74" t="str">
        <f aca="false">IF($A65="","",SUMIFS(Del_Qty,Del_Site,$A65,Del_Mat,$B65,Del_Date,"&gt;"&amp;AsOfDate))</f>
        <v/>
      </c>
      <c r="O65" s="73" t="str">
        <f aca="false">IF(OR($A65="",N($N65)&lt;=0),"",SUMPRODUCT(MIN((Del_Site=$A65)*(Del_Mat=$B65)*(Del_Date&gt;AsOfDate)*Del_Date+(1-(Del_Site=$A65)*(Del_Mat=$B65)*(Del_Date&gt;AsOfDate))*1000000000)))</f>
        <v/>
      </c>
      <c r="P65" s="74" t="str">
        <f aca="false">IF($A65="","",IF(ISNUMBER($M65),SUMIFS(Del_Qty,Del_Site,$A65,Del_Mat,$B65,Del_Date,"&gt;"&amp;AsOfDate,Del_Date,"&lt;="&amp;$M65),0))</f>
        <v/>
      </c>
      <c r="Q65" s="75" t="str">
        <f aca="false">IF(OR($A65="",$J65&lt;=0),"",IF($P65&gt;0,(MAX(0,$E65)+$N65)/$J65,$L65))</f>
        <v/>
      </c>
      <c r="R65" s="75" t="str">
        <f aca="false">IF($A65="","",IFERROR(INDEX(Mat_Lead,MATCH($B65,Mat_Code,0)),0))</f>
        <v/>
      </c>
      <c r="S65" s="75" t="str">
        <f aca="false">IF($A65="","",IFERROR(INDEX(Mat_Safety,MATCH($B65,Mat_Code,0)),0))</f>
        <v/>
      </c>
      <c r="T65" s="67" t="str">
        <f aca="false">IF($A65="","",$J65*($R65+$S65))</f>
        <v/>
      </c>
      <c r="U65" s="76" t="str">
        <f aca="false">IF($A65="","",IF($E65&lt;=0,"OUT OF STOCK",IF($J65&lt;=0,"NO USAGE",IF($Q65&lt;=$R65,"CRITICAL",IF($Q65&lt;=$R65+$S65,"REORDER","OK")))))</f>
        <v/>
      </c>
      <c r="V65" s="73" t="str">
        <f aca="false">IF(OR($A65="",$U65="NO USAGE"),"",IF(OR($U65="OUT OF STOCK",$Q65&lt;=$R65+$S65),"NOW",WORKDAY.INTL(AsOfDate,INT($Q65-$R65-$S65),WeekendMask,Holidays)))</f>
        <v/>
      </c>
      <c r="W65" s="73" t="str">
        <f aca="false">IF(OR($A65="",$U65="NO USAGE"),"",IF(OR($U65="OUT OF STOCK",$Q65&lt;=$R65),"NOW",WORKDAY.INTL(AsOfDate,ROUNDUP($Q65-$R65,0),WeekendMask,Holidays)))</f>
        <v/>
      </c>
      <c r="X65" s="77" t="str">
        <f aca="false">IF($A65="","",IF(OR($U65="CRITICAL",$U65="REORDER",$U65="OUT OF STOCK"),IF($F65&gt;0,ROUNDUP(MAX(0,$F65-MAX(0,MAX(0,$E65)+$N65-$J65*$R65)),0),"Set capacity"),0))</f>
        <v/>
      </c>
      <c r="Y65" s="16" t="str">
        <f aca="false">IF($A65="","",IF($U65="OUT OF STOCK","Out of stock – production at risk."&amp;IF($N65&gt;0," Next delivery "&amp;TEXT($O65,"ddd dd-mmm")&amp;": expedite it."," Order and expedite now."),IF($U65="CRITICAL",IF(AND($N65&gt;0,$P65&lt;=0),"URGENT – runs out about "&amp;TEXT($M65,"ddd dd-mmm")&amp;", before the next delivery ("&amp;TEXT($O65,"ddd dd-mmm")&amp;"). Expedite it.","URGENT – runs out about "&amp;TEXT($M65,"ddd dd-mmm")&amp;"; a normal order takes "&amp;$R65&amp;" days. Order and expedite now."),IF($U65="REORDER","Order now (about "&amp;TEXT($X65,"#,##0")&amp;" "&amp;$D65&amp;") – becomes critical "&amp;TEXT($W65,"ddd dd-mmm")&amp;".",IF($U65="NO USAGE","No planned or recent usage.","OK – next order by "&amp;TEXT($V65,"ddd dd-mmm")&amp;IF($N65&gt;0,"; "&amp;TEXT($N65,"#,##0")&amp;" "&amp;$D65&amp;" on order (next "&amp;TEXT($O65,"dd-mmm")&amp;")","")&amp;".")))))</f>
        <v/>
      </c>
      <c r="Z65" s="78" t="n">
        <f aca="false">IF(OR($A65="",$V65=""),1000000000,IF($V65="NOW",AsOfDate,$V65))</f>
        <v>1000000000</v>
      </c>
      <c r="AA65" s="78" t="n">
        <f aca="false">IF(OR($A65="",$W65=""),1000000000,IF($W65="NOW",AsOfDate,$W65))</f>
        <v>1000000000</v>
      </c>
      <c r="AB65" s="78" t="n">
        <f aca="false">IF(OR($A65="",$M65=""),1000000000,IF($M65="OUT",AsOfDate,$M65))</f>
        <v>1000000000</v>
      </c>
    </row>
    <row r="66" customFormat="false" ht="15" hidden="false" customHeight="false" outlineLevel="0" collapsed="false">
      <c r="A66" s="16" t="str">
        <f aca="false">IF(ISNUMBER('Current Inventory'!$J66),'Current Inventory'!$A66,"")</f>
        <v/>
      </c>
      <c r="B66" s="64" t="str">
        <f aca="false">IF($A66="","",'Current Inventory'!$B66)</f>
        <v/>
      </c>
      <c r="C66" s="16" t="str">
        <f aca="false">IF($A66="","",'Current Inventory'!$C66)</f>
        <v/>
      </c>
      <c r="D66" s="64" t="str">
        <f aca="false">IF($A66="","",'Current Inventory'!$D66)</f>
        <v/>
      </c>
      <c r="E66" s="67" t="str">
        <f aca="false">IF($A66="","",'Current Inventory'!$J66)</f>
        <v/>
      </c>
      <c r="F66" s="67" t="str">
        <f aca="false">IF($A66="","",N('Current Inventory'!$G66))</f>
        <v/>
      </c>
      <c r="G66" s="69" t="str">
        <f aca="false">IF($A66="","",'Current Inventory'!$K66)</f>
        <v/>
      </c>
      <c r="H66" s="67" t="str">
        <f aca="false">IF($A66="","",IFERROR(SUMIFS(INDEX(PP_Daily,0,MATCH($B66,Mat_Code,0)),PP_Site,$A66),0))</f>
        <v/>
      </c>
      <c r="I66" s="67" t="str">
        <f aca="false">IF($A66="","",IFERROR(SUMIFS(INDEX(Con_Use,0,MATCH($B66,Mat_Code,0)),Con_Site,$A66,Con_Date,"&gt;"&amp;(AsOfDate-7),Con_Date,"&lt;="&amp;AsOfDate)/MAX(1,NETWORKDAYS.INTL(AsOfDate-6,AsOfDate,WeekendMask,Holidays)),0))</f>
        <v/>
      </c>
      <c r="J66" s="67" t="str">
        <f aca="false">IF($A66="","",IF($H66&gt;0,$H66,$I66))</f>
        <v/>
      </c>
      <c r="K66" s="64" t="str">
        <f aca="false">IF($A66="","",IF($H66&gt;0,"Plan",IF($I66&gt;0,"Actual 7-day avg","No usage")))</f>
        <v/>
      </c>
      <c r="L66" s="72" t="str">
        <f aca="false">IF($A66="","",IF($J66&gt;0,MAX(0,$E66)/$J66,""))</f>
        <v/>
      </c>
      <c r="M66" s="73" t="str">
        <f aca="false">IF(OR($A66="",$L66=""),"",IF($E66&lt;=0,"OUT",WORKDAY.INTL(AsOfDate,ROUNDUP($L66,0),WeekendMask,Holidays)))</f>
        <v/>
      </c>
      <c r="N66" s="74" t="str">
        <f aca="false">IF($A66="","",SUMIFS(Del_Qty,Del_Site,$A66,Del_Mat,$B66,Del_Date,"&gt;"&amp;AsOfDate))</f>
        <v/>
      </c>
      <c r="O66" s="73" t="str">
        <f aca="false">IF(OR($A66="",N($N66)&lt;=0),"",SUMPRODUCT(MIN((Del_Site=$A66)*(Del_Mat=$B66)*(Del_Date&gt;AsOfDate)*Del_Date+(1-(Del_Site=$A66)*(Del_Mat=$B66)*(Del_Date&gt;AsOfDate))*1000000000)))</f>
        <v/>
      </c>
      <c r="P66" s="74" t="str">
        <f aca="false">IF($A66="","",IF(ISNUMBER($M66),SUMIFS(Del_Qty,Del_Site,$A66,Del_Mat,$B66,Del_Date,"&gt;"&amp;AsOfDate,Del_Date,"&lt;="&amp;$M66),0))</f>
        <v/>
      </c>
      <c r="Q66" s="75" t="str">
        <f aca="false">IF(OR($A66="",$J66&lt;=0),"",IF($P66&gt;0,(MAX(0,$E66)+$N66)/$J66,$L66))</f>
        <v/>
      </c>
      <c r="R66" s="75" t="str">
        <f aca="false">IF($A66="","",IFERROR(INDEX(Mat_Lead,MATCH($B66,Mat_Code,0)),0))</f>
        <v/>
      </c>
      <c r="S66" s="75" t="str">
        <f aca="false">IF($A66="","",IFERROR(INDEX(Mat_Safety,MATCH($B66,Mat_Code,0)),0))</f>
        <v/>
      </c>
      <c r="T66" s="67" t="str">
        <f aca="false">IF($A66="","",$J66*($R66+$S66))</f>
        <v/>
      </c>
      <c r="U66" s="76" t="str">
        <f aca="false">IF($A66="","",IF($E66&lt;=0,"OUT OF STOCK",IF($J66&lt;=0,"NO USAGE",IF($Q66&lt;=$R66,"CRITICAL",IF($Q66&lt;=$R66+$S66,"REORDER","OK")))))</f>
        <v/>
      </c>
      <c r="V66" s="73" t="str">
        <f aca="false">IF(OR($A66="",$U66="NO USAGE"),"",IF(OR($U66="OUT OF STOCK",$Q66&lt;=$R66+$S66),"NOW",WORKDAY.INTL(AsOfDate,INT($Q66-$R66-$S66),WeekendMask,Holidays)))</f>
        <v/>
      </c>
      <c r="W66" s="73" t="str">
        <f aca="false">IF(OR($A66="",$U66="NO USAGE"),"",IF(OR($U66="OUT OF STOCK",$Q66&lt;=$R66),"NOW",WORKDAY.INTL(AsOfDate,ROUNDUP($Q66-$R66,0),WeekendMask,Holidays)))</f>
        <v/>
      </c>
      <c r="X66" s="77" t="str">
        <f aca="false">IF($A66="","",IF(OR($U66="CRITICAL",$U66="REORDER",$U66="OUT OF STOCK"),IF($F66&gt;0,ROUNDUP(MAX(0,$F66-MAX(0,MAX(0,$E66)+$N66-$J66*$R66)),0),"Set capacity"),0))</f>
        <v/>
      </c>
      <c r="Y66" s="16" t="str">
        <f aca="false">IF($A66="","",IF($U66="OUT OF STOCK","Out of stock – production at risk."&amp;IF($N66&gt;0," Next delivery "&amp;TEXT($O66,"ddd dd-mmm")&amp;": expedite it."," Order and expedite now."),IF($U66="CRITICAL",IF(AND($N66&gt;0,$P66&lt;=0),"URGENT – runs out about "&amp;TEXT($M66,"ddd dd-mmm")&amp;", before the next delivery ("&amp;TEXT($O66,"ddd dd-mmm")&amp;"). Expedite it.","URGENT – runs out about "&amp;TEXT($M66,"ddd dd-mmm")&amp;"; a normal order takes "&amp;$R66&amp;" days. Order and expedite now."),IF($U66="REORDER","Order now (about "&amp;TEXT($X66,"#,##0")&amp;" "&amp;$D66&amp;") – becomes critical "&amp;TEXT($W66,"ddd dd-mmm")&amp;".",IF($U66="NO USAGE","No planned or recent usage.","OK – next order by "&amp;TEXT($V66,"ddd dd-mmm")&amp;IF($N66&gt;0,"; "&amp;TEXT($N66,"#,##0")&amp;" "&amp;$D66&amp;" on order (next "&amp;TEXT($O66,"dd-mmm")&amp;")","")&amp;".")))))</f>
        <v/>
      </c>
      <c r="Z66" s="78" t="n">
        <f aca="false">IF(OR($A66="",$V66=""),1000000000,IF($V66="NOW",AsOfDate,$V66))</f>
        <v>1000000000</v>
      </c>
      <c r="AA66" s="78" t="n">
        <f aca="false">IF(OR($A66="",$W66=""),1000000000,IF($W66="NOW",AsOfDate,$W66))</f>
        <v>1000000000</v>
      </c>
      <c r="AB66" s="78" t="n">
        <f aca="false">IF(OR($A66="",$M66=""),1000000000,IF($M66="OUT",AsOfDate,$M66))</f>
        <v>1000000000</v>
      </c>
    </row>
    <row r="67" customFormat="false" ht="15" hidden="false" customHeight="false" outlineLevel="0" collapsed="false">
      <c r="A67" s="16" t="str">
        <f aca="false">IF(ISNUMBER('Current Inventory'!$J67),'Current Inventory'!$A67,"")</f>
        <v/>
      </c>
      <c r="B67" s="64" t="str">
        <f aca="false">IF($A67="","",'Current Inventory'!$B67)</f>
        <v/>
      </c>
      <c r="C67" s="16" t="str">
        <f aca="false">IF($A67="","",'Current Inventory'!$C67)</f>
        <v/>
      </c>
      <c r="D67" s="64" t="str">
        <f aca="false">IF($A67="","",'Current Inventory'!$D67)</f>
        <v/>
      </c>
      <c r="E67" s="67" t="str">
        <f aca="false">IF($A67="","",'Current Inventory'!$J67)</f>
        <v/>
      </c>
      <c r="F67" s="67" t="str">
        <f aca="false">IF($A67="","",N('Current Inventory'!$G67))</f>
        <v/>
      </c>
      <c r="G67" s="69" t="str">
        <f aca="false">IF($A67="","",'Current Inventory'!$K67)</f>
        <v/>
      </c>
      <c r="H67" s="67" t="str">
        <f aca="false">IF($A67="","",IFERROR(SUMIFS(INDEX(PP_Daily,0,MATCH($B67,Mat_Code,0)),PP_Site,$A67),0))</f>
        <v/>
      </c>
      <c r="I67" s="67" t="str">
        <f aca="false">IF($A67="","",IFERROR(SUMIFS(INDEX(Con_Use,0,MATCH($B67,Mat_Code,0)),Con_Site,$A67,Con_Date,"&gt;"&amp;(AsOfDate-7),Con_Date,"&lt;="&amp;AsOfDate)/MAX(1,NETWORKDAYS.INTL(AsOfDate-6,AsOfDate,WeekendMask,Holidays)),0))</f>
        <v/>
      </c>
      <c r="J67" s="67" t="str">
        <f aca="false">IF($A67="","",IF($H67&gt;0,$H67,$I67))</f>
        <v/>
      </c>
      <c r="K67" s="64" t="str">
        <f aca="false">IF($A67="","",IF($H67&gt;0,"Plan",IF($I67&gt;0,"Actual 7-day avg","No usage")))</f>
        <v/>
      </c>
      <c r="L67" s="72" t="str">
        <f aca="false">IF($A67="","",IF($J67&gt;0,MAX(0,$E67)/$J67,""))</f>
        <v/>
      </c>
      <c r="M67" s="73" t="str">
        <f aca="false">IF(OR($A67="",$L67=""),"",IF($E67&lt;=0,"OUT",WORKDAY.INTL(AsOfDate,ROUNDUP($L67,0),WeekendMask,Holidays)))</f>
        <v/>
      </c>
      <c r="N67" s="74" t="str">
        <f aca="false">IF($A67="","",SUMIFS(Del_Qty,Del_Site,$A67,Del_Mat,$B67,Del_Date,"&gt;"&amp;AsOfDate))</f>
        <v/>
      </c>
      <c r="O67" s="73" t="str">
        <f aca="false">IF(OR($A67="",N($N67)&lt;=0),"",SUMPRODUCT(MIN((Del_Site=$A67)*(Del_Mat=$B67)*(Del_Date&gt;AsOfDate)*Del_Date+(1-(Del_Site=$A67)*(Del_Mat=$B67)*(Del_Date&gt;AsOfDate))*1000000000)))</f>
        <v/>
      </c>
      <c r="P67" s="74" t="str">
        <f aca="false">IF($A67="","",IF(ISNUMBER($M67),SUMIFS(Del_Qty,Del_Site,$A67,Del_Mat,$B67,Del_Date,"&gt;"&amp;AsOfDate,Del_Date,"&lt;="&amp;$M67),0))</f>
        <v/>
      </c>
      <c r="Q67" s="75" t="str">
        <f aca="false">IF(OR($A67="",$J67&lt;=0),"",IF($P67&gt;0,(MAX(0,$E67)+$N67)/$J67,$L67))</f>
        <v/>
      </c>
      <c r="R67" s="75" t="str">
        <f aca="false">IF($A67="","",IFERROR(INDEX(Mat_Lead,MATCH($B67,Mat_Code,0)),0))</f>
        <v/>
      </c>
      <c r="S67" s="75" t="str">
        <f aca="false">IF($A67="","",IFERROR(INDEX(Mat_Safety,MATCH($B67,Mat_Code,0)),0))</f>
        <v/>
      </c>
      <c r="T67" s="67" t="str">
        <f aca="false">IF($A67="","",$J67*($R67+$S67))</f>
        <v/>
      </c>
      <c r="U67" s="76" t="str">
        <f aca="false">IF($A67="","",IF($E67&lt;=0,"OUT OF STOCK",IF($J67&lt;=0,"NO USAGE",IF($Q67&lt;=$R67,"CRITICAL",IF($Q67&lt;=$R67+$S67,"REORDER","OK")))))</f>
        <v/>
      </c>
      <c r="V67" s="73" t="str">
        <f aca="false">IF(OR($A67="",$U67="NO USAGE"),"",IF(OR($U67="OUT OF STOCK",$Q67&lt;=$R67+$S67),"NOW",WORKDAY.INTL(AsOfDate,INT($Q67-$R67-$S67),WeekendMask,Holidays)))</f>
        <v/>
      </c>
      <c r="W67" s="73" t="str">
        <f aca="false">IF(OR($A67="",$U67="NO USAGE"),"",IF(OR($U67="OUT OF STOCK",$Q67&lt;=$R67),"NOW",WORKDAY.INTL(AsOfDate,ROUNDUP($Q67-$R67,0),WeekendMask,Holidays)))</f>
        <v/>
      </c>
      <c r="X67" s="77" t="str">
        <f aca="false">IF($A67="","",IF(OR($U67="CRITICAL",$U67="REORDER",$U67="OUT OF STOCK"),IF($F67&gt;0,ROUNDUP(MAX(0,$F67-MAX(0,MAX(0,$E67)+$N67-$J67*$R67)),0),"Set capacity"),0))</f>
        <v/>
      </c>
      <c r="Y67" s="16" t="str">
        <f aca="false">IF($A67="","",IF($U67="OUT OF STOCK","Out of stock – production at risk."&amp;IF($N67&gt;0," Next delivery "&amp;TEXT($O67,"ddd dd-mmm")&amp;": expedite it."," Order and expedite now."),IF($U67="CRITICAL",IF(AND($N67&gt;0,$P67&lt;=0),"URGENT – runs out about "&amp;TEXT($M67,"ddd dd-mmm")&amp;", before the next delivery ("&amp;TEXT($O67,"ddd dd-mmm")&amp;"). Expedite it.","URGENT – runs out about "&amp;TEXT($M67,"ddd dd-mmm")&amp;"; a normal order takes "&amp;$R67&amp;" days. Order and expedite now."),IF($U67="REORDER","Order now (about "&amp;TEXT($X67,"#,##0")&amp;" "&amp;$D67&amp;") – becomes critical "&amp;TEXT($W67,"ddd dd-mmm")&amp;".",IF($U67="NO USAGE","No planned or recent usage.","OK – next order by "&amp;TEXT($V67,"ddd dd-mmm")&amp;IF($N67&gt;0,"; "&amp;TEXT($N67,"#,##0")&amp;" "&amp;$D67&amp;" on order (next "&amp;TEXT($O67,"dd-mmm")&amp;")","")&amp;".")))))</f>
        <v/>
      </c>
      <c r="Z67" s="78" t="n">
        <f aca="false">IF(OR($A67="",$V67=""),1000000000,IF($V67="NOW",AsOfDate,$V67))</f>
        <v>1000000000</v>
      </c>
      <c r="AA67" s="78" t="n">
        <f aca="false">IF(OR($A67="",$W67=""),1000000000,IF($W67="NOW",AsOfDate,$W67))</f>
        <v>1000000000</v>
      </c>
      <c r="AB67" s="78" t="n">
        <f aca="false">IF(OR($A67="",$M67=""),1000000000,IF($M67="OUT",AsOfDate,$M67))</f>
        <v>1000000000</v>
      </c>
    </row>
    <row r="68" customFormat="false" ht="15" hidden="false" customHeight="false" outlineLevel="0" collapsed="false">
      <c r="A68" s="16" t="str">
        <f aca="false">IF(ISNUMBER('Current Inventory'!$J68),'Current Inventory'!$A68,"")</f>
        <v/>
      </c>
      <c r="B68" s="64" t="str">
        <f aca="false">IF($A68="","",'Current Inventory'!$B68)</f>
        <v/>
      </c>
      <c r="C68" s="16" t="str">
        <f aca="false">IF($A68="","",'Current Inventory'!$C68)</f>
        <v/>
      </c>
      <c r="D68" s="64" t="str">
        <f aca="false">IF($A68="","",'Current Inventory'!$D68)</f>
        <v/>
      </c>
      <c r="E68" s="67" t="str">
        <f aca="false">IF($A68="","",'Current Inventory'!$J68)</f>
        <v/>
      </c>
      <c r="F68" s="67" t="str">
        <f aca="false">IF($A68="","",N('Current Inventory'!$G68))</f>
        <v/>
      </c>
      <c r="G68" s="69" t="str">
        <f aca="false">IF($A68="","",'Current Inventory'!$K68)</f>
        <v/>
      </c>
      <c r="H68" s="67" t="str">
        <f aca="false">IF($A68="","",IFERROR(SUMIFS(INDEX(PP_Daily,0,MATCH($B68,Mat_Code,0)),PP_Site,$A68),0))</f>
        <v/>
      </c>
      <c r="I68" s="67" t="str">
        <f aca="false">IF($A68="","",IFERROR(SUMIFS(INDEX(Con_Use,0,MATCH($B68,Mat_Code,0)),Con_Site,$A68,Con_Date,"&gt;"&amp;(AsOfDate-7),Con_Date,"&lt;="&amp;AsOfDate)/MAX(1,NETWORKDAYS.INTL(AsOfDate-6,AsOfDate,WeekendMask,Holidays)),0))</f>
        <v/>
      </c>
      <c r="J68" s="67" t="str">
        <f aca="false">IF($A68="","",IF($H68&gt;0,$H68,$I68))</f>
        <v/>
      </c>
      <c r="K68" s="64" t="str">
        <f aca="false">IF($A68="","",IF($H68&gt;0,"Plan",IF($I68&gt;0,"Actual 7-day avg","No usage")))</f>
        <v/>
      </c>
      <c r="L68" s="72" t="str">
        <f aca="false">IF($A68="","",IF($J68&gt;0,MAX(0,$E68)/$J68,""))</f>
        <v/>
      </c>
      <c r="M68" s="73" t="str">
        <f aca="false">IF(OR($A68="",$L68=""),"",IF($E68&lt;=0,"OUT",WORKDAY.INTL(AsOfDate,ROUNDUP($L68,0),WeekendMask,Holidays)))</f>
        <v/>
      </c>
      <c r="N68" s="74" t="str">
        <f aca="false">IF($A68="","",SUMIFS(Del_Qty,Del_Site,$A68,Del_Mat,$B68,Del_Date,"&gt;"&amp;AsOfDate))</f>
        <v/>
      </c>
      <c r="O68" s="73" t="str">
        <f aca="false">IF(OR($A68="",N($N68)&lt;=0),"",SUMPRODUCT(MIN((Del_Site=$A68)*(Del_Mat=$B68)*(Del_Date&gt;AsOfDate)*Del_Date+(1-(Del_Site=$A68)*(Del_Mat=$B68)*(Del_Date&gt;AsOfDate))*1000000000)))</f>
        <v/>
      </c>
      <c r="P68" s="74" t="str">
        <f aca="false">IF($A68="","",IF(ISNUMBER($M68),SUMIFS(Del_Qty,Del_Site,$A68,Del_Mat,$B68,Del_Date,"&gt;"&amp;AsOfDate,Del_Date,"&lt;="&amp;$M68),0))</f>
        <v/>
      </c>
      <c r="Q68" s="75" t="str">
        <f aca="false">IF(OR($A68="",$J68&lt;=0),"",IF($P68&gt;0,(MAX(0,$E68)+$N68)/$J68,$L68))</f>
        <v/>
      </c>
      <c r="R68" s="75" t="str">
        <f aca="false">IF($A68="","",IFERROR(INDEX(Mat_Lead,MATCH($B68,Mat_Code,0)),0))</f>
        <v/>
      </c>
      <c r="S68" s="75" t="str">
        <f aca="false">IF($A68="","",IFERROR(INDEX(Mat_Safety,MATCH($B68,Mat_Code,0)),0))</f>
        <v/>
      </c>
      <c r="T68" s="67" t="str">
        <f aca="false">IF($A68="","",$J68*($R68+$S68))</f>
        <v/>
      </c>
      <c r="U68" s="76" t="str">
        <f aca="false">IF($A68="","",IF($E68&lt;=0,"OUT OF STOCK",IF($J68&lt;=0,"NO USAGE",IF($Q68&lt;=$R68,"CRITICAL",IF($Q68&lt;=$R68+$S68,"REORDER","OK")))))</f>
        <v/>
      </c>
      <c r="V68" s="73" t="str">
        <f aca="false">IF(OR($A68="",$U68="NO USAGE"),"",IF(OR($U68="OUT OF STOCK",$Q68&lt;=$R68+$S68),"NOW",WORKDAY.INTL(AsOfDate,INT($Q68-$R68-$S68),WeekendMask,Holidays)))</f>
        <v/>
      </c>
      <c r="W68" s="73" t="str">
        <f aca="false">IF(OR($A68="",$U68="NO USAGE"),"",IF(OR($U68="OUT OF STOCK",$Q68&lt;=$R68),"NOW",WORKDAY.INTL(AsOfDate,ROUNDUP($Q68-$R68,0),WeekendMask,Holidays)))</f>
        <v/>
      </c>
      <c r="X68" s="77" t="str">
        <f aca="false">IF($A68="","",IF(OR($U68="CRITICAL",$U68="REORDER",$U68="OUT OF STOCK"),IF($F68&gt;0,ROUNDUP(MAX(0,$F68-MAX(0,MAX(0,$E68)+$N68-$J68*$R68)),0),"Set capacity"),0))</f>
        <v/>
      </c>
      <c r="Y68" s="16" t="str">
        <f aca="false">IF($A68="","",IF($U68="OUT OF STOCK","Out of stock – production at risk."&amp;IF($N68&gt;0," Next delivery "&amp;TEXT($O68,"ddd dd-mmm")&amp;": expedite it."," Order and expedite now."),IF($U68="CRITICAL",IF(AND($N68&gt;0,$P68&lt;=0),"URGENT – runs out about "&amp;TEXT($M68,"ddd dd-mmm")&amp;", before the next delivery ("&amp;TEXT($O68,"ddd dd-mmm")&amp;"). Expedite it.","URGENT – runs out about "&amp;TEXT($M68,"ddd dd-mmm")&amp;"; a normal order takes "&amp;$R68&amp;" days. Order and expedite now."),IF($U68="REORDER","Order now (about "&amp;TEXT($X68,"#,##0")&amp;" "&amp;$D68&amp;") – becomes critical "&amp;TEXT($W68,"ddd dd-mmm")&amp;".",IF($U68="NO USAGE","No planned or recent usage.","OK – next order by "&amp;TEXT($V68,"ddd dd-mmm")&amp;IF($N68&gt;0,"; "&amp;TEXT($N68,"#,##0")&amp;" "&amp;$D68&amp;" on order (next "&amp;TEXT($O68,"dd-mmm")&amp;")","")&amp;".")))))</f>
        <v/>
      </c>
      <c r="Z68" s="78" t="n">
        <f aca="false">IF(OR($A68="",$V68=""),1000000000,IF($V68="NOW",AsOfDate,$V68))</f>
        <v>1000000000</v>
      </c>
      <c r="AA68" s="78" t="n">
        <f aca="false">IF(OR($A68="",$W68=""),1000000000,IF($W68="NOW",AsOfDate,$W68))</f>
        <v>1000000000</v>
      </c>
      <c r="AB68" s="78" t="n">
        <f aca="false">IF(OR($A68="",$M68=""),1000000000,IF($M68="OUT",AsOfDate,$M68))</f>
        <v>1000000000</v>
      </c>
    </row>
    <row r="69" customFormat="false" ht="15" hidden="false" customHeight="false" outlineLevel="0" collapsed="false">
      <c r="A69" s="16" t="str">
        <f aca="false">IF(ISNUMBER('Current Inventory'!$J69),'Current Inventory'!$A69,"")</f>
        <v/>
      </c>
      <c r="B69" s="64" t="str">
        <f aca="false">IF($A69="","",'Current Inventory'!$B69)</f>
        <v/>
      </c>
      <c r="C69" s="16" t="str">
        <f aca="false">IF($A69="","",'Current Inventory'!$C69)</f>
        <v/>
      </c>
      <c r="D69" s="64" t="str">
        <f aca="false">IF($A69="","",'Current Inventory'!$D69)</f>
        <v/>
      </c>
      <c r="E69" s="67" t="str">
        <f aca="false">IF($A69="","",'Current Inventory'!$J69)</f>
        <v/>
      </c>
      <c r="F69" s="67" t="str">
        <f aca="false">IF($A69="","",N('Current Inventory'!$G69))</f>
        <v/>
      </c>
      <c r="G69" s="69" t="str">
        <f aca="false">IF($A69="","",'Current Inventory'!$K69)</f>
        <v/>
      </c>
      <c r="H69" s="67" t="str">
        <f aca="false">IF($A69="","",IFERROR(SUMIFS(INDEX(PP_Daily,0,MATCH($B69,Mat_Code,0)),PP_Site,$A69),0))</f>
        <v/>
      </c>
      <c r="I69" s="67" t="str">
        <f aca="false">IF($A69="","",IFERROR(SUMIFS(INDEX(Con_Use,0,MATCH($B69,Mat_Code,0)),Con_Site,$A69,Con_Date,"&gt;"&amp;(AsOfDate-7),Con_Date,"&lt;="&amp;AsOfDate)/MAX(1,NETWORKDAYS.INTL(AsOfDate-6,AsOfDate,WeekendMask,Holidays)),0))</f>
        <v/>
      </c>
      <c r="J69" s="67" t="str">
        <f aca="false">IF($A69="","",IF($H69&gt;0,$H69,$I69))</f>
        <v/>
      </c>
      <c r="K69" s="64" t="str">
        <f aca="false">IF($A69="","",IF($H69&gt;0,"Plan",IF($I69&gt;0,"Actual 7-day avg","No usage")))</f>
        <v/>
      </c>
      <c r="L69" s="72" t="str">
        <f aca="false">IF($A69="","",IF($J69&gt;0,MAX(0,$E69)/$J69,""))</f>
        <v/>
      </c>
      <c r="M69" s="73" t="str">
        <f aca="false">IF(OR($A69="",$L69=""),"",IF($E69&lt;=0,"OUT",WORKDAY.INTL(AsOfDate,ROUNDUP($L69,0),WeekendMask,Holidays)))</f>
        <v/>
      </c>
      <c r="N69" s="74" t="str">
        <f aca="false">IF($A69="","",SUMIFS(Del_Qty,Del_Site,$A69,Del_Mat,$B69,Del_Date,"&gt;"&amp;AsOfDate))</f>
        <v/>
      </c>
      <c r="O69" s="73" t="str">
        <f aca="false">IF(OR($A69="",N($N69)&lt;=0),"",SUMPRODUCT(MIN((Del_Site=$A69)*(Del_Mat=$B69)*(Del_Date&gt;AsOfDate)*Del_Date+(1-(Del_Site=$A69)*(Del_Mat=$B69)*(Del_Date&gt;AsOfDate))*1000000000)))</f>
        <v/>
      </c>
      <c r="P69" s="74" t="str">
        <f aca="false">IF($A69="","",IF(ISNUMBER($M69),SUMIFS(Del_Qty,Del_Site,$A69,Del_Mat,$B69,Del_Date,"&gt;"&amp;AsOfDate,Del_Date,"&lt;="&amp;$M69),0))</f>
        <v/>
      </c>
      <c r="Q69" s="75" t="str">
        <f aca="false">IF(OR($A69="",$J69&lt;=0),"",IF($P69&gt;0,(MAX(0,$E69)+$N69)/$J69,$L69))</f>
        <v/>
      </c>
      <c r="R69" s="75" t="str">
        <f aca="false">IF($A69="","",IFERROR(INDEX(Mat_Lead,MATCH($B69,Mat_Code,0)),0))</f>
        <v/>
      </c>
      <c r="S69" s="75" t="str">
        <f aca="false">IF($A69="","",IFERROR(INDEX(Mat_Safety,MATCH($B69,Mat_Code,0)),0))</f>
        <v/>
      </c>
      <c r="T69" s="67" t="str">
        <f aca="false">IF($A69="","",$J69*($R69+$S69))</f>
        <v/>
      </c>
      <c r="U69" s="76" t="str">
        <f aca="false">IF($A69="","",IF($E69&lt;=0,"OUT OF STOCK",IF($J69&lt;=0,"NO USAGE",IF($Q69&lt;=$R69,"CRITICAL",IF($Q69&lt;=$R69+$S69,"REORDER","OK")))))</f>
        <v/>
      </c>
      <c r="V69" s="73" t="str">
        <f aca="false">IF(OR($A69="",$U69="NO USAGE"),"",IF(OR($U69="OUT OF STOCK",$Q69&lt;=$R69+$S69),"NOW",WORKDAY.INTL(AsOfDate,INT($Q69-$R69-$S69),WeekendMask,Holidays)))</f>
        <v/>
      </c>
      <c r="W69" s="73" t="str">
        <f aca="false">IF(OR($A69="",$U69="NO USAGE"),"",IF(OR($U69="OUT OF STOCK",$Q69&lt;=$R69),"NOW",WORKDAY.INTL(AsOfDate,ROUNDUP($Q69-$R69,0),WeekendMask,Holidays)))</f>
        <v/>
      </c>
      <c r="X69" s="77" t="str">
        <f aca="false">IF($A69="","",IF(OR($U69="CRITICAL",$U69="REORDER",$U69="OUT OF STOCK"),IF($F69&gt;0,ROUNDUP(MAX(0,$F69-MAX(0,MAX(0,$E69)+$N69-$J69*$R69)),0),"Set capacity"),0))</f>
        <v/>
      </c>
      <c r="Y69" s="16" t="str">
        <f aca="false">IF($A69="","",IF($U69="OUT OF STOCK","Out of stock – production at risk."&amp;IF($N69&gt;0," Next delivery "&amp;TEXT($O69,"ddd dd-mmm")&amp;": expedite it."," Order and expedite now."),IF($U69="CRITICAL",IF(AND($N69&gt;0,$P69&lt;=0),"URGENT – runs out about "&amp;TEXT($M69,"ddd dd-mmm")&amp;", before the next delivery ("&amp;TEXT($O69,"ddd dd-mmm")&amp;"). Expedite it.","URGENT – runs out about "&amp;TEXT($M69,"ddd dd-mmm")&amp;"; a normal order takes "&amp;$R69&amp;" days. Order and expedite now."),IF($U69="REORDER","Order now (about "&amp;TEXT($X69,"#,##0")&amp;" "&amp;$D69&amp;") – becomes critical "&amp;TEXT($W69,"ddd dd-mmm")&amp;".",IF($U69="NO USAGE","No planned or recent usage.","OK – next order by "&amp;TEXT($V69,"ddd dd-mmm")&amp;IF($N69&gt;0,"; "&amp;TEXT($N69,"#,##0")&amp;" "&amp;$D69&amp;" on order (next "&amp;TEXT($O69,"dd-mmm")&amp;")","")&amp;".")))))</f>
        <v/>
      </c>
      <c r="Z69" s="78" t="n">
        <f aca="false">IF(OR($A69="",$V69=""),1000000000,IF($V69="NOW",AsOfDate,$V69))</f>
        <v>1000000000</v>
      </c>
      <c r="AA69" s="78" t="n">
        <f aca="false">IF(OR($A69="",$W69=""),1000000000,IF($W69="NOW",AsOfDate,$W69))</f>
        <v>1000000000</v>
      </c>
      <c r="AB69" s="78" t="n">
        <f aca="false">IF(OR($A69="",$M69=""),1000000000,IF($M69="OUT",AsOfDate,$M69))</f>
        <v>1000000000</v>
      </c>
    </row>
    <row r="70" customFormat="false" ht="15" hidden="false" customHeight="false" outlineLevel="0" collapsed="false">
      <c r="A70" s="16" t="str">
        <f aca="false">IF(ISNUMBER('Current Inventory'!$J70),'Current Inventory'!$A70,"")</f>
        <v/>
      </c>
      <c r="B70" s="64" t="str">
        <f aca="false">IF($A70="","",'Current Inventory'!$B70)</f>
        <v/>
      </c>
      <c r="C70" s="16" t="str">
        <f aca="false">IF($A70="","",'Current Inventory'!$C70)</f>
        <v/>
      </c>
      <c r="D70" s="64" t="str">
        <f aca="false">IF($A70="","",'Current Inventory'!$D70)</f>
        <v/>
      </c>
      <c r="E70" s="67" t="str">
        <f aca="false">IF($A70="","",'Current Inventory'!$J70)</f>
        <v/>
      </c>
      <c r="F70" s="67" t="str">
        <f aca="false">IF($A70="","",N('Current Inventory'!$G70))</f>
        <v/>
      </c>
      <c r="G70" s="69" t="str">
        <f aca="false">IF($A70="","",'Current Inventory'!$K70)</f>
        <v/>
      </c>
      <c r="H70" s="67" t="str">
        <f aca="false">IF($A70="","",IFERROR(SUMIFS(INDEX(PP_Daily,0,MATCH($B70,Mat_Code,0)),PP_Site,$A70),0))</f>
        <v/>
      </c>
      <c r="I70" s="67" t="str">
        <f aca="false">IF($A70="","",IFERROR(SUMIFS(INDEX(Con_Use,0,MATCH($B70,Mat_Code,0)),Con_Site,$A70,Con_Date,"&gt;"&amp;(AsOfDate-7),Con_Date,"&lt;="&amp;AsOfDate)/MAX(1,NETWORKDAYS.INTL(AsOfDate-6,AsOfDate,WeekendMask,Holidays)),0))</f>
        <v/>
      </c>
      <c r="J70" s="67" t="str">
        <f aca="false">IF($A70="","",IF($H70&gt;0,$H70,$I70))</f>
        <v/>
      </c>
      <c r="K70" s="64" t="str">
        <f aca="false">IF($A70="","",IF($H70&gt;0,"Plan",IF($I70&gt;0,"Actual 7-day avg","No usage")))</f>
        <v/>
      </c>
      <c r="L70" s="72" t="str">
        <f aca="false">IF($A70="","",IF($J70&gt;0,MAX(0,$E70)/$J70,""))</f>
        <v/>
      </c>
      <c r="M70" s="73" t="str">
        <f aca="false">IF(OR($A70="",$L70=""),"",IF($E70&lt;=0,"OUT",WORKDAY.INTL(AsOfDate,ROUNDUP($L70,0),WeekendMask,Holidays)))</f>
        <v/>
      </c>
      <c r="N70" s="74" t="str">
        <f aca="false">IF($A70="","",SUMIFS(Del_Qty,Del_Site,$A70,Del_Mat,$B70,Del_Date,"&gt;"&amp;AsOfDate))</f>
        <v/>
      </c>
      <c r="O70" s="73" t="str">
        <f aca="false">IF(OR($A70="",N($N70)&lt;=0),"",SUMPRODUCT(MIN((Del_Site=$A70)*(Del_Mat=$B70)*(Del_Date&gt;AsOfDate)*Del_Date+(1-(Del_Site=$A70)*(Del_Mat=$B70)*(Del_Date&gt;AsOfDate))*1000000000)))</f>
        <v/>
      </c>
      <c r="P70" s="74" t="str">
        <f aca="false">IF($A70="","",IF(ISNUMBER($M70),SUMIFS(Del_Qty,Del_Site,$A70,Del_Mat,$B70,Del_Date,"&gt;"&amp;AsOfDate,Del_Date,"&lt;="&amp;$M70),0))</f>
        <v/>
      </c>
      <c r="Q70" s="75" t="str">
        <f aca="false">IF(OR($A70="",$J70&lt;=0),"",IF($P70&gt;0,(MAX(0,$E70)+$N70)/$J70,$L70))</f>
        <v/>
      </c>
      <c r="R70" s="75" t="str">
        <f aca="false">IF($A70="","",IFERROR(INDEX(Mat_Lead,MATCH($B70,Mat_Code,0)),0))</f>
        <v/>
      </c>
      <c r="S70" s="75" t="str">
        <f aca="false">IF($A70="","",IFERROR(INDEX(Mat_Safety,MATCH($B70,Mat_Code,0)),0))</f>
        <v/>
      </c>
      <c r="T70" s="67" t="str">
        <f aca="false">IF($A70="","",$J70*($R70+$S70))</f>
        <v/>
      </c>
      <c r="U70" s="76" t="str">
        <f aca="false">IF($A70="","",IF($E70&lt;=0,"OUT OF STOCK",IF($J70&lt;=0,"NO USAGE",IF($Q70&lt;=$R70,"CRITICAL",IF($Q70&lt;=$R70+$S70,"REORDER","OK")))))</f>
        <v/>
      </c>
      <c r="V70" s="73" t="str">
        <f aca="false">IF(OR($A70="",$U70="NO USAGE"),"",IF(OR($U70="OUT OF STOCK",$Q70&lt;=$R70+$S70),"NOW",WORKDAY.INTL(AsOfDate,INT($Q70-$R70-$S70),WeekendMask,Holidays)))</f>
        <v/>
      </c>
      <c r="W70" s="73" t="str">
        <f aca="false">IF(OR($A70="",$U70="NO USAGE"),"",IF(OR($U70="OUT OF STOCK",$Q70&lt;=$R70),"NOW",WORKDAY.INTL(AsOfDate,ROUNDUP($Q70-$R70,0),WeekendMask,Holidays)))</f>
        <v/>
      </c>
      <c r="X70" s="77" t="str">
        <f aca="false">IF($A70="","",IF(OR($U70="CRITICAL",$U70="REORDER",$U70="OUT OF STOCK"),IF($F70&gt;0,ROUNDUP(MAX(0,$F70-MAX(0,MAX(0,$E70)+$N70-$J70*$R70)),0),"Set capacity"),0))</f>
        <v/>
      </c>
      <c r="Y70" s="16" t="str">
        <f aca="false">IF($A70="","",IF($U70="OUT OF STOCK","Out of stock – production at risk."&amp;IF($N70&gt;0," Next delivery "&amp;TEXT($O70,"ddd dd-mmm")&amp;": expedite it."," Order and expedite now."),IF($U70="CRITICAL",IF(AND($N70&gt;0,$P70&lt;=0),"URGENT – runs out about "&amp;TEXT($M70,"ddd dd-mmm")&amp;", before the next delivery ("&amp;TEXT($O70,"ddd dd-mmm")&amp;"). Expedite it.","URGENT – runs out about "&amp;TEXT($M70,"ddd dd-mmm")&amp;"; a normal order takes "&amp;$R70&amp;" days. Order and expedite now."),IF($U70="REORDER","Order now (about "&amp;TEXT($X70,"#,##0")&amp;" "&amp;$D70&amp;") – becomes critical "&amp;TEXT($W70,"ddd dd-mmm")&amp;".",IF($U70="NO USAGE","No planned or recent usage.","OK – next order by "&amp;TEXT($V70,"ddd dd-mmm")&amp;IF($N70&gt;0,"; "&amp;TEXT($N70,"#,##0")&amp;" "&amp;$D70&amp;" on order (next "&amp;TEXT($O70,"dd-mmm")&amp;")","")&amp;".")))))</f>
        <v/>
      </c>
      <c r="Z70" s="78" t="n">
        <f aca="false">IF(OR($A70="",$V70=""),1000000000,IF($V70="NOW",AsOfDate,$V70))</f>
        <v>1000000000</v>
      </c>
      <c r="AA70" s="78" t="n">
        <f aca="false">IF(OR($A70="",$W70=""),1000000000,IF($W70="NOW",AsOfDate,$W70))</f>
        <v>1000000000</v>
      </c>
      <c r="AB70" s="78" t="n">
        <f aca="false">IF(OR($A70="",$M70=""),1000000000,IF($M70="OUT",AsOfDate,$M70))</f>
        <v>1000000000</v>
      </c>
    </row>
    <row r="71" customFormat="false" ht="15" hidden="false" customHeight="false" outlineLevel="0" collapsed="false">
      <c r="A71" s="16" t="str">
        <f aca="false">IF(ISNUMBER('Current Inventory'!$J71),'Current Inventory'!$A71,"")</f>
        <v/>
      </c>
      <c r="B71" s="64" t="str">
        <f aca="false">IF($A71="","",'Current Inventory'!$B71)</f>
        <v/>
      </c>
      <c r="C71" s="16" t="str">
        <f aca="false">IF($A71="","",'Current Inventory'!$C71)</f>
        <v/>
      </c>
      <c r="D71" s="64" t="str">
        <f aca="false">IF($A71="","",'Current Inventory'!$D71)</f>
        <v/>
      </c>
      <c r="E71" s="67" t="str">
        <f aca="false">IF($A71="","",'Current Inventory'!$J71)</f>
        <v/>
      </c>
      <c r="F71" s="67" t="str">
        <f aca="false">IF($A71="","",N('Current Inventory'!$G71))</f>
        <v/>
      </c>
      <c r="G71" s="69" t="str">
        <f aca="false">IF($A71="","",'Current Inventory'!$K71)</f>
        <v/>
      </c>
      <c r="H71" s="67" t="str">
        <f aca="false">IF($A71="","",IFERROR(SUMIFS(INDEX(PP_Daily,0,MATCH($B71,Mat_Code,0)),PP_Site,$A71),0))</f>
        <v/>
      </c>
      <c r="I71" s="67" t="str">
        <f aca="false">IF($A71="","",IFERROR(SUMIFS(INDEX(Con_Use,0,MATCH($B71,Mat_Code,0)),Con_Site,$A71,Con_Date,"&gt;"&amp;(AsOfDate-7),Con_Date,"&lt;="&amp;AsOfDate)/MAX(1,NETWORKDAYS.INTL(AsOfDate-6,AsOfDate,WeekendMask,Holidays)),0))</f>
        <v/>
      </c>
      <c r="J71" s="67" t="str">
        <f aca="false">IF($A71="","",IF($H71&gt;0,$H71,$I71))</f>
        <v/>
      </c>
      <c r="K71" s="64" t="str">
        <f aca="false">IF($A71="","",IF($H71&gt;0,"Plan",IF($I71&gt;0,"Actual 7-day avg","No usage")))</f>
        <v/>
      </c>
      <c r="L71" s="72" t="str">
        <f aca="false">IF($A71="","",IF($J71&gt;0,MAX(0,$E71)/$J71,""))</f>
        <v/>
      </c>
      <c r="M71" s="73" t="str">
        <f aca="false">IF(OR($A71="",$L71=""),"",IF($E71&lt;=0,"OUT",WORKDAY.INTL(AsOfDate,ROUNDUP($L71,0),WeekendMask,Holidays)))</f>
        <v/>
      </c>
      <c r="N71" s="74" t="str">
        <f aca="false">IF($A71="","",SUMIFS(Del_Qty,Del_Site,$A71,Del_Mat,$B71,Del_Date,"&gt;"&amp;AsOfDate))</f>
        <v/>
      </c>
      <c r="O71" s="73" t="str">
        <f aca="false">IF(OR($A71="",N($N71)&lt;=0),"",SUMPRODUCT(MIN((Del_Site=$A71)*(Del_Mat=$B71)*(Del_Date&gt;AsOfDate)*Del_Date+(1-(Del_Site=$A71)*(Del_Mat=$B71)*(Del_Date&gt;AsOfDate))*1000000000)))</f>
        <v/>
      </c>
      <c r="P71" s="74" t="str">
        <f aca="false">IF($A71="","",IF(ISNUMBER($M71),SUMIFS(Del_Qty,Del_Site,$A71,Del_Mat,$B71,Del_Date,"&gt;"&amp;AsOfDate,Del_Date,"&lt;="&amp;$M71),0))</f>
        <v/>
      </c>
      <c r="Q71" s="75" t="str">
        <f aca="false">IF(OR($A71="",$J71&lt;=0),"",IF($P71&gt;0,(MAX(0,$E71)+$N71)/$J71,$L71))</f>
        <v/>
      </c>
      <c r="R71" s="75" t="str">
        <f aca="false">IF($A71="","",IFERROR(INDEX(Mat_Lead,MATCH($B71,Mat_Code,0)),0))</f>
        <v/>
      </c>
      <c r="S71" s="75" t="str">
        <f aca="false">IF($A71="","",IFERROR(INDEX(Mat_Safety,MATCH($B71,Mat_Code,0)),0))</f>
        <v/>
      </c>
      <c r="T71" s="67" t="str">
        <f aca="false">IF($A71="","",$J71*($R71+$S71))</f>
        <v/>
      </c>
      <c r="U71" s="76" t="str">
        <f aca="false">IF($A71="","",IF($E71&lt;=0,"OUT OF STOCK",IF($J71&lt;=0,"NO USAGE",IF($Q71&lt;=$R71,"CRITICAL",IF($Q71&lt;=$R71+$S71,"REORDER","OK")))))</f>
        <v/>
      </c>
      <c r="V71" s="73" t="str">
        <f aca="false">IF(OR($A71="",$U71="NO USAGE"),"",IF(OR($U71="OUT OF STOCK",$Q71&lt;=$R71+$S71),"NOW",WORKDAY.INTL(AsOfDate,INT($Q71-$R71-$S71),WeekendMask,Holidays)))</f>
        <v/>
      </c>
      <c r="W71" s="73" t="str">
        <f aca="false">IF(OR($A71="",$U71="NO USAGE"),"",IF(OR($U71="OUT OF STOCK",$Q71&lt;=$R71),"NOW",WORKDAY.INTL(AsOfDate,ROUNDUP($Q71-$R71,0),WeekendMask,Holidays)))</f>
        <v/>
      </c>
      <c r="X71" s="77" t="str">
        <f aca="false">IF($A71="","",IF(OR($U71="CRITICAL",$U71="REORDER",$U71="OUT OF STOCK"),IF($F71&gt;0,ROUNDUP(MAX(0,$F71-MAX(0,MAX(0,$E71)+$N71-$J71*$R71)),0),"Set capacity"),0))</f>
        <v/>
      </c>
      <c r="Y71" s="16" t="str">
        <f aca="false">IF($A71="","",IF($U71="OUT OF STOCK","Out of stock – production at risk."&amp;IF($N71&gt;0," Next delivery "&amp;TEXT($O71,"ddd dd-mmm")&amp;": expedite it."," Order and expedite now."),IF($U71="CRITICAL",IF(AND($N71&gt;0,$P71&lt;=0),"URGENT – runs out about "&amp;TEXT($M71,"ddd dd-mmm")&amp;", before the next delivery ("&amp;TEXT($O71,"ddd dd-mmm")&amp;"). Expedite it.","URGENT – runs out about "&amp;TEXT($M71,"ddd dd-mmm")&amp;"; a normal order takes "&amp;$R71&amp;" days. Order and expedite now."),IF($U71="REORDER","Order now (about "&amp;TEXT($X71,"#,##0")&amp;" "&amp;$D71&amp;") – becomes critical "&amp;TEXT($W71,"ddd dd-mmm")&amp;".",IF($U71="NO USAGE","No planned or recent usage.","OK – next order by "&amp;TEXT($V71,"ddd dd-mmm")&amp;IF($N71&gt;0,"; "&amp;TEXT($N71,"#,##0")&amp;" "&amp;$D71&amp;" on order (next "&amp;TEXT($O71,"dd-mmm")&amp;")","")&amp;".")))))</f>
        <v/>
      </c>
      <c r="Z71" s="78" t="n">
        <f aca="false">IF(OR($A71="",$V71=""),1000000000,IF($V71="NOW",AsOfDate,$V71))</f>
        <v>1000000000</v>
      </c>
      <c r="AA71" s="78" t="n">
        <f aca="false">IF(OR($A71="",$W71=""),1000000000,IF($W71="NOW",AsOfDate,$W71))</f>
        <v>1000000000</v>
      </c>
      <c r="AB71" s="78" t="n">
        <f aca="false">IF(OR($A71="",$M71=""),1000000000,IF($M71="OUT",AsOfDate,$M71))</f>
        <v>1000000000</v>
      </c>
    </row>
    <row r="72" customFormat="false" ht="15" hidden="false" customHeight="false" outlineLevel="0" collapsed="false">
      <c r="A72" s="16" t="str">
        <f aca="false">IF(ISNUMBER('Current Inventory'!$J72),'Current Inventory'!$A72,"")</f>
        <v/>
      </c>
      <c r="B72" s="64" t="str">
        <f aca="false">IF($A72="","",'Current Inventory'!$B72)</f>
        <v/>
      </c>
      <c r="C72" s="16" t="str">
        <f aca="false">IF($A72="","",'Current Inventory'!$C72)</f>
        <v/>
      </c>
      <c r="D72" s="64" t="str">
        <f aca="false">IF($A72="","",'Current Inventory'!$D72)</f>
        <v/>
      </c>
      <c r="E72" s="67" t="str">
        <f aca="false">IF($A72="","",'Current Inventory'!$J72)</f>
        <v/>
      </c>
      <c r="F72" s="67" t="str">
        <f aca="false">IF($A72="","",N('Current Inventory'!$G72))</f>
        <v/>
      </c>
      <c r="G72" s="69" t="str">
        <f aca="false">IF($A72="","",'Current Inventory'!$K72)</f>
        <v/>
      </c>
      <c r="H72" s="67" t="str">
        <f aca="false">IF($A72="","",IFERROR(SUMIFS(INDEX(PP_Daily,0,MATCH($B72,Mat_Code,0)),PP_Site,$A72),0))</f>
        <v/>
      </c>
      <c r="I72" s="67" t="str">
        <f aca="false">IF($A72="","",IFERROR(SUMIFS(INDEX(Con_Use,0,MATCH($B72,Mat_Code,0)),Con_Site,$A72,Con_Date,"&gt;"&amp;(AsOfDate-7),Con_Date,"&lt;="&amp;AsOfDate)/MAX(1,NETWORKDAYS.INTL(AsOfDate-6,AsOfDate,WeekendMask,Holidays)),0))</f>
        <v/>
      </c>
      <c r="J72" s="67" t="str">
        <f aca="false">IF($A72="","",IF($H72&gt;0,$H72,$I72))</f>
        <v/>
      </c>
      <c r="K72" s="64" t="str">
        <f aca="false">IF($A72="","",IF($H72&gt;0,"Plan",IF($I72&gt;0,"Actual 7-day avg","No usage")))</f>
        <v/>
      </c>
      <c r="L72" s="72" t="str">
        <f aca="false">IF($A72="","",IF($J72&gt;0,MAX(0,$E72)/$J72,""))</f>
        <v/>
      </c>
      <c r="M72" s="73" t="str">
        <f aca="false">IF(OR($A72="",$L72=""),"",IF($E72&lt;=0,"OUT",WORKDAY.INTL(AsOfDate,ROUNDUP($L72,0),WeekendMask,Holidays)))</f>
        <v/>
      </c>
      <c r="N72" s="74" t="str">
        <f aca="false">IF($A72="","",SUMIFS(Del_Qty,Del_Site,$A72,Del_Mat,$B72,Del_Date,"&gt;"&amp;AsOfDate))</f>
        <v/>
      </c>
      <c r="O72" s="73" t="str">
        <f aca="false">IF(OR($A72="",N($N72)&lt;=0),"",SUMPRODUCT(MIN((Del_Site=$A72)*(Del_Mat=$B72)*(Del_Date&gt;AsOfDate)*Del_Date+(1-(Del_Site=$A72)*(Del_Mat=$B72)*(Del_Date&gt;AsOfDate))*1000000000)))</f>
        <v/>
      </c>
      <c r="P72" s="74" t="str">
        <f aca="false">IF($A72="","",IF(ISNUMBER($M72),SUMIFS(Del_Qty,Del_Site,$A72,Del_Mat,$B72,Del_Date,"&gt;"&amp;AsOfDate,Del_Date,"&lt;="&amp;$M72),0))</f>
        <v/>
      </c>
      <c r="Q72" s="75" t="str">
        <f aca="false">IF(OR($A72="",$J72&lt;=0),"",IF($P72&gt;0,(MAX(0,$E72)+$N72)/$J72,$L72))</f>
        <v/>
      </c>
      <c r="R72" s="75" t="str">
        <f aca="false">IF($A72="","",IFERROR(INDEX(Mat_Lead,MATCH($B72,Mat_Code,0)),0))</f>
        <v/>
      </c>
      <c r="S72" s="75" t="str">
        <f aca="false">IF($A72="","",IFERROR(INDEX(Mat_Safety,MATCH($B72,Mat_Code,0)),0))</f>
        <v/>
      </c>
      <c r="T72" s="67" t="str">
        <f aca="false">IF($A72="","",$J72*($R72+$S72))</f>
        <v/>
      </c>
      <c r="U72" s="76" t="str">
        <f aca="false">IF($A72="","",IF($E72&lt;=0,"OUT OF STOCK",IF($J72&lt;=0,"NO USAGE",IF($Q72&lt;=$R72,"CRITICAL",IF($Q72&lt;=$R72+$S72,"REORDER","OK")))))</f>
        <v/>
      </c>
      <c r="V72" s="73" t="str">
        <f aca="false">IF(OR($A72="",$U72="NO USAGE"),"",IF(OR($U72="OUT OF STOCK",$Q72&lt;=$R72+$S72),"NOW",WORKDAY.INTL(AsOfDate,INT($Q72-$R72-$S72),WeekendMask,Holidays)))</f>
        <v/>
      </c>
      <c r="W72" s="73" t="str">
        <f aca="false">IF(OR($A72="",$U72="NO USAGE"),"",IF(OR($U72="OUT OF STOCK",$Q72&lt;=$R72),"NOW",WORKDAY.INTL(AsOfDate,ROUNDUP($Q72-$R72,0),WeekendMask,Holidays)))</f>
        <v/>
      </c>
      <c r="X72" s="77" t="str">
        <f aca="false">IF($A72="","",IF(OR($U72="CRITICAL",$U72="REORDER",$U72="OUT OF STOCK"),IF($F72&gt;0,ROUNDUP(MAX(0,$F72-MAX(0,MAX(0,$E72)+$N72-$J72*$R72)),0),"Set capacity"),0))</f>
        <v/>
      </c>
      <c r="Y72" s="16" t="str">
        <f aca="false">IF($A72="","",IF($U72="OUT OF STOCK","Out of stock – production at risk."&amp;IF($N72&gt;0," Next delivery "&amp;TEXT($O72,"ddd dd-mmm")&amp;": expedite it."," Order and expedite now."),IF($U72="CRITICAL",IF(AND($N72&gt;0,$P72&lt;=0),"URGENT – runs out about "&amp;TEXT($M72,"ddd dd-mmm")&amp;", before the next delivery ("&amp;TEXT($O72,"ddd dd-mmm")&amp;"). Expedite it.","URGENT – runs out about "&amp;TEXT($M72,"ddd dd-mmm")&amp;"; a normal order takes "&amp;$R72&amp;" days. Order and expedite now."),IF($U72="REORDER","Order now (about "&amp;TEXT($X72,"#,##0")&amp;" "&amp;$D72&amp;") – becomes critical "&amp;TEXT($W72,"ddd dd-mmm")&amp;".",IF($U72="NO USAGE","No planned or recent usage.","OK – next order by "&amp;TEXT($V72,"ddd dd-mmm")&amp;IF($N72&gt;0,"; "&amp;TEXT($N72,"#,##0")&amp;" "&amp;$D72&amp;" on order (next "&amp;TEXT($O72,"dd-mmm")&amp;")","")&amp;".")))))</f>
        <v/>
      </c>
      <c r="Z72" s="78" t="n">
        <f aca="false">IF(OR($A72="",$V72=""),1000000000,IF($V72="NOW",AsOfDate,$V72))</f>
        <v>1000000000</v>
      </c>
      <c r="AA72" s="78" t="n">
        <f aca="false">IF(OR($A72="",$W72=""),1000000000,IF($W72="NOW",AsOfDate,$W72))</f>
        <v>1000000000</v>
      </c>
      <c r="AB72" s="78" t="n">
        <f aca="false">IF(OR($A72="",$M72=""),1000000000,IF($M72="OUT",AsOfDate,$M72))</f>
        <v>1000000000</v>
      </c>
    </row>
    <row r="73" customFormat="false" ht="15" hidden="false" customHeight="false" outlineLevel="0" collapsed="false">
      <c r="A73" s="16" t="str">
        <f aca="false">IF(ISNUMBER('Current Inventory'!$J73),'Current Inventory'!$A73,"")</f>
        <v/>
      </c>
      <c r="B73" s="64" t="str">
        <f aca="false">IF($A73="","",'Current Inventory'!$B73)</f>
        <v/>
      </c>
      <c r="C73" s="16" t="str">
        <f aca="false">IF($A73="","",'Current Inventory'!$C73)</f>
        <v/>
      </c>
      <c r="D73" s="64" t="str">
        <f aca="false">IF($A73="","",'Current Inventory'!$D73)</f>
        <v/>
      </c>
      <c r="E73" s="67" t="str">
        <f aca="false">IF($A73="","",'Current Inventory'!$J73)</f>
        <v/>
      </c>
      <c r="F73" s="67" t="str">
        <f aca="false">IF($A73="","",N('Current Inventory'!$G73))</f>
        <v/>
      </c>
      <c r="G73" s="69" t="str">
        <f aca="false">IF($A73="","",'Current Inventory'!$K73)</f>
        <v/>
      </c>
      <c r="H73" s="67" t="str">
        <f aca="false">IF($A73="","",IFERROR(SUMIFS(INDEX(PP_Daily,0,MATCH($B73,Mat_Code,0)),PP_Site,$A73),0))</f>
        <v/>
      </c>
      <c r="I73" s="67" t="str">
        <f aca="false">IF($A73="","",IFERROR(SUMIFS(INDEX(Con_Use,0,MATCH($B73,Mat_Code,0)),Con_Site,$A73,Con_Date,"&gt;"&amp;(AsOfDate-7),Con_Date,"&lt;="&amp;AsOfDate)/MAX(1,NETWORKDAYS.INTL(AsOfDate-6,AsOfDate,WeekendMask,Holidays)),0))</f>
        <v/>
      </c>
      <c r="J73" s="67" t="str">
        <f aca="false">IF($A73="","",IF($H73&gt;0,$H73,$I73))</f>
        <v/>
      </c>
      <c r="K73" s="64" t="str">
        <f aca="false">IF($A73="","",IF($H73&gt;0,"Plan",IF($I73&gt;0,"Actual 7-day avg","No usage")))</f>
        <v/>
      </c>
      <c r="L73" s="72" t="str">
        <f aca="false">IF($A73="","",IF($J73&gt;0,MAX(0,$E73)/$J73,""))</f>
        <v/>
      </c>
      <c r="M73" s="73" t="str">
        <f aca="false">IF(OR($A73="",$L73=""),"",IF($E73&lt;=0,"OUT",WORKDAY.INTL(AsOfDate,ROUNDUP($L73,0),WeekendMask,Holidays)))</f>
        <v/>
      </c>
      <c r="N73" s="74" t="str">
        <f aca="false">IF($A73="","",SUMIFS(Del_Qty,Del_Site,$A73,Del_Mat,$B73,Del_Date,"&gt;"&amp;AsOfDate))</f>
        <v/>
      </c>
      <c r="O73" s="73" t="str">
        <f aca="false">IF(OR($A73="",N($N73)&lt;=0),"",SUMPRODUCT(MIN((Del_Site=$A73)*(Del_Mat=$B73)*(Del_Date&gt;AsOfDate)*Del_Date+(1-(Del_Site=$A73)*(Del_Mat=$B73)*(Del_Date&gt;AsOfDate))*1000000000)))</f>
        <v/>
      </c>
      <c r="P73" s="74" t="str">
        <f aca="false">IF($A73="","",IF(ISNUMBER($M73),SUMIFS(Del_Qty,Del_Site,$A73,Del_Mat,$B73,Del_Date,"&gt;"&amp;AsOfDate,Del_Date,"&lt;="&amp;$M73),0))</f>
        <v/>
      </c>
      <c r="Q73" s="75" t="str">
        <f aca="false">IF(OR($A73="",$J73&lt;=0),"",IF($P73&gt;0,(MAX(0,$E73)+$N73)/$J73,$L73))</f>
        <v/>
      </c>
      <c r="R73" s="75" t="str">
        <f aca="false">IF($A73="","",IFERROR(INDEX(Mat_Lead,MATCH($B73,Mat_Code,0)),0))</f>
        <v/>
      </c>
      <c r="S73" s="75" t="str">
        <f aca="false">IF($A73="","",IFERROR(INDEX(Mat_Safety,MATCH($B73,Mat_Code,0)),0))</f>
        <v/>
      </c>
      <c r="T73" s="67" t="str">
        <f aca="false">IF($A73="","",$J73*($R73+$S73))</f>
        <v/>
      </c>
      <c r="U73" s="76" t="str">
        <f aca="false">IF($A73="","",IF($E73&lt;=0,"OUT OF STOCK",IF($J73&lt;=0,"NO USAGE",IF($Q73&lt;=$R73,"CRITICAL",IF($Q73&lt;=$R73+$S73,"REORDER","OK")))))</f>
        <v/>
      </c>
      <c r="V73" s="73" t="str">
        <f aca="false">IF(OR($A73="",$U73="NO USAGE"),"",IF(OR($U73="OUT OF STOCK",$Q73&lt;=$R73+$S73),"NOW",WORKDAY.INTL(AsOfDate,INT($Q73-$R73-$S73),WeekendMask,Holidays)))</f>
        <v/>
      </c>
      <c r="W73" s="73" t="str">
        <f aca="false">IF(OR($A73="",$U73="NO USAGE"),"",IF(OR($U73="OUT OF STOCK",$Q73&lt;=$R73),"NOW",WORKDAY.INTL(AsOfDate,ROUNDUP($Q73-$R73,0),WeekendMask,Holidays)))</f>
        <v/>
      </c>
      <c r="X73" s="77" t="str">
        <f aca="false">IF($A73="","",IF(OR($U73="CRITICAL",$U73="REORDER",$U73="OUT OF STOCK"),IF($F73&gt;0,ROUNDUP(MAX(0,$F73-MAX(0,MAX(0,$E73)+$N73-$J73*$R73)),0),"Set capacity"),0))</f>
        <v/>
      </c>
      <c r="Y73" s="16" t="str">
        <f aca="false">IF($A73="","",IF($U73="OUT OF STOCK","Out of stock – production at risk."&amp;IF($N73&gt;0," Next delivery "&amp;TEXT($O73,"ddd dd-mmm")&amp;": expedite it."," Order and expedite now."),IF($U73="CRITICAL",IF(AND($N73&gt;0,$P73&lt;=0),"URGENT – runs out about "&amp;TEXT($M73,"ddd dd-mmm")&amp;", before the next delivery ("&amp;TEXT($O73,"ddd dd-mmm")&amp;"). Expedite it.","URGENT – runs out about "&amp;TEXT($M73,"ddd dd-mmm")&amp;"; a normal order takes "&amp;$R73&amp;" days. Order and expedite now."),IF($U73="REORDER","Order now (about "&amp;TEXT($X73,"#,##0")&amp;" "&amp;$D73&amp;") – becomes critical "&amp;TEXT($W73,"ddd dd-mmm")&amp;".",IF($U73="NO USAGE","No planned or recent usage.","OK – next order by "&amp;TEXT($V73,"ddd dd-mmm")&amp;IF($N73&gt;0,"; "&amp;TEXT($N73,"#,##0")&amp;" "&amp;$D73&amp;" on order (next "&amp;TEXT($O73,"dd-mmm")&amp;")","")&amp;".")))))</f>
        <v/>
      </c>
      <c r="Z73" s="78" t="n">
        <f aca="false">IF(OR($A73="",$V73=""),1000000000,IF($V73="NOW",AsOfDate,$V73))</f>
        <v>1000000000</v>
      </c>
      <c r="AA73" s="78" t="n">
        <f aca="false">IF(OR($A73="",$W73=""),1000000000,IF($W73="NOW",AsOfDate,$W73))</f>
        <v>1000000000</v>
      </c>
      <c r="AB73" s="78" t="n">
        <f aca="false">IF(OR($A73="",$M73=""),1000000000,IF($M73="OUT",AsOfDate,$M73))</f>
        <v>1000000000</v>
      </c>
    </row>
    <row r="74" customFormat="false" ht="15" hidden="false" customHeight="false" outlineLevel="0" collapsed="false">
      <c r="A74" s="16" t="str">
        <f aca="false">IF(ISNUMBER('Current Inventory'!$J74),'Current Inventory'!$A74,"")</f>
        <v/>
      </c>
      <c r="B74" s="64" t="str">
        <f aca="false">IF($A74="","",'Current Inventory'!$B74)</f>
        <v/>
      </c>
      <c r="C74" s="16" t="str">
        <f aca="false">IF($A74="","",'Current Inventory'!$C74)</f>
        <v/>
      </c>
      <c r="D74" s="64" t="str">
        <f aca="false">IF($A74="","",'Current Inventory'!$D74)</f>
        <v/>
      </c>
      <c r="E74" s="67" t="str">
        <f aca="false">IF($A74="","",'Current Inventory'!$J74)</f>
        <v/>
      </c>
      <c r="F74" s="67" t="str">
        <f aca="false">IF($A74="","",N('Current Inventory'!$G74))</f>
        <v/>
      </c>
      <c r="G74" s="69" t="str">
        <f aca="false">IF($A74="","",'Current Inventory'!$K74)</f>
        <v/>
      </c>
      <c r="H74" s="67" t="str">
        <f aca="false">IF($A74="","",IFERROR(SUMIFS(INDEX(PP_Daily,0,MATCH($B74,Mat_Code,0)),PP_Site,$A74),0))</f>
        <v/>
      </c>
      <c r="I74" s="67" t="str">
        <f aca="false">IF($A74="","",IFERROR(SUMIFS(INDEX(Con_Use,0,MATCH($B74,Mat_Code,0)),Con_Site,$A74,Con_Date,"&gt;"&amp;(AsOfDate-7),Con_Date,"&lt;="&amp;AsOfDate)/MAX(1,NETWORKDAYS.INTL(AsOfDate-6,AsOfDate,WeekendMask,Holidays)),0))</f>
        <v/>
      </c>
      <c r="J74" s="67" t="str">
        <f aca="false">IF($A74="","",IF($H74&gt;0,$H74,$I74))</f>
        <v/>
      </c>
      <c r="K74" s="64" t="str">
        <f aca="false">IF($A74="","",IF($H74&gt;0,"Plan",IF($I74&gt;0,"Actual 7-day avg","No usage")))</f>
        <v/>
      </c>
      <c r="L74" s="72" t="str">
        <f aca="false">IF($A74="","",IF($J74&gt;0,MAX(0,$E74)/$J74,""))</f>
        <v/>
      </c>
      <c r="M74" s="73" t="str">
        <f aca="false">IF(OR($A74="",$L74=""),"",IF($E74&lt;=0,"OUT",WORKDAY.INTL(AsOfDate,ROUNDUP($L74,0),WeekendMask,Holidays)))</f>
        <v/>
      </c>
      <c r="N74" s="74" t="str">
        <f aca="false">IF($A74="","",SUMIFS(Del_Qty,Del_Site,$A74,Del_Mat,$B74,Del_Date,"&gt;"&amp;AsOfDate))</f>
        <v/>
      </c>
      <c r="O74" s="73" t="str">
        <f aca="false">IF(OR($A74="",N($N74)&lt;=0),"",SUMPRODUCT(MIN((Del_Site=$A74)*(Del_Mat=$B74)*(Del_Date&gt;AsOfDate)*Del_Date+(1-(Del_Site=$A74)*(Del_Mat=$B74)*(Del_Date&gt;AsOfDate))*1000000000)))</f>
        <v/>
      </c>
      <c r="P74" s="74" t="str">
        <f aca="false">IF($A74="","",IF(ISNUMBER($M74),SUMIFS(Del_Qty,Del_Site,$A74,Del_Mat,$B74,Del_Date,"&gt;"&amp;AsOfDate,Del_Date,"&lt;="&amp;$M74),0))</f>
        <v/>
      </c>
      <c r="Q74" s="75" t="str">
        <f aca="false">IF(OR($A74="",$J74&lt;=0),"",IF($P74&gt;0,(MAX(0,$E74)+$N74)/$J74,$L74))</f>
        <v/>
      </c>
      <c r="R74" s="75" t="str">
        <f aca="false">IF($A74="","",IFERROR(INDEX(Mat_Lead,MATCH($B74,Mat_Code,0)),0))</f>
        <v/>
      </c>
      <c r="S74" s="75" t="str">
        <f aca="false">IF($A74="","",IFERROR(INDEX(Mat_Safety,MATCH($B74,Mat_Code,0)),0))</f>
        <v/>
      </c>
      <c r="T74" s="67" t="str">
        <f aca="false">IF($A74="","",$J74*($R74+$S74))</f>
        <v/>
      </c>
      <c r="U74" s="76" t="str">
        <f aca="false">IF($A74="","",IF($E74&lt;=0,"OUT OF STOCK",IF($J74&lt;=0,"NO USAGE",IF($Q74&lt;=$R74,"CRITICAL",IF($Q74&lt;=$R74+$S74,"REORDER","OK")))))</f>
        <v/>
      </c>
      <c r="V74" s="73" t="str">
        <f aca="false">IF(OR($A74="",$U74="NO USAGE"),"",IF(OR($U74="OUT OF STOCK",$Q74&lt;=$R74+$S74),"NOW",WORKDAY.INTL(AsOfDate,INT($Q74-$R74-$S74),WeekendMask,Holidays)))</f>
        <v/>
      </c>
      <c r="W74" s="73" t="str">
        <f aca="false">IF(OR($A74="",$U74="NO USAGE"),"",IF(OR($U74="OUT OF STOCK",$Q74&lt;=$R74),"NOW",WORKDAY.INTL(AsOfDate,ROUNDUP($Q74-$R74,0),WeekendMask,Holidays)))</f>
        <v/>
      </c>
      <c r="X74" s="77" t="str">
        <f aca="false">IF($A74="","",IF(OR($U74="CRITICAL",$U74="REORDER",$U74="OUT OF STOCK"),IF($F74&gt;0,ROUNDUP(MAX(0,$F74-MAX(0,MAX(0,$E74)+$N74-$J74*$R74)),0),"Set capacity"),0))</f>
        <v/>
      </c>
      <c r="Y74" s="16" t="str">
        <f aca="false">IF($A74="","",IF($U74="OUT OF STOCK","Out of stock – production at risk."&amp;IF($N74&gt;0," Next delivery "&amp;TEXT($O74,"ddd dd-mmm")&amp;": expedite it."," Order and expedite now."),IF($U74="CRITICAL",IF(AND($N74&gt;0,$P74&lt;=0),"URGENT – runs out about "&amp;TEXT($M74,"ddd dd-mmm")&amp;", before the next delivery ("&amp;TEXT($O74,"ddd dd-mmm")&amp;"). Expedite it.","URGENT – runs out about "&amp;TEXT($M74,"ddd dd-mmm")&amp;"; a normal order takes "&amp;$R74&amp;" days. Order and expedite now."),IF($U74="REORDER","Order now (about "&amp;TEXT($X74,"#,##0")&amp;" "&amp;$D74&amp;") – becomes critical "&amp;TEXT($W74,"ddd dd-mmm")&amp;".",IF($U74="NO USAGE","No planned or recent usage.","OK – next order by "&amp;TEXT($V74,"ddd dd-mmm")&amp;IF($N74&gt;0,"; "&amp;TEXT($N74,"#,##0")&amp;" "&amp;$D74&amp;" on order (next "&amp;TEXT($O74,"dd-mmm")&amp;")","")&amp;".")))))</f>
        <v/>
      </c>
      <c r="Z74" s="78" t="n">
        <f aca="false">IF(OR($A74="",$V74=""),1000000000,IF($V74="NOW",AsOfDate,$V74))</f>
        <v>1000000000</v>
      </c>
      <c r="AA74" s="78" t="n">
        <f aca="false">IF(OR($A74="",$W74=""),1000000000,IF($W74="NOW",AsOfDate,$W74))</f>
        <v>1000000000</v>
      </c>
      <c r="AB74" s="78" t="n">
        <f aca="false">IF(OR($A74="",$M74=""),1000000000,IF($M74="OUT",AsOfDate,$M74))</f>
        <v>1000000000</v>
      </c>
    </row>
    <row r="75" customFormat="false" ht="15" hidden="false" customHeight="false" outlineLevel="0" collapsed="false">
      <c r="A75" s="16" t="str">
        <f aca="false">IF(ISNUMBER('Current Inventory'!$J75),'Current Inventory'!$A75,"")</f>
        <v/>
      </c>
      <c r="B75" s="64" t="str">
        <f aca="false">IF($A75="","",'Current Inventory'!$B75)</f>
        <v/>
      </c>
      <c r="C75" s="16" t="str">
        <f aca="false">IF($A75="","",'Current Inventory'!$C75)</f>
        <v/>
      </c>
      <c r="D75" s="64" t="str">
        <f aca="false">IF($A75="","",'Current Inventory'!$D75)</f>
        <v/>
      </c>
      <c r="E75" s="67" t="str">
        <f aca="false">IF($A75="","",'Current Inventory'!$J75)</f>
        <v/>
      </c>
      <c r="F75" s="67" t="str">
        <f aca="false">IF($A75="","",N('Current Inventory'!$G75))</f>
        <v/>
      </c>
      <c r="G75" s="69" t="str">
        <f aca="false">IF($A75="","",'Current Inventory'!$K75)</f>
        <v/>
      </c>
      <c r="H75" s="67" t="str">
        <f aca="false">IF($A75="","",IFERROR(SUMIFS(INDEX(PP_Daily,0,MATCH($B75,Mat_Code,0)),PP_Site,$A75),0))</f>
        <v/>
      </c>
      <c r="I75" s="67" t="str">
        <f aca="false">IF($A75="","",IFERROR(SUMIFS(INDEX(Con_Use,0,MATCH($B75,Mat_Code,0)),Con_Site,$A75,Con_Date,"&gt;"&amp;(AsOfDate-7),Con_Date,"&lt;="&amp;AsOfDate)/MAX(1,NETWORKDAYS.INTL(AsOfDate-6,AsOfDate,WeekendMask,Holidays)),0))</f>
        <v/>
      </c>
      <c r="J75" s="67" t="str">
        <f aca="false">IF($A75="","",IF($H75&gt;0,$H75,$I75))</f>
        <v/>
      </c>
      <c r="K75" s="64" t="str">
        <f aca="false">IF($A75="","",IF($H75&gt;0,"Plan",IF($I75&gt;0,"Actual 7-day avg","No usage")))</f>
        <v/>
      </c>
      <c r="L75" s="72" t="str">
        <f aca="false">IF($A75="","",IF($J75&gt;0,MAX(0,$E75)/$J75,""))</f>
        <v/>
      </c>
      <c r="M75" s="73" t="str">
        <f aca="false">IF(OR($A75="",$L75=""),"",IF($E75&lt;=0,"OUT",WORKDAY.INTL(AsOfDate,ROUNDUP($L75,0),WeekendMask,Holidays)))</f>
        <v/>
      </c>
      <c r="N75" s="74" t="str">
        <f aca="false">IF($A75="","",SUMIFS(Del_Qty,Del_Site,$A75,Del_Mat,$B75,Del_Date,"&gt;"&amp;AsOfDate))</f>
        <v/>
      </c>
      <c r="O75" s="73" t="str">
        <f aca="false">IF(OR($A75="",N($N75)&lt;=0),"",SUMPRODUCT(MIN((Del_Site=$A75)*(Del_Mat=$B75)*(Del_Date&gt;AsOfDate)*Del_Date+(1-(Del_Site=$A75)*(Del_Mat=$B75)*(Del_Date&gt;AsOfDate))*1000000000)))</f>
        <v/>
      </c>
      <c r="P75" s="74" t="str">
        <f aca="false">IF($A75="","",IF(ISNUMBER($M75),SUMIFS(Del_Qty,Del_Site,$A75,Del_Mat,$B75,Del_Date,"&gt;"&amp;AsOfDate,Del_Date,"&lt;="&amp;$M75),0))</f>
        <v/>
      </c>
      <c r="Q75" s="75" t="str">
        <f aca="false">IF(OR($A75="",$J75&lt;=0),"",IF($P75&gt;0,(MAX(0,$E75)+$N75)/$J75,$L75))</f>
        <v/>
      </c>
      <c r="R75" s="75" t="str">
        <f aca="false">IF($A75="","",IFERROR(INDEX(Mat_Lead,MATCH($B75,Mat_Code,0)),0))</f>
        <v/>
      </c>
      <c r="S75" s="75" t="str">
        <f aca="false">IF($A75="","",IFERROR(INDEX(Mat_Safety,MATCH($B75,Mat_Code,0)),0))</f>
        <v/>
      </c>
      <c r="T75" s="67" t="str">
        <f aca="false">IF($A75="","",$J75*($R75+$S75))</f>
        <v/>
      </c>
      <c r="U75" s="76" t="str">
        <f aca="false">IF($A75="","",IF($E75&lt;=0,"OUT OF STOCK",IF($J75&lt;=0,"NO USAGE",IF($Q75&lt;=$R75,"CRITICAL",IF($Q75&lt;=$R75+$S75,"REORDER","OK")))))</f>
        <v/>
      </c>
      <c r="V75" s="73" t="str">
        <f aca="false">IF(OR($A75="",$U75="NO USAGE"),"",IF(OR($U75="OUT OF STOCK",$Q75&lt;=$R75+$S75),"NOW",WORKDAY.INTL(AsOfDate,INT($Q75-$R75-$S75),WeekendMask,Holidays)))</f>
        <v/>
      </c>
      <c r="W75" s="73" t="str">
        <f aca="false">IF(OR($A75="",$U75="NO USAGE"),"",IF(OR($U75="OUT OF STOCK",$Q75&lt;=$R75),"NOW",WORKDAY.INTL(AsOfDate,ROUNDUP($Q75-$R75,0),WeekendMask,Holidays)))</f>
        <v/>
      </c>
      <c r="X75" s="77" t="str">
        <f aca="false">IF($A75="","",IF(OR($U75="CRITICAL",$U75="REORDER",$U75="OUT OF STOCK"),IF($F75&gt;0,ROUNDUP(MAX(0,$F75-MAX(0,MAX(0,$E75)+$N75-$J75*$R75)),0),"Set capacity"),0))</f>
        <v/>
      </c>
      <c r="Y75" s="16" t="str">
        <f aca="false">IF($A75="","",IF($U75="OUT OF STOCK","Out of stock – production at risk."&amp;IF($N75&gt;0," Next delivery "&amp;TEXT($O75,"ddd dd-mmm")&amp;": expedite it."," Order and expedite now."),IF($U75="CRITICAL",IF(AND($N75&gt;0,$P75&lt;=0),"URGENT – runs out about "&amp;TEXT($M75,"ddd dd-mmm")&amp;", before the next delivery ("&amp;TEXT($O75,"ddd dd-mmm")&amp;"). Expedite it.","URGENT – runs out about "&amp;TEXT($M75,"ddd dd-mmm")&amp;"; a normal order takes "&amp;$R75&amp;" days. Order and expedite now."),IF($U75="REORDER","Order now (about "&amp;TEXT($X75,"#,##0")&amp;" "&amp;$D75&amp;") – becomes critical "&amp;TEXT($W75,"ddd dd-mmm")&amp;".",IF($U75="NO USAGE","No planned or recent usage.","OK – next order by "&amp;TEXT($V75,"ddd dd-mmm")&amp;IF($N75&gt;0,"; "&amp;TEXT($N75,"#,##0")&amp;" "&amp;$D75&amp;" on order (next "&amp;TEXT($O75,"dd-mmm")&amp;")","")&amp;".")))))</f>
        <v/>
      </c>
      <c r="Z75" s="78" t="n">
        <f aca="false">IF(OR($A75="",$V75=""),1000000000,IF($V75="NOW",AsOfDate,$V75))</f>
        <v>1000000000</v>
      </c>
      <c r="AA75" s="78" t="n">
        <f aca="false">IF(OR($A75="",$W75=""),1000000000,IF($W75="NOW",AsOfDate,$W75))</f>
        <v>1000000000</v>
      </c>
      <c r="AB75" s="78" t="n">
        <f aca="false">IF(OR($A75="",$M75=""),1000000000,IF($M75="OUT",AsOfDate,$M75))</f>
        <v>1000000000</v>
      </c>
    </row>
    <row r="76" customFormat="false" ht="15" hidden="false" customHeight="false" outlineLevel="0" collapsed="false">
      <c r="A76" s="16" t="str">
        <f aca="false">IF(ISNUMBER('Current Inventory'!$J76),'Current Inventory'!$A76,"")</f>
        <v/>
      </c>
      <c r="B76" s="64" t="str">
        <f aca="false">IF($A76="","",'Current Inventory'!$B76)</f>
        <v/>
      </c>
      <c r="C76" s="16" t="str">
        <f aca="false">IF($A76="","",'Current Inventory'!$C76)</f>
        <v/>
      </c>
      <c r="D76" s="64" t="str">
        <f aca="false">IF($A76="","",'Current Inventory'!$D76)</f>
        <v/>
      </c>
      <c r="E76" s="67" t="str">
        <f aca="false">IF($A76="","",'Current Inventory'!$J76)</f>
        <v/>
      </c>
      <c r="F76" s="67" t="str">
        <f aca="false">IF($A76="","",N('Current Inventory'!$G76))</f>
        <v/>
      </c>
      <c r="G76" s="69" t="str">
        <f aca="false">IF($A76="","",'Current Inventory'!$K76)</f>
        <v/>
      </c>
      <c r="H76" s="67" t="str">
        <f aca="false">IF($A76="","",IFERROR(SUMIFS(INDEX(PP_Daily,0,MATCH($B76,Mat_Code,0)),PP_Site,$A76),0))</f>
        <v/>
      </c>
      <c r="I76" s="67" t="str">
        <f aca="false">IF($A76="","",IFERROR(SUMIFS(INDEX(Con_Use,0,MATCH($B76,Mat_Code,0)),Con_Site,$A76,Con_Date,"&gt;"&amp;(AsOfDate-7),Con_Date,"&lt;="&amp;AsOfDate)/MAX(1,NETWORKDAYS.INTL(AsOfDate-6,AsOfDate,WeekendMask,Holidays)),0))</f>
        <v/>
      </c>
      <c r="J76" s="67" t="str">
        <f aca="false">IF($A76="","",IF($H76&gt;0,$H76,$I76))</f>
        <v/>
      </c>
      <c r="K76" s="64" t="str">
        <f aca="false">IF($A76="","",IF($H76&gt;0,"Plan",IF($I76&gt;0,"Actual 7-day avg","No usage")))</f>
        <v/>
      </c>
      <c r="L76" s="72" t="str">
        <f aca="false">IF($A76="","",IF($J76&gt;0,MAX(0,$E76)/$J76,""))</f>
        <v/>
      </c>
      <c r="M76" s="73" t="str">
        <f aca="false">IF(OR($A76="",$L76=""),"",IF($E76&lt;=0,"OUT",WORKDAY.INTL(AsOfDate,ROUNDUP($L76,0),WeekendMask,Holidays)))</f>
        <v/>
      </c>
      <c r="N76" s="74" t="str">
        <f aca="false">IF($A76="","",SUMIFS(Del_Qty,Del_Site,$A76,Del_Mat,$B76,Del_Date,"&gt;"&amp;AsOfDate))</f>
        <v/>
      </c>
      <c r="O76" s="73" t="str">
        <f aca="false">IF(OR($A76="",N($N76)&lt;=0),"",SUMPRODUCT(MIN((Del_Site=$A76)*(Del_Mat=$B76)*(Del_Date&gt;AsOfDate)*Del_Date+(1-(Del_Site=$A76)*(Del_Mat=$B76)*(Del_Date&gt;AsOfDate))*1000000000)))</f>
        <v/>
      </c>
      <c r="P76" s="74" t="str">
        <f aca="false">IF($A76="","",IF(ISNUMBER($M76),SUMIFS(Del_Qty,Del_Site,$A76,Del_Mat,$B76,Del_Date,"&gt;"&amp;AsOfDate,Del_Date,"&lt;="&amp;$M76),0))</f>
        <v/>
      </c>
      <c r="Q76" s="75" t="str">
        <f aca="false">IF(OR($A76="",$J76&lt;=0),"",IF($P76&gt;0,(MAX(0,$E76)+$N76)/$J76,$L76))</f>
        <v/>
      </c>
      <c r="R76" s="75" t="str">
        <f aca="false">IF($A76="","",IFERROR(INDEX(Mat_Lead,MATCH($B76,Mat_Code,0)),0))</f>
        <v/>
      </c>
      <c r="S76" s="75" t="str">
        <f aca="false">IF($A76="","",IFERROR(INDEX(Mat_Safety,MATCH($B76,Mat_Code,0)),0))</f>
        <v/>
      </c>
      <c r="T76" s="67" t="str">
        <f aca="false">IF($A76="","",$J76*($R76+$S76))</f>
        <v/>
      </c>
      <c r="U76" s="76" t="str">
        <f aca="false">IF($A76="","",IF($E76&lt;=0,"OUT OF STOCK",IF($J76&lt;=0,"NO USAGE",IF($Q76&lt;=$R76,"CRITICAL",IF($Q76&lt;=$R76+$S76,"REORDER","OK")))))</f>
        <v/>
      </c>
      <c r="V76" s="73" t="str">
        <f aca="false">IF(OR($A76="",$U76="NO USAGE"),"",IF(OR($U76="OUT OF STOCK",$Q76&lt;=$R76+$S76),"NOW",WORKDAY.INTL(AsOfDate,INT($Q76-$R76-$S76),WeekendMask,Holidays)))</f>
        <v/>
      </c>
      <c r="W76" s="73" t="str">
        <f aca="false">IF(OR($A76="",$U76="NO USAGE"),"",IF(OR($U76="OUT OF STOCK",$Q76&lt;=$R76),"NOW",WORKDAY.INTL(AsOfDate,ROUNDUP($Q76-$R76,0),WeekendMask,Holidays)))</f>
        <v/>
      </c>
      <c r="X76" s="77" t="str">
        <f aca="false">IF($A76="","",IF(OR($U76="CRITICAL",$U76="REORDER",$U76="OUT OF STOCK"),IF($F76&gt;0,ROUNDUP(MAX(0,$F76-MAX(0,MAX(0,$E76)+$N76-$J76*$R76)),0),"Set capacity"),0))</f>
        <v/>
      </c>
      <c r="Y76" s="16" t="str">
        <f aca="false">IF($A76="","",IF($U76="OUT OF STOCK","Out of stock – production at risk."&amp;IF($N76&gt;0," Next delivery "&amp;TEXT($O76,"ddd dd-mmm")&amp;": expedite it."," Order and expedite now."),IF($U76="CRITICAL",IF(AND($N76&gt;0,$P76&lt;=0),"URGENT – runs out about "&amp;TEXT($M76,"ddd dd-mmm")&amp;", before the next delivery ("&amp;TEXT($O76,"ddd dd-mmm")&amp;"). Expedite it.","URGENT – runs out about "&amp;TEXT($M76,"ddd dd-mmm")&amp;"; a normal order takes "&amp;$R76&amp;" days. Order and expedite now."),IF($U76="REORDER","Order now (about "&amp;TEXT($X76,"#,##0")&amp;" "&amp;$D76&amp;") – becomes critical "&amp;TEXT($W76,"ddd dd-mmm")&amp;".",IF($U76="NO USAGE","No planned or recent usage.","OK – next order by "&amp;TEXT($V76,"ddd dd-mmm")&amp;IF($N76&gt;0,"; "&amp;TEXT($N76,"#,##0")&amp;" "&amp;$D76&amp;" on order (next "&amp;TEXT($O76,"dd-mmm")&amp;")","")&amp;".")))))</f>
        <v/>
      </c>
      <c r="Z76" s="78" t="n">
        <f aca="false">IF(OR($A76="",$V76=""),1000000000,IF($V76="NOW",AsOfDate,$V76))</f>
        <v>1000000000</v>
      </c>
      <c r="AA76" s="78" t="n">
        <f aca="false">IF(OR($A76="",$W76=""),1000000000,IF($W76="NOW",AsOfDate,$W76))</f>
        <v>1000000000</v>
      </c>
      <c r="AB76" s="78" t="n">
        <f aca="false">IF(OR($A76="",$M76=""),1000000000,IF($M76="OUT",AsOfDate,$M76))</f>
        <v>1000000000</v>
      </c>
    </row>
    <row r="77" customFormat="false" ht="15" hidden="false" customHeight="false" outlineLevel="0" collapsed="false">
      <c r="A77" s="16" t="str">
        <f aca="false">IF(ISNUMBER('Current Inventory'!$J77),'Current Inventory'!$A77,"")</f>
        <v/>
      </c>
      <c r="B77" s="64" t="str">
        <f aca="false">IF($A77="","",'Current Inventory'!$B77)</f>
        <v/>
      </c>
      <c r="C77" s="16" t="str">
        <f aca="false">IF($A77="","",'Current Inventory'!$C77)</f>
        <v/>
      </c>
      <c r="D77" s="64" t="str">
        <f aca="false">IF($A77="","",'Current Inventory'!$D77)</f>
        <v/>
      </c>
      <c r="E77" s="67" t="str">
        <f aca="false">IF($A77="","",'Current Inventory'!$J77)</f>
        <v/>
      </c>
      <c r="F77" s="67" t="str">
        <f aca="false">IF($A77="","",N('Current Inventory'!$G77))</f>
        <v/>
      </c>
      <c r="G77" s="69" t="str">
        <f aca="false">IF($A77="","",'Current Inventory'!$K77)</f>
        <v/>
      </c>
      <c r="H77" s="67" t="str">
        <f aca="false">IF($A77="","",IFERROR(SUMIFS(INDEX(PP_Daily,0,MATCH($B77,Mat_Code,0)),PP_Site,$A77),0))</f>
        <v/>
      </c>
      <c r="I77" s="67" t="str">
        <f aca="false">IF($A77="","",IFERROR(SUMIFS(INDEX(Con_Use,0,MATCH($B77,Mat_Code,0)),Con_Site,$A77,Con_Date,"&gt;"&amp;(AsOfDate-7),Con_Date,"&lt;="&amp;AsOfDate)/MAX(1,NETWORKDAYS.INTL(AsOfDate-6,AsOfDate,WeekendMask,Holidays)),0))</f>
        <v/>
      </c>
      <c r="J77" s="67" t="str">
        <f aca="false">IF($A77="","",IF($H77&gt;0,$H77,$I77))</f>
        <v/>
      </c>
      <c r="K77" s="64" t="str">
        <f aca="false">IF($A77="","",IF($H77&gt;0,"Plan",IF($I77&gt;0,"Actual 7-day avg","No usage")))</f>
        <v/>
      </c>
      <c r="L77" s="72" t="str">
        <f aca="false">IF($A77="","",IF($J77&gt;0,MAX(0,$E77)/$J77,""))</f>
        <v/>
      </c>
      <c r="M77" s="73" t="str">
        <f aca="false">IF(OR($A77="",$L77=""),"",IF($E77&lt;=0,"OUT",WORKDAY.INTL(AsOfDate,ROUNDUP($L77,0),WeekendMask,Holidays)))</f>
        <v/>
      </c>
      <c r="N77" s="74" t="str">
        <f aca="false">IF($A77="","",SUMIFS(Del_Qty,Del_Site,$A77,Del_Mat,$B77,Del_Date,"&gt;"&amp;AsOfDate))</f>
        <v/>
      </c>
      <c r="O77" s="73" t="str">
        <f aca="false">IF(OR($A77="",N($N77)&lt;=0),"",SUMPRODUCT(MIN((Del_Site=$A77)*(Del_Mat=$B77)*(Del_Date&gt;AsOfDate)*Del_Date+(1-(Del_Site=$A77)*(Del_Mat=$B77)*(Del_Date&gt;AsOfDate))*1000000000)))</f>
        <v/>
      </c>
      <c r="P77" s="74" t="str">
        <f aca="false">IF($A77="","",IF(ISNUMBER($M77),SUMIFS(Del_Qty,Del_Site,$A77,Del_Mat,$B77,Del_Date,"&gt;"&amp;AsOfDate,Del_Date,"&lt;="&amp;$M77),0))</f>
        <v/>
      </c>
      <c r="Q77" s="75" t="str">
        <f aca="false">IF(OR($A77="",$J77&lt;=0),"",IF($P77&gt;0,(MAX(0,$E77)+$N77)/$J77,$L77))</f>
        <v/>
      </c>
      <c r="R77" s="75" t="str">
        <f aca="false">IF($A77="","",IFERROR(INDEX(Mat_Lead,MATCH($B77,Mat_Code,0)),0))</f>
        <v/>
      </c>
      <c r="S77" s="75" t="str">
        <f aca="false">IF($A77="","",IFERROR(INDEX(Mat_Safety,MATCH($B77,Mat_Code,0)),0))</f>
        <v/>
      </c>
      <c r="T77" s="67" t="str">
        <f aca="false">IF($A77="","",$J77*($R77+$S77))</f>
        <v/>
      </c>
      <c r="U77" s="76" t="str">
        <f aca="false">IF($A77="","",IF($E77&lt;=0,"OUT OF STOCK",IF($J77&lt;=0,"NO USAGE",IF($Q77&lt;=$R77,"CRITICAL",IF($Q77&lt;=$R77+$S77,"REORDER","OK")))))</f>
        <v/>
      </c>
      <c r="V77" s="73" t="str">
        <f aca="false">IF(OR($A77="",$U77="NO USAGE"),"",IF(OR($U77="OUT OF STOCK",$Q77&lt;=$R77+$S77),"NOW",WORKDAY.INTL(AsOfDate,INT($Q77-$R77-$S77),WeekendMask,Holidays)))</f>
        <v/>
      </c>
      <c r="W77" s="73" t="str">
        <f aca="false">IF(OR($A77="",$U77="NO USAGE"),"",IF(OR($U77="OUT OF STOCK",$Q77&lt;=$R77),"NOW",WORKDAY.INTL(AsOfDate,ROUNDUP($Q77-$R77,0),WeekendMask,Holidays)))</f>
        <v/>
      </c>
      <c r="X77" s="77" t="str">
        <f aca="false">IF($A77="","",IF(OR($U77="CRITICAL",$U77="REORDER",$U77="OUT OF STOCK"),IF($F77&gt;0,ROUNDUP(MAX(0,$F77-MAX(0,MAX(0,$E77)+$N77-$J77*$R77)),0),"Set capacity"),0))</f>
        <v/>
      </c>
      <c r="Y77" s="16" t="str">
        <f aca="false">IF($A77="","",IF($U77="OUT OF STOCK","Out of stock – production at risk."&amp;IF($N77&gt;0," Next delivery "&amp;TEXT($O77,"ddd dd-mmm")&amp;": expedite it."," Order and expedite now."),IF($U77="CRITICAL",IF(AND($N77&gt;0,$P77&lt;=0),"URGENT – runs out about "&amp;TEXT($M77,"ddd dd-mmm")&amp;", before the next delivery ("&amp;TEXT($O77,"ddd dd-mmm")&amp;"). Expedite it.","URGENT – runs out about "&amp;TEXT($M77,"ddd dd-mmm")&amp;"; a normal order takes "&amp;$R77&amp;" days. Order and expedite now."),IF($U77="REORDER","Order now (about "&amp;TEXT($X77,"#,##0")&amp;" "&amp;$D77&amp;") – becomes critical "&amp;TEXT($W77,"ddd dd-mmm")&amp;".",IF($U77="NO USAGE","No planned or recent usage.","OK – next order by "&amp;TEXT($V77,"ddd dd-mmm")&amp;IF($N77&gt;0,"; "&amp;TEXT($N77,"#,##0")&amp;" "&amp;$D77&amp;" on order (next "&amp;TEXT($O77,"dd-mmm")&amp;")","")&amp;".")))))</f>
        <v/>
      </c>
      <c r="Z77" s="78" t="n">
        <f aca="false">IF(OR($A77="",$V77=""),1000000000,IF($V77="NOW",AsOfDate,$V77))</f>
        <v>1000000000</v>
      </c>
      <c r="AA77" s="78" t="n">
        <f aca="false">IF(OR($A77="",$W77=""),1000000000,IF($W77="NOW",AsOfDate,$W77))</f>
        <v>1000000000</v>
      </c>
      <c r="AB77" s="78" t="n">
        <f aca="false">IF(OR($A77="",$M77=""),1000000000,IF($M77="OUT",AsOfDate,$M77))</f>
        <v>1000000000</v>
      </c>
    </row>
    <row r="78" customFormat="false" ht="15" hidden="false" customHeight="false" outlineLevel="0" collapsed="false">
      <c r="A78" s="16" t="str">
        <f aca="false">IF(ISNUMBER('Current Inventory'!$J78),'Current Inventory'!$A78,"")</f>
        <v/>
      </c>
      <c r="B78" s="64" t="str">
        <f aca="false">IF($A78="","",'Current Inventory'!$B78)</f>
        <v/>
      </c>
      <c r="C78" s="16" t="str">
        <f aca="false">IF($A78="","",'Current Inventory'!$C78)</f>
        <v/>
      </c>
      <c r="D78" s="64" t="str">
        <f aca="false">IF($A78="","",'Current Inventory'!$D78)</f>
        <v/>
      </c>
      <c r="E78" s="67" t="str">
        <f aca="false">IF($A78="","",'Current Inventory'!$J78)</f>
        <v/>
      </c>
      <c r="F78" s="67" t="str">
        <f aca="false">IF($A78="","",N('Current Inventory'!$G78))</f>
        <v/>
      </c>
      <c r="G78" s="69" t="str">
        <f aca="false">IF($A78="","",'Current Inventory'!$K78)</f>
        <v/>
      </c>
      <c r="H78" s="67" t="str">
        <f aca="false">IF($A78="","",IFERROR(SUMIFS(INDEX(PP_Daily,0,MATCH($B78,Mat_Code,0)),PP_Site,$A78),0))</f>
        <v/>
      </c>
      <c r="I78" s="67" t="str">
        <f aca="false">IF($A78="","",IFERROR(SUMIFS(INDEX(Con_Use,0,MATCH($B78,Mat_Code,0)),Con_Site,$A78,Con_Date,"&gt;"&amp;(AsOfDate-7),Con_Date,"&lt;="&amp;AsOfDate)/MAX(1,NETWORKDAYS.INTL(AsOfDate-6,AsOfDate,WeekendMask,Holidays)),0))</f>
        <v/>
      </c>
      <c r="J78" s="67" t="str">
        <f aca="false">IF($A78="","",IF($H78&gt;0,$H78,$I78))</f>
        <v/>
      </c>
      <c r="K78" s="64" t="str">
        <f aca="false">IF($A78="","",IF($H78&gt;0,"Plan",IF($I78&gt;0,"Actual 7-day avg","No usage")))</f>
        <v/>
      </c>
      <c r="L78" s="72" t="str">
        <f aca="false">IF($A78="","",IF($J78&gt;0,MAX(0,$E78)/$J78,""))</f>
        <v/>
      </c>
      <c r="M78" s="73" t="str">
        <f aca="false">IF(OR($A78="",$L78=""),"",IF($E78&lt;=0,"OUT",WORKDAY.INTL(AsOfDate,ROUNDUP($L78,0),WeekendMask,Holidays)))</f>
        <v/>
      </c>
      <c r="N78" s="74" t="str">
        <f aca="false">IF($A78="","",SUMIFS(Del_Qty,Del_Site,$A78,Del_Mat,$B78,Del_Date,"&gt;"&amp;AsOfDate))</f>
        <v/>
      </c>
      <c r="O78" s="73" t="str">
        <f aca="false">IF(OR($A78="",N($N78)&lt;=0),"",SUMPRODUCT(MIN((Del_Site=$A78)*(Del_Mat=$B78)*(Del_Date&gt;AsOfDate)*Del_Date+(1-(Del_Site=$A78)*(Del_Mat=$B78)*(Del_Date&gt;AsOfDate))*1000000000)))</f>
        <v/>
      </c>
      <c r="P78" s="74" t="str">
        <f aca="false">IF($A78="","",IF(ISNUMBER($M78),SUMIFS(Del_Qty,Del_Site,$A78,Del_Mat,$B78,Del_Date,"&gt;"&amp;AsOfDate,Del_Date,"&lt;="&amp;$M78),0))</f>
        <v/>
      </c>
      <c r="Q78" s="75" t="str">
        <f aca="false">IF(OR($A78="",$J78&lt;=0),"",IF($P78&gt;0,(MAX(0,$E78)+$N78)/$J78,$L78))</f>
        <v/>
      </c>
      <c r="R78" s="75" t="str">
        <f aca="false">IF($A78="","",IFERROR(INDEX(Mat_Lead,MATCH($B78,Mat_Code,0)),0))</f>
        <v/>
      </c>
      <c r="S78" s="75" t="str">
        <f aca="false">IF($A78="","",IFERROR(INDEX(Mat_Safety,MATCH($B78,Mat_Code,0)),0))</f>
        <v/>
      </c>
      <c r="T78" s="67" t="str">
        <f aca="false">IF($A78="","",$J78*($R78+$S78))</f>
        <v/>
      </c>
      <c r="U78" s="76" t="str">
        <f aca="false">IF($A78="","",IF($E78&lt;=0,"OUT OF STOCK",IF($J78&lt;=0,"NO USAGE",IF($Q78&lt;=$R78,"CRITICAL",IF($Q78&lt;=$R78+$S78,"REORDER","OK")))))</f>
        <v/>
      </c>
      <c r="V78" s="73" t="str">
        <f aca="false">IF(OR($A78="",$U78="NO USAGE"),"",IF(OR($U78="OUT OF STOCK",$Q78&lt;=$R78+$S78),"NOW",WORKDAY.INTL(AsOfDate,INT($Q78-$R78-$S78),WeekendMask,Holidays)))</f>
        <v/>
      </c>
      <c r="W78" s="73" t="str">
        <f aca="false">IF(OR($A78="",$U78="NO USAGE"),"",IF(OR($U78="OUT OF STOCK",$Q78&lt;=$R78),"NOW",WORKDAY.INTL(AsOfDate,ROUNDUP($Q78-$R78,0),WeekendMask,Holidays)))</f>
        <v/>
      </c>
      <c r="X78" s="77" t="str">
        <f aca="false">IF($A78="","",IF(OR($U78="CRITICAL",$U78="REORDER",$U78="OUT OF STOCK"),IF($F78&gt;0,ROUNDUP(MAX(0,$F78-MAX(0,MAX(0,$E78)+$N78-$J78*$R78)),0),"Set capacity"),0))</f>
        <v/>
      </c>
      <c r="Y78" s="16" t="str">
        <f aca="false">IF($A78="","",IF($U78="OUT OF STOCK","Out of stock – production at risk."&amp;IF($N78&gt;0," Next delivery "&amp;TEXT($O78,"ddd dd-mmm")&amp;": expedite it."," Order and expedite now."),IF($U78="CRITICAL",IF(AND($N78&gt;0,$P78&lt;=0),"URGENT – runs out about "&amp;TEXT($M78,"ddd dd-mmm")&amp;", before the next delivery ("&amp;TEXT($O78,"ddd dd-mmm")&amp;"). Expedite it.","URGENT – runs out about "&amp;TEXT($M78,"ddd dd-mmm")&amp;"; a normal order takes "&amp;$R78&amp;" days. Order and expedite now."),IF($U78="REORDER","Order now (about "&amp;TEXT($X78,"#,##0")&amp;" "&amp;$D78&amp;") – becomes critical "&amp;TEXT($W78,"ddd dd-mmm")&amp;".",IF($U78="NO USAGE","No planned or recent usage.","OK – next order by "&amp;TEXT($V78,"ddd dd-mmm")&amp;IF($N78&gt;0,"; "&amp;TEXT($N78,"#,##0")&amp;" "&amp;$D78&amp;" on order (next "&amp;TEXT($O78,"dd-mmm")&amp;")","")&amp;".")))))</f>
        <v/>
      </c>
      <c r="Z78" s="78" t="n">
        <f aca="false">IF(OR($A78="",$V78=""),1000000000,IF($V78="NOW",AsOfDate,$V78))</f>
        <v>1000000000</v>
      </c>
      <c r="AA78" s="78" t="n">
        <f aca="false">IF(OR($A78="",$W78=""),1000000000,IF($W78="NOW",AsOfDate,$W78))</f>
        <v>1000000000</v>
      </c>
      <c r="AB78" s="78" t="n">
        <f aca="false">IF(OR($A78="",$M78=""),1000000000,IF($M78="OUT",AsOfDate,$M78))</f>
        <v>1000000000</v>
      </c>
    </row>
    <row r="79" customFormat="false" ht="15" hidden="false" customHeight="false" outlineLevel="0" collapsed="false">
      <c r="A79" s="16" t="str">
        <f aca="false">IF(ISNUMBER('Current Inventory'!$J79),'Current Inventory'!$A79,"")</f>
        <v/>
      </c>
      <c r="B79" s="64" t="str">
        <f aca="false">IF($A79="","",'Current Inventory'!$B79)</f>
        <v/>
      </c>
      <c r="C79" s="16" t="str">
        <f aca="false">IF($A79="","",'Current Inventory'!$C79)</f>
        <v/>
      </c>
      <c r="D79" s="64" t="str">
        <f aca="false">IF($A79="","",'Current Inventory'!$D79)</f>
        <v/>
      </c>
      <c r="E79" s="67" t="str">
        <f aca="false">IF($A79="","",'Current Inventory'!$J79)</f>
        <v/>
      </c>
      <c r="F79" s="67" t="str">
        <f aca="false">IF($A79="","",N('Current Inventory'!$G79))</f>
        <v/>
      </c>
      <c r="G79" s="69" t="str">
        <f aca="false">IF($A79="","",'Current Inventory'!$K79)</f>
        <v/>
      </c>
      <c r="H79" s="67" t="str">
        <f aca="false">IF($A79="","",IFERROR(SUMIFS(INDEX(PP_Daily,0,MATCH($B79,Mat_Code,0)),PP_Site,$A79),0))</f>
        <v/>
      </c>
      <c r="I79" s="67" t="str">
        <f aca="false">IF($A79="","",IFERROR(SUMIFS(INDEX(Con_Use,0,MATCH($B79,Mat_Code,0)),Con_Site,$A79,Con_Date,"&gt;"&amp;(AsOfDate-7),Con_Date,"&lt;="&amp;AsOfDate)/MAX(1,NETWORKDAYS.INTL(AsOfDate-6,AsOfDate,WeekendMask,Holidays)),0))</f>
        <v/>
      </c>
      <c r="J79" s="67" t="str">
        <f aca="false">IF($A79="","",IF($H79&gt;0,$H79,$I79))</f>
        <v/>
      </c>
      <c r="K79" s="64" t="str">
        <f aca="false">IF($A79="","",IF($H79&gt;0,"Plan",IF($I79&gt;0,"Actual 7-day avg","No usage")))</f>
        <v/>
      </c>
      <c r="L79" s="72" t="str">
        <f aca="false">IF($A79="","",IF($J79&gt;0,MAX(0,$E79)/$J79,""))</f>
        <v/>
      </c>
      <c r="M79" s="73" t="str">
        <f aca="false">IF(OR($A79="",$L79=""),"",IF($E79&lt;=0,"OUT",WORKDAY.INTL(AsOfDate,ROUNDUP($L79,0),WeekendMask,Holidays)))</f>
        <v/>
      </c>
      <c r="N79" s="74" t="str">
        <f aca="false">IF($A79="","",SUMIFS(Del_Qty,Del_Site,$A79,Del_Mat,$B79,Del_Date,"&gt;"&amp;AsOfDate))</f>
        <v/>
      </c>
      <c r="O79" s="73" t="str">
        <f aca="false">IF(OR($A79="",N($N79)&lt;=0),"",SUMPRODUCT(MIN((Del_Site=$A79)*(Del_Mat=$B79)*(Del_Date&gt;AsOfDate)*Del_Date+(1-(Del_Site=$A79)*(Del_Mat=$B79)*(Del_Date&gt;AsOfDate))*1000000000)))</f>
        <v/>
      </c>
      <c r="P79" s="74" t="str">
        <f aca="false">IF($A79="","",IF(ISNUMBER($M79),SUMIFS(Del_Qty,Del_Site,$A79,Del_Mat,$B79,Del_Date,"&gt;"&amp;AsOfDate,Del_Date,"&lt;="&amp;$M79),0))</f>
        <v/>
      </c>
      <c r="Q79" s="75" t="str">
        <f aca="false">IF(OR($A79="",$J79&lt;=0),"",IF($P79&gt;0,(MAX(0,$E79)+$N79)/$J79,$L79))</f>
        <v/>
      </c>
      <c r="R79" s="75" t="str">
        <f aca="false">IF($A79="","",IFERROR(INDEX(Mat_Lead,MATCH($B79,Mat_Code,0)),0))</f>
        <v/>
      </c>
      <c r="S79" s="75" t="str">
        <f aca="false">IF($A79="","",IFERROR(INDEX(Mat_Safety,MATCH($B79,Mat_Code,0)),0))</f>
        <v/>
      </c>
      <c r="T79" s="67" t="str">
        <f aca="false">IF($A79="","",$J79*($R79+$S79))</f>
        <v/>
      </c>
      <c r="U79" s="76" t="str">
        <f aca="false">IF($A79="","",IF($E79&lt;=0,"OUT OF STOCK",IF($J79&lt;=0,"NO USAGE",IF($Q79&lt;=$R79,"CRITICAL",IF($Q79&lt;=$R79+$S79,"REORDER","OK")))))</f>
        <v/>
      </c>
      <c r="V79" s="73" t="str">
        <f aca="false">IF(OR($A79="",$U79="NO USAGE"),"",IF(OR($U79="OUT OF STOCK",$Q79&lt;=$R79+$S79),"NOW",WORKDAY.INTL(AsOfDate,INT($Q79-$R79-$S79),WeekendMask,Holidays)))</f>
        <v/>
      </c>
      <c r="W79" s="73" t="str">
        <f aca="false">IF(OR($A79="",$U79="NO USAGE"),"",IF(OR($U79="OUT OF STOCK",$Q79&lt;=$R79),"NOW",WORKDAY.INTL(AsOfDate,ROUNDUP($Q79-$R79,0),WeekendMask,Holidays)))</f>
        <v/>
      </c>
      <c r="X79" s="77" t="str">
        <f aca="false">IF($A79="","",IF(OR($U79="CRITICAL",$U79="REORDER",$U79="OUT OF STOCK"),IF($F79&gt;0,ROUNDUP(MAX(0,$F79-MAX(0,MAX(0,$E79)+$N79-$J79*$R79)),0),"Set capacity"),0))</f>
        <v/>
      </c>
      <c r="Y79" s="16" t="str">
        <f aca="false">IF($A79="","",IF($U79="OUT OF STOCK","Out of stock – production at risk."&amp;IF($N79&gt;0," Next delivery "&amp;TEXT($O79,"ddd dd-mmm")&amp;": expedite it."," Order and expedite now."),IF($U79="CRITICAL",IF(AND($N79&gt;0,$P79&lt;=0),"URGENT – runs out about "&amp;TEXT($M79,"ddd dd-mmm")&amp;", before the next delivery ("&amp;TEXT($O79,"ddd dd-mmm")&amp;"). Expedite it.","URGENT – runs out about "&amp;TEXT($M79,"ddd dd-mmm")&amp;"; a normal order takes "&amp;$R79&amp;" days. Order and expedite now."),IF($U79="REORDER","Order now (about "&amp;TEXT($X79,"#,##0")&amp;" "&amp;$D79&amp;") – becomes critical "&amp;TEXT($W79,"ddd dd-mmm")&amp;".",IF($U79="NO USAGE","No planned or recent usage.","OK – next order by "&amp;TEXT($V79,"ddd dd-mmm")&amp;IF($N79&gt;0,"; "&amp;TEXT($N79,"#,##0")&amp;" "&amp;$D79&amp;" on order (next "&amp;TEXT($O79,"dd-mmm")&amp;")","")&amp;".")))))</f>
        <v/>
      </c>
      <c r="Z79" s="78" t="n">
        <f aca="false">IF(OR($A79="",$V79=""),1000000000,IF($V79="NOW",AsOfDate,$V79))</f>
        <v>1000000000</v>
      </c>
      <c r="AA79" s="78" t="n">
        <f aca="false">IF(OR($A79="",$W79=""),1000000000,IF($W79="NOW",AsOfDate,$W79))</f>
        <v>1000000000</v>
      </c>
      <c r="AB79" s="78" t="n">
        <f aca="false">IF(OR($A79="",$M79=""),1000000000,IF($M79="OUT",AsOfDate,$M79))</f>
        <v>1000000000</v>
      </c>
    </row>
    <row r="80" customFormat="false" ht="15" hidden="false" customHeight="false" outlineLevel="0" collapsed="false">
      <c r="A80" s="16" t="str">
        <f aca="false">IF(ISNUMBER('Current Inventory'!$J80),'Current Inventory'!$A80,"")</f>
        <v/>
      </c>
      <c r="B80" s="64" t="str">
        <f aca="false">IF($A80="","",'Current Inventory'!$B80)</f>
        <v/>
      </c>
      <c r="C80" s="16" t="str">
        <f aca="false">IF($A80="","",'Current Inventory'!$C80)</f>
        <v/>
      </c>
      <c r="D80" s="64" t="str">
        <f aca="false">IF($A80="","",'Current Inventory'!$D80)</f>
        <v/>
      </c>
      <c r="E80" s="67" t="str">
        <f aca="false">IF($A80="","",'Current Inventory'!$J80)</f>
        <v/>
      </c>
      <c r="F80" s="67" t="str">
        <f aca="false">IF($A80="","",N('Current Inventory'!$G80))</f>
        <v/>
      </c>
      <c r="G80" s="69" t="str">
        <f aca="false">IF($A80="","",'Current Inventory'!$K80)</f>
        <v/>
      </c>
      <c r="H80" s="67" t="str">
        <f aca="false">IF($A80="","",IFERROR(SUMIFS(INDEX(PP_Daily,0,MATCH($B80,Mat_Code,0)),PP_Site,$A80),0))</f>
        <v/>
      </c>
      <c r="I80" s="67" t="str">
        <f aca="false">IF($A80="","",IFERROR(SUMIFS(INDEX(Con_Use,0,MATCH($B80,Mat_Code,0)),Con_Site,$A80,Con_Date,"&gt;"&amp;(AsOfDate-7),Con_Date,"&lt;="&amp;AsOfDate)/MAX(1,NETWORKDAYS.INTL(AsOfDate-6,AsOfDate,WeekendMask,Holidays)),0))</f>
        <v/>
      </c>
      <c r="J80" s="67" t="str">
        <f aca="false">IF($A80="","",IF($H80&gt;0,$H80,$I80))</f>
        <v/>
      </c>
      <c r="K80" s="64" t="str">
        <f aca="false">IF($A80="","",IF($H80&gt;0,"Plan",IF($I80&gt;0,"Actual 7-day avg","No usage")))</f>
        <v/>
      </c>
      <c r="L80" s="72" t="str">
        <f aca="false">IF($A80="","",IF($J80&gt;0,MAX(0,$E80)/$J80,""))</f>
        <v/>
      </c>
      <c r="M80" s="73" t="str">
        <f aca="false">IF(OR($A80="",$L80=""),"",IF($E80&lt;=0,"OUT",WORKDAY.INTL(AsOfDate,ROUNDUP($L80,0),WeekendMask,Holidays)))</f>
        <v/>
      </c>
      <c r="N80" s="74" t="str">
        <f aca="false">IF($A80="","",SUMIFS(Del_Qty,Del_Site,$A80,Del_Mat,$B80,Del_Date,"&gt;"&amp;AsOfDate))</f>
        <v/>
      </c>
      <c r="O80" s="73" t="str">
        <f aca="false">IF(OR($A80="",N($N80)&lt;=0),"",SUMPRODUCT(MIN((Del_Site=$A80)*(Del_Mat=$B80)*(Del_Date&gt;AsOfDate)*Del_Date+(1-(Del_Site=$A80)*(Del_Mat=$B80)*(Del_Date&gt;AsOfDate))*1000000000)))</f>
        <v/>
      </c>
      <c r="P80" s="74" t="str">
        <f aca="false">IF($A80="","",IF(ISNUMBER($M80),SUMIFS(Del_Qty,Del_Site,$A80,Del_Mat,$B80,Del_Date,"&gt;"&amp;AsOfDate,Del_Date,"&lt;="&amp;$M80),0))</f>
        <v/>
      </c>
      <c r="Q80" s="75" t="str">
        <f aca="false">IF(OR($A80="",$J80&lt;=0),"",IF($P80&gt;0,(MAX(0,$E80)+$N80)/$J80,$L80))</f>
        <v/>
      </c>
      <c r="R80" s="75" t="str">
        <f aca="false">IF($A80="","",IFERROR(INDEX(Mat_Lead,MATCH($B80,Mat_Code,0)),0))</f>
        <v/>
      </c>
      <c r="S80" s="75" t="str">
        <f aca="false">IF($A80="","",IFERROR(INDEX(Mat_Safety,MATCH($B80,Mat_Code,0)),0))</f>
        <v/>
      </c>
      <c r="T80" s="67" t="str">
        <f aca="false">IF($A80="","",$J80*($R80+$S80))</f>
        <v/>
      </c>
      <c r="U80" s="76" t="str">
        <f aca="false">IF($A80="","",IF($E80&lt;=0,"OUT OF STOCK",IF($J80&lt;=0,"NO USAGE",IF($Q80&lt;=$R80,"CRITICAL",IF($Q80&lt;=$R80+$S80,"REORDER","OK")))))</f>
        <v/>
      </c>
      <c r="V80" s="73" t="str">
        <f aca="false">IF(OR($A80="",$U80="NO USAGE"),"",IF(OR($U80="OUT OF STOCK",$Q80&lt;=$R80+$S80),"NOW",WORKDAY.INTL(AsOfDate,INT($Q80-$R80-$S80),WeekendMask,Holidays)))</f>
        <v/>
      </c>
      <c r="W80" s="73" t="str">
        <f aca="false">IF(OR($A80="",$U80="NO USAGE"),"",IF(OR($U80="OUT OF STOCK",$Q80&lt;=$R80),"NOW",WORKDAY.INTL(AsOfDate,ROUNDUP($Q80-$R80,0),WeekendMask,Holidays)))</f>
        <v/>
      </c>
      <c r="X80" s="77" t="str">
        <f aca="false">IF($A80="","",IF(OR($U80="CRITICAL",$U80="REORDER",$U80="OUT OF STOCK"),IF($F80&gt;0,ROUNDUP(MAX(0,$F80-MAX(0,MAX(0,$E80)+$N80-$J80*$R80)),0),"Set capacity"),0))</f>
        <v/>
      </c>
      <c r="Y80" s="16" t="str">
        <f aca="false">IF($A80="","",IF($U80="OUT OF STOCK","Out of stock – production at risk."&amp;IF($N80&gt;0," Next delivery "&amp;TEXT($O80,"ddd dd-mmm")&amp;": expedite it."," Order and expedite now."),IF($U80="CRITICAL",IF(AND($N80&gt;0,$P80&lt;=0),"URGENT – runs out about "&amp;TEXT($M80,"ddd dd-mmm")&amp;", before the next delivery ("&amp;TEXT($O80,"ddd dd-mmm")&amp;"). Expedite it.","URGENT – runs out about "&amp;TEXT($M80,"ddd dd-mmm")&amp;"; a normal order takes "&amp;$R80&amp;" days. Order and expedite now."),IF($U80="REORDER","Order now (about "&amp;TEXT($X80,"#,##0")&amp;" "&amp;$D80&amp;") – becomes critical "&amp;TEXT($W80,"ddd dd-mmm")&amp;".",IF($U80="NO USAGE","No planned or recent usage.","OK – next order by "&amp;TEXT($V80,"ddd dd-mmm")&amp;IF($N80&gt;0,"; "&amp;TEXT($N80,"#,##0")&amp;" "&amp;$D80&amp;" on order (next "&amp;TEXT($O80,"dd-mmm")&amp;")","")&amp;".")))))</f>
        <v/>
      </c>
      <c r="Z80" s="78" t="n">
        <f aca="false">IF(OR($A80="",$V80=""),1000000000,IF($V80="NOW",AsOfDate,$V80))</f>
        <v>1000000000</v>
      </c>
      <c r="AA80" s="78" t="n">
        <f aca="false">IF(OR($A80="",$W80=""),1000000000,IF($W80="NOW",AsOfDate,$W80))</f>
        <v>1000000000</v>
      </c>
      <c r="AB80" s="78" t="n">
        <f aca="false">IF(OR($A80="",$M80=""),1000000000,IF($M80="OUT",AsOfDate,$M80))</f>
        <v>1000000000</v>
      </c>
    </row>
    <row r="81" customFormat="false" ht="15" hidden="false" customHeight="false" outlineLevel="0" collapsed="false">
      <c r="A81" s="16" t="str">
        <f aca="false">IF(ISNUMBER('Current Inventory'!$J81),'Current Inventory'!$A81,"")</f>
        <v/>
      </c>
      <c r="B81" s="64" t="str">
        <f aca="false">IF($A81="","",'Current Inventory'!$B81)</f>
        <v/>
      </c>
      <c r="C81" s="16" t="str">
        <f aca="false">IF($A81="","",'Current Inventory'!$C81)</f>
        <v/>
      </c>
      <c r="D81" s="64" t="str">
        <f aca="false">IF($A81="","",'Current Inventory'!$D81)</f>
        <v/>
      </c>
      <c r="E81" s="67" t="str">
        <f aca="false">IF($A81="","",'Current Inventory'!$J81)</f>
        <v/>
      </c>
      <c r="F81" s="67" t="str">
        <f aca="false">IF($A81="","",N('Current Inventory'!$G81))</f>
        <v/>
      </c>
      <c r="G81" s="69" t="str">
        <f aca="false">IF($A81="","",'Current Inventory'!$K81)</f>
        <v/>
      </c>
      <c r="H81" s="67" t="str">
        <f aca="false">IF($A81="","",IFERROR(SUMIFS(INDEX(PP_Daily,0,MATCH($B81,Mat_Code,0)),PP_Site,$A81),0))</f>
        <v/>
      </c>
      <c r="I81" s="67" t="str">
        <f aca="false">IF($A81="","",IFERROR(SUMIFS(INDEX(Con_Use,0,MATCH($B81,Mat_Code,0)),Con_Site,$A81,Con_Date,"&gt;"&amp;(AsOfDate-7),Con_Date,"&lt;="&amp;AsOfDate)/MAX(1,NETWORKDAYS.INTL(AsOfDate-6,AsOfDate,WeekendMask,Holidays)),0))</f>
        <v/>
      </c>
      <c r="J81" s="67" t="str">
        <f aca="false">IF($A81="","",IF($H81&gt;0,$H81,$I81))</f>
        <v/>
      </c>
      <c r="K81" s="64" t="str">
        <f aca="false">IF($A81="","",IF($H81&gt;0,"Plan",IF($I81&gt;0,"Actual 7-day avg","No usage")))</f>
        <v/>
      </c>
      <c r="L81" s="72" t="str">
        <f aca="false">IF($A81="","",IF($J81&gt;0,MAX(0,$E81)/$J81,""))</f>
        <v/>
      </c>
      <c r="M81" s="73" t="str">
        <f aca="false">IF(OR($A81="",$L81=""),"",IF($E81&lt;=0,"OUT",WORKDAY.INTL(AsOfDate,ROUNDUP($L81,0),WeekendMask,Holidays)))</f>
        <v/>
      </c>
      <c r="N81" s="74" t="str">
        <f aca="false">IF($A81="","",SUMIFS(Del_Qty,Del_Site,$A81,Del_Mat,$B81,Del_Date,"&gt;"&amp;AsOfDate))</f>
        <v/>
      </c>
      <c r="O81" s="73" t="str">
        <f aca="false">IF(OR($A81="",N($N81)&lt;=0),"",SUMPRODUCT(MIN((Del_Site=$A81)*(Del_Mat=$B81)*(Del_Date&gt;AsOfDate)*Del_Date+(1-(Del_Site=$A81)*(Del_Mat=$B81)*(Del_Date&gt;AsOfDate))*1000000000)))</f>
        <v/>
      </c>
      <c r="P81" s="74" t="str">
        <f aca="false">IF($A81="","",IF(ISNUMBER($M81),SUMIFS(Del_Qty,Del_Site,$A81,Del_Mat,$B81,Del_Date,"&gt;"&amp;AsOfDate,Del_Date,"&lt;="&amp;$M81),0))</f>
        <v/>
      </c>
      <c r="Q81" s="75" t="str">
        <f aca="false">IF(OR($A81="",$J81&lt;=0),"",IF($P81&gt;0,(MAX(0,$E81)+$N81)/$J81,$L81))</f>
        <v/>
      </c>
      <c r="R81" s="75" t="str">
        <f aca="false">IF($A81="","",IFERROR(INDEX(Mat_Lead,MATCH($B81,Mat_Code,0)),0))</f>
        <v/>
      </c>
      <c r="S81" s="75" t="str">
        <f aca="false">IF($A81="","",IFERROR(INDEX(Mat_Safety,MATCH($B81,Mat_Code,0)),0))</f>
        <v/>
      </c>
      <c r="T81" s="67" t="str">
        <f aca="false">IF($A81="","",$J81*($R81+$S81))</f>
        <v/>
      </c>
      <c r="U81" s="76" t="str">
        <f aca="false">IF($A81="","",IF($E81&lt;=0,"OUT OF STOCK",IF($J81&lt;=0,"NO USAGE",IF($Q81&lt;=$R81,"CRITICAL",IF($Q81&lt;=$R81+$S81,"REORDER","OK")))))</f>
        <v/>
      </c>
      <c r="V81" s="73" t="str">
        <f aca="false">IF(OR($A81="",$U81="NO USAGE"),"",IF(OR($U81="OUT OF STOCK",$Q81&lt;=$R81+$S81),"NOW",WORKDAY.INTL(AsOfDate,INT($Q81-$R81-$S81),WeekendMask,Holidays)))</f>
        <v/>
      </c>
      <c r="W81" s="73" t="str">
        <f aca="false">IF(OR($A81="",$U81="NO USAGE"),"",IF(OR($U81="OUT OF STOCK",$Q81&lt;=$R81),"NOW",WORKDAY.INTL(AsOfDate,ROUNDUP($Q81-$R81,0),WeekendMask,Holidays)))</f>
        <v/>
      </c>
      <c r="X81" s="77" t="str">
        <f aca="false">IF($A81="","",IF(OR($U81="CRITICAL",$U81="REORDER",$U81="OUT OF STOCK"),IF($F81&gt;0,ROUNDUP(MAX(0,$F81-MAX(0,MAX(0,$E81)+$N81-$J81*$R81)),0),"Set capacity"),0))</f>
        <v/>
      </c>
      <c r="Y81" s="16" t="str">
        <f aca="false">IF($A81="","",IF($U81="OUT OF STOCK","Out of stock – production at risk."&amp;IF($N81&gt;0," Next delivery "&amp;TEXT($O81,"ddd dd-mmm")&amp;": expedite it."," Order and expedite now."),IF($U81="CRITICAL",IF(AND($N81&gt;0,$P81&lt;=0),"URGENT – runs out about "&amp;TEXT($M81,"ddd dd-mmm")&amp;", before the next delivery ("&amp;TEXT($O81,"ddd dd-mmm")&amp;"). Expedite it.","URGENT – runs out about "&amp;TEXT($M81,"ddd dd-mmm")&amp;"; a normal order takes "&amp;$R81&amp;" days. Order and expedite now."),IF($U81="REORDER","Order now (about "&amp;TEXT($X81,"#,##0")&amp;" "&amp;$D81&amp;") – becomes critical "&amp;TEXT($W81,"ddd dd-mmm")&amp;".",IF($U81="NO USAGE","No planned or recent usage.","OK – next order by "&amp;TEXT($V81,"ddd dd-mmm")&amp;IF($N81&gt;0,"; "&amp;TEXT($N81,"#,##0")&amp;" "&amp;$D81&amp;" on order (next "&amp;TEXT($O81,"dd-mmm")&amp;")","")&amp;".")))))</f>
        <v/>
      </c>
      <c r="Z81" s="78" t="n">
        <f aca="false">IF(OR($A81="",$V81=""),1000000000,IF($V81="NOW",AsOfDate,$V81))</f>
        <v>1000000000</v>
      </c>
      <c r="AA81" s="78" t="n">
        <f aca="false">IF(OR($A81="",$W81=""),1000000000,IF($W81="NOW",AsOfDate,$W81))</f>
        <v>1000000000</v>
      </c>
      <c r="AB81" s="78" t="n">
        <f aca="false">IF(OR($A81="",$M81=""),1000000000,IF($M81="OUT",AsOfDate,$M81))</f>
        <v>1000000000</v>
      </c>
    </row>
    <row r="82" customFormat="false" ht="15" hidden="false" customHeight="false" outlineLevel="0" collapsed="false">
      <c r="A82" s="16" t="str">
        <f aca="false">IF(ISNUMBER('Current Inventory'!$J82),'Current Inventory'!$A82,"")</f>
        <v/>
      </c>
      <c r="B82" s="64" t="str">
        <f aca="false">IF($A82="","",'Current Inventory'!$B82)</f>
        <v/>
      </c>
      <c r="C82" s="16" t="str">
        <f aca="false">IF($A82="","",'Current Inventory'!$C82)</f>
        <v/>
      </c>
      <c r="D82" s="64" t="str">
        <f aca="false">IF($A82="","",'Current Inventory'!$D82)</f>
        <v/>
      </c>
      <c r="E82" s="67" t="str">
        <f aca="false">IF($A82="","",'Current Inventory'!$J82)</f>
        <v/>
      </c>
      <c r="F82" s="67" t="str">
        <f aca="false">IF($A82="","",N('Current Inventory'!$G82))</f>
        <v/>
      </c>
      <c r="G82" s="69" t="str">
        <f aca="false">IF($A82="","",'Current Inventory'!$K82)</f>
        <v/>
      </c>
      <c r="H82" s="67" t="str">
        <f aca="false">IF($A82="","",IFERROR(SUMIFS(INDEX(PP_Daily,0,MATCH($B82,Mat_Code,0)),PP_Site,$A82),0))</f>
        <v/>
      </c>
      <c r="I82" s="67" t="str">
        <f aca="false">IF($A82="","",IFERROR(SUMIFS(INDEX(Con_Use,0,MATCH($B82,Mat_Code,0)),Con_Site,$A82,Con_Date,"&gt;"&amp;(AsOfDate-7),Con_Date,"&lt;="&amp;AsOfDate)/MAX(1,NETWORKDAYS.INTL(AsOfDate-6,AsOfDate,WeekendMask,Holidays)),0))</f>
        <v/>
      </c>
      <c r="J82" s="67" t="str">
        <f aca="false">IF($A82="","",IF($H82&gt;0,$H82,$I82))</f>
        <v/>
      </c>
      <c r="K82" s="64" t="str">
        <f aca="false">IF($A82="","",IF($H82&gt;0,"Plan",IF($I82&gt;0,"Actual 7-day avg","No usage")))</f>
        <v/>
      </c>
      <c r="L82" s="72" t="str">
        <f aca="false">IF($A82="","",IF($J82&gt;0,MAX(0,$E82)/$J82,""))</f>
        <v/>
      </c>
      <c r="M82" s="73" t="str">
        <f aca="false">IF(OR($A82="",$L82=""),"",IF($E82&lt;=0,"OUT",WORKDAY.INTL(AsOfDate,ROUNDUP($L82,0),WeekendMask,Holidays)))</f>
        <v/>
      </c>
      <c r="N82" s="74" t="str">
        <f aca="false">IF($A82="","",SUMIFS(Del_Qty,Del_Site,$A82,Del_Mat,$B82,Del_Date,"&gt;"&amp;AsOfDate))</f>
        <v/>
      </c>
      <c r="O82" s="73" t="str">
        <f aca="false">IF(OR($A82="",N($N82)&lt;=0),"",SUMPRODUCT(MIN((Del_Site=$A82)*(Del_Mat=$B82)*(Del_Date&gt;AsOfDate)*Del_Date+(1-(Del_Site=$A82)*(Del_Mat=$B82)*(Del_Date&gt;AsOfDate))*1000000000)))</f>
        <v/>
      </c>
      <c r="P82" s="74" t="str">
        <f aca="false">IF($A82="","",IF(ISNUMBER($M82),SUMIFS(Del_Qty,Del_Site,$A82,Del_Mat,$B82,Del_Date,"&gt;"&amp;AsOfDate,Del_Date,"&lt;="&amp;$M82),0))</f>
        <v/>
      </c>
      <c r="Q82" s="75" t="str">
        <f aca="false">IF(OR($A82="",$J82&lt;=0),"",IF($P82&gt;0,(MAX(0,$E82)+$N82)/$J82,$L82))</f>
        <v/>
      </c>
      <c r="R82" s="75" t="str">
        <f aca="false">IF($A82="","",IFERROR(INDEX(Mat_Lead,MATCH($B82,Mat_Code,0)),0))</f>
        <v/>
      </c>
      <c r="S82" s="75" t="str">
        <f aca="false">IF($A82="","",IFERROR(INDEX(Mat_Safety,MATCH($B82,Mat_Code,0)),0))</f>
        <v/>
      </c>
      <c r="T82" s="67" t="str">
        <f aca="false">IF($A82="","",$J82*($R82+$S82))</f>
        <v/>
      </c>
      <c r="U82" s="76" t="str">
        <f aca="false">IF($A82="","",IF($E82&lt;=0,"OUT OF STOCK",IF($J82&lt;=0,"NO USAGE",IF($Q82&lt;=$R82,"CRITICAL",IF($Q82&lt;=$R82+$S82,"REORDER","OK")))))</f>
        <v/>
      </c>
      <c r="V82" s="73" t="str">
        <f aca="false">IF(OR($A82="",$U82="NO USAGE"),"",IF(OR($U82="OUT OF STOCK",$Q82&lt;=$R82+$S82),"NOW",WORKDAY.INTL(AsOfDate,INT($Q82-$R82-$S82),WeekendMask,Holidays)))</f>
        <v/>
      </c>
      <c r="W82" s="73" t="str">
        <f aca="false">IF(OR($A82="",$U82="NO USAGE"),"",IF(OR($U82="OUT OF STOCK",$Q82&lt;=$R82),"NOW",WORKDAY.INTL(AsOfDate,ROUNDUP($Q82-$R82,0),WeekendMask,Holidays)))</f>
        <v/>
      </c>
      <c r="X82" s="77" t="str">
        <f aca="false">IF($A82="","",IF(OR($U82="CRITICAL",$U82="REORDER",$U82="OUT OF STOCK"),IF($F82&gt;0,ROUNDUP(MAX(0,$F82-MAX(0,MAX(0,$E82)+$N82-$J82*$R82)),0),"Set capacity"),0))</f>
        <v/>
      </c>
      <c r="Y82" s="16" t="str">
        <f aca="false">IF($A82="","",IF($U82="OUT OF STOCK","Out of stock – production at risk."&amp;IF($N82&gt;0," Next delivery "&amp;TEXT($O82,"ddd dd-mmm")&amp;": expedite it."," Order and expedite now."),IF($U82="CRITICAL",IF(AND($N82&gt;0,$P82&lt;=0),"URGENT – runs out about "&amp;TEXT($M82,"ddd dd-mmm")&amp;", before the next delivery ("&amp;TEXT($O82,"ddd dd-mmm")&amp;"). Expedite it.","URGENT – runs out about "&amp;TEXT($M82,"ddd dd-mmm")&amp;"; a normal order takes "&amp;$R82&amp;" days. Order and expedite now."),IF($U82="REORDER","Order now (about "&amp;TEXT($X82,"#,##0")&amp;" "&amp;$D82&amp;") – becomes critical "&amp;TEXT($W82,"ddd dd-mmm")&amp;".",IF($U82="NO USAGE","No planned or recent usage.","OK – next order by "&amp;TEXT($V82,"ddd dd-mmm")&amp;IF($N82&gt;0,"; "&amp;TEXT($N82,"#,##0")&amp;" "&amp;$D82&amp;" on order (next "&amp;TEXT($O82,"dd-mmm")&amp;")","")&amp;".")))))</f>
        <v/>
      </c>
      <c r="Z82" s="78" t="n">
        <f aca="false">IF(OR($A82="",$V82=""),1000000000,IF($V82="NOW",AsOfDate,$V82))</f>
        <v>1000000000</v>
      </c>
      <c r="AA82" s="78" t="n">
        <f aca="false">IF(OR($A82="",$W82=""),1000000000,IF($W82="NOW",AsOfDate,$W82))</f>
        <v>1000000000</v>
      </c>
      <c r="AB82" s="78" t="n">
        <f aca="false">IF(OR($A82="",$M82=""),1000000000,IF($M82="OUT",AsOfDate,$M82))</f>
        <v>1000000000</v>
      </c>
    </row>
    <row r="83" customFormat="false" ht="15" hidden="false" customHeight="false" outlineLevel="0" collapsed="false">
      <c r="A83" s="16" t="str">
        <f aca="false">IF(ISNUMBER('Current Inventory'!$J83),'Current Inventory'!$A83,"")</f>
        <v/>
      </c>
      <c r="B83" s="64" t="str">
        <f aca="false">IF($A83="","",'Current Inventory'!$B83)</f>
        <v/>
      </c>
      <c r="C83" s="16" t="str">
        <f aca="false">IF($A83="","",'Current Inventory'!$C83)</f>
        <v/>
      </c>
      <c r="D83" s="64" t="str">
        <f aca="false">IF($A83="","",'Current Inventory'!$D83)</f>
        <v/>
      </c>
      <c r="E83" s="67" t="str">
        <f aca="false">IF($A83="","",'Current Inventory'!$J83)</f>
        <v/>
      </c>
      <c r="F83" s="67" t="str">
        <f aca="false">IF($A83="","",N('Current Inventory'!$G83))</f>
        <v/>
      </c>
      <c r="G83" s="69" t="str">
        <f aca="false">IF($A83="","",'Current Inventory'!$K83)</f>
        <v/>
      </c>
      <c r="H83" s="67" t="str">
        <f aca="false">IF($A83="","",IFERROR(SUMIFS(INDEX(PP_Daily,0,MATCH($B83,Mat_Code,0)),PP_Site,$A83),0))</f>
        <v/>
      </c>
      <c r="I83" s="67" t="str">
        <f aca="false">IF($A83="","",IFERROR(SUMIFS(INDEX(Con_Use,0,MATCH($B83,Mat_Code,0)),Con_Site,$A83,Con_Date,"&gt;"&amp;(AsOfDate-7),Con_Date,"&lt;="&amp;AsOfDate)/MAX(1,NETWORKDAYS.INTL(AsOfDate-6,AsOfDate,WeekendMask,Holidays)),0))</f>
        <v/>
      </c>
      <c r="J83" s="67" t="str">
        <f aca="false">IF($A83="","",IF($H83&gt;0,$H83,$I83))</f>
        <v/>
      </c>
      <c r="K83" s="64" t="str">
        <f aca="false">IF($A83="","",IF($H83&gt;0,"Plan",IF($I83&gt;0,"Actual 7-day avg","No usage")))</f>
        <v/>
      </c>
      <c r="L83" s="72" t="str">
        <f aca="false">IF($A83="","",IF($J83&gt;0,MAX(0,$E83)/$J83,""))</f>
        <v/>
      </c>
      <c r="M83" s="73" t="str">
        <f aca="false">IF(OR($A83="",$L83=""),"",IF($E83&lt;=0,"OUT",WORKDAY.INTL(AsOfDate,ROUNDUP($L83,0),WeekendMask,Holidays)))</f>
        <v/>
      </c>
      <c r="N83" s="74" t="str">
        <f aca="false">IF($A83="","",SUMIFS(Del_Qty,Del_Site,$A83,Del_Mat,$B83,Del_Date,"&gt;"&amp;AsOfDate))</f>
        <v/>
      </c>
      <c r="O83" s="73" t="str">
        <f aca="false">IF(OR($A83="",N($N83)&lt;=0),"",SUMPRODUCT(MIN((Del_Site=$A83)*(Del_Mat=$B83)*(Del_Date&gt;AsOfDate)*Del_Date+(1-(Del_Site=$A83)*(Del_Mat=$B83)*(Del_Date&gt;AsOfDate))*1000000000)))</f>
        <v/>
      </c>
      <c r="P83" s="74" t="str">
        <f aca="false">IF($A83="","",IF(ISNUMBER($M83),SUMIFS(Del_Qty,Del_Site,$A83,Del_Mat,$B83,Del_Date,"&gt;"&amp;AsOfDate,Del_Date,"&lt;="&amp;$M83),0))</f>
        <v/>
      </c>
      <c r="Q83" s="75" t="str">
        <f aca="false">IF(OR($A83="",$J83&lt;=0),"",IF($P83&gt;0,(MAX(0,$E83)+$N83)/$J83,$L83))</f>
        <v/>
      </c>
      <c r="R83" s="75" t="str">
        <f aca="false">IF($A83="","",IFERROR(INDEX(Mat_Lead,MATCH($B83,Mat_Code,0)),0))</f>
        <v/>
      </c>
      <c r="S83" s="75" t="str">
        <f aca="false">IF($A83="","",IFERROR(INDEX(Mat_Safety,MATCH($B83,Mat_Code,0)),0))</f>
        <v/>
      </c>
      <c r="T83" s="67" t="str">
        <f aca="false">IF($A83="","",$J83*($R83+$S83))</f>
        <v/>
      </c>
      <c r="U83" s="76" t="str">
        <f aca="false">IF($A83="","",IF($E83&lt;=0,"OUT OF STOCK",IF($J83&lt;=0,"NO USAGE",IF($Q83&lt;=$R83,"CRITICAL",IF($Q83&lt;=$R83+$S83,"REORDER","OK")))))</f>
        <v/>
      </c>
      <c r="V83" s="73" t="str">
        <f aca="false">IF(OR($A83="",$U83="NO USAGE"),"",IF(OR($U83="OUT OF STOCK",$Q83&lt;=$R83+$S83),"NOW",WORKDAY.INTL(AsOfDate,INT($Q83-$R83-$S83),WeekendMask,Holidays)))</f>
        <v/>
      </c>
      <c r="W83" s="73" t="str">
        <f aca="false">IF(OR($A83="",$U83="NO USAGE"),"",IF(OR($U83="OUT OF STOCK",$Q83&lt;=$R83),"NOW",WORKDAY.INTL(AsOfDate,ROUNDUP($Q83-$R83,0),WeekendMask,Holidays)))</f>
        <v/>
      </c>
      <c r="X83" s="77" t="str">
        <f aca="false">IF($A83="","",IF(OR($U83="CRITICAL",$U83="REORDER",$U83="OUT OF STOCK"),IF($F83&gt;0,ROUNDUP(MAX(0,$F83-MAX(0,MAX(0,$E83)+$N83-$J83*$R83)),0),"Set capacity"),0))</f>
        <v/>
      </c>
      <c r="Y83" s="16" t="str">
        <f aca="false">IF($A83="","",IF($U83="OUT OF STOCK","Out of stock – production at risk."&amp;IF($N83&gt;0," Next delivery "&amp;TEXT($O83,"ddd dd-mmm")&amp;": expedite it."," Order and expedite now."),IF($U83="CRITICAL",IF(AND($N83&gt;0,$P83&lt;=0),"URGENT – runs out about "&amp;TEXT($M83,"ddd dd-mmm")&amp;", before the next delivery ("&amp;TEXT($O83,"ddd dd-mmm")&amp;"). Expedite it.","URGENT – runs out about "&amp;TEXT($M83,"ddd dd-mmm")&amp;"; a normal order takes "&amp;$R83&amp;" days. Order and expedite now."),IF($U83="REORDER","Order now (about "&amp;TEXT($X83,"#,##0")&amp;" "&amp;$D83&amp;") – becomes critical "&amp;TEXT($W83,"ddd dd-mmm")&amp;".",IF($U83="NO USAGE","No planned or recent usage.","OK – next order by "&amp;TEXT($V83,"ddd dd-mmm")&amp;IF($N83&gt;0,"; "&amp;TEXT($N83,"#,##0")&amp;" "&amp;$D83&amp;" on order (next "&amp;TEXT($O83,"dd-mmm")&amp;")","")&amp;".")))))</f>
        <v/>
      </c>
      <c r="Z83" s="78" t="n">
        <f aca="false">IF(OR($A83="",$V83=""),1000000000,IF($V83="NOW",AsOfDate,$V83))</f>
        <v>1000000000</v>
      </c>
      <c r="AA83" s="78" t="n">
        <f aca="false">IF(OR($A83="",$W83=""),1000000000,IF($W83="NOW",AsOfDate,$W83))</f>
        <v>1000000000</v>
      </c>
      <c r="AB83" s="78" t="n">
        <f aca="false">IF(OR($A83="",$M83=""),1000000000,IF($M83="OUT",AsOfDate,$M83))</f>
        <v>1000000000</v>
      </c>
    </row>
    <row r="84" customFormat="false" ht="15" hidden="false" customHeight="false" outlineLevel="0" collapsed="false">
      <c r="A84" s="16" t="str">
        <f aca="false">IF(ISNUMBER('Current Inventory'!$J84),'Current Inventory'!$A84,"")</f>
        <v/>
      </c>
      <c r="B84" s="64" t="str">
        <f aca="false">IF($A84="","",'Current Inventory'!$B84)</f>
        <v/>
      </c>
      <c r="C84" s="16" t="str">
        <f aca="false">IF($A84="","",'Current Inventory'!$C84)</f>
        <v/>
      </c>
      <c r="D84" s="64" t="str">
        <f aca="false">IF($A84="","",'Current Inventory'!$D84)</f>
        <v/>
      </c>
      <c r="E84" s="67" t="str">
        <f aca="false">IF($A84="","",'Current Inventory'!$J84)</f>
        <v/>
      </c>
      <c r="F84" s="67" t="str">
        <f aca="false">IF($A84="","",N('Current Inventory'!$G84))</f>
        <v/>
      </c>
      <c r="G84" s="69" t="str">
        <f aca="false">IF($A84="","",'Current Inventory'!$K84)</f>
        <v/>
      </c>
      <c r="H84" s="67" t="str">
        <f aca="false">IF($A84="","",IFERROR(SUMIFS(INDEX(PP_Daily,0,MATCH($B84,Mat_Code,0)),PP_Site,$A84),0))</f>
        <v/>
      </c>
      <c r="I84" s="67" t="str">
        <f aca="false">IF($A84="","",IFERROR(SUMIFS(INDEX(Con_Use,0,MATCH($B84,Mat_Code,0)),Con_Site,$A84,Con_Date,"&gt;"&amp;(AsOfDate-7),Con_Date,"&lt;="&amp;AsOfDate)/MAX(1,NETWORKDAYS.INTL(AsOfDate-6,AsOfDate,WeekendMask,Holidays)),0))</f>
        <v/>
      </c>
      <c r="J84" s="67" t="str">
        <f aca="false">IF($A84="","",IF($H84&gt;0,$H84,$I84))</f>
        <v/>
      </c>
      <c r="K84" s="64" t="str">
        <f aca="false">IF($A84="","",IF($H84&gt;0,"Plan",IF($I84&gt;0,"Actual 7-day avg","No usage")))</f>
        <v/>
      </c>
      <c r="L84" s="72" t="str">
        <f aca="false">IF($A84="","",IF($J84&gt;0,MAX(0,$E84)/$J84,""))</f>
        <v/>
      </c>
      <c r="M84" s="73" t="str">
        <f aca="false">IF(OR($A84="",$L84=""),"",IF($E84&lt;=0,"OUT",WORKDAY.INTL(AsOfDate,ROUNDUP($L84,0),WeekendMask,Holidays)))</f>
        <v/>
      </c>
      <c r="N84" s="74" t="str">
        <f aca="false">IF($A84="","",SUMIFS(Del_Qty,Del_Site,$A84,Del_Mat,$B84,Del_Date,"&gt;"&amp;AsOfDate))</f>
        <v/>
      </c>
      <c r="O84" s="73" t="str">
        <f aca="false">IF(OR($A84="",N($N84)&lt;=0),"",SUMPRODUCT(MIN((Del_Site=$A84)*(Del_Mat=$B84)*(Del_Date&gt;AsOfDate)*Del_Date+(1-(Del_Site=$A84)*(Del_Mat=$B84)*(Del_Date&gt;AsOfDate))*1000000000)))</f>
        <v/>
      </c>
      <c r="P84" s="74" t="str">
        <f aca="false">IF($A84="","",IF(ISNUMBER($M84),SUMIFS(Del_Qty,Del_Site,$A84,Del_Mat,$B84,Del_Date,"&gt;"&amp;AsOfDate,Del_Date,"&lt;="&amp;$M84),0))</f>
        <v/>
      </c>
      <c r="Q84" s="75" t="str">
        <f aca="false">IF(OR($A84="",$J84&lt;=0),"",IF($P84&gt;0,(MAX(0,$E84)+$N84)/$J84,$L84))</f>
        <v/>
      </c>
      <c r="R84" s="75" t="str">
        <f aca="false">IF($A84="","",IFERROR(INDEX(Mat_Lead,MATCH($B84,Mat_Code,0)),0))</f>
        <v/>
      </c>
      <c r="S84" s="75" t="str">
        <f aca="false">IF($A84="","",IFERROR(INDEX(Mat_Safety,MATCH($B84,Mat_Code,0)),0))</f>
        <v/>
      </c>
      <c r="T84" s="67" t="str">
        <f aca="false">IF($A84="","",$J84*($R84+$S84))</f>
        <v/>
      </c>
      <c r="U84" s="76" t="str">
        <f aca="false">IF($A84="","",IF($E84&lt;=0,"OUT OF STOCK",IF($J84&lt;=0,"NO USAGE",IF($Q84&lt;=$R84,"CRITICAL",IF($Q84&lt;=$R84+$S84,"REORDER","OK")))))</f>
        <v/>
      </c>
      <c r="V84" s="73" t="str">
        <f aca="false">IF(OR($A84="",$U84="NO USAGE"),"",IF(OR($U84="OUT OF STOCK",$Q84&lt;=$R84+$S84),"NOW",WORKDAY.INTL(AsOfDate,INT($Q84-$R84-$S84),WeekendMask,Holidays)))</f>
        <v/>
      </c>
      <c r="W84" s="73" t="str">
        <f aca="false">IF(OR($A84="",$U84="NO USAGE"),"",IF(OR($U84="OUT OF STOCK",$Q84&lt;=$R84),"NOW",WORKDAY.INTL(AsOfDate,ROUNDUP($Q84-$R84,0),WeekendMask,Holidays)))</f>
        <v/>
      </c>
      <c r="X84" s="77" t="str">
        <f aca="false">IF($A84="","",IF(OR($U84="CRITICAL",$U84="REORDER",$U84="OUT OF STOCK"),IF($F84&gt;0,ROUNDUP(MAX(0,$F84-MAX(0,MAX(0,$E84)+$N84-$J84*$R84)),0),"Set capacity"),0))</f>
        <v/>
      </c>
      <c r="Y84" s="16" t="str">
        <f aca="false">IF($A84="","",IF($U84="OUT OF STOCK","Out of stock – production at risk."&amp;IF($N84&gt;0," Next delivery "&amp;TEXT($O84,"ddd dd-mmm")&amp;": expedite it."," Order and expedite now."),IF($U84="CRITICAL",IF(AND($N84&gt;0,$P84&lt;=0),"URGENT – runs out about "&amp;TEXT($M84,"ddd dd-mmm")&amp;", before the next delivery ("&amp;TEXT($O84,"ddd dd-mmm")&amp;"). Expedite it.","URGENT – runs out about "&amp;TEXT($M84,"ddd dd-mmm")&amp;"; a normal order takes "&amp;$R84&amp;" days. Order and expedite now."),IF($U84="REORDER","Order now (about "&amp;TEXT($X84,"#,##0")&amp;" "&amp;$D84&amp;") – becomes critical "&amp;TEXT($W84,"ddd dd-mmm")&amp;".",IF($U84="NO USAGE","No planned or recent usage.","OK – next order by "&amp;TEXT($V84,"ddd dd-mmm")&amp;IF($N84&gt;0,"; "&amp;TEXT($N84,"#,##0")&amp;" "&amp;$D84&amp;" on order (next "&amp;TEXT($O84,"dd-mmm")&amp;")","")&amp;".")))))</f>
        <v/>
      </c>
      <c r="Z84" s="78" t="n">
        <f aca="false">IF(OR($A84="",$V84=""),1000000000,IF($V84="NOW",AsOfDate,$V84))</f>
        <v>1000000000</v>
      </c>
      <c r="AA84" s="78" t="n">
        <f aca="false">IF(OR($A84="",$W84=""),1000000000,IF($W84="NOW",AsOfDate,$W84))</f>
        <v>1000000000</v>
      </c>
      <c r="AB84" s="78" t="n">
        <f aca="false">IF(OR($A84="",$M84=""),1000000000,IF($M84="OUT",AsOfDate,$M84))</f>
        <v>1000000000</v>
      </c>
    </row>
    <row r="85" customFormat="false" ht="15" hidden="false" customHeight="false" outlineLevel="0" collapsed="false">
      <c r="A85" s="16" t="str">
        <f aca="false">IF(ISNUMBER('Current Inventory'!$J85),'Current Inventory'!$A85,"")</f>
        <v/>
      </c>
      <c r="B85" s="64" t="str">
        <f aca="false">IF($A85="","",'Current Inventory'!$B85)</f>
        <v/>
      </c>
      <c r="C85" s="16" t="str">
        <f aca="false">IF($A85="","",'Current Inventory'!$C85)</f>
        <v/>
      </c>
      <c r="D85" s="64" t="str">
        <f aca="false">IF($A85="","",'Current Inventory'!$D85)</f>
        <v/>
      </c>
      <c r="E85" s="67" t="str">
        <f aca="false">IF($A85="","",'Current Inventory'!$J85)</f>
        <v/>
      </c>
      <c r="F85" s="67" t="str">
        <f aca="false">IF($A85="","",N('Current Inventory'!$G85))</f>
        <v/>
      </c>
      <c r="G85" s="69" t="str">
        <f aca="false">IF($A85="","",'Current Inventory'!$K85)</f>
        <v/>
      </c>
      <c r="H85" s="67" t="str">
        <f aca="false">IF($A85="","",IFERROR(SUMIFS(INDEX(PP_Daily,0,MATCH($B85,Mat_Code,0)),PP_Site,$A85),0))</f>
        <v/>
      </c>
      <c r="I85" s="67" t="str">
        <f aca="false">IF($A85="","",IFERROR(SUMIFS(INDEX(Con_Use,0,MATCH($B85,Mat_Code,0)),Con_Site,$A85,Con_Date,"&gt;"&amp;(AsOfDate-7),Con_Date,"&lt;="&amp;AsOfDate)/MAX(1,NETWORKDAYS.INTL(AsOfDate-6,AsOfDate,WeekendMask,Holidays)),0))</f>
        <v/>
      </c>
      <c r="J85" s="67" t="str">
        <f aca="false">IF($A85="","",IF($H85&gt;0,$H85,$I85))</f>
        <v/>
      </c>
      <c r="K85" s="64" t="str">
        <f aca="false">IF($A85="","",IF($H85&gt;0,"Plan",IF($I85&gt;0,"Actual 7-day avg","No usage")))</f>
        <v/>
      </c>
      <c r="L85" s="72" t="str">
        <f aca="false">IF($A85="","",IF($J85&gt;0,MAX(0,$E85)/$J85,""))</f>
        <v/>
      </c>
      <c r="M85" s="73" t="str">
        <f aca="false">IF(OR($A85="",$L85=""),"",IF($E85&lt;=0,"OUT",WORKDAY.INTL(AsOfDate,ROUNDUP($L85,0),WeekendMask,Holidays)))</f>
        <v/>
      </c>
      <c r="N85" s="74" t="str">
        <f aca="false">IF($A85="","",SUMIFS(Del_Qty,Del_Site,$A85,Del_Mat,$B85,Del_Date,"&gt;"&amp;AsOfDate))</f>
        <v/>
      </c>
      <c r="O85" s="73" t="str">
        <f aca="false">IF(OR($A85="",N($N85)&lt;=0),"",SUMPRODUCT(MIN((Del_Site=$A85)*(Del_Mat=$B85)*(Del_Date&gt;AsOfDate)*Del_Date+(1-(Del_Site=$A85)*(Del_Mat=$B85)*(Del_Date&gt;AsOfDate))*1000000000)))</f>
        <v/>
      </c>
      <c r="P85" s="74" t="str">
        <f aca="false">IF($A85="","",IF(ISNUMBER($M85),SUMIFS(Del_Qty,Del_Site,$A85,Del_Mat,$B85,Del_Date,"&gt;"&amp;AsOfDate,Del_Date,"&lt;="&amp;$M85),0))</f>
        <v/>
      </c>
      <c r="Q85" s="75" t="str">
        <f aca="false">IF(OR($A85="",$J85&lt;=0),"",IF($P85&gt;0,(MAX(0,$E85)+$N85)/$J85,$L85))</f>
        <v/>
      </c>
      <c r="R85" s="75" t="str">
        <f aca="false">IF($A85="","",IFERROR(INDEX(Mat_Lead,MATCH($B85,Mat_Code,0)),0))</f>
        <v/>
      </c>
      <c r="S85" s="75" t="str">
        <f aca="false">IF($A85="","",IFERROR(INDEX(Mat_Safety,MATCH($B85,Mat_Code,0)),0))</f>
        <v/>
      </c>
      <c r="T85" s="67" t="str">
        <f aca="false">IF($A85="","",$J85*($R85+$S85))</f>
        <v/>
      </c>
      <c r="U85" s="76" t="str">
        <f aca="false">IF($A85="","",IF($E85&lt;=0,"OUT OF STOCK",IF($J85&lt;=0,"NO USAGE",IF($Q85&lt;=$R85,"CRITICAL",IF($Q85&lt;=$R85+$S85,"REORDER","OK")))))</f>
        <v/>
      </c>
      <c r="V85" s="73" t="str">
        <f aca="false">IF(OR($A85="",$U85="NO USAGE"),"",IF(OR($U85="OUT OF STOCK",$Q85&lt;=$R85+$S85),"NOW",WORKDAY.INTL(AsOfDate,INT($Q85-$R85-$S85),WeekendMask,Holidays)))</f>
        <v/>
      </c>
      <c r="W85" s="73" t="str">
        <f aca="false">IF(OR($A85="",$U85="NO USAGE"),"",IF(OR($U85="OUT OF STOCK",$Q85&lt;=$R85),"NOW",WORKDAY.INTL(AsOfDate,ROUNDUP($Q85-$R85,0),WeekendMask,Holidays)))</f>
        <v/>
      </c>
      <c r="X85" s="77" t="str">
        <f aca="false">IF($A85="","",IF(OR($U85="CRITICAL",$U85="REORDER",$U85="OUT OF STOCK"),IF($F85&gt;0,ROUNDUP(MAX(0,$F85-MAX(0,MAX(0,$E85)+$N85-$J85*$R85)),0),"Set capacity"),0))</f>
        <v/>
      </c>
      <c r="Y85" s="16" t="str">
        <f aca="false">IF($A85="","",IF($U85="OUT OF STOCK","Out of stock – production at risk."&amp;IF($N85&gt;0," Next delivery "&amp;TEXT($O85,"ddd dd-mmm")&amp;": expedite it."," Order and expedite now."),IF($U85="CRITICAL",IF(AND($N85&gt;0,$P85&lt;=0),"URGENT – runs out about "&amp;TEXT($M85,"ddd dd-mmm")&amp;", before the next delivery ("&amp;TEXT($O85,"ddd dd-mmm")&amp;"). Expedite it.","URGENT – runs out about "&amp;TEXT($M85,"ddd dd-mmm")&amp;"; a normal order takes "&amp;$R85&amp;" days. Order and expedite now."),IF($U85="REORDER","Order now (about "&amp;TEXT($X85,"#,##0")&amp;" "&amp;$D85&amp;") – becomes critical "&amp;TEXT($W85,"ddd dd-mmm")&amp;".",IF($U85="NO USAGE","No planned or recent usage.","OK – next order by "&amp;TEXT($V85,"ddd dd-mmm")&amp;IF($N85&gt;0,"; "&amp;TEXT($N85,"#,##0")&amp;" "&amp;$D85&amp;" on order (next "&amp;TEXT($O85,"dd-mmm")&amp;")","")&amp;".")))))</f>
        <v/>
      </c>
      <c r="Z85" s="78" t="n">
        <f aca="false">IF(OR($A85="",$V85=""),1000000000,IF($V85="NOW",AsOfDate,$V85))</f>
        <v>1000000000</v>
      </c>
      <c r="AA85" s="78" t="n">
        <f aca="false">IF(OR($A85="",$W85=""),1000000000,IF($W85="NOW",AsOfDate,$W85))</f>
        <v>1000000000</v>
      </c>
      <c r="AB85" s="78" t="n">
        <f aca="false">IF(OR($A85="",$M85=""),1000000000,IF($M85="OUT",AsOfDate,$M85))</f>
        <v>1000000000</v>
      </c>
    </row>
    <row r="86" customFormat="false" ht="15" hidden="false" customHeight="false" outlineLevel="0" collapsed="false">
      <c r="A86" s="16" t="str">
        <f aca="false">IF(ISNUMBER('Current Inventory'!$J86),'Current Inventory'!$A86,"")</f>
        <v/>
      </c>
      <c r="B86" s="64" t="str">
        <f aca="false">IF($A86="","",'Current Inventory'!$B86)</f>
        <v/>
      </c>
      <c r="C86" s="16" t="str">
        <f aca="false">IF($A86="","",'Current Inventory'!$C86)</f>
        <v/>
      </c>
      <c r="D86" s="64" t="str">
        <f aca="false">IF($A86="","",'Current Inventory'!$D86)</f>
        <v/>
      </c>
      <c r="E86" s="67" t="str">
        <f aca="false">IF($A86="","",'Current Inventory'!$J86)</f>
        <v/>
      </c>
      <c r="F86" s="67" t="str">
        <f aca="false">IF($A86="","",N('Current Inventory'!$G86))</f>
        <v/>
      </c>
      <c r="G86" s="69" t="str">
        <f aca="false">IF($A86="","",'Current Inventory'!$K86)</f>
        <v/>
      </c>
      <c r="H86" s="67" t="str">
        <f aca="false">IF($A86="","",IFERROR(SUMIFS(INDEX(PP_Daily,0,MATCH($B86,Mat_Code,0)),PP_Site,$A86),0))</f>
        <v/>
      </c>
      <c r="I86" s="67" t="str">
        <f aca="false">IF($A86="","",IFERROR(SUMIFS(INDEX(Con_Use,0,MATCH($B86,Mat_Code,0)),Con_Site,$A86,Con_Date,"&gt;"&amp;(AsOfDate-7),Con_Date,"&lt;="&amp;AsOfDate)/MAX(1,NETWORKDAYS.INTL(AsOfDate-6,AsOfDate,WeekendMask,Holidays)),0))</f>
        <v/>
      </c>
      <c r="J86" s="67" t="str">
        <f aca="false">IF($A86="","",IF($H86&gt;0,$H86,$I86))</f>
        <v/>
      </c>
      <c r="K86" s="64" t="str">
        <f aca="false">IF($A86="","",IF($H86&gt;0,"Plan",IF($I86&gt;0,"Actual 7-day avg","No usage")))</f>
        <v/>
      </c>
      <c r="L86" s="72" t="str">
        <f aca="false">IF($A86="","",IF($J86&gt;0,MAX(0,$E86)/$J86,""))</f>
        <v/>
      </c>
      <c r="M86" s="73" t="str">
        <f aca="false">IF(OR($A86="",$L86=""),"",IF($E86&lt;=0,"OUT",WORKDAY.INTL(AsOfDate,ROUNDUP($L86,0),WeekendMask,Holidays)))</f>
        <v/>
      </c>
      <c r="N86" s="74" t="str">
        <f aca="false">IF($A86="","",SUMIFS(Del_Qty,Del_Site,$A86,Del_Mat,$B86,Del_Date,"&gt;"&amp;AsOfDate))</f>
        <v/>
      </c>
      <c r="O86" s="73" t="str">
        <f aca="false">IF(OR($A86="",N($N86)&lt;=0),"",SUMPRODUCT(MIN((Del_Site=$A86)*(Del_Mat=$B86)*(Del_Date&gt;AsOfDate)*Del_Date+(1-(Del_Site=$A86)*(Del_Mat=$B86)*(Del_Date&gt;AsOfDate))*1000000000)))</f>
        <v/>
      </c>
      <c r="P86" s="74" t="str">
        <f aca="false">IF($A86="","",IF(ISNUMBER($M86),SUMIFS(Del_Qty,Del_Site,$A86,Del_Mat,$B86,Del_Date,"&gt;"&amp;AsOfDate,Del_Date,"&lt;="&amp;$M86),0))</f>
        <v/>
      </c>
      <c r="Q86" s="75" t="str">
        <f aca="false">IF(OR($A86="",$J86&lt;=0),"",IF($P86&gt;0,(MAX(0,$E86)+$N86)/$J86,$L86))</f>
        <v/>
      </c>
      <c r="R86" s="75" t="str">
        <f aca="false">IF($A86="","",IFERROR(INDEX(Mat_Lead,MATCH($B86,Mat_Code,0)),0))</f>
        <v/>
      </c>
      <c r="S86" s="75" t="str">
        <f aca="false">IF($A86="","",IFERROR(INDEX(Mat_Safety,MATCH($B86,Mat_Code,0)),0))</f>
        <v/>
      </c>
      <c r="T86" s="67" t="str">
        <f aca="false">IF($A86="","",$J86*($R86+$S86))</f>
        <v/>
      </c>
      <c r="U86" s="76" t="str">
        <f aca="false">IF($A86="","",IF($E86&lt;=0,"OUT OF STOCK",IF($J86&lt;=0,"NO USAGE",IF($Q86&lt;=$R86,"CRITICAL",IF($Q86&lt;=$R86+$S86,"REORDER","OK")))))</f>
        <v/>
      </c>
      <c r="V86" s="73" t="str">
        <f aca="false">IF(OR($A86="",$U86="NO USAGE"),"",IF(OR($U86="OUT OF STOCK",$Q86&lt;=$R86+$S86),"NOW",WORKDAY.INTL(AsOfDate,INT($Q86-$R86-$S86),WeekendMask,Holidays)))</f>
        <v/>
      </c>
      <c r="W86" s="73" t="str">
        <f aca="false">IF(OR($A86="",$U86="NO USAGE"),"",IF(OR($U86="OUT OF STOCK",$Q86&lt;=$R86),"NOW",WORKDAY.INTL(AsOfDate,ROUNDUP($Q86-$R86,0),WeekendMask,Holidays)))</f>
        <v/>
      </c>
      <c r="X86" s="77" t="str">
        <f aca="false">IF($A86="","",IF(OR($U86="CRITICAL",$U86="REORDER",$U86="OUT OF STOCK"),IF($F86&gt;0,ROUNDUP(MAX(0,$F86-MAX(0,MAX(0,$E86)+$N86-$J86*$R86)),0),"Set capacity"),0))</f>
        <v/>
      </c>
      <c r="Y86" s="16" t="str">
        <f aca="false">IF($A86="","",IF($U86="OUT OF STOCK","Out of stock – production at risk."&amp;IF($N86&gt;0," Next delivery "&amp;TEXT($O86,"ddd dd-mmm")&amp;": expedite it."," Order and expedite now."),IF($U86="CRITICAL",IF(AND($N86&gt;0,$P86&lt;=0),"URGENT – runs out about "&amp;TEXT($M86,"ddd dd-mmm")&amp;", before the next delivery ("&amp;TEXT($O86,"ddd dd-mmm")&amp;"). Expedite it.","URGENT – runs out about "&amp;TEXT($M86,"ddd dd-mmm")&amp;"; a normal order takes "&amp;$R86&amp;" days. Order and expedite now."),IF($U86="REORDER","Order now (about "&amp;TEXT($X86,"#,##0")&amp;" "&amp;$D86&amp;") – becomes critical "&amp;TEXT($W86,"ddd dd-mmm")&amp;".",IF($U86="NO USAGE","No planned or recent usage.","OK – next order by "&amp;TEXT($V86,"ddd dd-mmm")&amp;IF($N86&gt;0,"; "&amp;TEXT($N86,"#,##0")&amp;" "&amp;$D86&amp;" on order (next "&amp;TEXT($O86,"dd-mmm")&amp;")","")&amp;".")))))</f>
        <v/>
      </c>
      <c r="Z86" s="78" t="n">
        <f aca="false">IF(OR($A86="",$V86=""),1000000000,IF($V86="NOW",AsOfDate,$V86))</f>
        <v>1000000000</v>
      </c>
      <c r="AA86" s="78" t="n">
        <f aca="false">IF(OR($A86="",$W86=""),1000000000,IF($W86="NOW",AsOfDate,$W86))</f>
        <v>1000000000</v>
      </c>
      <c r="AB86" s="78" t="n">
        <f aca="false">IF(OR($A86="",$M86=""),1000000000,IF($M86="OUT",AsOfDate,$M86))</f>
        <v>1000000000</v>
      </c>
    </row>
    <row r="87" customFormat="false" ht="15" hidden="false" customHeight="false" outlineLevel="0" collapsed="false">
      <c r="A87" s="16" t="str">
        <f aca="false">IF(ISNUMBER('Current Inventory'!$J87),'Current Inventory'!$A87,"")</f>
        <v/>
      </c>
      <c r="B87" s="64" t="str">
        <f aca="false">IF($A87="","",'Current Inventory'!$B87)</f>
        <v/>
      </c>
      <c r="C87" s="16" t="str">
        <f aca="false">IF($A87="","",'Current Inventory'!$C87)</f>
        <v/>
      </c>
      <c r="D87" s="64" t="str">
        <f aca="false">IF($A87="","",'Current Inventory'!$D87)</f>
        <v/>
      </c>
      <c r="E87" s="67" t="str">
        <f aca="false">IF($A87="","",'Current Inventory'!$J87)</f>
        <v/>
      </c>
      <c r="F87" s="67" t="str">
        <f aca="false">IF($A87="","",N('Current Inventory'!$G87))</f>
        <v/>
      </c>
      <c r="G87" s="69" t="str">
        <f aca="false">IF($A87="","",'Current Inventory'!$K87)</f>
        <v/>
      </c>
      <c r="H87" s="67" t="str">
        <f aca="false">IF($A87="","",IFERROR(SUMIFS(INDEX(PP_Daily,0,MATCH($B87,Mat_Code,0)),PP_Site,$A87),0))</f>
        <v/>
      </c>
      <c r="I87" s="67" t="str">
        <f aca="false">IF($A87="","",IFERROR(SUMIFS(INDEX(Con_Use,0,MATCH($B87,Mat_Code,0)),Con_Site,$A87,Con_Date,"&gt;"&amp;(AsOfDate-7),Con_Date,"&lt;="&amp;AsOfDate)/MAX(1,NETWORKDAYS.INTL(AsOfDate-6,AsOfDate,WeekendMask,Holidays)),0))</f>
        <v/>
      </c>
      <c r="J87" s="67" t="str">
        <f aca="false">IF($A87="","",IF($H87&gt;0,$H87,$I87))</f>
        <v/>
      </c>
      <c r="K87" s="64" t="str">
        <f aca="false">IF($A87="","",IF($H87&gt;0,"Plan",IF($I87&gt;0,"Actual 7-day avg","No usage")))</f>
        <v/>
      </c>
      <c r="L87" s="72" t="str">
        <f aca="false">IF($A87="","",IF($J87&gt;0,MAX(0,$E87)/$J87,""))</f>
        <v/>
      </c>
      <c r="M87" s="73" t="str">
        <f aca="false">IF(OR($A87="",$L87=""),"",IF($E87&lt;=0,"OUT",WORKDAY.INTL(AsOfDate,ROUNDUP($L87,0),WeekendMask,Holidays)))</f>
        <v/>
      </c>
      <c r="N87" s="74" t="str">
        <f aca="false">IF($A87="","",SUMIFS(Del_Qty,Del_Site,$A87,Del_Mat,$B87,Del_Date,"&gt;"&amp;AsOfDate))</f>
        <v/>
      </c>
      <c r="O87" s="73" t="str">
        <f aca="false">IF(OR($A87="",N($N87)&lt;=0),"",SUMPRODUCT(MIN((Del_Site=$A87)*(Del_Mat=$B87)*(Del_Date&gt;AsOfDate)*Del_Date+(1-(Del_Site=$A87)*(Del_Mat=$B87)*(Del_Date&gt;AsOfDate))*1000000000)))</f>
        <v/>
      </c>
      <c r="P87" s="74" t="str">
        <f aca="false">IF($A87="","",IF(ISNUMBER($M87),SUMIFS(Del_Qty,Del_Site,$A87,Del_Mat,$B87,Del_Date,"&gt;"&amp;AsOfDate,Del_Date,"&lt;="&amp;$M87),0))</f>
        <v/>
      </c>
      <c r="Q87" s="75" t="str">
        <f aca="false">IF(OR($A87="",$J87&lt;=0),"",IF($P87&gt;0,(MAX(0,$E87)+$N87)/$J87,$L87))</f>
        <v/>
      </c>
      <c r="R87" s="75" t="str">
        <f aca="false">IF($A87="","",IFERROR(INDEX(Mat_Lead,MATCH($B87,Mat_Code,0)),0))</f>
        <v/>
      </c>
      <c r="S87" s="75" t="str">
        <f aca="false">IF($A87="","",IFERROR(INDEX(Mat_Safety,MATCH($B87,Mat_Code,0)),0))</f>
        <v/>
      </c>
      <c r="T87" s="67" t="str">
        <f aca="false">IF($A87="","",$J87*($R87+$S87))</f>
        <v/>
      </c>
      <c r="U87" s="76" t="str">
        <f aca="false">IF($A87="","",IF($E87&lt;=0,"OUT OF STOCK",IF($J87&lt;=0,"NO USAGE",IF($Q87&lt;=$R87,"CRITICAL",IF($Q87&lt;=$R87+$S87,"REORDER","OK")))))</f>
        <v/>
      </c>
      <c r="V87" s="73" t="str">
        <f aca="false">IF(OR($A87="",$U87="NO USAGE"),"",IF(OR($U87="OUT OF STOCK",$Q87&lt;=$R87+$S87),"NOW",WORKDAY.INTL(AsOfDate,INT($Q87-$R87-$S87),WeekendMask,Holidays)))</f>
        <v/>
      </c>
      <c r="W87" s="73" t="str">
        <f aca="false">IF(OR($A87="",$U87="NO USAGE"),"",IF(OR($U87="OUT OF STOCK",$Q87&lt;=$R87),"NOW",WORKDAY.INTL(AsOfDate,ROUNDUP($Q87-$R87,0),WeekendMask,Holidays)))</f>
        <v/>
      </c>
      <c r="X87" s="77" t="str">
        <f aca="false">IF($A87="","",IF(OR($U87="CRITICAL",$U87="REORDER",$U87="OUT OF STOCK"),IF($F87&gt;0,ROUNDUP(MAX(0,$F87-MAX(0,MAX(0,$E87)+$N87-$J87*$R87)),0),"Set capacity"),0))</f>
        <v/>
      </c>
      <c r="Y87" s="16" t="str">
        <f aca="false">IF($A87="","",IF($U87="OUT OF STOCK","Out of stock – production at risk."&amp;IF($N87&gt;0," Next delivery "&amp;TEXT($O87,"ddd dd-mmm")&amp;": expedite it."," Order and expedite now."),IF($U87="CRITICAL",IF(AND($N87&gt;0,$P87&lt;=0),"URGENT – runs out about "&amp;TEXT($M87,"ddd dd-mmm")&amp;", before the next delivery ("&amp;TEXT($O87,"ddd dd-mmm")&amp;"). Expedite it.","URGENT – runs out about "&amp;TEXT($M87,"ddd dd-mmm")&amp;"; a normal order takes "&amp;$R87&amp;" days. Order and expedite now."),IF($U87="REORDER","Order now (about "&amp;TEXT($X87,"#,##0")&amp;" "&amp;$D87&amp;") – becomes critical "&amp;TEXT($W87,"ddd dd-mmm")&amp;".",IF($U87="NO USAGE","No planned or recent usage.","OK – next order by "&amp;TEXT($V87,"ddd dd-mmm")&amp;IF($N87&gt;0,"; "&amp;TEXT($N87,"#,##0")&amp;" "&amp;$D87&amp;" on order (next "&amp;TEXT($O87,"dd-mmm")&amp;")","")&amp;".")))))</f>
        <v/>
      </c>
      <c r="Z87" s="78" t="n">
        <f aca="false">IF(OR($A87="",$V87=""),1000000000,IF($V87="NOW",AsOfDate,$V87))</f>
        <v>1000000000</v>
      </c>
      <c r="AA87" s="78" t="n">
        <f aca="false">IF(OR($A87="",$W87=""),1000000000,IF($W87="NOW",AsOfDate,$W87))</f>
        <v>1000000000</v>
      </c>
      <c r="AB87" s="78" t="n">
        <f aca="false">IF(OR($A87="",$M87=""),1000000000,IF($M87="OUT",AsOfDate,$M87))</f>
        <v>1000000000</v>
      </c>
    </row>
    <row r="88" customFormat="false" ht="15" hidden="false" customHeight="false" outlineLevel="0" collapsed="false">
      <c r="A88" s="16" t="str">
        <f aca="false">IF(ISNUMBER('Current Inventory'!$J88),'Current Inventory'!$A88,"")</f>
        <v/>
      </c>
      <c r="B88" s="64" t="str">
        <f aca="false">IF($A88="","",'Current Inventory'!$B88)</f>
        <v/>
      </c>
      <c r="C88" s="16" t="str">
        <f aca="false">IF($A88="","",'Current Inventory'!$C88)</f>
        <v/>
      </c>
      <c r="D88" s="64" t="str">
        <f aca="false">IF($A88="","",'Current Inventory'!$D88)</f>
        <v/>
      </c>
      <c r="E88" s="67" t="str">
        <f aca="false">IF($A88="","",'Current Inventory'!$J88)</f>
        <v/>
      </c>
      <c r="F88" s="67" t="str">
        <f aca="false">IF($A88="","",N('Current Inventory'!$G88))</f>
        <v/>
      </c>
      <c r="G88" s="69" t="str">
        <f aca="false">IF($A88="","",'Current Inventory'!$K88)</f>
        <v/>
      </c>
      <c r="H88" s="67" t="str">
        <f aca="false">IF($A88="","",IFERROR(SUMIFS(INDEX(PP_Daily,0,MATCH($B88,Mat_Code,0)),PP_Site,$A88),0))</f>
        <v/>
      </c>
      <c r="I88" s="67" t="str">
        <f aca="false">IF($A88="","",IFERROR(SUMIFS(INDEX(Con_Use,0,MATCH($B88,Mat_Code,0)),Con_Site,$A88,Con_Date,"&gt;"&amp;(AsOfDate-7),Con_Date,"&lt;="&amp;AsOfDate)/MAX(1,NETWORKDAYS.INTL(AsOfDate-6,AsOfDate,WeekendMask,Holidays)),0))</f>
        <v/>
      </c>
      <c r="J88" s="67" t="str">
        <f aca="false">IF($A88="","",IF($H88&gt;0,$H88,$I88))</f>
        <v/>
      </c>
      <c r="K88" s="64" t="str">
        <f aca="false">IF($A88="","",IF($H88&gt;0,"Plan",IF($I88&gt;0,"Actual 7-day avg","No usage")))</f>
        <v/>
      </c>
      <c r="L88" s="72" t="str">
        <f aca="false">IF($A88="","",IF($J88&gt;0,MAX(0,$E88)/$J88,""))</f>
        <v/>
      </c>
      <c r="M88" s="73" t="str">
        <f aca="false">IF(OR($A88="",$L88=""),"",IF($E88&lt;=0,"OUT",WORKDAY.INTL(AsOfDate,ROUNDUP($L88,0),WeekendMask,Holidays)))</f>
        <v/>
      </c>
      <c r="N88" s="74" t="str">
        <f aca="false">IF($A88="","",SUMIFS(Del_Qty,Del_Site,$A88,Del_Mat,$B88,Del_Date,"&gt;"&amp;AsOfDate))</f>
        <v/>
      </c>
      <c r="O88" s="73" t="str">
        <f aca="false">IF(OR($A88="",N($N88)&lt;=0),"",SUMPRODUCT(MIN((Del_Site=$A88)*(Del_Mat=$B88)*(Del_Date&gt;AsOfDate)*Del_Date+(1-(Del_Site=$A88)*(Del_Mat=$B88)*(Del_Date&gt;AsOfDate))*1000000000)))</f>
        <v/>
      </c>
      <c r="P88" s="74" t="str">
        <f aca="false">IF($A88="","",IF(ISNUMBER($M88),SUMIFS(Del_Qty,Del_Site,$A88,Del_Mat,$B88,Del_Date,"&gt;"&amp;AsOfDate,Del_Date,"&lt;="&amp;$M88),0))</f>
        <v/>
      </c>
      <c r="Q88" s="75" t="str">
        <f aca="false">IF(OR($A88="",$J88&lt;=0),"",IF($P88&gt;0,(MAX(0,$E88)+$N88)/$J88,$L88))</f>
        <v/>
      </c>
      <c r="R88" s="75" t="str">
        <f aca="false">IF($A88="","",IFERROR(INDEX(Mat_Lead,MATCH($B88,Mat_Code,0)),0))</f>
        <v/>
      </c>
      <c r="S88" s="75" t="str">
        <f aca="false">IF($A88="","",IFERROR(INDEX(Mat_Safety,MATCH($B88,Mat_Code,0)),0))</f>
        <v/>
      </c>
      <c r="T88" s="67" t="str">
        <f aca="false">IF($A88="","",$J88*($R88+$S88))</f>
        <v/>
      </c>
      <c r="U88" s="76" t="str">
        <f aca="false">IF($A88="","",IF($E88&lt;=0,"OUT OF STOCK",IF($J88&lt;=0,"NO USAGE",IF($Q88&lt;=$R88,"CRITICAL",IF($Q88&lt;=$R88+$S88,"REORDER","OK")))))</f>
        <v/>
      </c>
      <c r="V88" s="73" t="str">
        <f aca="false">IF(OR($A88="",$U88="NO USAGE"),"",IF(OR($U88="OUT OF STOCK",$Q88&lt;=$R88+$S88),"NOW",WORKDAY.INTL(AsOfDate,INT($Q88-$R88-$S88),WeekendMask,Holidays)))</f>
        <v/>
      </c>
      <c r="W88" s="73" t="str">
        <f aca="false">IF(OR($A88="",$U88="NO USAGE"),"",IF(OR($U88="OUT OF STOCK",$Q88&lt;=$R88),"NOW",WORKDAY.INTL(AsOfDate,ROUNDUP($Q88-$R88,0),WeekendMask,Holidays)))</f>
        <v/>
      </c>
      <c r="X88" s="77" t="str">
        <f aca="false">IF($A88="","",IF(OR($U88="CRITICAL",$U88="REORDER",$U88="OUT OF STOCK"),IF($F88&gt;0,ROUNDUP(MAX(0,$F88-MAX(0,MAX(0,$E88)+$N88-$J88*$R88)),0),"Set capacity"),0))</f>
        <v/>
      </c>
      <c r="Y88" s="16" t="str">
        <f aca="false">IF($A88="","",IF($U88="OUT OF STOCK","Out of stock – production at risk."&amp;IF($N88&gt;0," Next delivery "&amp;TEXT($O88,"ddd dd-mmm")&amp;": expedite it."," Order and expedite now."),IF($U88="CRITICAL",IF(AND($N88&gt;0,$P88&lt;=0),"URGENT – runs out about "&amp;TEXT($M88,"ddd dd-mmm")&amp;", before the next delivery ("&amp;TEXT($O88,"ddd dd-mmm")&amp;"). Expedite it.","URGENT – runs out about "&amp;TEXT($M88,"ddd dd-mmm")&amp;"; a normal order takes "&amp;$R88&amp;" days. Order and expedite now."),IF($U88="REORDER","Order now (about "&amp;TEXT($X88,"#,##0")&amp;" "&amp;$D88&amp;") – becomes critical "&amp;TEXT($W88,"ddd dd-mmm")&amp;".",IF($U88="NO USAGE","No planned or recent usage.","OK – next order by "&amp;TEXT($V88,"ddd dd-mmm")&amp;IF($N88&gt;0,"; "&amp;TEXT($N88,"#,##0")&amp;" "&amp;$D88&amp;" on order (next "&amp;TEXT($O88,"dd-mmm")&amp;")","")&amp;".")))))</f>
        <v/>
      </c>
      <c r="Z88" s="78" t="n">
        <f aca="false">IF(OR($A88="",$V88=""),1000000000,IF($V88="NOW",AsOfDate,$V88))</f>
        <v>1000000000</v>
      </c>
      <c r="AA88" s="78" t="n">
        <f aca="false">IF(OR($A88="",$W88=""),1000000000,IF($W88="NOW",AsOfDate,$W88))</f>
        <v>1000000000</v>
      </c>
      <c r="AB88" s="78" t="n">
        <f aca="false">IF(OR($A88="",$M88=""),1000000000,IF($M88="OUT",AsOfDate,$M88))</f>
        <v>1000000000</v>
      </c>
    </row>
    <row r="89" customFormat="false" ht="15" hidden="false" customHeight="false" outlineLevel="0" collapsed="false">
      <c r="A89" s="16" t="str">
        <f aca="false">IF(ISNUMBER('Current Inventory'!$J89),'Current Inventory'!$A89,"")</f>
        <v/>
      </c>
      <c r="B89" s="64" t="str">
        <f aca="false">IF($A89="","",'Current Inventory'!$B89)</f>
        <v/>
      </c>
      <c r="C89" s="16" t="str">
        <f aca="false">IF($A89="","",'Current Inventory'!$C89)</f>
        <v/>
      </c>
      <c r="D89" s="64" t="str">
        <f aca="false">IF($A89="","",'Current Inventory'!$D89)</f>
        <v/>
      </c>
      <c r="E89" s="67" t="str">
        <f aca="false">IF($A89="","",'Current Inventory'!$J89)</f>
        <v/>
      </c>
      <c r="F89" s="67" t="str">
        <f aca="false">IF($A89="","",N('Current Inventory'!$G89))</f>
        <v/>
      </c>
      <c r="G89" s="69" t="str">
        <f aca="false">IF($A89="","",'Current Inventory'!$K89)</f>
        <v/>
      </c>
      <c r="H89" s="67" t="str">
        <f aca="false">IF($A89="","",IFERROR(SUMIFS(INDEX(PP_Daily,0,MATCH($B89,Mat_Code,0)),PP_Site,$A89),0))</f>
        <v/>
      </c>
      <c r="I89" s="67" t="str">
        <f aca="false">IF($A89="","",IFERROR(SUMIFS(INDEX(Con_Use,0,MATCH($B89,Mat_Code,0)),Con_Site,$A89,Con_Date,"&gt;"&amp;(AsOfDate-7),Con_Date,"&lt;="&amp;AsOfDate)/MAX(1,NETWORKDAYS.INTL(AsOfDate-6,AsOfDate,WeekendMask,Holidays)),0))</f>
        <v/>
      </c>
      <c r="J89" s="67" t="str">
        <f aca="false">IF($A89="","",IF($H89&gt;0,$H89,$I89))</f>
        <v/>
      </c>
      <c r="K89" s="64" t="str">
        <f aca="false">IF($A89="","",IF($H89&gt;0,"Plan",IF($I89&gt;0,"Actual 7-day avg","No usage")))</f>
        <v/>
      </c>
      <c r="L89" s="72" t="str">
        <f aca="false">IF($A89="","",IF($J89&gt;0,MAX(0,$E89)/$J89,""))</f>
        <v/>
      </c>
      <c r="M89" s="73" t="str">
        <f aca="false">IF(OR($A89="",$L89=""),"",IF($E89&lt;=0,"OUT",WORKDAY.INTL(AsOfDate,ROUNDUP($L89,0),WeekendMask,Holidays)))</f>
        <v/>
      </c>
      <c r="N89" s="74" t="str">
        <f aca="false">IF($A89="","",SUMIFS(Del_Qty,Del_Site,$A89,Del_Mat,$B89,Del_Date,"&gt;"&amp;AsOfDate))</f>
        <v/>
      </c>
      <c r="O89" s="73" t="str">
        <f aca="false">IF(OR($A89="",N($N89)&lt;=0),"",SUMPRODUCT(MIN((Del_Site=$A89)*(Del_Mat=$B89)*(Del_Date&gt;AsOfDate)*Del_Date+(1-(Del_Site=$A89)*(Del_Mat=$B89)*(Del_Date&gt;AsOfDate))*1000000000)))</f>
        <v/>
      </c>
      <c r="P89" s="74" t="str">
        <f aca="false">IF($A89="","",IF(ISNUMBER($M89),SUMIFS(Del_Qty,Del_Site,$A89,Del_Mat,$B89,Del_Date,"&gt;"&amp;AsOfDate,Del_Date,"&lt;="&amp;$M89),0))</f>
        <v/>
      </c>
      <c r="Q89" s="75" t="str">
        <f aca="false">IF(OR($A89="",$J89&lt;=0),"",IF($P89&gt;0,(MAX(0,$E89)+$N89)/$J89,$L89))</f>
        <v/>
      </c>
      <c r="R89" s="75" t="str">
        <f aca="false">IF($A89="","",IFERROR(INDEX(Mat_Lead,MATCH($B89,Mat_Code,0)),0))</f>
        <v/>
      </c>
      <c r="S89" s="75" t="str">
        <f aca="false">IF($A89="","",IFERROR(INDEX(Mat_Safety,MATCH($B89,Mat_Code,0)),0))</f>
        <v/>
      </c>
      <c r="T89" s="67" t="str">
        <f aca="false">IF($A89="","",$J89*($R89+$S89))</f>
        <v/>
      </c>
      <c r="U89" s="76" t="str">
        <f aca="false">IF($A89="","",IF($E89&lt;=0,"OUT OF STOCK",IF($J89&lt;=0,"NO USAGE",IF($Q89&lt;=$R89,"CRITICAL",IF($Q89&lt;=$R89+$S89,"REORDER","OK")))))</f>
        <v/>
      </c>
      <c r="V89" s="73" t="str">
        <f aca="false">IF(OR($A89="",$U89="NO USAGE"),"",IF(OR($U89="OUT OF STOCK",$Q89&lt;=$R89+$S89),"NOW",WORKDAY.INTL(AsOfDate,INT($Q89-$R89-$S89),WeekendMask,Holidays)))</f>
        <v/>
      </c>
      <c r="W89" s="73" t="str">
        <f aca="false">IF(OR($A89="",$U89="NO USAGE"),"",IF(OR($U89="OUT OF STOCK",$Q89&lt;=$R89),"NOW",WORKDAY.INTL(AsOfDate,ROUNDUP($Q89-$R89,0),WeekendMask,Holidays)))</f>
        <v/>
      </c>
      <c r="X89" s="77" t="str">
        <f aca="false">IF($A89="","",IF(OR($U89="CRITICAL",$U89="REORDER",$U89="OUT OF STOCK"),IF($F89&gt;0,ROUNDUP(MAX(0,$F89-MAX(0,MAX(0,$E89)+$N89-$J89*$R89)),0),"Set capacity"),0))</f>
        <v/>
      </c>
      <c r="Y89" s="16" t="str">
        <f aca="false">IF($A89="","",IF($U89="OUT OF STOCK","Out of stock – production at risk."&amp;IF($N89&gt;0," Next delivery "&amp;TEXT($O89,"ddd dd-mmm")&amp;": expedite it."," Order and expedite now."),IF($U89="CRITICAL",IF(AND($N89&gt;0,$P89&lt;=0),"URGENT – runs out about "&amp;TEXT($M89,"ddd dd-mmm")&amp;", before the next delivery ("&amp;TEXT($O89,"ddd dd-mmm")&amp;"). Expedite it.","URGENT – runs out about "&amp;TEXT($M89,"ddd dd-mmm")&amp;"; a normal order takes "&amp;$R89&amp;" days. Order and expedite now."),IF($U89="REORDER","Order now (about "&amp;TEXT($X89,"#,##0")&amp;" "&amp;$D89&amp;") – becomes critical "&amp;TEXT($W89,"ddd dd-mmm")&amp;".",IF($U89="NO USAGE","No planned or recent usage.","OK – next order by "&amp;TEXT($V89,"ddd dd-mmm")&amp;IF($N89&gt;0,"; "&amp;TEXT($N89,"#,##0")&amp;" "&amp;$D89&amp;" on order (next "&amp;TEXT($O89,"dd-mmm")&amp;")","")&amp;".")))))</f>
        <v/>
      </c>
      <c r="Z89" s="78" t="n">
        <f aca="false">IF(OR($A89="",$V89=""),1000000000,IF($V89="NOW",AsOfDate,$V89))</f>
        <v>1000000000</v>
      </c>
      <c r="AA89" s="78" t="n">
        <f aca="false">IF(OR($A89="",$W89=""),1000000000,IF($W89="NOW",AsOfDate,$W89))</f>
        <v>1000000000</v>
      </c>
      <c r="AB89" s="78" t="n">
        <f aca="false">IF(OR($A89="",$M89=""),1000000000,IF($M89="OUT",AsOfDate,$M89))</f>
        <v>1000000000</v>
      </c>
    </row>
    <row r="90" customFormat="false" ht="15" hidden="false" customHeight="false" outlineLevel="0" collapsed="false">
      <c r="A90" s="16" t="str">
        <f aca="false">IF(ISNUMBER('Current Inventory'!$J90),'Current Inventory'!$A90,"")</f>
        <v/>
      </c>
      <c r="B90" s="64" t="str">
        <f aca="false">IF($A90="","",'Current Inventory'!$B90)</f>
        <v/>
      </c>
      <c r="C90" s="16" t="str">
        <f aca="false">IF($A90="","",'Current Inventory'!$C90)</f>
        <v/>
      </c>
      <c r="D90" s="64" t="str">
        <f aca="false">IF($A90="","",'Current Inventory'!$D90)</f>
        <v/>
      </c>
      <c r="E90" s="67" t="str">
        <f aca="false">IF($A90="","",'Current Inventory'!$J90)</f>
        <v/>
      </c>
      <c r="F90" s="67" t="str">
        <f aca="false">IF($A90="","",N('Current Inventory'!$G90))</f>
        <v/>
      </c>
      <c r="G90" s="69" t="str">
        <f aca="false">IF($A90="","",'Current Inventory'!$K90)</f>
        <v/>
      </c>
      <c r="H90" s="67" t="str">
        <f aca="false">IF($A90="","",IFERROR(SUMIFS(INDEX(PP_Daily,0,MATCH($B90,Mat_Code,0)),PP_Site,$A90),0))</f>
        <v/>
      </c>
      <c r="I90" s="67" t="str">
        <f aca="false">IF($A90="","",IFERROR(SUMIFS(INDEX(Con_Use,0,MATCH($B90,Mat_Code,0)),Con_Site,$A90,Con_Date,"&gt;"&amp;(AsOfDate-7),Con_Date,"&lt;="&amp;AsOfDate)/MAX(1,NETWORKDAYS.INTL(AsOfDate-6,AsOfDate,WeekendMask,Holidays)),0))</f>
        <v/>
      </c>
      <c r="J90" s="67" t="str">
        <f aca="false">IF($A90="","",IF($H90&gt;0,$H90,$I90))</f>
        <v/>
      </c>
      <c r="K90" s="64" t="str">
        <f aca="false">IF($A90="","",IF($H90&gt;0,"Plan",IF($I90&gt;0,"Actual 7-day avg","No usage")))</f>
        <v/>
      </c>
      <c r="L90" s="72" t="str">
        <f aca="false">IF($A90="","",IF($J90&gt;0,MAX(0,$E90)/$J90,""))</f>
        <v/>
      </c>
      <c r="M90" s="73" t="str">
        <f aca="false">IF(OR($A90="",$L90=""),"",IF($E90&lt;=0,"OUT",WORKDAY.INTL(AsOfDate,ROUNDUP($L90,0),WeekendMask,Holidays)))</f>
        <v/>
      </c>
      <c r="N90" s="74" t="str">
        <f aca="false">IF($A90="","",SUMIFS(Del_Qty,Del_Site,$A90,Del_Mat,$B90,Del_Date,"&gt;"&amp;AsOfDate))</f>
        <v/>
      </c>
      <c r="O90" s="73" t="str">
        <f aca="false">IF(OR($A90="",N($N90)&lt;=0),"",SUMPRODUCT(MIN((Del_Site=$A90)*(Del_Mat=$B90)*(Del_Date&gt;AsOfDate)*Del_Date+(1-(Del_Site=$A90)*(Del_Mat=$B90)*(Del_Date&gt;AsOfDate))*1000000000)))</f>
        <v/>
      </c>
      <c r="P90" s="74" t="str">
        <f aca="false">IF($A90="","",IF(ISNUMBER($M90),SUMIFS(Del_Qty,Del_Site,$A90,Del_Mat,$B90,Del_Date,"&gt;"&amp;AsOfDate,Del_Date,"&lt;="&amp;$M90),0))</f>
        <v/>
      </c>
      <c r="Q90" s="75" t="str">
        <f aca="false">IF(OR($A90="",$J90&lt;=0),"",IF($P90&gt;0,(MAX(0,$E90)+$N90)/$J90,$L90))</f>
        <v/>
      </c>
      <c r="R90" s="75" t="str">
        <f aca="false">IF($A90="","",IFERROR(INDEX(Mat_Lead,MATCH($B90,Mat_Code,0)),0))</f>
        <v/>
      </c>
      <c r="S90" s="75" t="str">
        <f aca="false">IF($A90="","",IFERROR(INDEX(Mat_Safety,MATCH($B90,Mat_Code,0)),0))</f>
        <v/>
      </c>
      <c r="T90" s="67" t="str">
        <f aca="false">IF($A90="","",$J90*($R90+$S90))</f>
        <v/>
      </c>
      <c r="U90" s="76" t="str">
        <f aca="false">IF($A90="","",IF($E90&lt;=0,"OUT OF STOCK",IF($J90&lt;=0,"NO USAGE",IF($Q90&lt;=$R90,"CRITICAL",IF($Q90&lt;=$R90+$S90,"REORDER","OK")))))</f>
        <v/>
      </c>
      <c r="V90" s="73" t="str">
        <f aca="false">IF(OR($A90="",$U90="NO USAGE"),"",IF(OR($U90="OUT OF STOCK",$Q90&lt;=$R90+$S90),"NOW",WORKDAY.INTL(AsOfDate,INT($Q90-$R90-$S90),WeekendMask,Holidays)))</f>
        <v/>
      </c>
      <c r="W90" s="73" t="str">
        <f aca="false">IF(OR($A90="",$U90="NO USAGE"),"",IF(OR($U90="OUT OF STOCK",$Q90&lt;=$R90),"NOW",WORKDAY.INTL(AsOfDate,ROUNDUP($Q90-$R90,0),WeekendMask,Holidays)))</f>
        <v/>
      </c>
      <c r="X90" s="77" t="str">
        <f aca="false">IF($A90="","",IF(OR($U90="CRITICAL",$U90="REORDER",$U90="OUT OF STOCK"),IF($F90&gt;0,ROUNDUP(MAX(0,$F90-MAX(0,MAX(0,$E90)+$N90-$J90*$R90)),0),"Set capacity"),0))</f>
        <v/>
      </c>
      <c r="Y90" s="16" t="str">
        <f aca="false">IF($A90="","",IF($U90="OUT OF STOCK","Out of stock – production at risk."&amp;IF($N90&gt;0," Next delivery "&amp;TEXT($O90,"ddd dd-mmm")&amp;": expedite it."," Order and expedite now."),IF($U90="CRITICAL",IF(AND($N90&gt;0,$P90&lt;=0),"URGENT – runs out about "&amp;TEXT($M90,"ddd dd-mmm")&amp;", before the next delivery ("&amp;TEXT($O90,"ddd dd-mmm")&amp;"). Expedite it.","URGENT – runs out about "&amp;TEXT($M90,"ddd dd-mmm")&amp;"; a normal order takes "&amp;$R90&amp;" days. Order and expedite now."),IF($U90="REORDER","Order now (about "&amp;TEXT($X90,"#,##0")&amp;" "&amp;$D90&amp;") – becomes critical "&amp;TEXT($W90,"ddd dd-mmm")&amp;".",IF($U90="NO USAGE","No planned or recent usage.","OK – next order by "&amp;TEXT($V90,"ddd dd-mmm")&amp;IF($N90&gt;0,"; "&amp;TEXT($N90,"#,##0")&amp;" "&amp;$D90&amp;" on order (next "&amp;TEXT($O90,"dd-mmm")&amp;")","")&amp;".")))))</f>
        <v/>
      </c>
      <c r="Z90" s="78" t="n">
        <f aca="false">IF(OR($A90="",$V90=""),1000000000,IF($V90="NOW",AsOfDate,$V90))</f>
        <v>1000000000</v>
      </c>
      <c r="AA90" s="78" t="n">
        <f aca="false">IF(OR($A90="",$W90=""),1000000000,IF($W90="NOW",AsOfDate,$W90))</f>
        <v>1000000000</v>
      </c>
      <c r="AB90" s="78" t="n">
        <f aca="false">IF(OR($A90="",$M90=""),1000000000,IF($M90="OUT",AsOfDate,$M90))</f>
        <v>1000000000</v>
      </c>
    </row>
    <row r="91" customFormat="false" ht="15" hidden="false" customHeight="false" outlineLevel="0" collapsed="false">
      <c r="A91" s="16" t="str">
        <f aca="false">IF(ISNUMBER('Current Inventory'!$J91),'Current Inventory'!$A91,"")</f>
        <v/>
      </c>
      <c r="B91" s="64" t="str">
        <f aca="false">IF($A91="","",'Current Inventory'!$B91)</f>
        <v/>
      </c>
      <c r="C91" s="16" t="str">
        <f aca="false">IF($A91="","",'Current Inventory'!$C91)</f>
        <v/>
      </c>
      <c r="D91" s="64" t="str">
        <f aca="false">IF($A91="","",'Current Inventory'!$D91)</f>
        <v/>
      </c>
      <c r="E91" s="67" t="str">
        <f aca="false">IF($A91="","",'Current Inventory'!$J91)</f>
        <v/>
      </c>
      <c r="F91" s="67" t="str">
        <f aca="false">IF($A91="","",N('Current Inventory'!$G91))</f>
        <v/>
      </c>
      <c r="G91" s="69" t="str">
        <f aca="false">IF($A91="","",'Current Inventory'!$K91)</f>
        <v/>
      </c>
      <c r="H91" s="67" t="str">
        <f aca="false">IF($A91="","",IFERROR(SUMIFS(INDEX(PP_Daily,0,MATCH($B91,Mat_Code,0)),PP_Site,$A91),0))</f>
        <v/>
      </c>
      <c r="I91" s="67" t="str">
        <f aca="false">IF($A91="","",IFERROR(SUMIFS(INDEX(Con_Use,0,MATCH($B91,Mat_Code,0)),Con_Site,$A91,Con_Date,"&gt;"&amp;(AsOfDate-7),Con_Date,"&lt;="&amp;AsOfDate)/MAX(1,NETWORKDAYS.INTL(AsOfDate-6,AsOfDate,WeekendMask,Holidays)),0))</f>
        <v/>
      </c>
      <c r="J91" s="67" t="str">
        <f aca="false">IF($A91="","",IF($H91&gt;0,$H91,$I91))</f>
        <v/>
      </c>
      <c r="K91" s="64" t="str">
        <f aca="false">IF($A91="","",IF($H91&gt;0,"Plan",IF($I91&gt;0,"Actual 7-day avg","No usage")))</f>
        <v/>
      </c>
      <c r="L91" s="72" t="str">
        <f aca="false">IF($A91="","",IF($J91&gt;0,MAX(0,$E91)/$J91,""))</f>
        <v/>
      </c>
      <c r="M91" s="73" t="str">
        <f aca="false">IF(OR($A91="",$L91=""),"",IF($E91&lt;=0,"OUT",WORKDAY.INTL(AsOfDate,ROUNDUP($L91,0),WeekendMask,Holidays)))</f>
        <v/>
      </c>
      <c r="N91" s="74" t="str">
        <f aca="false">IF($A91="","",SUMIFS(Del_Qty,Del_Site,$A91,Del_Mat,$B91,Del_Date,"&gt;"&amp;AsOfDate))</f>
        <v/>
      </c>
      <c r="O91" s="73" t="str">
        <f aca="false">IF(OR($A91="",N($N91)&lt;=0),"",SUMPRODUCT(MIN((Del_Site=$A91)*(Del_Mat=$B91)*(Del_Date&gt;AsOfDate)*Del_Date+(1-(Del_Site=$A91)*(Del_Mat=$B91)*(Del_Date&gt;AsOfDate))*1000000000)))</f>
        <v/>
      </c>
      <c r="P91" s="74" t="str">
        <f aca="false">IF($A91="","",IF(ISNUMBER($M91),SUMIFS(Del_Qty,Del_Site,$A91,Del_Mat,$B91,Del_Date,"&gt;"&amp;AsOfDate,Del_Date,"&lt;="&amp;$M91),0))</f>
        <v/>
      </c>
      <c r="Q91" s="75" t="str">
        <f aca="false">IF(OR($A91="",$J91&lt;=0),"",IF($P91&gt;0,(MAX(0,$E91)+$N91)/$J91,$L91))</f>
        <v/>
      </c>
      <c r="R91" s="75" t="str">
        <f aca="false">IF($A91="","",IFERROR(INDEX(Mat_Lead,MATCH($B91,Mat_Code,0)),0))</f>
        <v/>
      </c>
      <c r="S91" s="75" t="str">
        <f aca="false">IF($A91="","",IFERROR(INDEX(Mat_Safety,MATCH($B91,Mat_Code,0)),0))</f>
        <v/>
      </c>
      <c r="T91" s="67" t="str">
        <f aca="false">IF($A91="","",$J91*($R91+$S91))</f>
        <v/>
      </c>
      <c r="U91" s="76" t="str">
        <f aca="false">IF($A91="","",IF($E91&lt;=0,"OUT OF STOCK",IF($J91&lt;=0,"NO USAGE",IF($Q91&lt;=$R91,"CRITICAL",IF($Q91&lt;=$R91+$S91,"REORDER","OK")))))</f>
        <v/>
      </c>
      <c r="V91" s="73" t="str">
        <f aca="false">IF(OR($A91="",$U91="NO USAGE"),"",IF(OR($U91="OUT OF STOCK",$Q91&lt;=$R91+$S91),"NOW",WORKDAY.INTL(AsOfDate,INT($Q91-$R91-$S91),WeekendMask,Holidays)))</f>
        <v/>
      </c>
      <c r="W91" s="73" t="str">
        <f aca="false">IF(OR($A91="",$U91="NO USAGE"),"",IF(OR($U91="OUT OF STOCK",$Q91&lt;=$R91),"NOW",WORKDAY.INTL(AsOfDate,ROUNDUP($Q91-$R91,0),WeekendMask,Holidays)))</f>
        <v/>
      </c>
      <c r="X91" s="77" t="str">
        <f aca="false">IF($A91="","",IF(OR($U91="CRITICAL",$U91="REORDER",$U91="OUT OF STOCK"),IF($F91&gt;0,ROUNDUP(MAX(0,$F91-MAX(0,MAX(0,$E91)+$N91-$J91*$R91)),0),"Set capacity"),0))</f>
        <v/>
      </c>
      <c r="Y91" s="16" t="str">
        <f aca="false">IF($A91="","",IF($U91="OUT OF STOCK","Out of stock – production at risk."&amp;IF($N91&gt;0," Next delivery "&amp;TEXT($O91,"ddd dd-mmm")&amp;": expedite it."," Order and expedite now."),IF($U91="CRITICAL",IF(AND($N91&gt;0,$P91&lt;=0),"URGENT – runs out about "&amp;TEXT($M91,"ddd dd-mmm")&amp;", before the next delivery ("&amp;TEXT($O91,"ddd dd-mmm")&amp;"). Expedite it.","URGENT – runs out about "&amp;TEXT($M91,"ddd dd-mmm")&amp;"; a normal order takes "&amp;$R91&amp;" days. Order and expedite now."),IF($U91="REORDER","Order now (about "&amp;TEXT($X91,"#,##0")&amp;" "&amp;$D91&amp;") – becomes critical "&amp;TEXT($W91,"ddd dd-mmm")&amp;".",IF($U91="NO USAGE","No planned or recent usage.","OK – next order by "&amp;TEXT($V91,"ddd dd-mmm")&amp;IF($N91&gt;0,"; "&amp;TEXT($N91,"#,##0")&amp;" "&amp;$D91&amp;" on order (next "&amp;TEXT($O91,"dd-mmm")&amp;")","")&amp;".")))))</f>
        <v/>
      </c>
      <c r="Z91" s="78" t="n">
        <f aca="false">IF(OR($A91="",$V91=""),1000000000,IF($V91="NOW",AsOfDate,$V91))</f>
        <v>1000000000</v>
      </c>
      <c r="AA91" s="78" t="n">
        <f aca="false">IF(OR($A91="",$W91=""),1000000000,IF($W91="NOW",AsOfDate,$W91))</f>
        <v>1000000000</v>
      </c>
      <c r="AB91" s="78" t="n">
        <f aca="false">IF(OR($A91="",$M91=""),1000000000,IF($M91="OUT",AsOfDate,$M91))</f>
        <v>1000000000</v>
      </c>
    </row>
    <row r="92" customFormat="false" ht="15" hidden="false" customHeight="false" outlineLevel="0" collapsed="false">
      <c r="A92" s="16" t="str">
        <f aca="false">IF(ISNUMBER('Current Inventory'!$J92),'Current Inventory'!$A92,"")</f>
        <v/>
      </c>
      <c r="B92" s="64" t="str">
        <f aca="false">IF($A92="","",'Current Inventory'!$B92)</f>
        <v/>
      </c>
      <c r="C92" s="16" t="str">
        <f aca="false">IF($A92="","",'Current Inventory'!$C92)</f>
        <v/>
      </c>
      <c r="D92" s="64" t="str">
        <f aca="false">IF($A92="","",'Current Inventory'!$D92)</f>
        <v/>
      </c>
      <c r="E92" s="67" t="str">
        <f aca="false">IF($A92="","",'Current Inventory'!$J92)</f>
        <v/>
      </c>
      <c r="F92" s="67" t="str">
        <f aca="false">IF($A92="","",N('Current Inventory'!$G92))</f>
        <v/>
      </c>
      <c r="G92" s="69" t="str">
        <f aca="false">IF($A92="","",'Current Inventory'!$K92)</f>
        <v/>
      </c>
      <c r="H92" s="67" t="str">
        <f aca="false">IF($A92="","",IFERROR(SUMIFS(INDEX(PP_Daily,0,MATCH($B92,Mat_Code,0)),PP_Site,$A92),0))</f>
        <v/>
      </c>
      <c r="I92" s="67" t="str">
        <f aca="false">IF($A92="","",IFERROR(SUMIFS(INDEX(Con_Use,0,MATCH($B92,Mat_Code,0)),Con_Site,$A92,Con_Date,"&gt;"&amp;(AsOfDate-7),Con_Date,"&lt;="&amp;AsOfDate)/MAX(1,NETWORKDAYS.INTL(AsOfDate-6,AsOfDate,WeekendMask,Holidays)),0))</f>
        <v/>
      </c>
      <c r="J92" s="67" t="str">
        <f aca="false">IF($A92="","",IF($H92&gt;0,$H92,$I92))</f>
        <v/>
      </c>
      <c r="K92" s="64" t="str">
        <f aca="false">IF($A92="","",IF($H92&gt;0,"Plan",IF($I92&gt;0,"Actual 7-day avg","No usage")))</f>
        <v/>
      </c>
      <c r="L92" s="72" t="str">
        <f aca="false">IF($A92="","",IF($J92&gt;0,MAX(0,$E92)/$J92,""))</f>
        <v/>
      </c>
      <c r="M92" s="73" t="str">
        <f aca="false">IF(OR($A92="",$L92=""),"",IF($E92&lt;=0,"OUT",WORKDAY.INTL(AsOfDate,ROUNDUP($L92,0),WeekendMask,Holidays)))</f>
        <v/>
      </c>
      <c r="N92" s="74" t="str">
        <f aca="false">IF($A92="","",SUMIFS(Del_Qty,Del_Site,$A92,Del_Mat,$B92,Del_Date,"&gt;"&amp;AsOfDate))</f>
        <v/>
      </c>
      <c r="O92" s="73" t="str">
        <f aca="false">IF(OR($A92="",N($N92)&lt;=0),"",SUMPRODUCT(MIN((Del_Site=$A92)*(Del_Mat=$B92)*(Del_Date&gt;AsOfDate)*Del_Date+(1-(Del_Site=$A92)*(Del_Mat=$B92)*(Del_Date&gt;AsOfDate))*1000000000)))</f>
        <v/>
      </c>
      <c r="P92" s="74" t="str">
        <f aca="false">IF($A92="","",IF(ISNUMBER($M92),SUMIFS(Del_Qty,Del_Site,$A92,Del_Mat,$B92,Del_Date,"&gt;"&amp;AsOfDate,Del_Date,"&lt;="&amp;$M92),0))</f>
        <v/>
      </c>
      <c r="Q92" s="75" t="str">
        <f aca="false">IF(OR($A92="",$J92&lt;=0),"",IF($P92&gt;0,(MAX(0,$E92)+$N92)/$J92,$L92))</f>
        <v/>
      </c>
      <c r="R92" s="75" t="str">
        <f aca="false">IF($A92="","",IFERROR(INDEX(Mat_Lead,MATCH($B92,Mat_Code,0)),0))</f>
        <v/>
      </c>
      <c r="S92" s="75" t="str">
        <f aca="false">IF($A92="","",IFERROR(INDEX(Mat_Safety,MATCH($B92,Mat_Code,0)),0))</f>
        <v/>
      </c>
      <c r="T92" s="67" t="str">
        <f aca="false">IF($A92="","",$J92*($R92+$S92))</f>
        <v/>
      </c>
      <c r="U92" s="76" t="str">
        <f aca="false">IF($A92="","",IF($E92&lt;=0,"OUT OF STOCK",IF($J92&lt;=0,"NO USAGE",IF($Q92&lt;=$R92,"CRITICAL",IF($Q92&lt;=$R92+$S92,"REORDER","OK")))))</f>
        <v/>
      </c>
      <c r="V92" s="73" t="str">
        <f aca="false">IF(OR($A92="",$U92="NO USAGE"),"",IF(OR($U92="OUT OF STOCK",$Q92&lt;=$R92+$S92),"NOW",WORKDAY.INTL(AsOfDate,INT($Q92-$R92-$S92),WeekendMask,Holidays)))</f>
        <v/>
      </c>
      <c r="W92" s="73" t="str">
        <f aca="false">IF(OR($A92="",$U92="NO USAGE"),"",IF(OR($U92="OUT OF STOCK",$Q92&lt;=$R92),"NOW",WORKDAY.INTL(AsOfDate,ROUNDUP($Q92-$R92,0),WeekendMask,Holidays)))</f>
        <v/>
      </c>
      <c r="X92" s="77" t="str">
        <f aca="false">IF($A92="","",IF(OR($U92="CRITICAL",$U92="REORDER",$U92="OUT OF STOCK"),IF($F92&gt;0,ROUNDUP(MAX(0,$F92-MAX(0,MAX(0,$E92)+$N92-$J92*$R92)),0),"Set capacity"),0))</f>
        <v/>
      </c>
      <c r="Y92" s="16" t="str">
        <f aca="false">IF($A92="","",IF($U92="OUT OF STOCK","Out of stock – production at risk."&amp;IF($N92&gt;0," Next delivery "&amp;TEXT($O92,"ddd dd-mmm")&amp;": expedite it."," Order and expedite now."),IF($U92="CRITICAL",IF(AND($N92&gt;0,$P92&lt;=0),"URGENT – runs out about "&amp;TEXT($M92,"ddd dd-mmm")&amp;", before the next delivery ("&amp;TEXT($O92,"ddd dd-mmm")&amp;"). Expedite it.","URGENT – runs out about "&amp;TEXT($M92,"ddd dd-mmm")&amp;"; a normal order takes "&amp;$R92&amp;" days. Order and expedite now."),IF($U92="REORDER","Order now (about "&amp;TEXT($X92,"#,##0")&amp;" "&amp;$D92&amp;") – becomes critical "&amp;TEXT($W92,"ddd dd-mmm")&amp;".",IF($U92="NO USAGE","No planned or recent usage.","OK – next order by "&amp;TEXT($V92,"ddd dd-mmm")&amp;IF($N92&gt;0,"; "&amp;TEXT($N92,"#,##0")&amp;" "&amp;$D92&amp;" on order (next "&amp;TEXT($O92,"dd-mmm")&amp;")","")&amp;".")))))</f>
        <v/>
      </c>
      <c r="Z92" s="78" t="n">
        <f aca="false">IF(OR($A92="",$V92=""),1000000000,IF($V92="NOW",AsOfDate,$V92))</f>
        <v>1000000000</v>
      </c>
      <c r="AA92" s="78" t="n">
        <f aca="false">IF(OR($A92="",$W92=""),1000000000,IF($W92="NOW",AsOfDate,$W92))</f>
        <v>1000000000</v>
      </c>
      <c r="AB92" s="78" t="n">
        <f aca="false">IF(OR($A92="",$M92=""),1000000000,IF($M92="OUT",AsOfDate,$M92))</f>
        <v>1000000000</v>
      </c>
    </row>
    <row r="93" customFormat="false" ht="15" hidden="false" customHeight="false" outlineLevel="0" collapsed="false">
      <c r="A93" s="16" t="str">
        <f aca="false">IF(ISNUMBER('Current Inventory'!$J93),'Current Inventory'!$A93,"")</f>
        <v/>
      </c>
      <c r="B93" s="64" t="str">
        <f aca="false">IF($A93="","",'Current Inventory'!$B93)</f>
        <v/>
      </c>
      <c r="C93" s="16" t="str">
        <f aca="false">IF($A93="","",'Current Inventory'!$C93)</f>
        <v/>
      </c>
      <c r="D93" s="64" t="str">
        <f aca="false">IF($A93="","",'Current Inventory'!$D93)</f>
        <v/>
      </c>
      <c r="E93" s="67" t="str">
        <f aca="false">IF($A93="","",'Current Inventory'!$J93)</f>
        <v/>
      </c>
      <c r="F93" s="67" t="str">
        <f aca="false">IF($A93="","",N('Current Inventory'!$G93))</f>
        <v/>
      </c>
      <c r="G93" s="69" t="str">
        <f aca="false">IF($A93="","",'Current Inventory'!$K93)</f>
        <v/>
      </c>
      <c r="H93" s="67" t="str">
        <f aca="false">IF($A93="","",IFERROR(SUMIFS(INDEX(PP_Daily,0,MATCH($B93,Mat_Code,0)),PP_Site,$A93),0))</f>
        <v/>
      </c>
      <c r="I93" s="67" t="str">
        <f aca="false">IF($A93="","",IFERROR(SUMIFS(INDEX(Con_Use,0,MATCH($B93,Mat_Code,0)),Con_Site,$A93,Con_Date,"&gt;"&amp;(AsOfDate-7),Con_Date,"&lt;="&amp;AsOfDate)/MAX(1,NETWORKDAYS.INTL(AsOfDate-6,AsOfDate,WeekendMask,Holidays)),0))</f>
        <v/>
      </c>
      <c r="J93" s="67" t="str">
        <f aca="false">IF($A93="","",IF($H93&gt;0,$H93,$I93))</f>
        <v/>
      </c>
      <c r="K93" s="64" t="str">
        <f aca="false">IF($A93="","",IF($H93&gt;0,"Plan",IF($I93&gt;0,"Actual 7-day avg","No usage")))</f>
        <v/>
      </c>
      <c r="L93" s="72" t="str">
        <f aca="false">IF($A93="","",IF($J93&gt;0,MAX(0,$E93)/$J93,""))</f>
        <v/>
      </c>
      <c r="M93" s="73" t="str">
        <f aca="false">IF(OR($A93="",$L93=""),"",IF($E93&lt;=0,"OUT",WORKDAY.INTL(AsOfDate,ROUNDUP($L93,0),WeekendMask,Holidays)))</f>
        <v/>
      </c>
      <c r="N93" s="74" t="str">
        <f aca="false">IF($A93="","",SUMIFS(Del_Qty,Del_Site,$A93,Del_Mat,$B93,Del_Date,"&gt;"&amp;AsOfDate))</f>
        <v/>
      </c>
      <c r="O93" s="73" t="str">
        <f aca="false">IF(OR($A93="",N($N93)&lt;=0),"",SUMPRODUCT(MIN((Del_Site=$A93)*(Del_Mat=$B93)*(Del_Date&gt;AsOfDate)*Del_Date+(1-(Del_Site=$A93)*(Del_Mat=$B93)*(Del_Date&gt;AsOfDate))*1000000000)))</f>
        <v/>
      </c>
      <c r="P93" s="74" t="str">
        <f aca="false">IF($A93="","",IF(ISNUMBER($M93),SUMIFS(Del_Qty,Del_Site,$A93,Del_Mat,$B93,Del_Date,"&gt;"&amp;AsOfDate,Del_Date,"&lt;="&amp;$M93),0))</f>
        <v/>
      </c>
      <c r="Q93" s="75" t="str">
        <f aca="false">IF(OR($A93="",$J93&lt;=0),"",IF($P93&gt;0,(MAX(0,$E93)+$N93)/$J93,$L93))</f>
        <v/>
      </c>
      <c r="R93" s="75" t="str">
        <f aca="false">IF($A93="","",IFERROR(INDEX(Mat_Lead,MATCH($B93,Mat_Code,0)),0))</f>
        <v/>
      </c>
      <c r="S93" s="75" t="str">
        <f aca="false">IF($A93="","",IFERROR(INDEX(Mat_Safety,MATCH($B93,Mat_Code,0)),0))</f>
        <v/>
      </c>
      <c r="T93" s="67" t="str">
        <f aca="false">IF($A93="","",$J93*($R93+$S93))</f>
        <v/>
      </c>
      <c r="U93" s="76" t="str">
        <f aca="false">IF($A93="","",IF($E93&lt;=0,"OUT OF STOCK",IF($J93&lt;=0,"NO USAGE",IF($Q93&lt;=$R93,"CRITICAL",IF($Q93&lt;=$R93+$S93,"REORDER","OK")))))</f>
        <v/>
      </c>
      <c r="V93" s="73" t="str">
        <f aca="false">IF(OR($A93="",$U93="NO USAGE"),"",IF(OR($U93="OUT OF STOCK",$Q93&lt;=$R93+$S93),"NOW",WORKDAY.INTL(AsOfDate,INT($Q93-$R93-$S93),WeekendMask,Holidays)))</f>
        <v/>
      </c>
      <c r="W93" s="73" t="str">
        <f aca="false">IF(OR($A93="",$U93="NO USAGE"),"",IF(OR($U93="OUT OF STOCK",$Q93&lt;=$R93),"NOW",WORKDAY.INTL(AsOfDate,ROUNDUP($Q93-$R93,0),WeekendMask,Holidays)))</f>
        <v/>
      </c>
      <c r="X93" s="77" t="str">
        <f aca="false">IF($A93="","",IF(OR($U93="CRITICAL",$U93="REORDER",$U93="OUT OF STOCK"),IF($F93&gt;0,ROUNDUP(MAX(0,$F93-MAX(0,MAX(0,$E93)+$N93-$J93*$R93)),0),"Set capacity"),0))</f>
        <v/>
      </c>
      <c r="Y93" s="16" t="str">
        <f aca="false">IF($A93="","",IF($U93="OUT OF STOCK","Out of stock – production at risk."&amp;IF($N93&gt;0," Next delivery "&amp;TEXT($O93,"ddd dd-mmm")&amp;": expedite it."," Order and expedite now."),IF($U93="CRITICAL",IF(AND($N93&gt;0,$P93&lt;=0),"URGENT – runs out about "&amp;TEXT($M93,"ddd dd-mmm")&amp;", before the next delivery ("&amp;TEXT($O93,"ddd dd-mmm")&amp;"). Expedite it.","URGENT – runs out about "&amp;TEXT($M93,"ddd dd-mmm")&amp;"; a normal order takes "&amp;$R93&amp;" days. Order and expedite now."),IF($U93="REORDER","Order now (about "&amp;TEXT($X93,"#,##0")&amp;" "&amp;$D93&amp;") – becomes critical "&amp;TEXT($W93,"ddd dd-mmm")&amp;".",IF($U93="NO USAGE","No planned or recent usage.","OK – next order by "&amp;TEXT($V93,"ddd dd-mmm")&amp;IF($N93&gt;0,"; "&amp;TEXT($N93,"#,##0")&amp;" "&amp;$D93&amp;" on order (next "&amp;TEXT($O93,"dd-mmm")&amp;")","")&amp;".")))))</f>
        <v/>
      </c>
      <c r="Z93" s="78" t="n">
        <f aca="false">IF(OR($A93="",$V93=""),1000000000,IF($V93="NOW",AsOfDate,$V93))</f>
        <v>1000000000</v>
      </c>
      <c r="AA93" s="78" t="n">
        <f aca="false">IF(OR($A93="",$W93=""),1000000000,IF($W93="NOW",AsOfDate,$W93))</f>
        <v>1000000000</v>
      </c>
      <c r="AB93" s="78" t="n">
        <f aca="false">IF(OR($A93="",$M93=""),1000000000,IF($M93="OUT",AsOfDate,$M93))</f>
        <v>1000000000</v>
      </c>
    </row>
    <row r="94" customFormat="false" ht="15" hidden="false" customHeight="false" outlineLevel="0" collapsed="false">
      <c r="A94" s="16" t="str">
        <f aca="false">IF(ISNUMBER('Current Inventory'!$J94),'Current Inventory'!$A94,"")</f>
        <v/>
      </c>
      <c r="B94" s="64" t="str">
        <f aca="false">IF($A94="","",'Current Inventory'!$B94)</f>
        <v/>
      </c>
      <c r="C94" s="16" t="str">
        <f aca="false">IF($A94="","",'Current Inventory'!$C94)</f>
        <v/>
      </c>
      <c r="D94" s="64" t="str">
        <f aca="false">IF($A94="","",'Current Inventory'!$D94)</f>
        <v/>
      </c>
      <c r="E94" s="67" t="str">
        <f aca="false">IF($A94="","",'Current Inventory'!$J94)</f>
        <v/>
      </c>
      <c r="F94" s="67" t="str">
        <f aca="false">IF($A94="","",N('Current Inventory'!$G94))</f>
        <v/>
      </c>
      <c r="G94" s="69" t="str">
        <f aca="false">IF($A94="","",'Current Inventory'!$K94)</f>
        <v/>
      </c>
      <c r="H94" s="67" t="str">
        <f aca="false">IF($A94="","",IFERROR(SUMIFS(INDEX(PP_Daily,0,MATCH($B94,Mat_Code,0)),PP_Site,$A94),0))</f>
        <v/>
      </c>
      <c r="I94" s="67" t="str">
        <f aca="false">IF($A94="","",IFERROR(SUMIFS(INDEX(Con_Use,0,MATCH($B94,Mat_Code,0)),Con_Site,$A94,Con_Date,"&gt;"&amp;(AsOfDate-7),Con_Date,"&lt;="&amp;AsOfDate)/MAX(1,NETWORKDAYS.INTL(AsOfDate-6,AsOfDate,WeekendMask,Holidays)),0))</f>
        <v/>
      </c>
      <c r="J94" s="67" t="str">
        <f aca="false">IF($A94="","",IF($H94&gt;0,$H94,$I94))</f>
        <v/>
      </c>
      <c r="K94" s="64" t="str">
        <f aca="false">IF($A94="","",IF($H94&gt;0,"Plan",IF($I94&gt;0,"Actual 7-day avg","No usage")))</f>
        <v/>
      </c>
      <c r="L94" s="72" t="str">
        <f aca="false">IF($A94="","",IF($J94&gt;0,MAX(0,$E94)/$J94,""))</f>
        <v/>
      </c>
      <c r="M94" s="73" t="str">
        <f aca="false">IF(OR($A94="",$L94=""),"",IF($E94&lt;=0,"OUT",WORKDAY.INTL(AsOfDate,ROUNDUP($L94,0),WeekendMask,Holidays)))</f>
        <v/>
      </c>
      <c r="N94" s="74" t="str">
        <f aca="false">IF($A94="","",SUMIFS(Del_Qty,Del_Site,$A94,Del_Mat,$B94,Del_Date,"&gt;"&amp;AsOfDate))</f>
        <v/>
      </c>
      <c r="O94" s="73" t="str">
        <f aca="false">IF(OR($A94="",N($N94)&lt;=0),"",SUMPRODUCT(MIN((Del_Site=$A94)*(Del_Mat=$B94)*(Del_Date&gt;AsOfDate)*Del_Date+(1-(Del_Site=$A94)*(Del_Mat=$B94)*(Del_Date&gt;AsOfDate))*1000000000)))</f>
        <v/>
      </c>
      <c r="P94" s="74" t="str">
        <f aca="false">IF($A94="","",IF(ISNUMBER($M94),SUMIFS(Del_Qty,Del_Site,$A94,Del_Mat,$B94,Del_Date,"&gt;"&amp;AsOfDate,Del_Date,"&lt;="&amp;$M94),0))</f>
        <v/>
      </c>
      <c r="Q94" s="75" t="str">
        <f aca="false">IF(OR($A94="",$J94&lt;=0),"",IF($P94&gt;0,(MAX(0,$E94)+$N94)/$J94,$L94))</f>
        <v/>
      </c>
      <c r="R94" s="75" t="str">
        <f aca="false">IF($A94="","",IFERROR(INDEX(Mat_Lead,MATCH($B94,Mat_Code,0)),0))</f>
        <v/>
      </c>
      <c r="S94" s="75" t="str">
        <f aca="false">IF($A94="","",IFERROR(INDEX(Mat_Safety,MATCH($B94,Mat_Code,0)),0))</f>
        <v/>
      </c>
      <c r="T94" s="67" t="str">
        <f aca="false">IF($A94="","",$J94*($R94+$S94))</f>
        <v/>
      </c>
      <c r="U94" s="76" t="str">
        <f aca="false">IF($A94="","",IF($E94&lt;=0,"OUT OF STOCK",IF($J94&lt;=0,"NO USAGE",IF($Q94&lt;=$R94,"CRITICAL",IF($Q94&lt;=$R94+$S94,"REORDER","OK")))))</f>
        <v/>
      </c>
      <c r="V94" s="73" t="str">
        <f aca="false">IF(OR($A94="",$U94="NO USAGE"),"",IF(OR($U94="OUT OF STOCK",$Q94&lt;=$R94+$S94),"NOW",WORKDAY.INTL(AsOfDate,INT($Q94-$R94-$S94),WeekendMask,Holidays)))</f>
        <v/>
      </c>
      <c r="W94" s="73" t="str">
        <f aca="false">IF(OR($A94="",$U94="NO USAGE"),"",IF(OR($U94="OUT OF STOCK",$Q94&lt;=$R94),"NOW",WORKDAY.INTL(AsOfDate,ROUNDUP($Q94-$R94,0),WeekendMask,Holidays)))</f>
        <v/>
      </c>
      <c r="X94" s="77" t="str">
        <f aca="false">IF($A94="","",IF(OR($U94="CRITICAL",$U94="REORDER",$U94="OUT OF STOCK"),IF($F94&gt;0,ROUNDUP(MAX(0,$F94-MAX(0,MAX(0,$E94)+$N94-$J94*$R94)),0),"Set capacity"),0))</f>
        <v/>
      </c>
      <c r="Y94" s="16" t="str">
        <f aca="false">IF($A94="","",IF($U94="OUT OF STOCK","Out of stock – production at risk."&amp;IF($N94&gt;0," Next delivery "&amp;TEXT($O94,"ddd dd-mmm")&amp;": expedite it."," Order and expedite now."),IF($U94="CRITICAL",IF(AND($N94&gt;0,$P94&lt;=0),"URGENT – runs out about "&amp;TEXT($M94,"ddd dd-mmm")&amp;", before the next delivery ("&amp;TEXT($O94,"ddd dd-mmm")&amp;"). Expedite it.","URGENT – runs out about "&amp;TEXT($M94,"ddd dd-mmm")&amp;"; a normal order takes "&amp;$R94&amp;" days. Order and expedite now."),IF($U94="REORDER","Order now (about "&amp;TEXT($X94,"#,##0")&amp;" "&amp;$D94&amp;") – becomes critical "&amp;TEXT($W94,"ddd dd-mmm")&amp;".",IF($U94="NO USAGE","No planned or recent usage.","OK – next order by "&amp;TEXT($V94,"ddd dd-mmm")&amp;IF($N94&gt;0,"; "&amp;TEXT($N94,"#,##0")&amp;" "&amp;$D94&amp;" on order (next "&amp;TEXT($O94,"dd-mmm")&amp;")","")&amp;".")))))</f>
        <v/>
      </c>
      <c r="Z94" s="78" t="n">
        <f aca="false">IF(OR($A94="",$V94=""),1000000000,IF($V94="NOW",AsOfDate,$V94))</f>
        <v>1000000000</v>
      </c>
      <c r="AA94" s="78" t="n">
        <f aca="false">IF(OR($A94="",$W94=""),1000000000,IF($W94="NOW",AsOfDate,$W94))</f>
        <v>1000000000</v>
      </c>
      <c r="AB94" s="78" t="n">
        <f aca="false">IF(OR($A94="",$M94=""),1000000000,IF($M94="OUT",AsOfDate,$M94))</f>
        <v>1000000000</v>
      </c>
    </row>
    <row r="95" customFormat="false" ht="15" hidden="false" customHeight="false" outlineLevel="0" collapsed="false">
      <c r="A95" s="16" t="str">
        <f aca="false">IF(ISNUMBER('Current Inventory'!$J95),'Current Inventory'!$A95,"")</f>
        <v/>
      </c>
      <c r="B95" s="64" t="str">
        <f aca="false">IF($A95="","",'Current Inventory'!$B95)</f>
        <v/>
      </c>
      <c r="C95" s="16" t="str">
        <f aca="false">IF($A95="","",'Current Inventory'!$C95)</f>
        <v/>
      </c>
      <c r="D95" s="64" t="str">
        <f aca="false">IF($A95="","",'Current Inventory'!$D95)</f>
        <v/>
      </c>
      <c r="E95" s="67" t="str">
        <f aca="false">IF($A95="","",'Current Inventory'!$J95)</f>
        <v/>
      </c>
      <c r="F95" s="67" t="str">
        <f aca="false">IF($A95="","",N('Current Inventory'!$G95))</f>
        <v/>
      </c>
      <c r="G95" s="69" t="str">
        <f aca="false">IF($A95="","",'Current Inventory'!$K95)</f>
        <v/>
      </c>
      <c r="H95" s="67" t="str">
        <f aca="false">IF($A95="","",IFERROR(SUMIFS(INDEX(PP_Daily,0,MATCH($B95,Mat_Code,0)),PP_Site,$A95),0))</f>
        <v/>
      </c>
      <c r="I95" s="67" t="str">
        <f aca="false">IF($A95="","",IFERROR(SUMIFS(INDEX(Con_Use,0,MATCH($B95,Mat_Code,0)),Con_Site,$A95,Con_Date,"&gt;"&amp;(AsOfDate-7),Con_Date,"&lt;="&amp;AsOfDate)/MAX(1,NETWORKDAYS.INTL(AsOfDate-6,AsOfDate,WeekendMask,Holidays)),0))</f>
        <v/>
      </c>
      <c r="J95" s="67" t="str">
        <f aca="false">IF($A95="","",IF($H95&gt;0,$H95,$I95))</f>
        <v/>
      </c>
      <c r="K95" s="64" t="str">
        <f aca="false">IF($A95="","",IF($H95&gt;0,"Plan",IF($I95&gt;0,"Actual 7-day avg","No usage")))</f>
        <v/>
      </c>
      <c r="L95" s="72" t="str">
        <f aca="false">IF($A95="","",IF($J95&gt;0,MAX(0,$E95)/$J95,""))</f>
        <v/>
      </c>
      <c r="M95" s="73" t="str">
        <f aca="false">IF(OR($A95="",$L95=""),"",IF($E95&lt;=0,"OUT",WORKDAY.INTL(AsOfDate,ROUNDUP($L95,0),WeekendMask,Holidays)))</f>
        <v/>
      </c>
      <c r="N95" s="74" t="str">
        <f aca="false">IF($A95="","",SUMIFS(Del_Qty,Del_Site,$A95,Del_Mat,$B95,Del_Date,"&gt;"&amp;AsOfDate))</f>
        <v/>
      </c>
      <c r="O95" s="73" t="str">
        <f aca="false">IF(OR($A95="",N($N95)&lt;=0),"",SUMPRODUCT(MIN((Del_Site=$A95)*(Del_Mat=$B95)*(Del_Date&gt;AsOfDate)*Del_Date+(1-(Del_Site=$A95)*(Del_Mat=$B95)*(Del_Date&gt;AsOfDate))*1000000000)))</f>
        <v/>
      </c>
      <c r="P95" s="74" t="str">
        <f aca="false">IF($A95="","",IF(ISNUMBER($M95),SUMIFS(Del_Qty,Del_Site,$A95,Del_Mat,$B95,Del_Date,"&gt;"&amp;AsOfDate,Del_Date,"&lt;="&amp;$M95),0))</f>
        <v/>
      </c>
      <c r="Q95" s="75" t="str">
        <f aca="false">IF(OR($A95="",$J95&lt;=0),"",IF($P95&gt;0,(MAX(0,$E95)+$N95)/$J95,$L95))</f>
        <v/>
      </c>
      <c r="R95" s="75" t="str">
        <f aca="false">IF($A95="","",IFERROR(INDEX(Mat_Lead,MATCH($B95,Mat_Code,0)),0))</f>
        <v/>
      </c>
      <c r="S95" s="75" t="str">
        <f aca="false">IF($A95="","",IFERROR(INDEX(Mat_Safety,MATCH($B95,Mat_Code,0)),0))</f>
        <v/>
      </c>
      <c r="T95" s="67" t="str">
        <f aca="false">IF($A95="","",$J95*($R95+$S95))</f>
        <v/>
      </c>
      <c r="U95" s="76" t="str">
        <f aca="false">IF($A95="","",IF($E95&lt;=0,"OUT OF STOCK",IF($J95&lt;=0,"NO USAGE",IF($Q95&lt;=$R95,"CRITICAL",IF($Q95&lt;=$R95+$S95,"REORDER","OK")))))</f>
        <v/>
      </c>
      <c r="V95" s="73" t="str">
        <f aca="false">IF(OR($A95="",$U95="NO USAGE"),"",IF(OR($U95="OUT OF STOCK",$Q95&lt;=$R95+$S95),"NOW",WORKDAY.INTL(AsOfDate,INT($Q95-$R95-$S95),WeekendMask,Holidays)))</f>
        <v/>
      </c>
      <c r="W95" s="73" t="str">
        <f aca="false">IF(OR($A95="",$U95="NO USAGE"),"",IF(OR($U95="OUT OF STOCK",$Q95&lt;=$R95),"NOW",WORKDAY.INTL(AsOfDate,ROUNDUP($Q95-$R95,0),WeekendMask,Holidays)))</f>
        <v/>
      </c>
      <c r="X95" s="77" t="str">
        <f aca="false">IF($A95="","",IF(OR($U95="CRITICAL",$U95="REORDER",$U95="OUT OF STOCK"),IF($F95&gt;0,ROUNDUP(MAX(0,$F95-MAX(0,MAX(0,$E95)+$N95-$J95*$R95)),0),"Set capacity"),0))</f>
        <v/>
      </c>
      <c r="Y95" s="16" t="str">
        <f aca="false">IF($A95="","",IF($U95="OUT OF STOCK","Out of stock – production at risk."&amp;IF($N95&gt;0," Next delivery "&amp;TEXT($O95,"ddd dd-mmm")&amp;": expedite it."," Order and expedite now."),IF($U95="CRITICAL",IF(AND($N95&gt;0,$P95&lt;=0),"URGENT – runs out about "&amp;TEXT($M95,"ddd dd-mmm")&amp;", before the next delivery ("&amp;TEXT($O95,"ddd dd-mmm")&amp;"). Expedite it.","URGENT – runs out about "&amp;TEXT($M95,"ddd dd-mmm")&amp;"; a normal order takes "&amp;$R95&amp;" days. Order and expedite now."),IF($U95="REORDER","Order now (about "&amp;TEXT($X95,"#,##0")&amp;" "&amp;$D95&amp;") – becomes critical "&amp;TEXT($W95,"ddd dd-mmm")&amp;".",IF($U95="NO USAGE","No planned or recent usage.","OK – next order by "&amp;TEXT($V95,"ddd dd-mmm")&amp;IF($N95&gt;0,"; "&amp;TEXT($N95,"#,##0")&amp;" "&amp;$D95&amp;" on order (next "&amp;TEXT($O95,"dd-mmm")&amp;")","")&amp;".")))))</f>
        <v/>
      </c>
      <c r="Z95" s="78" t="n">
        <f aca="false">IF(OR($A95="",$V95=""),1000000000,IF($V95="NOW",AsOfDate,$V95))</f>
        <v>1000000000</v>
      </c>
      <c r="AA95" s="78" t="n">
        <f aca="false">IF(OR($A95="",$W95=""),1000000000,IF($W95="NOW",AsOfDate,$W95))</f>
        <v>1000000000</v>
      </c>
      <c r="AB95" s="78" t="n">
        <f aca="false">IF(OR($A95="",$M95=""),1000000000,IF($M95="OUT",AsOfDate,$M95))</f>
        <v>1000000000</v>
      </c>
    </row>
    <row r="96" customFormat="false" ht="15" hidden="false" customHeight="false" outlineLevel="0" collapsed="false">
      <c r="A96" s="16" t="str">
        <f aca="false">IF(ISNUMBER('Current Inventory'!$J96),'Current Inventory'!$A96,"")</f>
        <v/>
      </c>
      <c r="B96" s="64" t="str">
        <f aca="false">IF($A96="","",'Current Inventory'!$B96)</f>
        <v/>
      </c>
      <c r="C96" s="16" t="str">
        <f aca="false">IF($A96="","",'Current Inventory'!$C96)</f>
        <v/>
      </c>
      <c r="D96" s="64" t="str">
        <f aca="false">IF($A96="","",'Current Inventory'!$D96)</f>
        <v/>
      </c>
      <c r="E96" s="67" t="str">
        <f aca="false">IF($A96="","",'Current Inventory'!$J96)</f>
        <v/>
      </c>
      <c r="F96" s="67" t="str">
        <f aca="false">IF($A96="","",N('Current Inventory'!$G96))</f>
        <v/>
      </c>
      <c r="G96" s="69" t="str">
        <f aca="false">IF($A96="","",'Current Inventory'!$K96)</f>
        <v/>
      </c>
      <c r="H96" s="67" t="str">
        <f aca="false">IF($A96="","",IFERROR(SUMIFS(INDEX(PP_Daily,0,MATCH($B96,Mat_Code,0)),PP_Site,$A96),0))</f>
        <v/>
      </c>
      <c r="I96" s="67" t="str">
        <f aca="false">IF($A96="","",IFERROR(SUMIFS(INDEX(Con_Use,0,MATCH($B96,Mat_Code,0)),Con_Site,$A96,Con_Date,"&gt;"&amp;(AsOfDate-7),Con_Date,"&lt;="&amp;AsOfDate)/MAX(1,NETWORKDAYS.INTL(AsOfDate-6,AsOfDate,WeekendMask,Holidays)),0))</f>
        <v/>
      </c>
      <c r="J96" s="67" t="str">
        <f aca="false">IF($A96="","",IF($H96&gt;0,$H96,$I96))</f>
        <v/>
      </c>
      <c r="K96" s="64" t="str">
        <f aca="false">IF($A96="","",IF($H96&gt;0,"Plan",IF($I96&gt;0,"Actual 7-day avg","No usage")))</f>
        <v/>
      </c>
      <c r="L96" s="72" t="str">
        <f aca="false">IF($A96="","",IF($J96&gt;0,MAX(0,$E96)/$J96,""))</f>
        <v/>
      </c>
      <c r="M96" s="73" t="str">
        <f aca="false">IF(OR($A96="",$L96=""),"",IF($E96&lt;=0,"OUT",WORKDAY.INTL(AsOfDate,ROUNDUP($L96,0),WeekendMask,Holidays)))</f>
        <v/>
      </c>
      <c r="N96" s="74" t="str">
        <f aca="false">IF($A96="","",SUMIFS(Del_Qty,Del_Site,$A96,Del_Mat,$B96,Del_Date,"&gt;"&amp;AsOfDate))</f>
        <v/>
      </c>
      <c r="O96" s="73" t="str">
        <f aca="false">IF(OR($A96="",N($N96)&lt;=0),"",SUMPRODUCT(MIN((Del_Site=$A96)*(Del_Mat=$B96)*(Del_Date&gt;AsOfDate)*Del_Date+(1-(Del_Site=$A96)*(Del_Mat=$B96)*(Del_Date&gt;AsOfDate))*1000000000)))</f>
        <v/>
      </c>
      <c r="P96" s="74" t="str">
        <f aca="false">IF($A96="","",IF(ISNUMBER($M96),SUMIFS(Del_Qty,Del_Site,$A96,Del_Mat,$B96,Del_Date,"&gt;"&amp;AsOfDate,Del_Date,"&lt;="&amp;$M96),0))</f>
        <v/>
      </c>
      <c r="Q96" s="75" t="str">
        <f aca="false">IF(OR($A96="",$J96&lt;=0),"",IF($P96&gt;0,(MAX(0,$E96)+$N96)/$J96,$L96))</f>
        <v/>
      </c>
      <c r="R96" s="75" t="str">
        <f aca="false">IF($A96="","",IFERROR(INDEX(Mat_Lead,MATCH($B96,Mat_Code,0)),0))</f>
        <v/>
      </c>
      <c r="S96" s="75" t="str">
        <f aca="false">IF($A96="","",IFERROR(INDEX(Mat_Safety,MATCH($B96,Mat_Code,0)),0))</f>
        <v/>
      </c>
      <c r="T96" s="67" t="str">
        <f aca="false">IF($A96="","",$J96*($R96+$S96))</f>
        <v/>
      </c>
      <c r="U96" s="76" t="str">
        <f aca="false">IF($A96="","",IF($E96&lt;=0,"OUT OF STOCK",IF($J96&lt;=0,"NO USAGE",IF($Q96&lt;=$R96,"CRITICAL",IF($Q96&lt;=$R96+$S96,"REORDER","OK")))))</f>
        <v/>
      </c>
      <c r="V96" s="73" t="str">
        <f aca="false">IF(OR($A96="",$U96="NO USAGE"),"",IF(OR($U96="OUT OF STOCK",$Q96&lt;=$R96+$S96),"NOW",WORKDAY.INTL(AsOfDate,INT($Q96-$R96-$S96),WeekendMask,Holidays)))</f>
        <v/>
      </c>
      <c r="W96" s="73" t="str">
        <f aca="false">IF(OR($A96="",$U96="NO USAGE"),"",IF(OR($U96="OUT OF STOCK",$Q96&lt;=$R96),"NOW",WORKDAY.INTL(AsOfDate,ROUNDUP($Q96-$R96,0),WeekendMask,Holidays)))</f>
        <v/>
      </c>
      <c r="X96" s="77" t="str">
        <f aca="false">IF($A96="","",IF(OR($U96="CRITICAL",$U96="REORDER",$U96="OUT OF STOCK"),IF($F96&gt;0,ROUNDUP(MAX(0,$F96-MAX(0,MAX(0,$E96)+$N96-$J96*$R96)),0),"Set capacity"),0))</f>
        <v/>
      </c>
      <c r="Y96" s="16" t="str">
        <f aca="false">IF($A96="","",IF($U96="OUT OF STOCK","Out of stock – production at risk."&amp;IF($N96&gt;0," Next delivery "&amp;TEXT($O96,"ddd dd-mmm")&amp;": expedite it."," Order and expedite now."),IF($U96="CRITICAL",IF(AND($N96&gt;0,$P96&lt;=0),"URGENT – runs out about "&amp;TEXT($M96,"ddd dd-mmm")&amp;", before the next delivery ("&amp;TEXT($O96,"ddd dd-mmm")&amp;"). Expedite it.","URGENT – runs out about "&amp;TEXT($M96,"ddd dd-mmm")&amp;"; a normal order takes "&amp;$R96&amp;" days. Order and expedite now."),IF($U96="REORDER","Order now (about "&amp;TEXT($X96,"#,##0")&amp;" "&amp;$D96&amp;") – becomes critical "&amp;TEXT($W96,"ddd dd-mmm")&amp;".",IF($U96="NO USAGE","No planned or recent usage.","OK – next order by "&amp;TEXT($V96,"ddd dd-mmm")&amp;IF($N96&gt;0,"; "&amp;TEXT($N96,"#,##0")&amp;" "&amp;$D96&amp;" on order (next "&amp;TEXT($O96,"dd-mmm")&amp;")","")&amp;".")))))</f>
        <v/>
      </c>
      <c r="Z96" s="78" t="n">
        <f aca="false">IF(OR($A96="",$V96=""),1000000000,IF($V96="NOW",AsOfDate,$V96))</f>
        <v>1000000000</v>
      </c>
      <c r="AA96" s="78" t="n">
        <f aca="false">IF(OR($A96="",$W96=""),1000000000,IF($W96="NOW",AsOfDate,$W96))</f>
        <v>1000000000</v>
      </c>
      <c r="AB96" s="78" t="n">
        <f aca="false">IF(OR($A96="",$M96=""),1000000000,IF($M96="OUT",AsOfDate,$M96))</f>
        <v>1000000000</v>
      </c>
    </row>
    <row r="97" customFormat="false" ht="15" hidden="false" customHeight="false" outlineLevel="0" collapsed="false">
      <c r="A97" s="16" t="str">
        <f aca="false">IF(ISNUMBER('Current Inventory'!$J97),'Current Inventory'!$A97,"")</f>
        <v/>
      </c>
      <c r="B97" s="64" t="str">
        <f aca="false">IF($A97="","",'Current Inventory'!$B97)</f>
        <v/>
      </c>
      <c r="C97" s="16" t="str">
        <f aca="false">IF($A97="","",'Current Inventory'!$C97)</f>
        <v/>
      </c>
      <c r="D97" s="64" t="str">
        <f aca="false">IF($A97="","",'Current Inventory'!$D97)</f>
        <v/>
      </c>
      <c r="E97" s="67" t="str">
        <f aca="false">IF($A97="","",'Current Inventory'!$J97)</f>
        <v/>
      </c>
      <c r="F97" s="67" t="str">
        <f aca="false">IF($A97="","",N('Current Inventory'!$G97))</f>
        <v/>
      </c>
      <c r="G97" s="69" t="str">
        <f aca="false">IF($A97="","",'Current Inventory'!$K97)</f>
        <v/>
      </c>
      <c r="H97" s="67" t="str">
        <f aca="false">IF($A97="","",IFERROR(SUMIFS(INDEX(PP_Daily,0,MATCH($B97,Mat_Code,0)),PP_Site,$A97),0))</f>
        <v/>
      </c>
      <c r="I97" s="67" t="str">
        <f aca="false">IF($A97="","",IFERROR(SUMIFS(INDEX(Con_Use,0,MATCH($B97,Mat_Code,0)),Con_Site,$A97,Con_Date,"&gt;"&amp;(AsOfDate-7),Con_Date,"&lt;="&amp;AsOfDate)/MAX(1,NETWORKDAYS.INTL(AsOfDate-6,AsOfDate,WeekendMask,Holidays)),0))</f>
        <v/>
      </c>
      <c r="J97" s="67" t="str">
        <f aca="false">IF($A97="","",IF($H97&gt;0,$H97,$I97))</f>
        <v/>
      </c>
      <c r="K97" s="64" t="str">
        <f aca="false">IF($A97="","",IF($H97&gt;0,"Plan",IF($I97&gt;0,"Actual 7-day avg","No usage")))</f>
        <v/>
      </c>
      <c r="L97" s="72" t="str">
        <f aca="false">IF($A97="","",IF($J97&gt;0,MAX(0,$E97)/$J97,""))</f>
        <v/>
      </c>
      <c r="M97" s="73" t="str">
        <f aca="false">IF(OR($A97="",$L97=""),"",IF($E97&lt;=0,"OUT",WORKDAY.INTL(AsOfDate,ROUNDUP($L97,0),WeekendMask,Holidays)))</f>
        <v/>
      </c>
      <c r="N97" s="74" t="str">
        <f aca="false">IF($A97="","",SUMIFS(Del_Qty,Del_Site,$A97,Del_Mat,$B97,Del_Date,"&gt;"&amp;AsOfDate))</f>
        <v/>
      </c>
      <c r="O97" s="73" t="str">
        <f aca="false">IF(OR($A97="",N($N97)&lt;=0),"",SUMPRODUCT(MIN((Del_Site=$A97)*(Del_Mat=$B97)*(Del_Date&gt;AsOfDate)*Del_Date+(1-(Del_Site=$A97)*(Del_Mat=$B97)*(Del_Date&gt;AsOfDate))*1000000000)))</f>
        <v/>
      </c>
      <c r="P97" s="74" t="str">
        <f aca="false">IF($A97="","",IF(ISNUMBER($M97),SUMIFS(Del_Qty,Del_Site,$A97,Del_Mat,$B97,Del_Date,"&gt;"&amp;AsOfDate,Del_Date,"&lt;="&amp;$M97),0))</f>
        <v/>
      </c>
      <c r="Q97" s="75" t="str">
        <f aca="false">IF(OR($A97="",$J97&lt;=0),"",IF($P97&gt;0,(MAX(0,$E97)+$N97)/$J97,$L97))</f>
        <v/>
      </c>
      <c r="R97" s="75" t="str">
        <f aca="false">IF($A97="","",IFERROR(INDEX(Mat_Lead,MATCH($B97,Mat_Code,0)),0))</f>
        <v/>
      </c>
      <c r="S97" s="75" t="str">
        <f aca="false">IF($A97="","",IFERROR(INDEX(Mat_Safety,MATCH($B97,Mat_Code,0)),0))</f>
        <v/>
      </c>
      <c r="T97" s="67" t="str">
        <f aca="false">IF($A97="","",$J97*($R97+$S97))</f>
        <v/>
      </c>
      <c r="U97" s="76" t="str">
        <f aca="false">IF($A97="","",IF($E97&lt;=0,"OUT OF STOCK",IF($J97&lt;=0,"NO USAGE",IF($Q97&lt;=$R97,"CRITICAL",IF($Q97&lt;=$R97+$S97,"REORDER","OK")))))</f>
        <v/>
      </c>
      <c r="V97" s="73" t="str">
        <f aca="false">IF(OR($A97="",$U97="NO USAGE"),"",IF(OR($U97="OUT OF STOCK",$Q97&lt;=$R97+$S97),"NOW",WORKDAY.INTL(AsOfDate,INT($Q97-$R97-$S97),WeekendMask,Holidays)))</f>
        <v/>
      </c>
      <c r="W97" s="73" t="str">
        <f aca="false">IF(OR($A97="",$U97="NO USAGE"),"",IF(OR($U97="OUT OF STOCK",$Q97&lt;=$R97),"NOW",WORKDAY.INTL(AsOfDate,ROUNDUP($Q97-$R97,0),WeekendMask,Holidays)))</f>
        <v/>
      </c>
      <c r="X97" s="77" t="str">
        <f aca="false">IF($A97="","",IF(OR($U97="CRITICAL",$U97="REORDER",$U97="OUT OF STOCK"),IF($F97&gt;0,ROUNDUP(MAX(0,$F97-MAX(0,MAX(0,$E97)+$N97-$J97*$R97)),0),"Set capacity"),0))</f>
        <v/>
      </c>
      <c r="Y97" s="16" t="str">
        <f aca="false">IF($A97="","",IF($U97="OUT OF STOCK","Out of stock – production at risk."&amp;IF($N97&gt;0," Next delivery "&amp;TEXT($O97,"ddd dd-mmm")&amp;": expedite it."," Order and expedite now."),IF($U97="CRITICAL",IF(AND($N97&gt;0,$P97&lt;=0),"URGENT – runs out about "&amp;TEXT($M97,"ddd dd-mmm")&amp;", before the next delivery ("&amp;TEXT($O97,"ddd dd-mmm")&amp;"). Expedite it.","URGENT – runs out about "&amp;TEXT($M97,"ddd dd-mmm")&amp;"; a normal order takes "&amp;$R97&amp;" days. Order and expedite now."),IF($U97="REORDER","Order now (about "&amp;TEXT($X97,"#,##0")&amp;" "&amp;$D97&amp;") – becomes critical "&amp;TEXT($W97,"ddd dd-mmm")&amp;".",IF($U97="NO USAGE","No planned or recent usage.","OK – next order by "&amp;TEXT($V97,"ddd dd-mmm")&amp;IF($N97&gt;0,"; "&amp;TEXT($N97,"#,##0")&amp;" "&amp;$D97&amp;" on order (next "&amp;TEXT($O97,"dd-mmm")&amp;")","")&amp;".")))))</f>
        <v/>
      </c>
      <c r="Z97" s="78" t="n">
        <f aca="false">IF(OR($A97="",$V97=""),1000000000,IF($V97="NOW",AsOfDate,$V97))</f>
        <v>1000000000</v>
      </c>
      <c r="AA97" s="78" t="n">
        <f aca="false">IF(OR($A97="",$W97=""),1000000000,IF($W97="NOW",AsOfDate,$W97))</f>
        <v>1000000000</v>
      </c>
      <c r="AB97" s="78" t="n">
        <f aca="false">IF(OR($A97="",$M97=""),1000000000,IF($M97="OUT",AsOfDate,$M97))</f>
        <v>1000000000</v>
      </c>
    </row>
    <row r="98" customFormat="false" ht="15" hidden="false" customHeight="false" outlineLevel="0" collapsed="false">
      <c r="A98" s="16" t="str">
        <f aca="false">IF(ISNUMBER('Current Inventory'!$J98),'Current Inventory'!$A98,"")</f>
        <v/>
      </c>
      <c r="B98" s="64" t="str">
        <f aca="false">IF($A98="","",'Current Inventory'!$B98)</f>
        <v/>
      </c>
      <c r="C98" s="16" t="str">
        <f aca="false">IF($A98="","",'Current Inventory'!$C98)</f>
        <v/>
      </c>
      <c r="D98" s="64" t="str">
        <f aca="false">IF($A98="","",'Current Inventory'!$D98)</f>
        <v/>
      </c>
      <c r="E98" s="67" t="str">
        <f aca="false">IF($A98="","",'Current Inventory'!$J98)</f>
        <v/>
      </c>
      <c r="F98" s="67" t="str">
        <f aca="false">IF($A98="","",N('Current Inventory'!$G98))</f>
        <v/>
      </c>
      <c r="G98" s="69" t="str">
        <f aca="false">IF($A98="","",'Current Inventory'!$K98)</f>
        <v/>
      </c>
      <c r="H98" s="67" t="str">
        <f aca="false">IF($A98="","",IFERROR(SUMIFS(INDEX(PP_Daily,0,MATCH($B98,Mat_Code,0)),PP_Site,$A98),0))</f>
        <v/>
      </c>
      <c r="I98" s="67" t="str">
        <f aca="false">IF($A98="","",IFERROR(SUMIFS(INDEX(Con_Use,0,MATCH($B98,Mat_Code,0)),Con_Site,$A98,Con_Date,"&gt;"&amp;(AsOfDate-7),Con_Date,"&lt;="&amp;AsOfDate)/MAX(1,NETWORKDAYS.INTL(AsOfDate-6,AsOfDate,WeekendMask,Holidays)),0))</f>
        <v/>
      </c>
      <c r="J98" s="67" t="str">
        <f aca="false">IF($A98="","",IF($H98&gt;0,$H98,$I98))</f>
        <v/>
      </c>
      <c r="K98" s="64" t="str">
        <f aca="false">IF($A98="","",IF($H98&gt;0,"Plan",IF($I98&gt;0,"Actual 7-day avg","No usage")))</f>
        <v/>
      </c>
      <c r="L98" s="72" t="str">
        <f aca="false">IF($A98="","",IF($J98&gt;0,MAX(0,$E98)/$J98,""))</f>
        <v/>
      </c>
      <c r="M98" s="73" t="str">
        <f aca="false">IF(OR($A98="",$L98=""),"",IF($E98&lt;=0,"OUT",WORKDAY.INTL(AsOfDate,ROUNDUP($L98,0),WeekendMask,Holidays)))</f>
        <v/>
      </c>
      <c r="N98" s="74" t="str">
        <f aca="false">IF($A98="","",SUMIFS(Del_Qty,Del_Site,$A98,Del_Mat,$B98,Del_Date,"&gt;"&amp;AsOfDate))</f>
        <v/>
      </c>
      <c r="O98" s="73" t="str">
        <f aca="false">IF(OR($A98="",N($N98)&lt;=0),"",SUMPRODUCT(MIN((Del_Site=$A98)*(Del_Mat=$B98)*(Del_Date&gt;AsOfDate)*Del_Date+(1-(Del_Site=$A98)*(Del_Mat=$B98)*(Del_Date&gt;AsOfDate))*1000000000)))</f>
        <v/>
      </c>
      <c r="P98" s="74" t="str">
        <f aca="false">IF($A98="","",IF(ISNUMBER($M98),SUMIFS(Del_Qty,Del_Site,$A98,Del_Mat,$B98,Del_Date,"&gt;"&amp;AsOfDate,Del_Date,"&lt;="&amp;$M98),0))</f>
        <v/>
      </c>
      <c r="Q98" s="75" t="str">
        <f aca="false">IF(OR($A98="",$J98&lt;=0),"",IF($P98&gt;0,(MAX(0,$E98)+$N98)/$J98,$L98))</f>
        <v/>
      </c>
      <c r="R98" s="75" t="str">
        <f aca="false">IF($A98="","",IFERROR(INDEX(Mat_Lead,MATCH($B98,Mat_Code,0)),0))</f>
        <v/>
      </c>
      <c r="S98" s="75" t="str">
        <f aca="false">IF($A98="","",IFERROR(INDEX(Mat_Safety,MATCH($B98,Mat_Code,0)),0))</f>
        <v/>
      </c>
      <c r="T98" s="67" t="str">
        <f aca="false">IF($A98="","",$J98*($R98+$S98))</f>
        <v/>
      </c>
      <c r="U98" s="76" t="str">
        <f aca="false">IF($A98="","",IF($E98&lt;=0,"OUT OF STOCK",IF($J98&lt;=0,"NO USAGE",IF($Q98&lt;=$R98,"CRITICAL",IF($Q98&lt;=$R98+$S98,"REORDER","OK")))))</f>
        <v/>
      </c>
      <c r="V98" s="73" t="str">
        <f aca="false">IF(OR($A98="",$U98="NO USAGE"),"",IF(OR($U98="OUT OF STOCK",$Q98&lt;=$R98+$S98),"NOW",WORKDAY.INTL(AsOfDate,INT($Q98-$R98-$S98),WeekendMask,Holidays)))</f>
        <v/>
      </c>
      <c r="W98" s="73" t="str">
        <f aca="false">IF(OR($A98="",$U98="NO USAGE"),"",IF(OR($U98="OUT OF STOCK",$Q98&lt;=$R98),"NOW",WORKDAY.INTL(AsOfDate,ROUNDUP($Q98-$R98,0),WeekendMask,Holidays)))</f>
        <v/>
      </c>
      <c r="X98" s="77" t="str">
        <f aca="false">IF($A98="","",IF(OR($U98="CRITICAL",$U98="REORDER",$U98="OUT OF STOCK"),IF($F98&gt;0,ROUNDUP(MAX(0,$F98-MAX(0,MAX(0,$E98)+$N98-$J98*$R98)),0),"Set capacity"),0))</f>
        <v/>
      </c>
      <c r="Y98" s="16" t="str">
        <f aca="false">IF($A98="","",IF($U98="OUT OF STOCK","Out of stock – production at risk."&amp;IF($N98&gt;0," Next delivery "&amp;TEXT($O98,"ddd dd-mmm")&amp;": expedite it."," Order and expedite now."),IF($U98="CRITICAL",IF(AND($N98&gt;0,$P98&lt;=0),"URGENT – runs out about "&amp;TEXT($M98,"ddd dd-mmm")&amp;", before the next delivery ("&amp;TEXT($O98,"ddd dd-mmm")&amp;"). Expedite it.","URGENT – runs out about "&amp;TEXT($M98,"ddd dd-mmm")&amp;"; a normal order takes "&amp;$R98&amp;" days. Order and expedite now."),IF($U98="REORDER","Order now (about "&amp;TEXT($X98,"#,##0")&amp;" "&amp;$D98&amp;") – becomes critical "&amp;TEXT($W98,"ddd dd-mmm")&amp;".",IF($U98="NO USAGE","No planned or recent usage.","OK – next order by "&amp;TEXT($V98,"ddd dd-mmm")&amp;IF($N98&gt;0,"; "&amp;TEXT($N98,"#,##0")&amp;" "&amp;$D98&amp;" on order (next "&amp;TEXT($O98,"dd-mmm")&amp;")","")&amp;".")))))</f>
        <v/>
      </c>
      <c r="Z98" s="78" t="n">
        <f aca="false">IF(OR($A98="",$V98=""),1000000000,IF($V98="NOW",AsOfDate,$V98))</f>
        <v>1000000000</v>
      </c>
      <c r="AA98" s="78" t="n">
        <f aca="false">IF(OR($A98="",$W98=""),1000000000,IF($W98="NOW",AsOfDate,$W98))</f>
        <v>1000000000</v>
      </c>
      <c r="AB98" s="78" t="n">
        <f aca="false">IF(OR($A98="",$M98=""),1000000000,IF($M98="OUT",AsOfDate,$M98))</f>
        <v>1000000000</v>
      </c>
    </row>
    <row r="99" customFormat="false" ht="15" hidden="false" customHeight="false" outlineLevel="0" collapsed="false">
      <c r="A99" s="16" t="str">
        <f aca="false">IF(ISNUMBER('Current Inventory'!$J99),'Current Inventory'!$A99,"")</f>
        <v/>
      </c>
      <c r="B99" s="64" t="str">
        <f aca="false">IF($A99="","",'Current Inventory'!$B99)</f>
        <v/>
      </c>
      <c r="C99" s="16" t="str">
        <f aca="false">IF($A99="","",'Current Inventory'!$C99)</f>
        <v/>
      </c>
      <c r="D99" s="64" t="str">
        <f aca="false">IF($A99="","",'Current Inventory'!$D99)</f>
        <v/>
      </c>
      <c r="E99" s="67" t="str">
        <f aca="false">IF($A99="","",'Current Inventory'!$J99)</f>
        <v/>
      </c>
      <c r="F99" s="67" t="str">
        <f aca="false">IF($A99="","",N('Current Inventory'!$G99))</f>
        <v/>
      </c>
      <c r="G99" s="69" t="str">
        <f aca="false">IF($A99="","",'Current Inventory'!$K99)</f>
        <v/>
      </c>
      <c r="H99" s="67" t="str">
        <f aca="false">IF($A99="","",IFERROR(SUMIFS(INDEX(PP_Daily,0,MATCH($B99,Mat_Code,0)),PP_Site,$A99),0))</f>
        <v/>
      </c>
      <c r="I99" s="67" t="str">
        <f aca="false">IF($A99="","",IFERROR(SUMIFS(INDEX(Con_Use,0,MATCH($B99,Mat_Code,0)),Con_Site,$A99,Con_Date,"&gt;"&amp;(AsOfDate-7),Con_Date,"&lt;="&amp;AsOfDate)/MAX(1,NETWORKDAYS.INTL(AsOfDate-6,AsOfDate,WeekendMask,Holidays)),0))</f>
        <v/>
      </c>
      <c r="J99" s="67" t="str">
        <f aca="false">IF($A99="","",IF($H99&gt;0,$H99,$I99))</f>
        <v/>
      </c>
      <c r="K99" s="64" t="str">
        <f aca="false">IF($A99="","",IF($H99&gt;0,"Plan",IF($I99&gt;0,"Actual 7-day avg","No usage")))</f>
        <v/>
      </c>
      <c r="L99" s="72" t="str">
        <f aca="false">IF($A99="","",IF($J99&gt;0,MAX(0,$E99)/$J99,""))</f>
        <v/>
      </c>
      <c r="M99" s="73" t="str">
        <f aca="false">IF(OR($A99="",$L99=""),"",IF($E99&lt;=0,"OUT",WORKDAY.INTL(AsOfDate,ROUNDUP($L99,0),WeekendMask,Holidays)))</f>
        <v/>
      </c>
      <c r="N99" s="74" t="str">
        <f aca="false">IF($A99="","",SUMIFS(Del_Qty,Del_Site,$A99,Del_Mat,$B99,Del_Date,"&gt;"&amp;AsOfDate))</f>
        <v/>
      </c>
      <c r="O99" s="73" t="str">
        <f aca="false">IF(OR($A99="",N($N99)&lt;=0),"",SUMPRODUCT(MIN((Del_Site=$A99)*(Del_Mat=$B99)*(Del_Date&gt;AsOfDate)*Del_Date+(1-(Del_Site=$A99)*(Del_Mat=$B99)*(Del_Date&gt;AsOfDate))*1000000000)))</f>
        <v/>
      </c>
      <c r="P99" s="74" t="str">
        <f aca="false">IF($A99="","",IF(ISNUMBER($M99),SUMIFS(Del_Qty,Del_Site,$A99,Del_Mat,$B99,Del_Date,"&gt;"&amp;AsOfDate,Del_Date,"&lt;="&amp;$M99),0))</f>
        <v/>
      </c>
      <c r="Q99" s="75" t="str">
        <f aca="false">IF(OR($A99="",$J99&lt;=0),"",IF($P99&gt;0,(MAX(0,$E99)+$N99)/$J99,$L99))</f>
        <v/>
      </c>
      <c r="R99" s="75" t="str">
        <f aca="false">IF($A99="","",IFERROR(INDEX(Mat_Lead,MATCH($B99,Mat_Code,0)),0))</f>
        <v/>
      </c>
      <c r="S99" s="75" t="str">
        <f aca="false">IF($A99="","",IFERROR(INDEX(Mat_Safety,MATCH($B99,Mat_Code,0)),0))</f>
        <v/>
      </c>
      <c r="T99" s="67" t="str">
        <f aca="false">IF($A99="","",$J99*($R99+$S99))</f>
        <v/>
      </c>
      <c r="U99" s="76" t="str">
        <f aca="false">IF($A99="","",IF($E99&lt;=0,"OUT OF STOCK",IF($J99&lt;=0,"NO USAGE",IF($Q99&lt;=$R99,"CRITICAL",IF($Q99&lt;=$R99+$S99,"REORDER","OK")))))</f>
        <v/>
      </c>
      <c r="V99" s="73" t="str">
        <f aca="false">IF(OR($A99="",$U99="NO USAGE"),"",IF(OR($U99="OUT OF STOCK",$Q99&lt;=$R99+$S99),"NOW",WORKDAY.INTL(AsOfDate,INT($Q99-$R99-$S99),WeekendMask,Holidays)))</f>
        <v/>
      </c>
      <c r="W99" s="73" t="str">
        <f aca="false">IF(OR($A99="",$U99="NO USAGE"),"",IF(OR($U99="OUT OF STOCK",$Q99&lt;=$R99),"NOW",WORKDAY.INTL(AsOfDate,ROUNDUP($Q99-$R99,0),WeekendMask,Holidays)))</f>
        <v/>
      </c>
      <c r="X99" s="77" t="str">
        <f aca="false">IF($A99="","",IF(OR($U99="CRITICAL",$U99="REORDER",$U99="OUT OF STOCK"),IF($F99&gt;0,ROUNDUP(MAX(0,$F99-MAX(0,MAX(0,$E99)+$N99-$J99*$R99)),0),"Set capacity"),0))</f>
        <v/>
      </c>
      <c r="Y99" s="16" t="str">
        <f aca="false">IF($A99="","",IF($U99="OUT OF STOCK","Out of stock – production at risk."&amp;IF($N99&gt;0," Next delivery "&amp;TEXT($O99,"ddd dd-mmm")&amp;": expedite it."," Order and expedite now."),IF($U99="CRITICAL",IF(AND($N99&gt;0,$P99&lt;=0),"URGENT – runs out about "&amp;TEXT($M99,"ddd dd-mmm")&amp;", before the next delivery ("&amp;TEXT($O99,"ddd dd-mmm")&amp;"). Expedite it.","URGENT – runs out about "&amp;TEXT($M99,"ddd dd-mmm")&amp;"; a normal order takes "&amp;$R99&amp;" days. Order and expedite now."),IF($U99="REORDER","Order now (about "&amp;TEXT($X99,"#,##0")&amp;" "&amp;$D99&amp;") – becomes critical "&amp;TEXT($W99,"ddd dd-mmm")&amp;".",IF($U99="NO USAGE","No planned or recent usage.","OK – next order by "&amp;TEXT($V99,"ddd dd-mmm")&amp;IF($N99&gt;0,"; "&amp;TEXT($N99,"#,##0")&amp;" "&amp;$D99&amp;" on order (next "&amp;TEXT($O99,"dd-mmm")&amp;")","")&amp;".")))))</f>
        <v/>
      </c>
      <c r="Z99" s="78" t="n">
        <f aca="false">IF(OR($A99="",$V99=""),1000000000,IF($V99="NOW",AsOfDate,$V99))</f>
        <v>1000000000</v>
      </c>
      <c r="AA99" s="78" t="n">
        <f aca="false">IF(OR($A99="",$W99=""),1000000000,IF($W99="NOW",AsOfDate,$W99))</f>
        <v>1000000000</v>
      </c>
      <c r="AB99" s="78" t="n">
        <f aca="false">IF(OR($A99="",$M99=""),1000000000,IF($M99="OUT",AsOfDate,$M99))</f>
        <v>1000000000</v>
      </c>
    </row>
    <row r="100" customFormat="false" ht="15" hidden="false" customHeight="false" outlineLevel="0" collapsed="false">
      <c r="A100" s="16" t="str">
        <f aca="false">IF(ISNUMBER('Current Inventory'!$J100),'Current Inventory'!$A100,"")</f>
        <v/>
      </c>
      <c r="B100" s="64" t="str">
        <f aca="false">IF($A100="","",'Current Inventory'!$B100)</f>
        <v/>
      </c>
      <c r="C100" s="16" t="str">
        <f aca="false">IF($A100="","",'Current Inventory'!$C100)</f>
        <v/>
      </c>
      <c r="D100" s="64" t="str">
        <f aca="false">IF($A100="","",'Current Inventory'!$D100)</f>
        <v/>
      </c>
      <c r="E100" s="67" t="str">
        <f aca="false">IF($A100="","",'Current Inventory'!$J100)</f>
        <v/>
      </c>
      <c r="F100" s="67" t="str">
        <f aca="false">IF($A100="","",N('Current Inventory'!$G100))</f>
        <v/>
      </c>
      <c r="G100" s="69" t="str">
        <f aca="false">IF($A100="","",'Current Inventory'!$K100)</f>
        <v/>
      </c>
      <c r="H100" s="67" t="str">
        <f aca="false">IF($A100="","",IFERROR(SUMIFS(INDEX(PP_Daily,0,MATCH($B100,Mat_Code,0)),PP_Site,$A100),0))</f>
        <v/>
      </c>
      <c r="I100" s="67" t="str">
        <f aca="false">IF($A100="","",IFERROR(SUMIFS(INDEX(Con_Use,0,MATCH($B100,Mat_Code,0)),Con_Site,$A100,Con_Date,"&gt;"&amp;(AsOfDate-7),Con_Date,"&lt;="&amp;AsOfDate)/MAX(1,NETWORKDAYS.INTL(AsOfDate-6,AsOfDate,WeekendMask,Holidays)),0))</f>
        <v/>
      </c>
      <c r="J100" s="67" t="str">
        <f aca="false">IF($A100="","",IF($H100&gt;0,$H100,$I100))</f>
        <v/>
      </c>
      <c r="K100" s="64" t="str">
        <f aca="false">IF($A100="","",IF($H100&gt;0,"Plan",IF($I100&gt;0,"Actual 7-day avg","No usage")))</f>
        <v/>
      </c>
      <c r="L100" s="72" t="str">
        <f aca="false">IF($A100="","",IF($J100&gt;0,MAX(0,$E100)/$J100,""))</f>
        <v/>
      </c>
      <c r="M100" s="73" t="str">
        <f aca="false">IF(OR($A100="",$L100=""),"",IF($E100&lt;=0,"OUT",WORKDAY.INTL(AsOfDate,ROUNDUP($L100,0),WeekendMask,Holidays)))</f>
        <v/>
      </c>
      <c r="N100" s="74" t="str">
        <f aca="false">IF($A100="","",SUMIFS(Del_Qty,Del_Site,$A100,Del_Mat,$B100,Del_Date,"&gt;"&amp;AsOfDate))</f>
        <v/>
      </c>
      <c r="O100" s="73" t="str">
        <f aca="false">IF(OR($A100="",N($N100)&lt;=0),"",SUMPRODUCT(MIN((Del_Site=$A100)*(Del_Mat=$B100)*(Del_Date&gt;AsOfDate)*Del_Date+(1-(Del_Site=$A100)*(Del_Mat=$B100)*(Del_Date&gt;AsOfDate))*1000000000)))</f>
        <v/>
      </c>
      <c r="P100" s="74" t="str">
        <f aca="false">IF($A100="","",IF(ISNUMBER($M100),SUMIFS(Del_Qty,Del_Site,$A100,Del_Mat,$B100,Del_Date,"&gt;"&amp;AsOfDate,Del_Date,"&lt;="&amp;$M100),0))</f>
        <v/>
      </c>
      <c r="Q100" s="75" t="str">
        <f aca="false">IF(OR($A100="",$J100&lt;=0),"",IF($P100&gt;0,(MAX(0,$E100)+$N100)/$J100,$L100))</f>
        <v/>
      </c>
      <c r="R100" s="75" t="str">
        <f aca="false">IF($A100="","",IFERROR(INDEX(Mat_Lead,MATCH($B100,Mat_Code,0)),0))</f>
        <v/>
      </c>
      <c r="S100" s="75" t="str">
        <f aca="false">IF($A100="","",IFERROR(INDEX(Mat_Safety,MATCH($B100,Mat_Code,0)),0))</f>
        <v/>
      </c>
      <c r="T100" s="67" t="str">
        <f aca="false">IF($A100="","",$J100*($R100+$S100))</f>
        <v/>
      </c>
      <c r="U100" s="76" t="str">
        <f aca="false">IF($A100="","",IF($E100&lt;=0,"OUT OF STOCK",IF($J100&lt;=0,"NO USAGE",IF($Q100&lt;=$R100,"CRITICAL",IF($Q100&lt;=$R100+$S100,"REORDER","OK")))))</f>
        <v/>
      </c>
      <c r="V100" s="73" t="str">
        <f aca="false">IF(OR($A100="",$U100="NO USAGE"),"",IF(OR($U100="OUT OF STOCK",$Q100&lt;=$R100+$S100),"NOW",WORKDAY.INTL(AsOfDate,INT($Q100-$R100-$S100),WeekendMask,Holidays)))</f>
        <v/>
      </c>
      <c r="W100" s="73" t="str">
        <f aca="false">IF(OR($A100="",$U100="NO USAGE"),"",IF(OR($U100="OUT OF STOCK",$Q100&lt;=$R100),"NOW",WORKDAY.INTL(AsOfDate,ROUNDUP($Q100-$R100,0),WeekendMask,Holidays)))</f>
        <v/>
      </c>
      <c r="X100" s="77" t="str">
        <f aca="false">IF($A100="","",IF(OR($U100="CRITICAL",$U100="REORDER",$U100="OUT OF STOCK"),IF($F100&gt;0,ROUNDUP(MAX(0,$F100-MAX(0,MAX(0,$E100)+$N100-$J100*$R100)),0),"Set capacity"),0))</f>
        <v/>
      </c>
      <c r="Y100" s="16" t="str">
        <f aca="false">IF($A100="","",IF($U100="OUT OF STOCK","Out of stock – production at risk."&amp;IF($N100&gt;0," Next delivery "&amp;TEXT($O100,"ddd dd-mmm")&amp;": expedite it."," Order and expedite now."),IF($U100="CRITICAL",IF(AND($N100&gt;0,$P100&lt;=0),"URGENT – runs out about "&amp;TEXT($M100,"ddd dd-mmm")&amp;", before the next delivery ("&amp;TEXT($O100,"ddd dd-mmm")&amp;"). Expedite it.","URGENT – runs out about "&amp;TEXT($M100,"ddd dd-mmm")&amp;"; a normal order takes "&amp;$R100&amp;" days. Order and expedite now."),IF($U100="REORDER","Order now (about "&amp;TEXT($X100,"#,##0")&amp;" "&amp;$D100&amp;") – becomes critical "&amp;TEXT($W100,"ddd dd-mmm")&amp;".",IF($U100="NO USAGE","No planned or recent usage.","OK – next order by "&amp;TEXT($V100,"ddd dd-mmm")&amp;IF($N100&gt;0,"; "&amp;TEXT($N100,"#,##0")&amp;" "&amp;$D100&amp;" on order (next "&amp;TEXT($O100,"dd-mmm")&amp;")","")&amp;".")))))</f>
        <v/>
      </c>
      <c r="Z100" s="78" t="n">
        <f aca="false">IF(OR($A100="",$V100=""),1000000000,IF($V100="NOW",AsOfDate,$V100))</f>
        <v>1000000000</v>
      </c>
      <c r="AA100" s="78" t="n">
        <f aca="false">IF(OR($A100="",$W100=""),1000000000,IF($W100="NOW",AsOfDate,$W100))</f>
        <v>1000000000</v>
      </c>
      <c r="AB100" s="78" t="n">
        <f aca="false">IF(OR($A100="",$M100=""),1000000000,IF($M100="OUT",AsOfDate,$M100))</f>
        <v>1000000000</v>
      </c>
    </row>
    <row r="101" customFormat="false" ht="15" hidden="false" customHeight="false" outlineLevel="0" collapsed="false">
      <c r="A101" s="16" t="str">
        <f aca="false">IF(ISNUMBER('Current Inventory'!$J101),'Current Inventory'!$A101,"")</f>
        <v/>
      </c>
      <c r="B101" s="64" t="str">
        <f aca="false">IF($A101="","",'Current Inventory'!$B101)</f>
        <v/>
      </c>
      <c r="C101" s="16" t="str">
        <f aca="false">IF($A101="","",'Current Inventory'!$C101)</f>
        <v/>
      </c>
      <c r="D101" s="64" t="str">
        <f aca="false">IF($A101="","",'Current Inventory'!$D101)</f>
        <v/>
      </c>
      <c r="E101" s="67" t="str">
        <f aca="false">IF($A101="","",'Current Inventory'!$J101)</f>
        <v/>
      </c>
      <c r="F101" s="67" t="str">
        <f aca="false">IF($A101="","",N('Current Inventory'!$G101))</f>
        <v/>
      </c>
      <c r="G101" s="69" t="str">
        <f aca="false">IF($A101="","",'Current Inventory'!$K101)</f>
        <v/>
      </c>
      <c r="H101" s="67" t="str">
        <f aca="false">IF($A101="","",IFERROR(SUMIFS(INDEX(PP_Daily,0,MATCH($B101,Mat_Code,0)),PP_Site,$A101),0))</f>
        <v/>
      </c>
      <c r="I101" s="67" t="str">
        <f aca="false">IF($A101="","",IFERROR(SUMIFS(INDEX(Con_Use,0,MATCH($B101,Mat_Code,0)),Con_Site,$A101,Con_Date,"&gt;"&amp;(AsOfDate-7),Con_Date,"&lt;="&amp;AsOfDate)/MAX(1,NETWORKDAYS.INTL(AsOfDate-6,AsOfDate,WeekendMask,Holidays)),0))</f>
        <v/>
      </c>
      <c r="J101" s="67" t="str">
        <f aca="false">IF($A101="","",IF($H101&gt;0,$H101,$I101))</f>
        <v/>
      </c>
      <c r="K101" s="64" t="str">
        <f aca="false">IF($A101="","",IF($H101&gt;0,"Plan",IF($I101&gt;0,"Actual 7-day avg","No usage")))</f>
        <v/>
      </c>
      <c r="L101" s="72" t="str">
        <f aca="false">IF($A101="","",IF($J101&gt;0,MAX(0,$E101)/$J101,""))</f>
        <v/>
      </c>
      <c r="M101" s="73" t="str">
        <f aca="false">IF(OR($A101="",$L101=""),"",IF($E101&lt;=0,"OUT",WORKDAY.INTL(AsOfDate,ROUNDUP($L101,0),WeekendMask,Holidays)))</f>
        <v/>
      </c>
      <c r="N101" s="74" t="str">
        <f aca="false">IF($A101="","",SUMIFS(Del_Qty,Del_Site,$A101,Del_Mat,$B101,Del_Date,"&gt;"&amp;AsOfDate))</f>
        <v/>
      </c>
      <c r="O101" s="73" t="str">
        <f aca="false">IF(OR($A101="",N($N101)&lt;=0),"",SUMPRODUCT(MIN((Del_Site=$A101)*(Del_Mat=$B101)*(Del_Date&gt;AsOfDate)*Del_Date+(1-(Del_Site=$A101)*(Del_Mat=$B101)*(Del_Date&gt;AsOfDate))*1000000000)))</f>
        <v/>
      </c>
      <c r="P101" s="74" t="str">
        <f aca="false">IF($A101="","",IF(ISNUMBER($M101),SUMIFS(Del_Qty,Del_Site,$A101,Del_Mat,$B101,Del_Date,"&gt;"&amp;AsOfDate,Del_Date,"&lt;="&amp;$M101),0))</f>
        <v/>
      </c>
      <c r="Q101" s="75" t="str">
        <f aca="false">IF(OR($A101="",$J101&lt;=0),"",IF($P101&gt;0,(MAX(0,$E101)+$N101)/$J101,$L101))</f>
        <v/>
      </c>
      <c r="R101" s="75" t="str">
        <f aca="false">IF($A101="","",IFERROR(INDEX(Mat_Lead,MATCH($B101,Mat_Code,0)),0))</f>
        <v/>
      </c>
      <c r="S101" s="75" t="str">
        <f aca="false">IF($A101="","",IFERROR(INDEX(Mat_Safety,MATCH($B101,Mat_Code,0)),0))</f>
        <v/>
      </c>
      <c r="T101" s="67" t="str">
        <f aca="false">IF($A101="","",$J101*($R101+$S101))</f>
        <v/>
      </c>
      <c r="U101" s="76" t="str">
        <f aca="false">IF($A101="","",IF($E101&lt;=0,"OUT OF STOCK",IF($J101&lt;=0,"NO USAGE",IF($Q101&lt;=$R101,"CRITICAL",IF($Q101&lt;=$R101+$S101,"REORDER","OK")))))</f>
        <v/>
      </c>
      <c r="V101" s="73" t="str">
        <f aca="false">IF(OR($A101="",$U101="NO USAGE"),"",IF(OR($U101="OUT OF STOCK",$Q101&lt;=$R101+$S101),"NOW",WORKDAY.INTL(AsOfDate,INT($Q101-$R101-$S101),WeekendMask,Holidays)))</f>
        <v/>
      </c>
      <c r="W101" s="73" t="str">
        <f aca="false">IF(OR($A101="",$U101="NO USAGE"),"",IF(OR($U101="OUT OF STOCK",$Q101&lt;=$R101),"NOW",WORKDAY.INTL(AsOfDate,ROUNDUP($Q101-$R101,0),WeekendMask,Holidays)))</f>
        <v/>
      </c>
      <c r="X101" s="77" t="str">
        <f aca="false">IF($A101="","",IF(OR($U101="CRITICAL",$U101="REORDER",$U101="OUT OF STOCK"),IF($F101&gt;0,ROUNDUP(MAX(0,$F101-MAX(0,MAX(0,$E101)+$N101-$J101*$R101)),0),"Set capacity"),0))</f>
        <v/>
      </c>
      <c r="Y101" s="16" t="str">
        <f aca="false">IF($A101="","",IF($U101="OUT OF STOCK","Out of stock – production at risk."&amp;IF($N101&gt;0," Next delivery "&amp;TEXT($O101,"ddd dd-mmm")&amp;": expedite it."," Order and expedite now."),IF($U101="CRITICAL",IF(AND($N101&gt;0,$P101&lt;=0),"URGENT – runs out about "&amp;TEXT($M101,"ddd dd-mmm")&amp;", before the next delivery ("&amp;TEXT($O101,"ddd dd-mmm")&amp;"). Expedite it.","URGENT – runs out about "&amp;TEXT($M101,"ddd dd-mmm")&amp;"; a normal order takes "&amp;$R101&amp;" days. Order and expedite now."),IF($U101="REORDER","Order now (about "&amp;TEXT($X101,"#,##0")&amp;" "&amp;$D101&amp;") – becomes critical "&amp;TEXT($W101,"ddd dd-mmm")&amp;".",IF($U101="NO USAGE","No planned or recent usage.","OK – next order by "&amp;TEXT($V101,"ddd dd-mmm")&amp;IF($N101&gt;0,"; "&amp;TEXT($N101,"#,##0")&amp;" "&amp;$D101&amp;" on order (next "&amp;TEXT($O101,"dd-mmm")&amp;")","")&amp;".")))))</f>
        <v/>
      </c>
      <c r="Z101" s="78" t="n">
        <f aca="false">IF(OR($A101="",$V101=""),1000000000,IF($V101="NOW",AsOfDate,$V101))</f>
        <v>1000000000</v>
      </c>
      <c r="AA101" s="78" t="n">
        <f aca="false">IF(OR($A101="",$W101=""),1000000000,IF($W101="NOW",AsOfDate,$W101))</f>
        <v>1000000000</v>
      </c>
      <c r="AB101" s="78" t="n">
        <f aca="false">IF(OR($A101="",$M101=""),1000000000,IF($M101="OUT",AsOfDate,$M101))</f>
        <v>1000000000</v>
      </c>
    </row>
    <row r="102" customFormat="false" ht="15" hidden="false" customHeight="false" outlineLevel="0" collapsed="false">
      <c r="A102" s="16" t="str">
        <f aca="false">IF(ISNUMBER('Current Inventory'!$J102),'Current Inventory'!$A102,"")</f>
        <v/>
      </c>
      <c r="B102" s="64" t="str">
        <f aca="false">IF($A102="","",'Current Inventory'!$B102)</f>
        <v/>
      </c>
      <c r="C102" s="16" t="str">
        <f aca="false">IF($A102="","",'Current Inventory'!$C102)</f>
        <v/>
      </c>
      <c r="D102" s="64" t="str">
        <f aca="false">IF($A102="","",'Current Inventory'!$D102)</f>
        <v/>
      </c>
      <c r="E102" s="67" t="str">
        <f aca="false">IF($A102="","",'Current Inventory'!$J102)</f>
        <v/>
      </c>
      <c r="F102" s="67" t="str">
        <f aca="false">IF($A102="","",N('Current Inventory'!$G102))</f>
        <v/>
      </c>
      <c r="G102" s="69" t="str">
        <f aca="false">IF($A102="","",'Current Inventory'!$K102)</f>
        <v/>
      </c>
      <c r="H102" s="67" t="str">
        <f aca="false">IF($A102="","",IFERROR(SUMIFS(INDEX(PP_Daily,0,MATCH($B102,Mat_Code,0)),PP_Site,$A102),0))</f>
        <v/>
      </c>
      <c r="I102" s="67" t="str">
        <f aca="false">IF($A102="","",IFERROR(SUMIFS(INDEX(Con_Use,0,MATCH($B102,Mat_Code,0)),Con_Site,$A102,Con_Date,"&gt;"&amp;(AsOfDate-7),Con_Date,"&lt;="&amp;AsOfDate)/MAX(1,NETWORKDAYS.INTL(AsOfDate-6,AsOfDate,WeekendMask,Holidays)),0))</f>
        <v/>
      </c>
      <c r="J102" s="67" t="str">
        <f aca="false">IF($A102="","",IF($H102&gt;0,$H102,$I102))</f>
        <v/>
      </c>
      <c r="K102" s="64" t="str">
        <f aca="false">IF($A102="","",IF($H102&gt;0,"Plan",IF($I102&gt;0,"Actual 7-day avg","No usage")))</f>
        <v/>
      </c>
      <c r="L102" s="72" t="str">
        <f aca="false">IF($A102="","",IF($J102&gt;0,MAX(0,$E102)/$J102,""))</f>
        <v/>
      </c>
      <c r="M102" s="73" t="str">
        <f aca="false">IF(OR($A102="",$L102=""),"",IF($E102&lt;=0,"OUT",WORKDAY.INTL(AsOfDate,ROUNDUP($L102,0),WeekendMask,Holidays)))</f>
        <v/>
      </c>
      <c r="N102" s="74" t="str">
        <f aca="false">IF($A102="","",SUMIFS(Del_Qty,Del_Site,$A102,Del_Mat,$B102,Del_Date,"&gt;"&amp;AsOfDate))</f>
        <v/>
      </c>
      <c r="O102" s="73" t="str">
        <f aca="false">IF(OR($A102="",N($N102)&lt;=0),"",SUMPRODUCT(MIN((Del_Site=$A102)*(Del_Mat=$B102)*(Del_Date&gt;AsOfDate)*Del_Date+(1-(Del_Site=$A102)*(Del_Mat=$B102)*(Del_Date&gt;AsOfDate))*1000000000)))</f>
        <v/>
      </c>
      <c r="P102" s="74" t="str">
        <f aca="false">IF($A102="","",IF(ISNUMBER($M102),SUMIFS(Del_Qty,Del_Site,$A102,Del_Mat,$B102,Del_Date,"&gt;"&amp;AsOfDate,Del_Date,"&lt;="&amp;$M102),0))</f>
        <v/>
      </c>
      <c r="Q102" s="75" t="str">
        <f aca="false">IF(OR($A102="",$J102&lt;=0),"",IF($P102&gt;0,(MAX(0,$E102)+$N102)/$J102,$L102))</f>
        <v/>
      </c>
      <c r="R102" s="75" t="str">
        <f aca="false">IF($A102="","",IFERROR(INDEX(Mat_Lead,MATCH($B102,Mat_Code,0)),0))</f>
        <v/>
      </c>
      <c r="S102" s="75" t="str">
        <f aca="false">IF($A102="","",IFERROR(INDEX(Mat_Safety,MATCH($B102,Mat_Code,0)),0))</f>
        <v/>
      </c>
      <c r="T102" s="67" t="str">
        <f aca="false">IF($A102="","",$J102*($R102+$S102))</f>
        <v/>
      </c>
      <c r="U102" s="76" t="str">
        <f aca="false">IF($A102="","",IF($E102&lt;=0,"OUT OF STOCK",IF($J102&lt;=0,"NO USAGE",IF($Q102&lt;=$R102,"CRITICAL",IF($Q102&lt;=$R102+$S102,"REORDER","OK")))))</f>
        <v/>
      </c>
      <c r="V102" s="73" t="str">
        <f aca="false">IF(OR($A102="",$U102="NO USAGE"),"",IF(OR($U102="OUT OF STOCK",$Q102&lt;=$R102+$S102),"NOW",WORKDAY.INTL(AsOfDate,INT($Q102-$R102-$S102),WeekendMask,Holidays)))</f>
        <v/>
      </c>
      <c r="W102" s="73" t="str">
        <f aca="false">IF(OR($A102="",$U102="NO USAGE"),"",IF(OR($U102="OUT OF STOCK",$Q102&lt;=$R102),"NOW",WORKDAY.INTL(AsOfDate,ROUNDUP($Q102-$R102,0),WeekendMask,Holidays)))</f>
        <v/>
      </c>
      <c r="X102" s="77" t="str">
        <f aca="false">IF($A102="","",IF(OR($U102="CRITICAL",$U102="REORDER",$U102="OUT OF STOCK"),IF($F102&gt;0,ROUNDUP(MAX(0,$F102-MAX(0,MAX(0,$E102)+$N102-$J102*$R102)),0),"Set capacity"),0))</f>
        <v/>
      </c>
      <c r="Y102" s="16" t="str">
        <f aca="false">IF($A102="","",IF($U102="OUT OF STOCK","Out of stock – production at risk."&amp;IF($N102&gt;0," Next delivery "&amp;TEXT($O102,"ddd dd-mmm")&amp;": expedite it."," Order and expedite now."),IF($U102="CRITICAL",IF(AND($N102&gt;0,$P102&lt;=0),"URGENT – runs out about "&amp;TEXT($M102,"ddd dd-mmm")&amp;", before the next delivery ("&amp;TEXT($O102,"ddd dd-mmm")&amp;"). Expedite it.","URGENT – runs out about "&amp;TEXT($M102,"ddd dd-mmm")&amp;"; a normal order takes "&amp;$R102&amp;" days. Order and expedite now."),IF($U102="REORDER","Order now (about "&amp;TEXT($X102,"#,##0")&amp;" "&amp;$D102&amp;") – becomes critical "&amp;TEXT($W102,"ddd dd-mmm")&amp;".",IF($U102="NO USAGE","No planned or recent usage.","OK – next order by "&amp;TEXT($V102,"ddd dd-mmm")&amp;IF($N102&gt;0,"; "&amp;TEXT($N102,"#,##0")&amp;" "&amp;$D102&amp;" on order (next "&amp;TEXT($O102,"dd-mmm")&amp;")","")&amp;".")))))</f>
        <v/>
      </c>
      <c r="Z102" s="78" t="n">
        <f aca="false">IF(OR($A102="",$V102=""),1000000000,IF($V102="NOW",AsOfDate,$V102))</f>
        <v>1000000000</v>
      </c>
      <c r="AA102" s="78" t="n">
        <f aca="false">IF(OR($A102="",$W102=""),1000000000,IF($W102="NOW",AsOfDate,$W102))</f>
        <v>1000000000</v>
      </c>
      <c r="AB102" s="78" t="n">
        <f aca="false">IF(OR($A102="",$M102=""),1000000000,IF($M102="OUT",AsOfDate,$M102))</f>
        <v>1000000000</v>
      </c>
    </row>
    <row r="103" customFormat="false" ht="15" hidden="false" customHeight="false" outlineLevel="0" collapsed="false">
      <c r="A103" s="16" t="str">
        <f aca="false">IF(ISNUMBER('Current Inventory'!$J103),'Current Inventory'!$A103,"")</f>
        <v/>
      </c>
      <c r="B103" s="64" t="str">
        <f aca="false">IF($A103="","",'Current Inventory'!$B103)</f>
        <v/>
      </c>
      <c r="C103" s="16" t="str">
        <f aca="false">IF($A103="","",'Current Inventory'!$C103)</f>
        <v/>
      </c>
      <c r="D103" s="64" t="str">
        <f aca="false">IF($A103="","",'Current Inventory'!$D103)</f>
        <v/>
      </c>
      <c r="E103" s="67" t="str">
        <f aca="false">IF($A103="","",'Current Inventory'!$J103)</f>
        <v/>
      </c>
      <c r="F103" s="67" t="str">
        <f aca="false">IF($A103="","",N('Current Inventory'!$G103))</f>
        <v/>
      </c>
      <c r="G103" s="69" t="str">
        <f aca="false">IF($A103="","",'Current Inventory'!$K103)</f>
        <v/>
      </c>
      <c r="H103" s="67" t="str">
        <f aca="false">IF($A103="","",IFERROR(SUMIFS(INDEX(PP_Daily,0,MATCH($B103,Mat_Code,0)),PP_Site,$A103),0))</f>
        <v/>
      </c>
      <c r="I103" s="67" t="str">
        <f aca="false">IF($A103="","",IFERROR(SUMIFS(INDEX(Con_Use,0,MATCH($B103,Mat_Code,0)),Con_Site,$A103,Con_Date,"&gt;"&amp;(AsOfDate-7),Con_Date,"&lt;="&amp;AsOfDate)/MAX(1,NETWORKDAYS.INTL(AsOfDate-6,AsOfDate,WeekendMask,Holidays)),0))</f>
        <v/>
      </c>
      <c r="J103" s="67" t="str">
        <f aca="false">IF($A103="","",IF($H103&gt;0,$H103,$I103))</f>
        <v/>
      </c>
      <c r="K103" s="64" t="str">
        <f aca="false">IF($A103="","",IF($H103&gt;0,"Plan",IF($I103&gt;0,"Actual 7-day avg","No usage")))</f>
        <v/>
      </c>
      <c r="L103" s="72" t="str">
        <f aca="false">IF($A103="","",IF($J103&gt;0,MAX(0,$E103)/$J103,""))</f>
        <v/>
      </c>
      <c r="M103" s="73" t="str">
        <f aca="false">IF(OR($A103="",$L103=""),"",IF($E103&lt;=0,"OUT",WORKDAY.INTL(AsOfDate,ROUNDUP($L103,0),WeekendMask,Holidays)))</f>
        <v/>
      </c>
      <c r="N103" s="74" t="str">
        <f aca="false">IF($A103="","",SUMIFS(Del_Qty,Del_Site,$A103,Del_Mat,$B103,Del_Date,"&gt;"&amp;AsOfDate))</f>
        <v/>
      </c>
      <c r="O103" s="73" t="str">
        <f aca="false">IF(OR($A103="",N($N103)&lt;=0),"",SUMPRODUCT(MIN((Del_Site=$A103)*(Del_Mat=$B103)*(Del_Date&gt;AsOfDate)*Del_Date+(1-(Del_Site=$A103)*(Del_Mat=$B103)*(Del_Date&gt;AsOfDate))*1000000000)))</f>
        <v/>
      </c>
      <c r="P103" s="74" t="str">
        <f aca="false">IF($A103="","",IF(ISNUMBER($M103),SUMIFS(Del_Qty,Del_Site,$A103,Del_Mat,$B103,Del_Date,"&gt;"&amp;AsOfDate,Del_Date,"&lt;="&amp;$M103),0))</f>
        <v/>
      </c>
      <c r="Q103" s="75" t="str">
        <f aca="false">IF(OR($A103="",$J103&lt;=0),"",IF($P103&gt;0,(MAX(0,$E103)+$N103)/$J103,$L103))</f>
        <v/>
      </c>
      <c r="R103" s="75" t="str">
        <f aca="false">IF($A103="","",IFERROR(INDEX(Mat_Lead,MATCH($B103,Mat_Code,0)),0))</f>
        <v/>
      </c>
      <c r="S103" s="75" t="str">
        <f aca="false">IF($A103="","",IFERROR(INDEX(Mat_Safety,MATCH($B103,Mat_Code,0)),0))</f>
        <v/>
      </c>
      <c r="T103" s="67" t="str">
        <f aca="false">IF($A103="","",$J103*($R103+$S103))</f>
        <v/>
      </c>
      <c r="U103" s="76" t="str">
        <f aca="false">IF($A103="","",IF($E103&lt;=0,"OUT OF STOCK",IF($J103&lt;=0,"NO USAGE",IF($Q103&lt;=$R103,"CRITICAL",IF($Q103&lt;=$R103+$S103,"REORDER","OK")))))</f>
        <v/>
      </c>
      <c r="V103" s="73" t="str">
        <f aca="false">IF(OR($A103="",$U103="NO USAGE"),"",IF(OR($U103="OUT OF STOCK",$Q103&lt;=$R103+$S103),"NOW",WORKDAY.INTL(AsOfDate,INT($Q103-$R103-$S103),WeekendMask,Holidays)))</f>
        <v/>
      </c>
      <c r="W103" s="73" t="str">
        <f aca="false">IF(OR($A103="",$U103="NO USAGE"),"",IF(OR($U103="OUT OF STOCK",$Q103&lt;=$R103),"NOW",WORKDAY.INTL(AsOfDate,ROUNDUP($Q103-$R103,0),WeekendMask,Holidays)))</f>
        <v/>
      </c>
      <c r="X103" s="77" t="str">
        <f aca="false">IF($A103="","",IF(OR($U103="CRITICAL",$U103="REORDER",$U103="OUT OF STOCK"),IF($F103&gt;0,ROUNDUP(MAX(0,$F103-MAX(0,MAX(0,$E103)+$N103-$J103*$R103)),0),"Set capacity"),0))</f>
        <v/>
      </c>
      <c r="Y103" s="16" t="str">
        <f aca="false">IF($A103="","",IF($U103="OUT OF STOCK","Out of stock – production at risk."&amp;IF($N103&gt;0," Next delivery "&amp;TEXT($O103,"ddd dd-mmm")&amp;": expedite it."," Order and expedite now."),IF($U103="CRITICAL",IF(AND($N103&gt;0,$P103&lt;=0),"URGENT – runs out about "&amp;TEXT($M103,"ddd dd-mmm")&amp;", before the next delivery ("&amp;TEXT($O103,"ddd dd-mmm")&amp;"). Expedite it.","URGENT – runs out about "&amp;TEXT($M103,"ddd dd-mmm")&amp;"; a normal order takes "&amp;$R103&amp;" days. Order and expedite now."),IF($U103="REORDER","Order now (about "&amp;TEXT($X103,"#,##0")&amp;" "&amp;$D103&amp;") – becomes critical "&amp;TEXT($W103,"ddd dd-mmm")&amp;".",IF($U103="NO USAGE","No planned or recent usage.","OK – next order by "&amp;TEXT($V103,"ddd dd-mmm")&amp;IF($N103&gt;0,"; "&amp;TEXT($N103,"#,##0")&amp;" "&amp;$D103&amp;" on order (next "&amp;TEXT($O103,"dd-mmm")&amp;")","")&amp;".")))))</f>
        <v/>
      </c>
      <c r="Z103" s="78" t="n">
        <f aca="false">IF(OR($A103="",$V103=""),1000000000,IF($V103="NOW",AsOfDate,$V103))</f>
        <v>1000000000</v>
      </c>
      <c r="AA103" s="78" t="n">
        <f aca="false">IF(OR($A103="",$W103=""),1000000000,IF($W103="NOW",AsOfDate,$W103))</f>
        <v>1000000000</v>
      </c>
      <c r="AB103" s="78" t="n">
        <f aca="false">IF(OR($A103="",$M103=""),1000000000,IF($M103="OUT",AsOfDate,$M103))</f>
        <v>1000000000</v>
      </c>
    </row>
    <row r="104" customFormat="false" ht="15" hidden="false" customHeight="false" outlineLevel="0" collapsed="false">
      <c r="A104" s="16" t="str">
        <f aca="false">IF(ISNUMBER('Current Inventory'!$J104),'Current Inventory'!$A104,"")</f>
        <v/>
      </c>
      <c r="B104" s="64" t="str">
        <f aca="false">IF($A104="","",'Current Inventory'!$B104)</f>
        <v/>
      </c>
      <c r="C104" s="16" t="str">
        <f aca="false">IF($A104="","",'Current Inventory'!$C104)</f>
        <v/>
      </c>
      <c r="D104" s="64" t="str">
        <f aca="false">IF($A104="","",'Current Inventory'!$D104)</f>
        <v/>
      </c>
      <c r="E104" s="67" t="str">
        <f aca="false">IF($A104="","",'Current Inventory'!$J104)</f>
        <v/>
      </c>
      <c r="F104" s="67" t="str">
        <f aca="false">IF($A104="","",N('Current Inventory'!$G104))</f>
        <v/>
      </c>
      <c r="G104" s="69" t="str">
        <f aca="false">IF($A104="","",'Current Inventory'!$K104)</f>
        <v/>
      </c>
      <c r="H104" s="67" t="str">
        <f aca="false">IF($A104="","",IFERROR(SUMIFS(INDEX(PP_Daily,0,MATCH($B104,Mat_Code,0)),PP_Site,$A104),0))</f>
        <v/>
      </c>
      <c r="I104" s="67" t="str">
        <f aca="false">IF($A104="","",IFERROR(SUMIFS(INDEX(Con_Use,0,MATCH($B104,Mat_Code,0)),Con_Site,$A104,Con_Date,"&gt;"&amp;(AsOfDate-7),Con_Date,"&lt;="&amp;AsOfDate)/MAX(1,NETWORKDAYS.INTL(AsOfDate-6,AsOfDate,WeekendMask,Holidays)),0))</f>
        <v/>
      </c>
      <c r="J104" s="67" t="str">
        <f aca="false">IF($A104="","",IF($H104&gt;0,$H104,$I104))</f>
        <v/>
      </c>
      <c r="K104" s="64" t="str">
        <f aca="false">IF($A104="","",IF($H104&gt;0,"Plan",IF($I104&gt;0,"Actual 7-day avg","No usage")))</f>
        <v/>
      </c>
      <c r="L104" s="72" t="str">
        <f aca="false">IF($A104="","",IF($J104&gt;0,MAX(0,$E104)/$J104,""))</f>
        <v/>
      </c>
      <c r="M104" s="73" t="str">
        <f aca="false">IF(OR($A104="",$L104=""),"",IF($E104&lt;=0,"OUT",WORKDAY.INTL(AsOfDate,ROUNDUP($L104,0),WeekendMask,Holidays)))</f>
        <v/>
      </c>
      <c r="N104" s="74" t="str">
        <f aca="false">IF($A104="","",SUMIFS(Del_Qty,Del_Site,$A104,Del_Mat,$B104,Del_Date,"&gt;"&amp;AsOfDate))</f>
        <v/>
      </c>
      <c r="O104" s="73" t="str">
        <f aca="false">IF(OR($A104="",N($N104)&lt;=0),"",SUMPRODUCT(MIN((Del_Site=$A104)*(Del_Mat=$B104)*(Del_Date&gt;AsOfDate)*Del_Date+(1-(Del_Site=$A104)*(Del_Mat=$B104)*(Del_Date&gt;AsOfDate))*1000000000)))</f>
        <v/>
      </c>
      <c r="P104" s="74" t="str">
        <f aca="false">IF($A104="","",IF(ISNUMBER($M104),SUMIFS(Del_Qty,Del_Site,$A104,Del_Mat,$B104,Del_Date,"&gt;"&amp;AsOfDate,Del_Date,"&lt;="&amp;$M104),0))</f>
        <v/>
      </c>
      <c r="Q104" s="75" t="str">
        <f aca="false">IF(OR($A104="",$J104&lt;=0),"",IF($P104&gt;0,(MAX(0,$E104)+$N104)/$J104,$L104))</f>
        <v/>
      </c>
      <c r="R104" s="75" t="str">
        <f aca="false">IF($A104="","",IFERROR(INDEX(Mat_Lead,MATCH($B104,Mat_Code,0)),0))</f>
        <v/>
      </c>
      <c r="S104" s="75" t="str">
        <f aca="false">IF($A104="","",IFERROR(INDEX(Mat_Safety,MATCH($B104,Mat_Code,0)),0))</f>
        <v/>
      </c>
      <c r="T104" s="67" t="str">
        <f aca="false">IF($A104="","",$J104*($R104+$S104))</f>
        <v/>
      </c>
      <c r="U104" s="76" t="str">
        <f aca="false">IF($A104="","",IF($E104&lt;=0,"OUT OF STOCK",IF($J104&lt;=0,"NO USAGE",IF($Q104&lt;=$R104,"CRITICAL",IF($Q104&lt;=$R104+$S104,"REORDER","OK")))))</f>
        <v/>
      </c>
      <c r="V104" s="73" t="str">
        <f aca="false">IF(OR($A104="",$U104="NO USAGE"),"",IF(OR($U104="OUT OF STOCK",$Q104&lt;=$R104+$S104),"NOW",WORKDAY.INTL(AsOfDate,INT($Q104-$R104-$S104),WeekendMask,Holidays)))</f>
        <v/>
      </c>
      <c r="W104" s="73" t="str">
        <f aca="false">IF(OR($A104="",$U104="NO USAGE"),"",IF(OR($U104="OUT OF STOCK",$Q104&lt;=$R104),"NOW",WORKDAY.INTL(AsOfDate,ROUNDUP($Q104-$R104,0),WeekendMask,Holidays)))</f>
        <v/>
      </c>
      <c r="X104" s="77" t="str">
        <f aca="false">IF($A104="","",IF(OR($U104="CRITICAL",$U104="REORDER",$U104="OUT OF STOCK"),IF($F104&gt;0,ROUNDUP(MAX(0,$F104-MAX(0,MAX(0,$E104)+$N104-$J104*$R104)),0),"Set capacity"),0))</f>
        <v/>
      </c>
      <c r="Y104" s="16" t="str">
        <f aca="false">IF($A104="","",IF($U104="OUT OF STOCK","Out of stock – production at risk."&amp;IF($N104&gt;0," Next delivery "&amp;TEXT($O104,"ddd dd-mmm")&amp;": expedite it."," Order and expedite now."),IF($U104="CRITICAL",IF(AND($N104&gt;0,$P104&lt;=0),"URGENT – runs out about "&amp;TEXT($M104,"ddd dd-mmm")&amp;", before the next delivery ("&amp;TEXT($O104,"ddd dd-mmm")&amp;"). Expedite it.","URGENT – runs out about "&amp;TEXT($M104,"ddd dd-mmm")&amp;"; a normal order takes "&amp;$R104&amp;" days. Order and expedite now."),IF($U104="REORDER","Order now (about "&amp;TEXT($X104,"#,##0")&amp;" "&amp;$D104&amp;") – becomes critical "&amp;TEXT($W104,"ddd dd-mmm")&amp;".",IF($U104="NO USAGE","No planned or recent usage.","OK – next order by "&amp;TEXT($V104,"ddd dd-mmm")&amp;IF($N104&gt;0,"; "&amp;TEXT($N104,"#,##0")&amp;" "&amp;$D104&amp;" on order (next "&amp;TEXT($O104,"dd-mmm")&amp;")","")&amp;".")))))</f>
        <v/>
      </c>
      <c r="Z104" s="78" t="n">
        <f aca="false">IF(OR($A104="",$V104=""),1000000000,IF($V104="NOW",AsOfDate,$V104))</f>
        <v>1000000000</v>
      </c>
      <c r="AA104" s="78" t="n">
        <f aca="false">IF(OR($A104="",$W104=""),1000000000,IF($W104="NOW",AsOfDate,$W104))</f>
        <v>1000000000</v>
      </c>
      <c r="AB104" s="78" t="n">
        <f aca="false">IF(OR($A104="",$M104=""),1000000000,IF($M104="OUT",AsOfDate,$M104))</f>
        <v>1000000000</v>
      </c>
    </row>
    <row r="105" customFormat="false" ht="15" hidden="false" customHeight="false" outlineLevel="0" collapsed="false">
      <c r="A105" s="16" t="str">
        <f aca="false">IF(ISNUMBER('Current Inventory'!$J105),'Current Inventory'!$A105,"")</f>
        <v/>
      </c>
      <c r="B105" s="64" t="str">
        <f aca="false">IF($A105="","",'Current Inventory'!$B105)</f>
        <v/>
      </c>
      <c r="C105" s="16" t="str">
        <f aca="false">IF($A105="","",'Current Inventory'!$C105)</f>
        <v/>
      </c>
      <c r="D105" s="64" t="str">
        <f aca="false">IF($A105="","",'Current Inventory'!$D105)</f>
        <v/>
      </c>
      <c r="E105" s="67" t="str">
        <f aca="false">IF($A105="","",'Current Inventory'!$J105)</f>
        <v/>
      </c>
      <c r="F105" s="67" t="str">
        <f aca="false">IF($A105="","",N('Current Inventory'!$G105))</f>
        <v/>
      </c>
      <c r="G105" s="69" t="str">
        <f aca="false">IF($A105="","",'Current Inventory'!$K105)</f>
        <v/>
      </c>
      <c r="H105" s="67" t="str">
        <f aca="false">IF($A105="","",IFERROR(SUMIFS(INDEX(PP_Daily,0,MATCH($B105,Mat_Code,0)),PP_Site,$A105),0))</f>
        <v/>
      </c>
      <c r="I105" s="67" t="str">
        <f aca="false">IF($A105="","",IFERROR(SUMIFS(INDEX(Con_Use,0,MATCH($B105,Mat_Code,0)),Con_Site,$A105,Con_Date,"&gt;"&amp;(AsOfDate-7),Con_Date,"&lt;="&amp;AsOfDate)/MAX(1,NETWORKDAYS.INTL(AsOfDate-6,AsOfDate,WeekendMask,Holidays)),0))</f>
        <v/>
      </c>
      <c r="J105" s="67" t="str">
        <f aca="false">IF($A105="","",IF($H105&gt;0,$H105,$I105))</f>
        <v/>
      </c>
      <c r="K105" s="64" t="str">
        <f aca="false">IF($A105="","",IF($H105&gt;0,"Plan",IF($I105&gt;0,"Actual 7-day avg","No usage")))</f>
        <v/>
      </c>
      <c r="L105" s="72" t="str">
        <f aca="false">IF($A105="","",IF($J105&gt;0,MAX(0,$E105)/$J105,""))</f>
        <v/>
      </c>
      <c r="M105" s="73" t="str">
        <f aca="false">IF(OR($A105="",$L105=""),"",IF($E105&lt;=0,"OUT",WORKDAY.INTL(AsOfDate,ROUNDUP($L105,0),WeekendMask,Holidays)))</f>
        <v/>
      </c>
      <c r="N105" s="74" t="str">
        <f aca="false">IF($A105="","",SUMIFS(Del_Qty,Del_Site,$A105,Del_Mat,$B105,Del_Date,"&gt;"&amp;AsOfDate))</f>
        <v/>
      </c>
      <c r="O105" s="73" t="str">
        <f aca="false">IF(OR($A105="",N($N105)&lt;=0),"",SUMPRODUCT(MIN((Del_Site=$A105)*(Del_Mat=$B105)*(Del_Date&gt;AsOfDate)*Del_Date+(1-(Del_Site=$A105)*(Del_Mat=$B105)*(Del_Date&gt;AsOfDate))*1000000000)))</f>
        <v/>
      </c>
      <c r="P105" s="74" t="str">
        <f aca="false">IF($A105="","",IF(ISNUMBER($M105),SUMIFS(Del_Qty,Del_Site,$A105,Del_Mat,$B105,Del_Date,"&gt;"&amp;AsOfDate,Del_Date,"&lt;="&amp;$M105),0))</f>
        <v/>
      </c>
      <c r="Q105" s="75" t="str">
        <f aca="false">IF(OR($A105="",$J105&lt;=0),"",IF($P105&gt;0,(MAX(0,$E105)+$N105)/$J105,$L105))</f>
        <v/>
      </c>
      <c r="R105" s="75" t="str">
        <f aca="false">IF($A105="","",IFERROR(INDEX(Mat_Lead,MATCH($B105,Mat_Code,0)),0))</f>
        <v/>
      </c>
      <c r="S105" s="75" t="str">
        <f aca="false">IF($A105="","",IFERROR(INDEX(Mat_Safety,MATCH($B105,Mat_Code,0)),0))</f>
        <v/>
      </c>
      <c r="T105" s="67" t="str">
        <f aca="false">IF($A105="","",$J105*($R105+$S105))</f>
        <v/>
      </c>
      <c r="U105" s="76" t="str">
        <f aca="false">IF($A105="","",IF($E105&lt;=0,"OUT OF STOCK",IF($J105&lt;=0,"NO USAGE",IF($Q105&lt;=$R105,"CRITICAL",IF($Q105&lt;=$R105+$S105,"REORDER","OK")))))</f>
        <v/>
      </c>
      <c r="V105" s="73" t="str">
        <f aca="false">IF(OR($A105="",$U105="NO USAGE"),"",IF(OR($U105="OUT OF STOCK",$Q105&lt;=$R105+$S105),"NOW",WORKDAY.INTL(AsOfDate,INT($Q105-$R105-$S105),WeekendMask,Holidays)))</f>
        <v/>
      </c>
      <c r="W105" s="73" t="str">
        <f aca="false">IF(OR($A105="",$U105="NO USAGE"),"",IF(OR($U105="OUT OF STOCK",$Q105&lt;=$R105),"NOW",WORKDAY.INTL(AsOfDate,ROUNDUP($Q105-$R105,0),WeekendMask,Holidays)))</f>
        <v/>
      </c>
      <c r="X105" s="77" t="str">
        <f aca="false">IF($A105="","",IF(OR($U105="CRITICAL",$U105="REORDER",$U105="OUT OF STOCK"),IF($F105&gt;0,ROUNDUP(MAX(0,$F105-MAX(0,MAX(0,$E105)+$N105-$J105*$R105)),0),"Set capacity"),0))</f>
        <v/>
      </c>
      <c r="Y105" s="16" t="str">
        <f aca="false">IF($A105="","",IF($U105="OUT OF STOCK","Out of stock – production at risk."&amp;IF($N105&gt;0," Next delivery "&amp;TEXT($O105,"ddd dd-mmm")&amp;": expedite it."," Order and expedite now."),IF($U105="CRITICAL",IF(AND($N105&gt;0,$P105&lt;=0),"URGENT – runs out about "&amp;TEXT($M105,"ddd dd-mmm")&amp;", before the next delivery ("&amp;TEXT($O105,"ddd dd-mmm")&amp;"). Expedite it.","URGENT – runs out about "&amp;TEXT($M105,"ddd dd-mmm")&amp;"; a normal order takes "&amp;$R105&amp;" days. Order and expedite now."),IF($U105="REORDER","Order now (about "&amp;TEXT($X105,"#,##0")&amp;" "&amp;$D105&amp;") – becomes critical "&amp;TEXT($W105,"ddd dd-mmm")&amp;".",IF($U105="NO USAGE","No planned or recent usage.","OK – next order by "&amp;TEXT($V105,"ddd dd-mmm")&amp;IF($N105&gt;0,"; "&amp;TEXT($N105,"#,##0")&amp;" "&amp;$D105&amp;" on order (next "&amp;TEXT($O105,"dd-mmm")&amp;")","")&amp;".")))))</f>
        <v/>
      </c>
      <c r="Z105" s="78" t="n">
        <f aca="false">IF(OR($A105="",$V105=""),1000000000,IF($V105="NOW",AsOfDate,$V105))</f>
        <v>1000000000</v>
      </c>
      <c r="AA105" s="78" t="n">
        <f aca="false">IF(OR($A105="",$W105=""),1000000000,IF($W105="NOW",AsOfDate,$W105))</f>
        <v>1000000000</v>
      </c>
      <c r="AB105" s="78" t="n">
        <f aca="false">IF(OR($A105="",$M105=""),1000000000,IF($M105="OUT",AsOfDate,$M105))</f>
        <v>1000000000</v>
      </c>
    </row>
  </sheetData>
  <mergeCells count="8">
    <mergeCell ref="A4:D4"/>
    <mergeCell ref="E4:G4"/>
    <mergeCell ref="H4:K4"/>
    <mergeCell ref="L4:M4"/>
    <mergeCell ref="N4:Q4"/>
    <mergeCell ref="R4:T4"/>
    <mergeCell ref="U4:Y4"/>
    <mergeCell ref="Z4:AB4"/>
  </mergeCells>
  <conditionalFormatting sqref="U6:U105">
    <cfRule type="cellIs" priority="2" operator="equal" aboveAverage="0" equalAverage="0" bottom="0" percent="0" rank="0" text="" dxfId="0">
      <formula>"OUT OF STOCK"</formula>
    </cfRule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"REORDER"</formula>
    </cfRule>
    <cfRule type="cellIs" priority="5" operator="equal" aboveAverage="0" equalAverage="0" bottom="0" percent="0" rank="0" text="" dxfId="3">
      <formula>"OK"</formula>
    </cfRule>
    <cfRule type="cellIs" priority="6" operator="equal" aboveAverage="0" equalAverage="0" bottom="0" percent="0" rank="0" text="" dxfId="4">
      <formula>"NO USAGE"</formula>
    </cfRule>
    <cfRule type="cellIs" priority="7" operator="equal" aboveAverage="0" equalAverage="0" bottom="0" percent="0" rank="0" text="" dxfId="4">
      <formula>"NO DATA"</formula>
    </cfRule>
    <cfRule type="cellIs" priority="8" operator="equal" aboveAverage="0" equalAverage="0" bottom="0" percent="0" rank="0" text="" dxfId="4">
      <formula>"NOT SET UP"</formula>
    </cfRule>
  </conditionalFormatting>
  <conditionalFormatting sqref="G6:G105">
    <cfRule type="dataBar" priority="9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{1AB3EF4D-10D2-40E7-8FF7-A518D7641B18}</x14:id>
        </ext>
      </extLst>
    </cfRule>
  </conditionalFormatting>
  <conditionalFormatting sqref="V6:W105">
    <cfRule type="cellIs" priority="10" operator="equal" aboveAverage="0" equalAverage="0" bottom="0" percent="0" rank="0" text="" dxfId="5">
      <formula>"NOW"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B3EF4D-10D2-40E7-8FF7-A518D7641B1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G6:G105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R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6" min="4" style="0" width="11"/>
    <col collapsed="false" customWidth="true" hidden="false" outlineLevel="0" max="11" min="7" style="0" width="13"/>
    <col collapsed="false" customWidth="true" hidden="false" outlineLevel="0" max="16" min="12" style="0" width="14"/>
    <col collapsed="false" customWidth="true" hidden="false" outlineLevel="0" max="17" min="17" style="0" width="30"/>
    <col collapsed="false" customWidth="true" hidden="false" outlineLevel="0" max="18" min="18" style="0" width="34"/>
  </cols>
  <sheetData>
    <row r="1" customFormat="false" ht="21.75" hidden="false" customHeight="true" outlineLevel="0" collapsed="false">
      <c r="A1" s="59" t="s">
        <v>182</v>
      </c>
    </row>
    <row r="2" customFormat="false" ht="15" hidden="false" customHeight="false" outlineLevel="0" collapsed="false">
      <c r="A2" s="8" t="s">
        <v>183</v>
      </c>
    </row>
    <row r="3" customFormat="false" ht="18" hidden="false" customHeight="true" outlineLevel="0" collapsed="false">
      <c r="D3" s="35" t="s">
        <v>184</v>
      </c>
      <c r="E3" s="35"/>
      <c r="F3" s="35"/>
      <c r="G3" s="35" t="s">
        <v>185</v>
      </c>
      <c r="H3" s="35"/>
      <c r="I3" s="35"/>
      <c r="J3" s="35"/>
      <c r="K3" s="35"/>
      <c r="L3" s="35" t="s">
        <v>186</v>
      </c>
      <c r="M3" s="35"/>
      <c r="N3" s="35"/>
      <c r="O3" s="35"/>
      <c r="P3" s="35"/>
    </row>
    <row r="4" customFormat="false" ht="39.75" hidden="false" customHeight="true" outlineLevel="0" collapsed="false">
      <c r="A4" s="22" t="s">
        <v>88</v>
      </c>
      <c r="B4" s="22" t="s">
        <v>137</v>
      </c>
      <c r="C4" s="22" t="s">
        <v>139</v>
      </c>
      <c r="D4" s="22" t="s">
        <v>187</v>
      </c>
      <c r="E4" s="22" t="s">
        <v>188</v>
      </c>
      <c r="F4" s="22" t="s">
        <v>189</v>
      </c>
      <c r="G4" s="22" t="str">
        <f aca="false">Settings!$C$11&amp;" / day"&amp;CHAR(10)&amp;"("&amp;Settings!$E$11&amp;")"</f>
        <v>Cement / day
(bags)</v>
      </c>
      <c r="H4" s="22" t="str">
        <f aca="false">Settings!$C$12&amp;" / day"&amp;CHAR(10)&amp;"("&amp;Settings!$E$12&amp;")"</f>
        <v>Sand / day
(m3)</v>
      </c>
      <c r="I4" s="22" t="str">
        <f aca="false">Settings!$C$13&amp;" / day"&amp;CHAR(10)&amp;"("&amp;Settings!$E$13&amp;")"</f>
        <v>Gravel 3/4" / day
(m3)</v>
      </c>
      <c r="J4" s="22" t="str">
        <f aca="false">Settings!$C$14&amp;" / day"&amp;CHAR(10)&amp;"("&amp;Settings!$E$14&amp;")"</f>
        <v>Gravel 3/8" / day
(m3)</v>
      </c>
      <c r="K4" s="22" t="str">
        <f aca="false">Settings!$C$15&amp;" / day"&amp;CHAR(10)&amp;"("&amp;Settings!$E$15&amp;")"</f>
        <v>Admixture / day
(L)</v>
      </c>
      <c r="L4" s="22" t="str">
        <f aca="false">Settings!$C$11&amp;" / month"&amp;CHAR(10)&amp;"("&amp;Settings!$E$11&amp;")"</f>
        <v>Cement / month
(bags)</v>
      </c>
      <c r="M4" s="22" t="str">
        <f aca="false">Settings!$C$12&amp;" / month"&amp;CHAR(10)&amp;"("&amp;Settings!$E$12&amp;")"</f>
        <v>Sand / month
(m3)</v>
      </c>
      <c r="N4" s="22" t="str">
        <f aca="false">Settings!$C$13&amp;" / month"&amp;CHAR(10)&amp;"("&amp;Settings!$E$13&amp;")"</f>
        <v>Gravel 3/4" / month
(m3)</v>
      </c>
      <c r="O4" s="22" t="str">
        <f aca="false">Settings!$C$14&amp;" / month"&amp;CHAR(10)&amp;"("&amp;Settings!$E$14&amp;")"</f>
        <v>Gravel 3/8" / month
(m3)</v>
      </c>
      <c r="P4" s="22" t="str">
        <f aca="false">Settings!$C$15&amp;" / month"&amp;CHAR(10)&amp;"("&amp;Settings!$E$15&amp;")"</f>
        <v>Admixture / month
(L)</v>
      </c>
      <c r="Q4" s="22" t="s">
        <v>116</v>
      </c>
      <c r="R4" s="22" t="s">
        <v>115</v>
      </c>
    </row>
    <row r="5" customFormat="false" ht="15" hidden="false" customHeight="false" outlineLevel="0" collapsed="false">
      <c r="A5" s="61" t="s">
        <v>117</v>
      </c>
      <c r="B5" s="61" t="s">
        <v>141</v>
      </c>
      <c r="C5" s="61" t="s">
        <v>142</v>
      </c>
      <c r="D5" s="61" t="n">
        <v>20</v>
      </c>
      <c r="E5" s="61" t="s">
        <v>121</v>
      </c>
      <c r="F5" s="61" t="s">
        <v>121</v>
      </c>
      <c r="G5" s="61" t="s">
        <v>121</v>
      </c>
      <c r="H5" s="61" t="s">
        <v>121</v>
      </c>
      <c r="I5" s="61" t="s">
        <v>121</v>
      </c>
      <c r="J5" s="61" t="s">
        <v>121</v>
      </c>
      <c r="K5" s="61" t="s">
        <v>121</v>
      </c>
      <c r="L5" s="61" t="s">
        <v>121</v>
      </c>
      <c r="M5" s="61" t="s">
        <v>121</v>
      </c>
      <c r="N5" s="61" t="s">
        <v>121</v>
      </c>
      <c r="O5" s="61" t="s">
        <v>121</v>
      </c>
      <c r="P5" s="61" t="s">
        <v>121</v>
      </c>
      <c r="Q5" s="61" t="s">
        <v>190</v>
      </c>
      <c r="R5" s="61"/>
    </row>
    <row r="6" customFormat="false" ht="15" hidden="false" customHeight="false" outlineLevel="0" collapsed="false">
      <c r="A6" s="63"/>
      <c r="B6" s="70"/>
      <c r="C6" s="16" t="str">
        <f aca="false">IF($B6="","",IFERROR(INDEX(Mix_Desc,MATCH($B6,Mix_Code,0)),"⚠ Unknown mix code"))</f>
        <v/>
      </c>
      <c r="D6" s="66"/>
      <c r="E6" s="67" t="str">
        <f aca="false">IF($D6="","",$D6*WorkDaysWeek)</f>
        <v/>
      </c>
      <c r="F6" s="67" t="str">
        <f aca="false">IF($D6="","",$D6*WorkDaysMonth)</f>
        <v/>
      </c>
      <c r="G6" s="67" t="str">
        <f aca="false">IF(OR($B6="",$D6=""),"",IFERROR($D6*INDEX(Mix_Eff,MATCH($B6,Mix_Code,0),1),""))</f>
        <v/>
      </c>
      <c r="H6" s="67" t="str">
        <f aca="false">IF(OR($B6="",$D6=""),"",IFERROR($D6*INDEX(Mix_Eff,MATCH($B6,Mix_Code,0),2),""))</f>
        <v/>
      </c>
      <c r="I6" s="67" t="str">
        <f aca="false">IF(OR($B6="",$D6=""),"",IFERROR($D6*INDEX(Mix_Eff,MATCH($B6,Mix_Code,0),3),""))</f>
        <v/>
      </c>
      <c r="J6" s="67" t="str">
        <f aca="false">IF(OR($B6="",$D6=""),"",IFERROR($D6*INDEX(Mix_Eff,MATCH($B6,Mix_Code,0),4),""))</f>
        <v/>
      </c>
      <c r="K6" s="67" t="str">
        <f aca="false">IF(OR($B6="",$D6=""),"",IFERROR($D6*INDEX(Mix_Eff,MATCH($B6,Mix_Code,0),5),""))</f>
        <v/>
      </c>
      <c r="L6" s="67" t="str">
        <f aca="false">IF(G6="","",G6*WorkDaysMonth)</f>
        <v/>
      </c>
      <c r="M6" s="67" t="str">
        <f aca="false">IF(H6="","",H6*WorkDaysMonth)</f>
        <v/>
      </c>
      <c r="N6" s="67" t="str">
        <f aca="false">IF(I6="","",I6*WorkDaysMonth)</f>
        <v/>
      </c>
      <c r="O6" s="67" t="str">
        <f aca="false">IF(J6="","",J6*WorkDaysMonth)</f>
        <v/>
      </c>
      <c r="P6" s="67" t="str">
        <f aca="false">IF(K6="","",K6*WorkDaysMonth)</f>
        <v/>
      </c>
      <c r="Q6" s="63"/>
      <c r="R6" s="16" t="str">
        <f aca="false">IF(AND($A6="",$B6="",$D6=""),"",IF(OR($A6="",$B6=""),"⚠ Site and mix code required",IF(ISNA(MATCH($B6,Mix_Code,0)),"⚠ Unknown mix code",IF(COUNTIF(CI_Site,$A6)=0,"⚠ Site not set up in Current Inventory","OK"))))</f>
        <v/>
      </c>
    </row>
    <row r="7" customFormat="false" ht="15" hidden="false" customHeight="false" outlineLevel="0" collapsed="false">
      <c r="A7" s="63"/>
      <c r="B7" s="70"/>
      <c r="C7" s="16" t="str">
        <f aca="false">IF($B7="","",IFERROR(INDEX(Mix_Desc,MATCH($B7,Mix_Code,0)),"⚠ Unknown mix code"))</f>
        <v/>
      </c>
      <c r="D7" s="66"/>
      <c r="E7" s="67" t="str">
        <f aca="false">IF($D7="","",$D7*WorkDaysWeek)</f>
        <v/>
      </c>
      <c r="F7" s="67" t="str">
        <f aca="false">IF($D7="","",$D7*WorkDaysMonth)</f>
        <v/>
      </c>
      <c r="G7" s="67" t="str">
        <f aca="false">IF(OR($B7="",$D7=""),"",IFERROR($D7*INDEX(Mix_Eff,MATCH($B7,Mix_Code,0),1),""))</f>
        <v/>
      </c>
      <c r="H7" s="67" t="str">
        <f aca="false">IF(OR($B7="",$D7=""),"",IFERROR($D7*INDEX(Mix_Eff,MATCH($B7,Mix_Code,0),2),""))</f>
        <v/>
      </c>
      <c r="I7" s="67" t="str">
        <f aca="false">IF(OR($B7="",$D7=""),"",IFERROR($D7*INDEX(Mix_Eff,MATCH($B7,Mix_Code,0),3),""))</f>
        <v/>
      </c>
      <c r="J7" s="67" t="str">
        <f aca="false">IF(OR($B7="",$D7=""),"",IFERROR($D7*INDEX(Mix_Eff,MATCH($B7,Mix_Code,0),4),""))</f>
        <v/>
      </c>
      <c r="K7" s="67" t="str">
        <f aca="false">IF(OR($B7="",$D7=""),"",IFERROR($D7*INDEX(Mix_Eff,MATCH($B7,Mix_Code,0),5),""))</f>
        <v/>
      </c>
      <c r="L7" s="67" t="str">
        <f aca="false">IF(G7="","",G7*WorkDaysMonth)</f>
        <v/>
      </c>
      <c r="M7" s="67" t="str">
        <f aca="false">IF(H7="","",H7*WorkDaysMonth)</f>
        <v/>
      </c>
      <c r="N7" s="67" t="str">
        <f aca="false">IF(I7="","",I7*WorkDaysMonth)</f>
        <v/>
      </c>
      <c r="O7" s="67" t="str">
        <f aca="false">IF(J7="","",J7*WorkDaysMonth)</f>
        <v/>
      </c>
      <c r="P7" s="67" t="str">
        <f aca="false">IF(K7="","",K7*WorkDaysMonth)</f>
        <v/>
      </c>
      <c r="Q7" s="63"/>
      <c r="R7" s="16" t="str">
        <f aca="false">IF(AND($A7="",$B7="",$D7=""),"",IF(OR($A7="",$B7=""),"⚠ Site and mix code required",IF(ISNA(MATCH($B7,Mix_Code,0)),"⚠ Unknown mix code",IF(COUNTIF(CI_Site,$A7)=0,"⚠ Site not set up in Current Inventory","OK"))))</f>
        <v/>
      </c>
    </row>
    <row r="8" customFormat="false" ht="15" hidden="false" customHeight="false" outlineLevel="0" collapsed="false">
      <c r="A8" s="63"/>
      <c r="B8" s="70"/>
      <c r="C8" s="16" t="str">
        <f aca="false">IF($B8="","",IFERROR(INDEX(Mix_Desc,MATCH($B8,Mix_Code,0)),"⚠ Unknown mix code"))</f>
        <v/>
      </c>
      <c r="D8" s="66"/>
      <c r="E8" s="67" t="str">
        <f aca="false">IF($D8="","",$D8*WorkDaysWeek)</f>
        <v/>
      </c>
      <c r="F8" s="67" t="str">
        <f aca="false">IF($D8="","",$D8*WorkDaysMonth)</f>
        <v/>
      </c>
      <c r="G8" s="67" t="str">
        <f aca="false">IF(OR($B8="",$D8=""),"",IFERROR($D8*INDEX(Mix_Eff,MATCH($B8,Mix_Code,0),1),""))</f>
        <v/>
      </c>
      <c r="H8" s="67" t="str">
        <f aca="false">IF(OR($B8="",$D8=""),"",IFERROR($D8*INDEX(Mix_Eff,MATCH($B8,Mix_Code,0),2),""))</f>
        <v/>
      </c>
      <c r="I8" s="67" t="str">
        <f aca="false">IF(OR($B8="",$D8=""),"",IFERROR($D8*INDEX(Mix_Eff,MATCH($B8,Mix_Code,0),3),""))</f>
        <v/>
      </c>
      <c r="J8" s="67" t="str">
        <f aca="false">IF(OR($B8="",$D8=""),"",IFERROR($D8*INDEX(Mix_Eff,MATCH($B8,Mix_Code,0),4),""))</f>
        <v/>
      </c>
      <c r="K8" s="67" t="str">
        <f aca="false">IF(OR($B8="",$D8=""),"",IFERROR($D8*INDEX(Mix_Eff,MATCH($B8,Mix_Code,0),5),""))</f>
        <v/>
      </c>
      <c r="L8" s="67" t="str">
        <f aca="false">IF(G8="","",G8*WorkDaysMonth)</f>
        <v/>
      </c>
      <c r="M8" s="67" t="str">
        <f aca="false">IF(H8="","",H8*WorkDaysMonth)</f>
        <v/>
      </c>
      <c r="N8" s="67" t="str">
        <f aca="false">IF(I8="","",I8*WorkDaysMonth)</f>
        <v/>
      </c>
      <c r="O8" s="67" t="str">
        <f aca="false">IF(J8="","",J8*WorkDaysMonth)</f>
        <v/>
      </c>
      <c r="P8" s="67" t="str">
        <f aca="false">IF(K8="","",K8*WorkDaysMonth)</f>
        <v/>
      </c>
      <c r="Q8" s="63"/>
      <c r="R8" s="16" t="str">
        <f aca="false">IF(AND($A8="",$B8="",$D8=""),"",IF(OR($A8="",$B8=""),"⚠ Site and mix code required",IF(ISNA(MATCH($B8,Mix_Code,0)),"⚠ Unknown mix code",IF(COUNTIF(CI_Site,$A8)=0,"⚠ Site not set up in Current Inventory","OK"))))</f>
        <v/>
      </c>
    </row>
    <row r="9" customFormat="false" ht="15" hidden="false" customHeight="false" outlineLevel="0" collapsed="false">
      <c r="A9" s="63"/>
      <c r="B9" s="70"/>
      <c r="C9" s="16" t="str">
        <f aca="false">IF($B9="","",IFERROR(INDEX(Mix_Desc,MATCH($B9,Mix_Code,0)),"⚠ Unknown mix code"))</f>
        <v/>
      </c>
      <c r="D9" s="66"/>
      <c r="E9" s="67" t="str">
        <f aca="false">IF($D9="","",$D9*WorkDaysWeek)</f>
        <v/>
      </c>
      <c r="F9" s="67" t="str">
        <f aca="false">IF($D9="","",$D9*WorkDaysMonth)</f>
        <v/>
      </c>
      <c r="G9" s="67" t="str">
        <f aca="false">IF(OR($B9="",$D9=""),"",IFERROR($D9*INDEX(Mix_Eff,MATCH($B9,Mix_Code,0),1),""))</f>
        <v/>
      </c>
      <c r="H9" s="67" t="str">
        <f aca="false">IF(OR($B9="",$D9=""),"",IFERROR($D9*INDEX(Mix_Eff,MATCH($B9,Mix_Code,0),2),""))</f>
        <v/>
      </c>
      <c r="I9" s="67" t="str">
        <f aca="false">IF(OR($B9="",$D9=""),"",IFERROR($D9*INDEX(Mix_Eff,MATCH($B9,Mix_Code,0),3),""))</f>
        <v/>
      </c>
      <c r="J9" s="67" t="str">
        <f aca="false">IF(OR($B9="",$D9=""),"",IFERROR($D9*INDEX(Mix_Eff,MATCH($B9,Mix_Code,0),4),""))</f>
        <v/>
      </c>
      <c r="K9" s="67" t="str">
        <f aca="false">IF(OR($B9="",$D9=""),"",IFERROR($D9*INDEX(Mix_Eff,MATCH($B9,Mix_Code,0),5),""))</f>
        <v/>
      </c>
      <c r="L9" s="67" t="str">
        <f aca="false">IF(G9="","",G9*WorkDaysMonth)</f>
        <v/>
      </c>
      <c r="M9" s="67" t="str">
        <f aca="false">IF(H9="","",H9*WorkDaysMonth)</f>
        <v/>
      </c>
      <c r="N9" s="67" t="str">
        <f aca="false">IF(I9="","",I9*WorkDaysMonth)</f>
        <v/>
      </c>
      <c r="O9" s="67" t="str">
        <f aca="false">IF(J9="","",J9*WorkDaysMonth)</f>
        <v/>
      </c>
      <c r="P9" s="67" t="str">
        <f aca="false">IF(K9="","",K9*WorkDaysMonth)</f>
        <v/>
      </c>
      <c r="Q9" s="63"/>
      <c r="R9" s="16" t="str">
        <f aca="false">IF(AND($A9="",$B9="",$D9=""),"",IF(OR($A9="",$B9=""),"⚠ Site and mix code required",IF(ISNA(MATCH($B9,Mix_Code,0)),"⚠ Unknown mix code",IF(COUNTIF(CI_Site,$A9)=0,"⚠ Site not set up in Current Inventory","OK"))))</f>
        <v/>
      </c>
    </row>
    <row r="10" customFormat="false" ht="15" hidden="false" customHeight="false" outlineLevel="0" collapsed="false">
      <c r="A10" s="63"/>
      <c r="B10" s="70"/>
      <c r="C10" s="16" t="str">
        <f aca="false">IF($B10="","",IFERROR(INDEX(Mix_Desc,MATCH($B10,Mix_Code,0)),"⚠ Unknown mix code"))</f>
        <v/>
      </c>
      <c r="D10" s="66"/>
      <c r="E10" s="67" t="str">
        <f aca="false">IF($D10="","",$D10*WorkDaysWeek)</f>
        <v/>
      </c>
      <c r="F10" s="67" t="str">
        <f aca="false">IF($D10="","",$D10*WorkDaysMonth)</f>
        <v/>
      </c>
      <c r="G10" s="67" t="str">
        <f aca="false">IF(OR($B10="",$D10=""),"",IFERROR($D10*INDEX(Mix_Eff,MATCH($B10,Mix_Code,0),1),""))</f>
        <v/>
      </c>
      <c r="H10" s="67" t="str">
        <f aca="false">IF(OR($B10="",$D10=""),"",IFERROR($D10*INDEX(Mix_Eff,MATCH($B10,Mix_Code,0),2),""))</f>
        <v/>
      </c>
      <c r="I10" s="67" t="str">
        <f aca="false">IF(OR($B10="",$D10=""),"",IFERROR($D10*INDEX(Mix_Eff,MATCH($B10,Mix_Code,0),3),""))</f>
        <v/>
      </c>
      <c r="J10" s="67" t="str">
        <f aca="false">IF(OR($B10="",$D10=""),"",IFERROR($D10*INDEX(Mix_Eff,MATCH($B10,Mix_Code,0),4),""))</f>
        <v/>
      </c>
      <c r="K10" s="67" t="str">
        <f aca="false">IF(OR($B10="",$D10=""),"",IFERROR($D10*INDEX(Mix_Eff,MATCH($B10,Mix_Code,0),5),""))</f>
        <v/>
      </c>
      <c r="L10" s="67" t="str">
        <f aca="false">IF(G10="","",G10*WorkDaysMonth)</f>
        <v/>
      </c>
      <c r="M10" s="67" t="str">
        <f aca="false">IF(H10="","",H10*WorkDaysMonth)</f>
        <v/>
      </c>
      <c r="N10" s="67" t="str">
        <f aca="false">IF(I10="","",I10*WorkDaysMonth)</f>
        <v/>
      </c>
      <c r="O10" s="67" t="str">
        <f aca="false">IF(J10="","",J10*WorkDaysMonth)</f>
        <v/>
      </c>
      <c r="P10" s="67" t="str">
        <f aca="false">IF(K10="","",K10*WorkDaysMonth)</f>
        <v/>
      </c>
      <c r="Q10" s="63"/>
      <c r="R10" s="16" t="str">
        <f aca="false">IF(AND($A10="",$B10="",$D10=""),"",IF(OR($A10="",$B10=""),"⚠ Site and mix code required",IF(ISNA(MATCH($B10,Mix_Code,0)),"⚠ Unknown mix code",IF(COUNTIF(CI_Site,$A10)=0,"⚠ Site not set up in Current Inventory","OK"))))</f>
        <v/>
      </c>
    </row>
    <row r="11" customFormat="false" ht="15" hidden="false" customHeight="false" outlineLevel="0" collapsed="false">
      <c r="A11" s="63"/>
      <c r="B11" s="70"/>
      <c r="C11" s="16" t="str">
        <f aca="false">IF($B11="","",IFERROR(INDEX(Mix_Desc,MATCH($B11,Mix_Code,0)),"⚠ Unknown mix code"))</f>
        <v/>
      </c>
      <c r="D11" s="66"/>
      <c r="E11" s="67" t="str">
        <f aca="false">IF($D11="","",$D11*WorkDaysWeek)</f>
        <v/>
      </c>
      <c r="F11" s="67" t="str">
        <f aca="false">IF($D11="","",$D11*WorkDaysMonth)</f>
        <v/>
      </c>
      <c r="G11" s="67" t="str">
        <f aca="false">IF(OR($B11="",$D11=""),"",IFERROR($D11*INDEX(Mix_Eff,MATCH($B11,Mix_Code,0),1),""))</f>
        <v/>
      </c>
      <c r="H11" s="67" t="str">
        <f aca="false">IF(OR($B11="",$D11=""),"",IFERROR($D11*INDEX(Mix_Eff,MATCH($B11,Mix_Code,0),2),""))</f>
        <v/>
      </c>
      <c r="I11" s="67" t="str">
        <f aca="false">IF(OR($B11="",$D11=""),"",IFERROR($D11*INDEX(Mix_Eff,MATCH($B11,Mix_Code,0),3),""))</f>
        <v/>
      </c>
      <c r="J11" s="67" t="str">
        <f aca="false">IF(OR($B11="",$D11=""),"",IFERROR($D11*INDEX(Mix_Eff,MATCH($B11,Mix_Code,0),4),""))</f>
        <v/>
      </c>
      <c r="K11" s="67" t="str">
        <f aca="false">IF(OR($B11="",$D11=""),"",IFERROR($D11*INDEX(Mix_Eff,MATCH($B11,Mix_Code,0),5),""))</f>
        <v/>
      </c>
      <c r="L11" s="67" t="str">
        <f aca="false">IF(G11="","",G11*WorkDaysMonth)</f>
        <v/>
      </c>
      <c r="M11" s="67" t="str">
        <f aca="false">IF(H11="","",H11*WorkDaysMonth)</f>
        <v/>
      </c>
      <c r="N11" s="67" t="str">
        <f aca="false">IF(I11="","",I11*WorkDaysMonth)</f>
        <v/>
      </c>
      <c r="O11" s="67" t="str">
        <f aca="false">IF(J11="","",J11*WorkDaysMonth)</f>
        <v/>
      </c>
      <c r="P11" s="67" t="str">
        <f aca="false">IF(K11="","",K11*WorkDaysMonth)</f>
        <v/>
      </c>
      <c r="Q11" s="63"/>
      <c r="R11" s="16" t="str">
        <f aca="false">IF(AND($A11="",$B11="",$D11=""),"",IF(OR($A11="",$B11=""),"⚠ Site and mix code required",IF(ISNA(MATCH($B11,Mix_Code,0)),"⚠ Unknown mix code",IF(COUNTIF(CI_Site,$A11)=0,"⚠ Site not set up in Current Inventory","OK"))))</f>
        <v/>
      </c>
    </row>
    <row r="12" customFormat="false" ht="15" hidden="false" customHeight="false" outlineLevel="0" collapsed="false">
      <c r="A12" s="63"/>
      <c r="B12" s="70"/>
      <c r="C12" s="16" t="str">
        <f aca="false">IF($B12="","",IFERROR(INDEX(Mix_Desc,MATCH($B12,Mix_Code,0)),"⚠ Unknown mix code"))</f>
        <v/>
      </c>
      <c r="D12" s="66"/>
      <c r="E12" s="67" t="str">
        <f aca="false">IF($D12="","",$D12*WorkDaysWeek)</f>
        <v/>
      </c>
      <c r="F12" s="67" t="str">
        <f aca="false">IF($D12="","",$D12*WorkDaysMonth)</f>
        <v/>
      </c>
      <c r="G12" s="67" t="str">
        <f aca="false">IF(OR($B12="",$D12=""),"",IFERROR($D12*INDEX(Mix_Eff,MATCH($B12,Mix_Code,0),1),""))</f>
        <v/>
      </c>
      <c r="H12" s="67" t="str">
        <f aca="false">IF(OR($B12="",$D12=""),"",IFERROR($D12*INDEX(Mix_Eff,MATCH($B12,Mix_Code,0),2),""))</f>
        <v/>
      </c>
      <c r="I12" s="67" t="str">
        <f aca="false">IF(OR($B12="",$D12=""),"",IFERROR($D12*INDEX(Mix_Eff,MATCH($B12,Mix_Code,0),3),""))</f>
        <v/>
      </c>
      <c r="J12" s="67" t="str">
        <f aca="false">IF(OR($B12="",$D12=""),"",IFERROR($D12*INDEX(Mix_Eff,MATCH($B12,Mix_Code,0),4),""))</f>
        <v/>
      </c>
      <c r="K12" s="67" t="str">
        <f aca="false">IF(OR($B12="",$D12=""),"",IFERROR($D12*INDEX(Mix_Eff,MATCH($B12,Mix_Code,0),5),""))</f>
        <v/>
      </c>
      <c r="L12" s="67" t="str">
        <f aca="false">IF(G12="","",G12*WorkDaysMonth)</f>
        <v/>
      </c>
      <c r="M12" s="67" t="str">
        <f aca="false">IF(H12="","",H12*WorkDaysMonth)</f>
        <v/>
      </c>
      <c r="N12" s="67" t="str">
        <f aca="false">IF(I12="","",I12*WorkDaysMonth)</f>
        <v/>
      </c>
      <c r="O12" s="67" t="str">
        <f aca="false">IF(J12="","",J12*WorkDaysMonth)</f>
        <v/>
      </c>
      <c r="P12" s="67" t="str">
        <f aca="false">IF(K12="","",K12*WorkDaysMonth)</f>
        <v/>
      </c>
      <c r="Q12" s="63"/>
      <c r="R12" s="16" t="str">
        <f aca="false">IF(AND($A12="",$B12="",$D12=""),"",IF(OR($A12="",$B12=""),"⚠ Site and mix code required",IF(ISNA(MATCH($B12,Mix_Code,0)),"⚠ Unknown mix code",IF(COUNTIF(CI_Site,$A12)=0,"⚠ Site not set up in Current Inventory","OK"))))</f>
        <v/>
      </c>
    </row>
    <row r="13" customFormat="false" ht="15" hidden="false" customHeight="false" outlineLevel="0" collapsed="false">
      <c r="A13" s="63"/>
      <c r="B13" s="70"/>
      <c r="C13" s="16" t="str">
        <f aca="false">IF($B13="","",IFERROR(INDEX(Mix_Desc,MATCH($B13,Mix_Code,0)),"⚠ Unknown mix code"))</f>
        <v/>
      </c>
      <c r="D13" s="66"/>
      <c r="E13" s="67" t="str">
        <f aca="false">IF($D13="","",$D13*WorkDaysWeek)</f>
        <v/>
      </c>
      <c r="F13" s="67" t="str">
        <f aca="false">IF($D13="","",$D13*WorkDaysMonth)</f>
        <v/>
      </c>
      <c r="G13" s="67" t="str">
        <f aca="false">IF(OR($B13="",$D13=""),"",IFERROR($D13*INDEX(Mix_Eff,MATCH($B13,Mix_Code,0),1),""))</f>
        <v/>
      </c>
      <c r="H13" s="67" t="str">
        <f aca="false">IF(OR($B13="",$D13=""),"",IFERROR($D13*INDEX(Mix_Eff,MATCH($B13,Mix_Code,0),2),""))</f>
        <v/>
      </c>
      <c r="I13" s="67" t="str">
        <f aca="false">IF(OR($B13="",$D13=""),"",IFERROR($D13*INDEX(Mix_Eff,MATCH($B13,Mix_Code,0),3),""))</f>
        <v/>
      </c>
      <c r="J13" s="67" t="str">
        <f aca="false">IF(OR($B13="",$D13=""),"",IFERROR($D13*INDEX(Mix_Eff,MATCH($B13,Mix_Code,0),4),""))</f>
        <v/>
      </c>
      <c r="K13" s="67" t="str">
        <f aca="false">IF(OR($B13="",$D13=""),"",IFERROR($D13*INDEX(Mix_Eff,MATCH($B13,Mix_Code,0),5),""))</f>
        <v/>
      </c>
      <c r="L13" s="67" t="str">
        <f aca="false">IF(G13="","",G13*WorkDaysMonth)</f>
        <v/>
      </c>
      <c r="M13" s="67" t="str">
        <f aca="false">IF(H13="","",H13*WorkDaysMonth)</f>
        <v/>
      </c>
      <c r="N13" s="67" t="str">
        <f aca="false">IF(I13="","",I13*WorkDaysMonth)</f>
        <v/>
      </c>
      <c r="O13" s="67" t="str">
        <f aca="false">IF(J13="","",J13*WorkDaysMonth)</f>
        <v/>
      </c>
      <c r="P13" s="67" t="str">
        <f aca="false">IF(K13="","",K13*WorkDaysMonth)</f>
        <v/>
      </c>
      <c r="Q13" s="63"/>
      <c r="R13" s="16" t="str">
        <f aca="false">IF(AND($A13="",$B13="",$D13=""),"",IF(OR($A13="",$B13=""),"⚠ Site and mix code required",IF(ISNA(MATCH($B13,Mix_Code,0)),"⚠ Unknown mix code",IF(COUNTIF(CI_Site,$A13)=0,"⚠ Site not set up in Current Inventory","OK"))))</f>
        <v/>
      </c>
    </row>
    <row r="14" customFormat="false" ht="15" hidden="false" customHeight="false" outlineLevel="0" collapsed="false">
      <c r="A14" s="63"/>
      <c r="B14" s="70"/>
      <c r="C14" s="16" t="str">
        <f aca="false">IF($B14="","",IFERROR(INDEX(Mix_Desc,MATCH($B14,Mix_Code,0)),"⚠ Unknown mix code"))</f>
        <v/>
      </c>
      <c r="D14" s="66"/>
      <c r="E14" s="67" t="str">
        <f aca="false">IF($D14="","",$D14*WorkDaysWeek)</f>
        <v/>
      </c>
      <c r="F14" s="67" t="str">
        <f aca="false">IF($D14="","",$D14*WorkDaysMonth)</f>
        <v/>
      </c>
      <c r="G14" s="67" t="str">
        <f aca="false">IF(OR($B14="",$D14=""),"",IFERROR($D14*INDEX(Mix_Eff,MATCH($B14,Mix_Code,0),1),""))</f>
        <v/>
      </c>
      <c r="H14" s="67" t="str">
        <f aca="false">IF(OR($B14="",$D14=""),"",IFERROR($D14*INDEX(Mix_Eff,MATCH($B14,Mix_Code,0),2),""))</f>
        <v/>
      </c>
      <c r="I14" s="67" t="str">
        <f aca="false">IF(OR($B14="",$D14=""),"",IFERROR($D14*INDEX(Mix_Eff,MATCH($B14,Mix_Code,0),3),""))</f>
        <v/>
      </c>
      <c r="J14" s="67" t="str">
        <f aca="false">IF(OR($B14="",$D14=""),"",IFERROR($D14*INDEX(Mix_Eff,MATCH($B14,Mix_Code,0),4),""))</f>
        <v/>
      </c>
      <c r="K14" s="67" t="str">
        <f aca="false">IF(OR($B14="",$D14=""),"",IFERROR($D14*INDEX(Mix_Eff,MATCH($B14,Mix_Code,0),5),""))</f>
        <v/>
      </c>
      <c r="L14" s="67" t="str">
        <f aca="false">IF(G14="","",G14*WorkDaysMonth)</f>
        <v/>
      </c>
      <c r="M14" s="67" t="str">
        <f aca="false">IF(H14="","",H14*WorkDaysMonth)</f>
        <v/>
      </c>
      <c r="N14" s="67" t="str">
        <f aca="false">IF(I14="","",I14*WorkDaysMonth)</f>
        <v/>
      </c>
      <c r="O14" s="67" t="str">
        <f aca="false">IF(J14="","",J14*WorkDaysMonth)</f>
        <v/>
      </c>
      <c r="P14" s="67" t="str">
        <f aca="false">IF(K14="","",K14*WorkDaysMonth)</f>
        <v/>
      </c>
      <c r="Q14" s="63"/>
      <c r="R14" s="16" t="str">
        <f aca="false">IF(AND($A14="",$B14="",$D14=""),"",IF(OR($A14="",$B14=""),"⚠ Site and mix code required",IF(ISNA(MATCH($B14,Mix_Code,0)),"⚠ Unknown mix code",IF(COUNTIF(CI_Site,$A14)=0,"⚠ Site not set up in Current Inventory","OK"))))</f>
        <v/>
      </c>
    </row>
    <row r="15" customFormat="false" ht="15" hidden="false" customHeight="false" outlineLevel="0" collapsed="false">
      <c r="A15" s="63"/>
      <c r="B15" s="70"/>
      <c r="C15" s="16" t="str">
        <f aca="false">IF($B15="","",IFERROR(INDEX(Mix_Desc,MATCH($B15,Mix_Code,0)),"⚠ Unknown mix code"))</f>
        <v/>
      </c>
      <c r="D15" s="66"/>
      <c r="E15" s="67" t="str">
        <f aca="false">IF($D15="","",$D15*WorkDaysWeek)</f>
        <v/>
      </c>
      <c r="F15" s="67" t="str">
        <f aca="false">IF($D15="","",$D15*WorkDaysMonth)</f>
        <v/>
      </c>
      <c r="G15" s="67" t="str">
        <f aca="false">IF(OR($B15="",$D15=""),"",IFERROR($D15*INDEX(Mix_Eff,MATCH($B15,Mix_Code,0),1),""))</f>
        <v/>
      </c>
      <c r="H15" s="67" t="str">
        <f aca="false">IF(OR($B15="",$D15=""),"",IFERROR($D15*INDEX(Mix_Eff,MATCH($B15,Mix_Code,0),2),""))</f>
        <v/>
      </c>
      <c r="I15" s="67" t="str">
        <f aca="false">IF(OR($B15="",$D15=""),"",IFERROR($D15*INDEX(Mix_Eff,MATCH($B15,Mix_Code,0),3),""))</f>
        <v/>
      </c>
      <c r="J15" s="67" t="str">
        <f aca="false">IF(OR($B15="",$D15=""),"",IFERROR($D15*INDEX(Mix_Eff,MATCH($B15,Mix_Code,0),4),""))</f>
        <v/>
      </c>
      <c r="K15" s="67" t="str">
        <f aca="false">IF(OR($B15="",$D15=""),"",IFERROR($D15*INDEX(Mix_Eff,MATCH($B15,Mix_Code,0),5),""))</f>
        <v/>
      </c>
      <c r="L15" s="67" t="str">
        <f aca="false">IF(G15="","",G15*WorkDaysMonth)</f>
        <v/>
      </c>
      <c r="M15" s="67" t="str">
        <f aca="false">IF(H15="","",H15*WorkDaysMonth)</f>
        <v/>
      </c>
      <c r="N15" s="67" t="str">
        <f aca="false">IF(I15="","",I15*WorkDaysMonth)</f>
        <v/>
      </c>
      <c r="O15" s="67" t="str">
        <f aca="false">IF(J15="","",J15*WorkDaysMonth)</f>
        <v/>
      </c>
      <c r="P15" s="67" t="str">
        <f aca="false">IF(K15="","",K15*WorkDaysMonth)</f>
        <v/>
      </c>
      <c r="Q15" s="63"/>
      <c r="R15" s="16" t="str">
        <f aca="false">IF(AND($A15="",$B15="",$D15=""),"",IF(OR($A15="",$B15=""),"⚠ Site and mix code required",IF(ISNA(MATCH($B15,Mix_Code,0)),"⚠ Unknown mix code",IF(COUNTIF(CI_Site,$A15)=0,"⚠ Site not set up in Current Inventory","OK"))))</f>
        <v/>
      </c>
    </row>
    <row r="16" customFormat="false" ht="15" hidden="false" customHeight="false" outlineLevel="0" collapsed="false">
      <c r="A16" s="63"/>
      <c r="B16" s="70"/>
      <c r="C16" s="16" t="str">
        <f aca="false">IF($B16="","",IFERROR(INDEX(Mix_Desc,MATCH($B16,Mix_Code,0)),"⚠ Unknown mix code"))</f>
        <v/>
      </c>
      <c r="D16" s="66"/>
      <c r="E16" s="67" t="str">
        <f aca="false">IF($D16="","",$D16*WorkDaysWeek)</f>
        <v/>
      </c>
      <c r="F16" s="67" t="str">
        <f aca="false">IF($D16="","",$D16*WorkDaysMonth)</f>
        <v/>
      </c>
      <c r="G16" s="67" t="str">
        <f aca="false">IF(OR($B16="",$D16=""),"",IFERROR($D16*INDEX(Mix_Eff,MATCH($B16,Mix_Code,0),1),""))</f>
        <v/>
      </c>
      <c r="H16" s="67" t="str">
        <f aca="false">IF(OR($B16="",$D16=""),"",IFERROR($D16*INDEX(Mix_Eff,MATCH($B16,Mix_Code,0),2),""))</f>
        <v/>
      </c>
      <c r="I16" s="67" t="str">
        <f aca="false">IF(OR($B16="",$D16=""),"",IFERROR($D16*INDEX(Mix_Eff,MATCH($B16,Mix_Code,0),3),""))</f>
        <v/>
      </c>
      <c r="J16" s="67" t="str">
        <f aca="false">IF(OR($B16="",$D16=""),"",IFERROR($D16*INDEX(Mix_Eff,MATCH($B16,Mix_Code,0),4),""))</f>
        <v/>
      </c>
      <c r="K16" s="67" t="str">
        <f aca="false">IF(OR($B16="",$D16=""),"",IFERROR($D16*INDEX(Mix_Eff,MATCH($B16,Mix_Code,0),5),""))</f>
        <v/>
      </c>
      <c r="L16" s="67" t="str">
        <f aca="false">IF(G16="","",G16*WorkDaysMonth)</f>
        <v/>
      </c>
      <c r="M16" s="67" t="str">
        <f aca="false">IF(H16="","",H16*WorkDaysMonth)</f>
        <v/>
      </c>
      <c r="N16" s="67" t="str">
        <f aca="false">IF(I16="","",I16*WorkDaysMonth)</f>
        <v/>
      </c>
      <c r="O16" s="67" t="str">
        <f aca="false">IF(J16="","",J16*WorkDaysMonth)</f>
        <v/>
      </c>
      <c r="P16" s="67" t="str">
        <f aca="false">IF(K16="","",K16*WorkDaysMonth)</f>
        <v/>
      </c>
      <c r="Q16" s="63"/>
      <c r="R16" s="16" t="str">
        <f aca="false">IF(AND($A16="",$B16="",$D16=""),"",IF(OR($A16="",$B16=""),"⚠ Site and mix code required",IF(ISNA(MATCH($B16,Mix_Code,0)),"⚠ Unknown mix code",IF(COUNTIF(CI_Site,$A16)=0,"⚠ Site not set up in Current Inventory","OK"))))</f>
        <v/>
      </c>
    </row>
    <row r="17" customFormat="false" ht="15" hidden="false" customHeight="false" outlineLevel="0" collapsed="false">
      <c r="A17" s="63"/>
      <c r="B17" s="70"/>
      <c r="C17" s="16" t="str">
        <f aca="false">IF($B17="","",IFERROR(INDEX(Mix_Desc,MATCH($B17,Mix_Code,0)),"⚠ Unknown mix code"))</f>
        <v/>
      </c>
      <c r="D17" s="66"/>
      <c r="E17" s="67" t="str">
        <f aca="false">IF($D17="","",$D17*WorkDaysWeek)</f>
        <v/>
      </c>
      <c r="F17" s="67" t="str">
        <f aca="false">IF($D17="","",$D17*WorkDaysMonth)</f>
        <v/>
      </c>
      <c r="G17" s="67" t="str">
        <f aca="false">IF(OR($B17="",$D17=""),"",IFERROR($D17*INDEX(Mix_Eff,MATCH($B17,Mix_Code,0),1),""))</f>
        <v/>
      </c>
      <c r="H17" s="67" t="str">
        <f aca="false">IF(OR($B17="",$D17=""),"",IFERROR($D17*INDEX(Mix_Eff,MATCH($B17,Mix_Code,0),2),""))</f>
        <v/>
      </c>
      <c r="I17" s="67" t="str">
        <f aca="false">IF(OR($B17="",$D17=""),"",IFERROR($D17*INDEX(Mix_Eff,MATCH($B17,Mix_Code,0),3),""))</f>
        <v/>
      </c>
      <c r="J17" s="67" t="str">
        <f aca="false">IF(OR($B17="",$D17=""),"",IFERROR($D17*INDEX(Mix_Eff,MATCH($B17,Mix_Code,0),4),""))</f>
        <v/>
      </c>
      <c r="K17" s="67" t="str">
        <f aca="false">IF(OR($B17="",$D17=""),"",IFERROR($D17*INDEX(Mix_Eff,MATCH($B17,Mix_Code,0),5),""))</f>
        <v/>
      </c>
      <c r="L17" s="67" t="str">
        <f aca="false">IF(G17="","",G17*WorkDaysMonth)</f>
        <v/>
      </c>
      <c r="M17" s="67" t="str">
        <f aca="false">IF(H17="","",H17*WorkDaysMonth)</f>
        <v/>
      </c>
      <c r="N17" s="67" t="str">
        <f aca="false">IF(I17="","",I17*WorkDaysMonth)</f>
        <v/>
      </c>
      <c r="O17" s="67" t="str">
        <f aca="false">IF(J17="","",J17*WorkDaysMonth)</f>
        <v/>
      </c>
      <c r="P17" s="67" t="str">
        <f aca="false">IF(K17="","",K17*WorkDaysMonth)</f>
        <v/>
      </c>
      <c r="Q17" s="63"/>
      <c r="R17" s="16" t="str">
        <f aca="false">IF(AND($A17="",$B17="",$D17=""),"",IF(OR($A17="",$B17=""),"⚠ Site and mix code required",IF(ISNA(MATCH($B17,Mix_Code,0)),"⚠ Unknown mix code",IF(COUNTIF(CI_Site,$A17)=0,"⚠ Site not set up in Current Inventory","OK"))))</f>
        <v/>
      </c>
    </row>
    <row r="18" customFormat="false" ht="15" hidden="false" customHeight="false" outlineLevel="0" collapsed="false">
      <c r="A18" s="63"/>
      <c r="B18" s="70"/>
      <c r="C18" s="16" t="str">
        <f aca="false">IF($B18="","",IFERROR(INDEX(Mix_Desc,MATCH($B18,Mix_Code,0)),"⚠ Unknown mix code"))</f>
        <v/>
      </c>
      <c r="D18" s="66"/>
      <c r="E18" s="67" t="str">
        <f aca="false">IF($D18="","",$D18*WorkDaysWeek)</f>
        <v/>
      </c>
      <c r="F18" s="67" t="str">
        <f aca="false">IF($D18="","",$D18*WorkDaysMonth)</f>
        <v/>
      </c>
      <c r="G18" s="67" t="str">
        <f aca="false">IF(OR($B18="",$D18=""),"",IFERROR($D18*INDEX(Mix_Eff,MATCH($B18,Mix_Code,0),1),""))</f>
        <v/>
      </c>
      <c r="H18" s="67" t="str">
        <f aca="false">IF(OR($B18="",$D18=""),"",IFERROR($D18*INDEX(Mix_Eff,MATCH($B18,Mix_Code,0),2),""))</f>
        <v/>
      </c>
      <c r="I18" s="67" t="str">
        <f aca="false">IF(OR($B18="",$D18=""),"",IFERROR($D18*INDEX(Mix_Eff,MATCH($B18,Mix_Code,0),3),""))</f>
        <v/>
      </c>
      <c r="J18" s="67" t="str">
        <f aca="false">IF(OR($B18="",$D18=""),"",IFERROR($D18*INDEX(Mix_Eff,MATCH($B18,Mix_Code,0),4),""))</f>
        <v/>
      </c>
      <c r="K18" s="67" t="str">
        <f aca="false">IF(OR($B18="",$D18=""),"",IFERROR($D18*INDEX(Mix_Eff,MATCH($B18,Mix_Code,0),5),""))</f>
        <v/>
      </c>
      <c r="L18" s="67" t="str">
        <f aca="false">IF(G18="","",G18*WorkDaysMonth)</f>
        <v/>
      </c>
      <c r="M18" s="67" t="str">
        <f aca="false">IF(H18="","",H18*WorkDaysMonth)</f>
        <v/>
      </c>
      <c r="N18" s="67" t="str">
        <f aca="false">IF(I18="","",I18*WorkDaysMonth)</f>
        <v/>
      </c>
      <c r="O18" s="67" t="str">
        <f aca="false">IF(J18="","",J18*WorkDaysMonth)</f>
        <v/>
      </c>
      <c r="P18" s="67" t="str">
        <f aca="false">IF(K18="","",K18*WorkDaysMonth)</f>
        <v/>
      </c>
      <c r="Q18" s="63"/>
      <c r="R18" s="16" t="str">
        <f aca="false">IF(AND($A18="",$B18="",$D18=""),"",IF(OR($A18="",$B18=""),"⚠ Site and mix code required",IF(ISNA(MATCH($B18,Mix_Code,0)),"⚠ Unknown mix code",IF(COUNTIF(CI_Site,$A18)=0,"⚠ Site not set up in Current Inventory","OK"))))</f>
        <v/>
      </c>
    </row>
    <row r="19" customFormat="false" ht="15" hidden="false" customHeight="false" outlineLevel="0" collapsed="false">
      <c r="A19" s="63"/>
      <c r="B19" s="70"/>
      <c r="C19" s="16" t="str">
        <f aca="false">IF($B19="","",IFERROR(INDEX(Mix_Desc,MATCH($B19,Mix_Code,0)),"⚠ Unknown mix code"))</f>
        <v/>
      </c>
      <c r="D19" s="66"/>
      <c r="E19" s="67" t="str">
        <f aca="false">IF($D19="","",$D19*WorkDaysWeek)</f>
        <v/>
      </c>
      <c r="F19" s="67" t="str">
        <f aca="false">IF($D19="","",$D19*WorkDaysMonth)</f>
        <v/>
      </c>
      <c r="G19" s="67" t="str">
        <f aca="false">IF(OR($B19="",$D19=""),"",IFERROR($D19*INDEX(Mix_Eff,MATCH($B19,Mix_Code,0),1),""))</f>
        <v/>
      </c>
      <c r="H19" s="67" t="str">
        <f aca="false">IF(OR($B19="",$D19=""),"",IFERROR($D19*INDEX(Mix_Eff,MATCH($B19,Mix_Code,0),2),""))</f>
        <v/>
      </c>
      <c r="I19" s="67" t="str">
        <f aca="false">IF(OR($B19="",$D19=""),"",IFERROR($D19*INDEX(Mix_Eff,MATCH($B19,Mix_Code,0),3),""))</f>
        <v/>
      </c>
      <c r="J19" s="67" t="str">
        <f aca="false">IF(OR($B19="",$D19=""),"",IFERROR($D19*INDEX(Mix_Eff,MATCH($B19,Mix_Code,0),4),""))</f>
        <v/>
      </c>
      <c r="K19" s="67" t="str">
        <f aca="false">IF(OR($B19="",$D19=""),"",IFERROR($D19*INDEX(Mix_Eff,MATCH($B19,Mix_Code,0),5),""))</f>
        <v/>
      </c>
      <c r="L19" s="67" t="str">
        <f aca="false">IF(G19="","",G19*WorkDaysMonth)</f>
        <v/>
      </c>
      <c r="M19" s="67" t="str">
        <f aca="false">IF(H19="","",H19*WorkDaysMonth)</f>
        <v/>
      </c>
      <c r="N19" s="67" t="str">
        <f aca="false">IF(I19="","",I19*WorkDaysMonth)</f>
        <v/>
      </c>
      <c r="O19" s="67" t="str">
        <f aca="false">IF(J19="","",J19*WorkDaysMonth)</f>
        <v/>
      </c>
      <c r="P19" s="67" t="str">
        <f aca="false">IF(K19="","",K19*WorkDaysMonth)</f>
        <v/>
      </c>
      <c r="Q19" s="63"/>
      <c r="R19" s="16" t="str">
        <f aca="false">IF(AND($A19="",$B19="",$D19=""),"",IF(OR($A19="",$B19=""),"⚠ Site and mix code required",IF(ISNA(MATCH($B19,Mix_Code,0)),"⚠ Unknown mix code",IF(COUNTIF(CI_Site,$A19)=0,"⚠ Site not set up in Current Inventory","OK"))))</f>
        <v/>
      </c>
    </row>
    <row r="20" customFormat="false" ht="15" hidden="false" customHeight="false" outlineLevel="0" collapsed="false">
      <c r="A20" s="63"/>
      <c r="B20" s="70"/>
      <c r="C20" s="16" t="str">
        <f aca="false">IF($B20="","",IFERROR(INDEX(Mix_Desc,MATCH($B20,Mix_Code,0)),"⚠ Unknown mix code"))</f>
        <v/>
      </c>
      <c r="D20" s="66"/>
      <c r="E20" s="67" t="str">
        <f aca="false">IF($D20="","",$D20*WorkDaysWeek)</f>
        <v/>
      </c>
      <c r="F20" s="67" t="str">
        <f aca="false">IF($D20="","",$D20*WorkDaysMonth)</f>
        <v/>
      </c>
      <c r="G20" s="67" t="str">
        <f aca="false">IF(OR($B20="",$D20=""),"",IFERROR($D20*INDEX(Mix_Eff,MATCH($B20,Mix_Code,0),1),""))</f>
        <v/>
      </c>
      <c r="H20" s="67" t="str">
        <f aca="false">IF(OR($B20="",$D20=""),"",IFERROR($D20*INDEX(Mix_Eff,MATCH($B20,Mix_Code,0),2),""))</f>
        <v/>
      </c>
      <c r="I20" s="67" t="str">
        <f aca="false">IF(OR($B20="",$D20=""),"",IFERROR($D20*INDEX(Mix_Eff,MATCH($B20,Mix_Code,0),3),""))</f>
        <v/>
      </c>
      <c r="J20" s="67" t="str">
        <f aca="false">IF(OR($B20="",$D20=""),"",IFERROR($D20*INDEX(Mix_Eff,MATCH($B20,Mix_Code,0),4),""))</f>
        <v/>
      </c>
      <c r="K20" s="67" t="str">
        <f aca="false">IF(OR($B20="",$D20=""),"",IFERROR($D20*INDEX(Mix_Eff,MATCH($B20,Mix_Code,0),5),""))</f>
        <v/>
      </c>
      <c r="L20" s="67" t="str">
        <f aca="false">IF(G20="","",G20*WorkDaysMonth)</f>
        <v/>
      </c>
      <c r="M20" s="67" t="str">
        <f aca="false">IF(H20="","",H20*WorkDaysMonth)</f>
        <v/>
      </c>
      <c r="N20" s="67" t="str">
        <f aca="false">IF(I20="","",I20*WorkDaysMonth)</f>
        <v/>
      </c>
      <c r="O20" s="67" t="str">
        <f aca="false">IF(J20="","",J20*WorkDaysMonth)</f>
        <v/>
      </c>
      <c r="P20" s="67" t="str">
        <f aca="false">IF(K20="","",K20*WorkDaysMonth)</f>
        <v/>
      </c>
      <c r="Q20" s="63"/>
      <c r="R20" s="16" t="str">
        <f aca="false">IF(AND($A20="",$B20="",$D20=""),"",IF(OR($A20="",$B20=""),"⚠ Site and mix code required",IF(ISNA(MATCH($B20,Mix_Code,0)),"⚠ Unknown mix code",IF(COUNTIF(CI_Site,$A20)=0,"⚠ Site not set up in Current Inventory","OK"))))</f>
        <v/>
      </c>
    </row>
    <row r="21" customFormat="false" ht="15" hidden="false" customHeight="false" outlineLevel="0" collapsed="false">
      <c r="A21" s="63"/>
      <c r="B21" s="70"/>
      <c r="C21" s="16" t="str">
        <f aca="false">IF($B21="","",IFERROR(INDEX(Mix_Desc,MATCH($B21,Mix_Code,0)),"⚠ Unknown mix code"))</f>
        <v/>
      </c>
      <c r="D21" s="66"/>
      <c r="E21" s="67" t="str">
        <f aca="false">IF($D21="","",$D21*WorkDaysWeek)</f>
        <v/>
      </c>
      <c r="F21" s="67" t="str">
        <f aca="false">IF($D21="","",$D21*WorkDaysMonth)</f>
        <v/>
      </c>
      <c r="G21" s="67" t="str">
        <f aca="false">IF(OR($B21="",$D21=""),"",IFERROR($D21*INDEX(Mix_Eff,MATCH($B21,Mix_Code,0),1),""))</f>
        <v/>
      </c>
      <c r="H21" s="67" t="str">
        <f aca="false">IF(OR($B21="",$D21=""),"",IFERROR($D21*INDEX(Mix_Eff,MATCH($B21,Mix_Code,0),2),""))</f>
        <v/>
      </c>
      <c r="I21" s="67" t="str">
        <f aca="false">IF(OR($B21="",$D21=""),"",IFERROR($D21*INDEX(Mix_Eff,MATCH($B21,Mix_Code,0),3),""))</f>
        <v/>
      </c>
      <c r="J21" s="67" t="str">
        <f aca="false">IF(OR($B21="",$D21=""),"",IFERROR($D21*INDEX(Mix_Eff,MATCH($B21,Mix_Code,0),4),""))</f>
        <v/>
      </c>
      <c r="K21" s="67" t="str">
        <f aca="false">IF(OR($B21="",$D21=""),"",IFERROR($D21*INDEX(Mix_Eff,MATCH($B21,Mix_Code,0),5),""))</f>
        <v/>
      </c>
      <c r="L21" s="67" t="str">
        <f aca="false">IF(G21="","",G21*WorkDaysMonth)</f>
        <v/>
      </c>
      <c r="M21" s="67" t="str">
        <f aca="false">IF(H21="","",H21*WorkDaysMonth)</f>
        <v/>
      </c>
      <c r="N21" s="67" t="str">
        <f aca="false">IF(I21="","",I21*WorkDaysMonth)</f>
        <v/>
      </c>
      <c r="O21" s="67" t="str">
        <f aca="false">IF(J21="","",J21*WorkDaysMonth)</f>
        <v/>
      </c>
      <c r="P21" s="67" t="str">
        <f aca="false">IF(K21="","",K21*WorkDaysMonth)</f>
        <v/>
      </c>
      <c r="Q21" s="63"/>
      <c r="R21" s="16" t="str">
        <f aca="false">IF(AND($A21="",$B21="",$D21=""),"",IF(OR($A21="",$B21=""),"⚠ Site and mix code required",IF(ISNA(MATCH($B21,Mix_Code,0)),"⚠ Unknown mix code",IF(COUNTIF(CI_Site,$A21)=0,"⚠ Site not set up in Current Inventory","OK"))))</f>
        <v/>
      </c>
    </row>
    <row r="22" customFormat="false" ht="15" hidden="false" customHeight="false" outlineLevel="0" collapsed="false">
      <c r="A22" s="63"/>
      <c r="B22" s="70"/>
      <c r="C22" s="16" t="str">
        <f aca="false">IF($B22="","",IFERROR(INDEX(Mix_Desc,MATCH($B22,Mix_Code,0)),"⚠ Unknown mix code"))</f>
        <v/>
      </c>
      <c r="D22" s="66"/>
      <c r="E22" s="67" t="str">
        <f aca="false">IF($D22="","",$D22*WorkDaysWeek)</f>
        <v/>
      </c>
      <c r="F22" s="67" t="str">
        <f aca="false">IF($D22="","",$D22*WorkDaysMonth)</f>
        <v/>
      </c>
      <c r="G22" s="67" t="str">
        <f aca="false">IF(OR($B22="",$D22=""),"",IFERROR($D22*INDEX(Mix_Eff,MATCH($B22,Mix_Code,0),1),""))</f>
        <v/>
      </c>
      <c r="H22" s="67" t="str">
        <f aca="false">IF(OR($B22="",$D22=""),"",IFERROR($D22*INDEX(Mix_Eff,MATCH($B22,Mix_Code,0),2),""))</f>
        <v/>
      </c>
      <c r="I22" s="67" t="str">
        <f aca="false">IF(OR($B22="",$D22=""),"",IFERROR($D22*INDEX(Mix_Eff,MATCH($B22,Mix_Code,0),3),""))</f>
        <v/>
      </c>
      <c r="J22" s="67" t="str">
        <f aca="false">IF(OR($B22="",$D22=""),"",IFERROR($D22*INDEX(Mix_Eff,MATCH($B22,Mix_Code,0),4),""))</f>
        <v/>
      </c>
      <c r="K22" s="67" t="str">
        <f aca="false">IF(OR($B22="",$D22=""),"",IFERROR($D22*INDEX(Mix_Eff,MATCH($B22,Mix_Code,0),5),""))</f>
        <v/>
      </c>
      <c r="L22" s="67" t="str">
        <f aca="false">IF(G22="","",G22*WorkDaysMonth)</f>
        <v/>
      </c>
      <c r="M22" s="67" t="str">
        <f aca="false">IF(H22="","",H22*WorkDaysMonth)</f>
        <v/>
      </c>
      <c r="N22" s="67" t="str">
        <f aca="false">IF(I22="","",I22*WorkDaysMonth)</f>
        <v/>
      </c>
      <c r="O22" s="67" t="str">
        <f aca="false">IF(J22="","",J22*WorkDaysMonth)</f>
        <v/>
      </c>
      <c r="P22" s="67" t="str">
        <f aca="false">IF(K22="","",K22*WorkDaysMonth)</f>
        <v/>
      </c>
      <c r="Q22" s="63"/>
      <c r="R22" s="16" t="str">
        <f aca="false">IF(AND($A22="",$B22="",$D22=""),"",IF(OR($A22="",$B22=""),"⚠ Site and mix code required",IF(ISNA(MATCH($B22,Mix_Code,0)),"⚠ Unknown mix code",IF(COUNTIF(CI_Site,$A22)=0,"⚠ Site not set up in Current Inventory","OK"))))</f>
        <v/>
      </c>
    </row>
    <row r="23" customFormat="false" ht="15" hidden="false" customHeight="false" outlineLevel="0" collapsed="false">
      <c r="A23" s="63"/>
      <c r="B23" s="70"/>
      <c r="C23" s="16" t="str">
        <f aca="false">IF($B23="","",IFERROR(INDEX(Mix_Desc,MATCH($B23,Mix_Code,0)),"⚠ Unknown mix code"))</f>
        <v/>
      </c>
      <c r="D23" s="66"/>
      <c r="E23" s="67" t="str">
        <f aca="false">IF($D23="","",$D23*WorkDaysWeek)</f>
        <v/>
      </c>
      <c r="F23" s="67" t="str">
        <f aca="false">IF($D23="","",$D23*WorkDaysMonth)</f>
        <v/>
      </c>
      <c r="G23" s="67" t="str">
        <f aca="false">IF(OR($B23="",$D23=""),"",IFERROR($D23*INDEX(Mix_Eff,MATCH($B23,Mix_Code,0),1),""))</f>
        <v/>
      </c>
      <c r="H23" s="67" t="str">
        <f aca="false">IF(OR($B23="",$D23=""),"",IFERROR($D23*INDEX(Mix_Eff,MATCH($B23,Mix_Code,0),2),""))</f>
        <v/>
      </c>
      <c r="I23" s="67" t="str">
        <f aca="false">IF(OR($B23="",$D23=""),"",IFERROR($D23*INDEX(Mix_Eff,MATCH($B23,Mix_Code,0),3),""))</f>
        <v/>
      </c>
      <c r="J23" s="67" t="str">
        <f aca="false">IF(OR($B23="",$D23=""),"",IFERROR($D23*INDEX(Mix_Eff,MATCH($B23,Mix_Code,0),4),""))</f>
        <v/>
      </c>
      <c r="K23" s="67" t="str">
        <f aca="false">IF(OR($B23="",$D23=""),"",IFERROR($D23*INDEX(Mix_Eff,MATCH($B23,Mix_Code,0),5),""))</f>
        <v/>
      </c>
      <c r="L23" s="67" t="str">
        <f aca="false">IF(G23="","",G23*WorkDaysMonth)</f>
        <v/>
      </c>
      <c r="M23" s="67" t="str">
        <f aca="false">IF(H23="","",H23*WorkDaysMonth)</f>
        <v/>
      </c>
      <c r="N23" s="67" t="str">
        <f aca="false">IF(I23="","",I23*WorkDaysMonth)</f>
        <v/>
      </c>
      <c r="O23" s="67" t="str">
        <f aca="false">IF(J23="","",J23*WorkDaysMonth)</f>
        <v/>
      </c>
      <c r="P23" s="67" t="str">
        <f aca="false">IF(K23="","",K23*WorkDaysMonth)</f>
        <v/>
      </c>
      <c r="Q23" s="63"/>
      <c r="R23" s="16" t="str">
        <f aca="false">IF(AND($A23="",$B23="",$D23=""),"",IF(OR($A23="",$B23=""),"⚠ Site and mix code required",IF(ISNA(MATCH($B23,Mix_Code,0)),"⚠ Unknown mix code",IF(COUNTIF(CI_Site,$A23)=0,"⚠ Site not set up in Current Inventory","OK"))))</f>
        <v/>
      </c>
    </row>
    <row r="24" customFormat="false" ht="15" hidden="false" customHeight="false" outlineLevel="0" collapsed="false">
      <c r="A24" s="63"/>
      <c r="B24" s="70"/>
      <c r="C24" s="16" t="str">
        <f aca="false">IF($B24="","",IFERROR(INDEX(Mix_Desc,MATCH($B24,Mix_Code,0)),"⚠ Unknown mix code"))</f>
        <v/>
      </c>
      <c r="D24" s="66"/>
      <c r="E24" s="67" t="str">
        <f aca="false">IF($D24="","",$D24*WorkDaysWeek)</f>
        <v/>
      </c>
      <c r="F24" s="67" t="str">
        <f aca="false">IF($D24="","",$D24*WorkDaysMonth)</f>
        <v/>
      </c>
      <c r="G24" s="67" t="str">
        <f aca="false">IF(OR($B24="",$D24=""),"",IFERROR($D24*INDEX(Mix_Eff,MATCH($B24,Mix_Code,0),1),""))</f>
        <v/>
      </c>
      <c r="H24" s="67" t="str">
        <f aca="false">IF(OR($B24="",$D24=""),"",IFERROR($D24*INDEX(Mix_Eff,MATCH($B24,Mix_Code,0),2),""))</f>
        <v/>
      </c>
      <c r="I24" s="67" t="str">
        <f aca="false">IF(OR($B24="",$D24=""),"",IFERROR($D24*INDEX(Mix_Eff,MATCH($B24,Mix_Code,0),3),""))</f>
        <v/>
      </c>
      <c r="J24" s="67" t="str">
        <f aca="false">IF(OR($B24="",$D24=""),"",IFERROR($D24*INDEX(Mix_Eff,MATCH($B24,Mix_Code,0),4),""))</f>
        <v/>
      </c>
      <c r="K24" s="67" t="str">
        <f aca="false">IF(OR($B24="",$D24=""),"",IFERROR($D24*INDEX(Mix_Eff,MATCH($B24,Mix_Code,0),5),""))</f>
        <v/>
      </c>
      <c r="L24" s="67" t="str">
        <f aca="false">IF(G24="","",G24*WorkDaysMonth)</f>
        <v/>
      </c>
      <c r="M24" s="67" t="str">
        <f aca="false">IF(H24="","",H24*WorkDaysMonth)</f>
        <v/>
      </c>
      <c r="N24" s="67" t="str">
        <f aca="false">IF(I24="","",I24*WorkDaysMonth)</f>
        <v/>
      </c>
      <c r="O24" s="67" t="str">
        <f aca="false">IF(J24="","",J24*WorkDaysMonth)</f>
        <v/>
      </c>
      <c r="P24" s="67" t="str">
        <f aca="false">IF(K24="","",K24*WorkDaysMonth)</f>
        <v/>
      </c>
      <c r="Q24" s="63"/>
      <c r="R24" s="16" t="str">
        <f aca="false">IF(AND($A24="",$B24="",$D24=""),"",IF(OR($A24="",$B24=""),"⚠ Site and mix code required",IF(ISNA(MATCH($B24,Mix_Code,0)),"⚠ Unknown mix code",IF(COUNTIF(CI_Site,$A24)=0,"⚠ Site not set up in Current Inventory","OK"))))</f>
        <v/>
      </c>
    </row>
    <row r="25" customFormat="false" ht="15" hidden="false" customHeight="false" outlineLevel="0" collapsed="false">
      <c r="A25" s="63"/>
      <c r="B25" s="70"/>
      <c r="C25" s="16" t="str">
        <f aca="false">IF($B25="","",IFERROR(INDEX(Mix_Desc,MATCH($B25,Mix_Code,0)),"⚠ Unknown mix code"))</f>
        <v/>
      </c>
      <c r="D25" s="66"/>
      <c r="E25" s="67" t="str">
        <f aca="false">IF($D25="","",$D25*WorkDaysWeek)</f>
        <v/>
      </c>
      <c r="F25" s="67" t="str">
        <f aca="false">IF($D25="","",$D25*WorkDaysMonth)</f>
        <v/>
      </c>
      <c r="G25" s="67" t="str">
        <f aca="false">IF(OR($B25="",$D25=""),"",IFERROR($D25*INDEX(Mix_Eff,MATCH($B25,Mix_Code,0),1),""))</f>
        <v/>
      </c>
      <c r="H25" s="67" t="str">
        <f aca="false">IF(OR($B25="",$D25=""),"",IFERROR($D25*INDEX(Mix_Eff,MATCH($B25,Mix_Code,0),2),""))</f>
        <v/>
      </c>
      <c r="I25" s="67" t="str">
        <f aca="false">IF(OR($B25="",$D25=""),"",IFERROR($D25*INDEX(Mix_Eff,MATCH($B25,Mix_Code,0),3),""))</f>
        <v/>
      </c>
      <c r="J25" s="67" t="str">
        <f aca="false">IF(OR($B25="",$D25=""),"",IFERROR($D25*INDEX(Mix_Eff,MATCH($B25,Mix_Code,0),4),""))</f>
        <v/>
      </c>
      <c r="K25" s="67" t="str">
        <f aca="false">IF(OR($B25="",$D25=""),"",IFERROR($D25*INDEX(Mix_Eff,MATCH($B25,Mix_Code,0),5),""))</f>
        <v/>
      </c>
      <c r="L25" s="67" t="str">
        <f aca="false">IF(G25="","",G25*WorkDaysMonth)</f>
        <v/>
      </c>
      <c r="M25" s="67" t="str">
        <f aca="false">IF(H25="","",H25*WorkDaysMonth)</f>
        <v/>
      </c>
      <c r="N25" s="67" t="str">
        <f aca="false">IF(I25="","",I25*WorkDaysMonth)</f>
        <v/>
      </c>
      <c r="O25" s="67" t="str">
        <f aca="false">IF(J25="","",J25*WorkDaysMonth)</f>
        <v/>
      </c>
      <c r="P25" s="67" t="str">
        <f aca="false">IF(K25="","",K25*WorkDaysMonth)</f>
        <v/>
      </c>
      <c r="Q25" s="63"/>
      <c r="R25" s="16" t="str">
        <f aca="false">IF(AND($A25="",$B25="",$D25=""),"",IF(OR($A25="",$B25=""),"⚠ Site and mix code required",IF(ISNA(MATCH($B25,Mix_Code,0)),"⚠ Unknown mix code",IF(COUNTIF(CI_Site,$A25)=0,"⚠ Site not set up in Current Inventory","OK"))))</f>
        <v/>
      </c>
    </row>
    <row r="26" customFormat="false" ht="15" hidden="false" customHeight="false" outlineLevel="0" collapsed="false">
      <c r="A26" s="63"/>
      <c r="B26" s="70"/>
      <c r="C26" s="16" t="str">
        <f aca="false">IF($B26="","",IFERROR(INDEX(Mix_Desc,MATCH($B26,Mix_Code,0)),"⚠ Unknown mix code"))</f>
        <v/>
      </c>
      <c r="D26" s="66"/>
      <c r="E26" s="67" t="str">
        <f aca="false">IF($D26="","",$D26*WorkDaysWeek)</f>
        <v/>
      </c>
      <c r="F26" s="67" t="str">
        <f aca="false">IF($D26="","",$D26*WorkDaysMonth)</f>
        <v/>
      </c>
      <c r="G26" s="67" t="str">
        <f aca="false">IF(OR($B26="",$D26=""),"",IFERROR($D26*INDEX(Mix_Eff,MATCH($B26,Mix_Code,0),1),""))</f>
        <v/>
      </c>
      <c r="H26" s="67" t="str">
        <f aca="false">IF(OR($B26="",$D26=""),"",IFERROR($D26*INDEX(Mix_Eff,MATCH($B26,Mix_Code,0),2),""))</f>
        <v/>
      </c>
      <c r="I26" s="67" t="str">
        <f aca="false">IF(OR($B26="",$D26=""),"",IFERROR($D26*INDEX(Mix_Eff,MATCH($B26,Mix_Code,0),3),""))</f>
        <v/>
      </c>
      <c r="J26" s="67" t="str">
        <f aca="false">IF(OR($B26="",$D26=""),"",IFERROR($D26*INDEX(Mix_Eff,MATCH($B26,Mix_Code,0),4),""))</f>
        <v/>
      </c>
      <c r="K26" s="67" t="str">
        <f aca="false">IF(OR($B26="",$D26=""),"",IFERROR($D26*INDEX(Mix_Eff,MATCH($B26,Mix_Code,0),5),""))</f>
        <v/>
      </c>
      <c r="L26" s="67" t="str">
        <f aca="false">IF(G26="","",G26*WorkDaysMonth)</f>
        <v/>
      </c>
      <c r="M26" s="67" t="str">
        <f aca="false">IF(H26="","",H26*WorkDaysMonth)</f>
        <v/>
      </c>
      <c r="N26" s="67" t="str">
        <f aca="false">IF(I26="","",I26*WorkDaysMonth)</f>
        <v/>
      </c>
      <c r="O26" s="67" t="str">
        <f aca="false">IF(J26="","",J26*WorkDaysMonth)</f>
        <v/>
      </c>
      <c r="P26" s="67" t="str">
        <f aca="false">IF(K26="","",K26*WorkDaysMonth)</f>
        <v/>
      </c>
      <c r="Q26" s="63"/>
      <c r="R26" s="16" t="str">
        <f aca="false">IF(AND($A26="",$B26="",$D26=""),"",IF(OR($A26="",$B26=""),"⚠ Site and mix code required",IF(ISNA(MATCH($B26,Mix_Code,0)),"⚠ Unknown mix code",IF(COUNTIF(CI_Site,$A26)=0,"⚠ Site not set up in Current Inventory","OK"))))</f>
        <v/>
      </c>
    </row>
    <row r="27" customFormat="false" ht="15" hidden="false" customHeight="false" outlineLevel="0" collapsed="false">
      <c r="A27" s="63"/>
      <c r="B27" s="70"/>
      <c r="C27" s="16" t="str">
        <f aca="false">IF($B27="","",IFERROR(INDEX(Mix_Desc,MATCH($B27,Mix_Code,0)),"⚠ Unknown mix code"))</f>
        <v/>
      </c>
      <c r="D27" s="66"/>
      <c r="E27" s="67" t="str">
        <f aca="false">IF($D27="","",$D27*WorkDaysWeek)</f>
        <v/>
      </c>
      <c r="F27" s="67" t="str">
        <f aca="false">IF($D27="","",$D27*WorkDaysMonth)</f>
        <v/>
      </c>
      <c r="G27" s="67" t="str">
        <f aca="false">IF(OR($B27="",$D27=""),"",IFERROR($D27*INDEX(Mix_Eff,MATCH($B27,Mix_Code,0),1),""))</f>
        <v/>
      </c>
      <c r="H27" s="67" t="str">
        <f aca="false">IF(OR($B27="",$D27=""),"",IFERROR($D27*INDEX(Mix_Eff,MATCH($B27,Mix_Code,0),2),""))</f>
        <v/>
      </c>
      <c r="I27" s="67" t="str">
        <f aca="false">IF(OR($B27="",$D27=""),"",IFERROR($D27*INDEX(Mix_Eff,MATCH($B27,Mix_Code,0),3),""))</f>
        <v/>
      </c>
      <c r="J27" s="67" t="str">
        <f aca="false">IF(OR($B27="",$D27=""),"",IFERROR($D27*INDEX(Mix_Eff,MATCH($B27,Mix_Code,0),4),""))</f>
        <v/>
      </c>
      <c r="K27" s="67" t="str">
        <f aca="false">IF(OR($B27="",$D27=""),"",IFERROR($D27*INDEX(Mix_Eff,MATCH($B27,Mix_Code,0),5),""))</f>
        <v/>
      </c>
      <c r="L27" s="67" t="str">
        <f aca="false">IF(G27="","",G27*WorkDaysMonth)</f>
        <v/>
      </c>
      <c r="M27" s="67" t="str">
        <f aca="false">IF(H27="","",H27*WorkDaysMonth)</f>
        <v/>
      </c>
      <c r="N27" s="67" t="str">
        <f aca="false">IF(I27="","",I27*WorkDaysMonth)</f>
        <v/>
      </c>
      <c r="O27" s="67" t="str">
        <f aca="false">IF(J27="","",J27*WorkDaysMonth)</f>
        <v/>
      </c>
      <c r="P27" s="67" t="str">
        <f aca="false">IF(K27="","",K27*WorkDaysMonth)</f>
        <v/>
      </c>
      <c r="Q27" s="63"/>
      <c r="R27" s="16" t="str">
        <f aca="false">IF(AND($A27="",$B27="",$D27=""),"",IF(OR($A27="",$B27=""),"⚠ Site and mix code required",IF(ISNA(MATCH($B27,Mix_Code,0)),"⚠ Unknown mix code",IF(COUNTIF(CI_Site,$A27)=0,"⚠ Site not set up in Current Inventory","OK"))))</f>
        <v/>
      </c>
    </row>
    <row r="28" customFormat="false" ht="15" hidden="false" customHeight="false" outlineLevel="0" collapsed="false">
      <c r="A28" s="63"/>
      <c r="B28" s="70"/>
      <c r="C28" s="16" t="str">
        <f aca="false">IF($B28="","",IFERROR(INDEX(Mix_Desc,MATCH($B28,Mix_Code,0)),"⚠ Unknown mix code"))</f>
        <v/>
      </c>
      <c r="D28" s="66"/>
      <c r="E28" s="67" t="str">
        <f aca="false">IF($D28="","",$D28*WorkDaysWeek)</f>
        <v/>
      </c>
      <c r="F28" s="67" t="str">
        <f aca="false">IF($D28="","",$D28*WorkDaysMonth)</f>
        <v/>
      </c>
      <c r="G28" s="67" t="str">
        <f aca="false">IF(OR($B28="",$D28=""),"",IFERROR($D28*INDEX(Mix_Eff,MATCH($B28,Mix_Code,0),1),""))</f>
        <v/>
      </c>
      <c r="H28" s="67" t="str">
        <f aca="false">IF(OR($B28="",$D28=""),"",IFERROR($D28*INDEX(Mix_Eff,MATCH($B28,Mix_Code,0),2),""))</f>
        <v/>
      </c>
      <c r="I28" s="67" t="str">
        <f aca="false">IF(OR($B28="",$D28=""),"",IFERROR($D28*INDEX(Mix_Eff,MATCH($B28,Mix_Code,0),3),""))</f>
        <v/>
      </c>
      <c r="J28" s="67" t="str">
        <f aca="false">IF(OR($B28="",$D28=""),"",IFERROR($D28*INDEX(Mix_Eff,MATCH($B28,Mix_Code,0),4),""))</f>
        <v/>
      </c>
      <c r="K28" s="67" t="str">
        <f aca="false">IF(OR($B28="",$D28=""),"",IFERROR($D28*INDEX(Mix_Eff,MATCH($B28,Mix_Code,0),5),""))</f>
        <v/>
      </c>
      <c r="L28" s="67" t="str">
        <f aca="false">IF(G28="","",G28*WorkDaysMonth)</f>
        <v/>
      </c>
      <c r="M28" s="67" t="str">
        <f aca="false">IF(H28="","",H28*WorkDaysMonth)</f>
        <v/>
      </c>
      <c r="N28" s="67" t="str">
        <f aca="false">IF(I28="","",I28*WorkDaysMonth)</f>
        <v/>
      </c>
      <c r="O28" s="67" t="str">
        <f aca="false">IF(J28="","",J28*WorkDaysMonth)</f>
        <v/>
      </c>
      <c r="P28" s="67" t="str">
        <f aca="false">IF(K28="","",K28*WorkDaysMonth)</f>
        <v/>
      </c>
      <c r="Q28" s="63"/>
      <c r="R28" s="16" t="str">
        <f aca="false">IF(AND($A28="",$B28="",$D28=""),"",IF(OR($A28="",$B28=""),"⚠ Site and mix code required",IF(ISNA(MATCH($B28,Mix_Code,0)),"⚠ Unknown mix code",IF(COUNTIF(CI_Site,$A28)=0,"⚠ Site not set up in Current Inventory","OK"))))</f>
        <v/>
      </c>
    </row>
    <row r="29" customFormat="false" ht="15" hidden="false" customHeight="false" outlineLevel="0" collapsed="false">
      <c r="A29" s="63"/>
      <c r="B29" s="70"/>
      <c r="C29" s="16" t="str">
        <f aca="false">IF($B29="","",IFERROR(INDEX(Mix_Desc,MATCH($B29,Mix_Code,0)),"⚠ Unknown mix code"))</f>
        <v/>
      </c>
      <c r="D29" s="66"/>
      <c r="E29" s="67" t="str">
        <f aca="false">IF($D29="","",$D29*WorkDaysWeek)</f>
        <v/>
      </c>
      <c r="F29" s="67" t="str">
        <f aca="false">IF($D29="","",$D29*WorkDaysMonth)</f>
        <v/>
      </c>
      <c r="G29" s="67" t="str">
        <f aca="false">IF(OR($B29="",$D29=""),"",IFERROR($D29*INDEX(Mix_Eff,MATCH($B29,Mix_Code,0),1),""))</f>
        <v/>
      </c>
      <c r="H29" s="67" t="str">
        <f aca="false">IF(OR($B29="",$D29=""),"",IFERROR($D29*INDEX(Mix_Eff,MATCH($B29,Mix_Code,0),2),""))</f>
        <v/>
      </c>
      <c r="I29" s="67" t="str">
        <f aca="false">IF(OR($B29="",$D29=""),"",IFERROR($D29*INDEX(Mix_Eff,MATCH($B29,Mix_Code,0),3),""))</f>
        <v/>
      </c>
      <c r="J29" s="67" t="str">
        <f aca="false">IF(OR($B29="",$D29=""),"",IFERROR($D29*INDEX(Mix_Eff,MATCH($B29,Mix_Code,0),4),""))</f>
        <v/>
      </c>
      <c r="K29" s="67" t="str">
        <f aca="false">IF(OR($B29="",$D29=""),"",IFERROR($D29*INDEX(Mix_Eff,MATCH($B29,Mix_Code,0),5),""))</f>
        <v/>
      </c>
      <c r="L29" s="67" t="str">
        <f aca="false">IF(G29="","",G29*WorkDaysMonth)</f>
        <v/>
      </c>
      <c r="M29" s="67" t="str">
        <f aca="false">IF(H29="","",H29*WorkDaysMonth)</f>
        <v/>
      </c>
      <c r="N29" s="67" t="str">
        <f aca="false">IF(I29="","",I29*WorkDaysMonth)</f>
        <v/>
      </c>
      <c r="O29" s="67" t="str">
        <f aca="false">IF(J29="","",J29*WorkDaysMonth)</f>
        <v/>
      </c>
      <c r="P29" s="67" t="str">
        <f aca="false">IF(K29="","",K29*WorkDaysMonth)</f>
        <v/>
      </c>
      <c r="Q29" s="63"/>
      <c r="R29" s="16" t="str">
        <f aca="false">IF(AND($A29="",$B29="",$D29=""),"",IF(OR($A29="",$B29=""),"⚠ Site and mix code required",IF(ISNA(MATCH($B29,Mix_Code,0)),"⚠ Unknown mix code",IF(COUNTIF(CI_Site,$A29)=0,"⚠ Site not set up in Current Inventory","OK"))))</f>
        <v/>
      </c>
    </row>
    <row r="30" customFormat="false" ht="15" hidden="false" customHeight="false" outlineLevel="0" collapsed="false">
      <c r="A30" s="63"/>
      <c r="B30" s="70"/>
      <c r="C30" s="16" t="str">
        <f aca="false">IF($B30="","",IFERROR(INDEX(Mix_Desc,MATCH($B30,Mix_Code,0)),"⚠ Unknown mix code"))</f>
        <v/>
      </c>
      <c r="D30" s="66"/>
      <c r="E30" s="67" t="str">
        <f aca="false">IF($D30="","",$D30*WorkDaysWeek)</f>
        <v/>
      </c>
      <c r="F30" s="67" t="str">
        <f aca="false">IF($D30="","",$D30*WorkDaysMonth)</f>
        <v/>
      </c>
      <c r="G30" s="67" t="str">
        <f aca="false">IF(OR($B30="",$D30=""),"",IFERROR($D30*INDEX(Mix_Eff,MATCH($B30,Mix_Code,0),1),""))</f>
        <v/>
      </c>
      <c r="H30" s="67" t="str">
        <f aca="false">IF(OR($B30="",$D30=""),"",IFERROR($D30*INDEX(Mix_Eff,MATCH($B30,Mix_Code,0),2),""))</f>
        <v/>
      </c>
      <c r="I30" s="67" t="str">
        <f aca="false">IF(OR($B30="",$D30=""),"",IFERROR($D30*INDEX(Mix_Eff,MATCH($B30,Mix_Code,0),3),""))</f>
        <v/>
      </c>
      <c r="J30" s="67" t="str">
        <f aca="false">IF(OR($B30="",$D30=""),"",IFERROR($D30*INDEX(Mix_Eff,MATCH($B30,Mix_Code,0),4),""))</f>
        <v/>
      </c>
      <c r="K30" s="67" t="str">
        <f aca="false">IF(OR($B30="",$D30=""),"",IFERROR($D30*INDEX(Mix_Eff,MATCH($B30,Mix_Code,0),5),""))</f>
        <v/>
      </c>
      <c r="L30" s="67" t="str">
        <f aca="false">IF(G30="","",G30*WorkDaysMonth)</f>
        <v/>
      </c>
      <c r="M30" s="67" t="str">
        <f aca="false">IF(H30="","",H30*WorkDaysMonth)</f>
        <v/>
      </c>
      <c r="N30" s="67" t="str">
        <f aca="false">IF(I30="","",I30*WorkDaysMonth)</f>
        <v/>
      </c>
      <c r="O30" s="67" t="str">
        <f aca="false">IF(J30="","",J30*WorkDaysMonth)</f>
        <v/>
      </c>
      <c r="P30" s="67" t="str">
        <f aca="false">IF(K30="","",K30*WorkDaysMonth)</f>
        <v/>
      </c>
      <c r="Q30" s="63"/>
      <c r="R30" s="16" t="str">
        <f aca="false">IF(AND($A30="",$B30="",$D30=""),"",IF(OR($A30="",$B30=""),"⚠ Site and mix code required",IF(ISNA(MATCH($B30,Mix_Code,0)),"⚠ Unknown mix code",IF(COUNTIF(CI_Site,$A30)=0,"⚠ Site not set up in Current Inventory","OK"))))</f>
        <v/>
      </c>
    </row>
    <row r="31" customFormat="false" ht="15" hidden="false" customHeight="false" outlineLevel="0" collapsed="false">
      <c r="A31" s="63"/>
      <c r="B31" s="70"/>
      <c r="C31" s="16" t="str">
        <f aca="false">IF($B31="","",IFERROR(INDEX(Mix_Desc,MATCH($B31,Mix_Code,0)),"⚠ Unknown mix code"))</f>
        <v/>
      </c>
      <c r="D31" s="66"/>
      <c r="E31" s="67" t="str">
        <f aca="false">IF($D31="","",$D31*WorkDaysWeek)</f>
        <v/>
      </c>
      <c r="F31" s="67" t="str">
        <f aca="false">IF($D31="","",$D31*WorkDaysMonth)</f>
        <v/>
      </c>
      <c r="G31" s="67" t="str">
        <f aca="false">IF(OR($B31="",$D31=""),"",IFERROR($D31*INDEX(Mix_Eff,MATCH($B31,Mix_Code,0),1),""))</f>
        <v/>
      </c>
      <c r="H31" s="67" t="str">
        <f aca="false">IF(OR($B31="",$D31=""),"",IFERROR($D31*INDEX(Mix_Eff,MATCH($B31,Mix_Code,0),2),""))</f>
        <v/>
      </c>
      <c r="I31" s="67" t="str">
        <f aca="false">IF(OR($B31="",$D31=""),"",IFERROR($D31*INDEX(Mix_Eff,MATCH($B31,Mix_Code,0),3),""))</f>
        <v/>
      </c>
      <c r="J31" s="67" t="str">
        <f aca="false">IF(OR($B31="",$D31=""),"",IFERROR($D31*INDEX(Mix_Eff,MATCH($B31,Mix_Code,0),4),""))</f>
        <v/>
      </c>
      <c r="K31" s="67" t="str">
        <f aca="false">IF(OR($B31="",$D31=""),"",IFERROR($D31*INDEX(Mix_Eff,MATCH($B31,Mix_Code,0),5),""))</f>
        <v/>
      </c>
      <c r="L31" s="67" t="str">
        <f aca="false">IF(G31="","",G31*WorkDaysMonth)</f>
        <v/>
      </c>
      <c r="M31" s="67" t="str">
        <f aca="false">IF(H31="","",H31*WorkDaysMonth)</f>
        <v/>
      </c>
      <c r="N31" s="67" t="str">
        <f aca="false">IF(I31="","",I31*WorkDaysMonth)</f>
        <v/>
      </c>
      <c r="O31" s="67" t="str">
        <f aca="false">IF(J31="","",J31*WorkDaysMonth)</f>
        <v/>
      </c>
      <c r="P31" s="67" t="str">
        <f aca="false">IF(K31="","",K31*WorkDaysMonth)</f>
        <v/>
      </c>
      <c r="Q31" s="63"/>
      <c r="R31" s="16" t="str">
        <f aca="false">IF(AND($A31="",$B31="",$D31=""),"",IF(OR($A31="",$B31=""),"⚠ Site and mix code required",IF(ISNA(MATCH($B31,Mix_Code,0)),"⚠ Unknown mix code",IF(COUNTIF(CI_Site,$A31)=0,"⚠ Site not set up in Current Inventory","OK"))))</f>
        <v/>
      </c>
    </row>
    <row r="32" customFormat="false" ht="15" hidden="false" customHeight="false" outlineLevel="0" collapsed="false">
      <c r="A32" s="63"/>
      <c r="B32" s="70"/>
      <c r="C32" s="16" t="str">
        <f aca="false">IF($B32="","",IFERROR(INDEX(Mix_Desc,MATCH($B32,Mix_Code,0)),"⚠ Unknown mix code"))</f>
        <v/>
      </c>
      <c r="D32" s="66"/>
      <c r="E32" s="67" t="str">
        <f aca="false">IF($D32="","",$D32*WorkDaysWeek)</f>
        <v/>
      </c>
      <c r="F32" s="67" t="str">
        <f aca="false">IF($D32="","",$D32*WorkDaysMonth)</f>
        <v/>
      </c>
      <c r="G32" s="67" t="str">
        <f aca="false">IF(OR($B32="",$D32=""),"",IFERROR($D32*INDEX(Mix_Eff,MATCH($B32,Mix_Code,0),1),""))</f>
        <v/>
      </c>
      <c r="H32" s="67" t="str">
        <f aca="false">IF(OR($B32="",$D32=""),"",IFERROR($D32*INDEX(Mix_Eff,MATCH($B32,Mix_Code,0),2),""))</f>
        <v/>
      </c>
      <c r="I32" s="67" t="str">
        <f aca="false">IF(OR($B32="",$D32=""),"",IFERROR($D32*INDEX(Mix_Eff,MATCH($B32,Mix_Code,0),3),""))</f>
        <v/>
      </c>
      <c r="J32" s="67" t="str">
        <f aca="false">IF(OR($B32="",$D32=""),"",IFERROR($D32*INDEX(Mix_Eff,MATCH($B32,Mix_Code,0),4),""))</f>
        <v/>
      </c>
      <c r="K32" s="67" t="str">
        <f aca="false">IF(OR($B32="",$D32=""),"",IFERROR($D32*INDEX(Mix_Eff,MATCH($B32,Mix_Code,0),5),""))</f>
        <v/>
      </c>
      <c r="L32" s="67" t="str">
        <f aca="false">IF(G32="","",G32*WorkDaysMonth)</f>
        <v/>
      </c>
      <c r="M32" s="67" t="str">
        <f aca="false">IF(H32="","",H32*WorkDaysMonth)</f>
        <v/>
      </c>
      <c r="N32" s="67" t="str">
        <f aca="false">IF(I32="","",I32*WorkDaysMonth)</f>
        <v/>
      </c>
      <c r="O32" s="67" t="str">
        <f aca="false">IF(J32="","",J32*WorkDaysMonth)</f>
        <v/>
      </c>
      <c r="P32" s="67" t="str">
        <f aca="false">IF(K32="","",K32*WorkDaysMonth)</f>
        <v/>
      </c>
      <c r="Q32" s="63"/>
      <c r="R32" s="16" t="str">
        <f aca="false">IF(AND($A32="",$B32="",$D32=""),"",IF(OR($A32="",$B32=""),"⚠ Site and mix code required",IF(ISNA(MATCH($B32,Mix_Code,0)),"⚠ Unknown mix code",IF(COUNTIF(CI_Site,$A32)=0,"⚠ Site not set up in Current Inventory","OK"))))</f>
        <v/>
      </c>
    </row>
    <row r="33" customFormat="false" ht="15" hidden="false" customHeight="false" outlineLevel="0" collapsed="false">
      <c r="A33" s="63"/>
      <c r="B33" s="70"/>
      <c r="C33" s="16" t="str">
        <f aca="false">IF($B33="","",IFERROR(INDEX(Mix_Desc,MATCH($B33,Mix_Code,0)),"⚠ Unknown mix code"))</f>
        <v/>
      </c>
      <c r="D33" s="66"/>
      <c r="E33" s="67" t="str">
        <f aca="false">IF($D33="","",$D33*WorkDaysWeek)</f>
        <v/>
      </c>
      <c r="F33" s="67" t="str">
        <f aca="false">IF($D33="","",$D33*WorkDaysMonth)</f>
        <v/>
      </c>
      <c r="G33" s="67" t="str">
        <f aca="false">IF(OR($B33="",$D33=""),"",IFERROR($D33*INDEX(Mix_Eff,MATCH($B33,Mix_Code,0),1),""))</f>
        <v/>
      </c>
      <c r="H33" s="67" t="str">
        <f aca="false">IF(OR($B33="",$D33=""),"",IFERROR($D33*INDEX(Mix_Eff,MATCH($B33,Mix_Code,0),2),""))</f>
        <v/>
      </c>
      <c r="I33" s="67" t="str">
        <f aca="false">IF(OR($B33="",$D33=""),"",IFERROR($D33*INDEX(Mix_Eff,MATCH($B33,Mix_Code,0),3),""))</f>
        <v/>
      </c>
      <c r="J33" s="67" t="str">
        <f aca="false">IF(OR($B33="",$D33=""),"",IFERROR($D33*INDEX(Mix_Eff,MATCH($B33,Mix_Code,0),4),""))</f>
        <v/>
      </c>
      <c r="K33" s="67" t="str">
        <f aca="false">IF(OR($B33="",$D33=""),"",IFERROR($D33*INDEX(Mix_Eff,MATCH($B33,Mix_Code,0),5),""))</f>
        <v/>
      </c>
      <c r="L33" s="67" t="str">
        <f aca="false">IF(G33="","",G33*WorkDaysMonth)</f>
        <v/>
      </c>
      <c r="M33" s="67" t="str">
        <f aca="false">IF(H33="","",H33*WorkDaysMonth)</f>
        <v/>
      </c>
      <c r="N33" s="67" t="str">
        <f aca="false">IF(I33="","",I33*WorkDaysMonth)</f>
        <v/>
      </c>
      <c r="O33" s="67" t="str">
        <f aca="false">IF(J33="","",J33*WorkDaysMonth)</f>
        <v/>
      </c>
      <c r="P33" s="67" t="str">
        <f aca="false">IF(K33="","",K33*WorkDaysMonth)</f>
        <v/>
      </c>
      <c r="Q33" s="63"/>
      <c r="R33" s="16" t="str">
        <f aca="false">IF(AND($A33="",$B33="",$D33=""),"",IF(OR($A33="",$B33=""),"⚠ Site and mix code required",IF(ISNA(MATCH($B33,Mix_Code,0)),"⚠ Unknown mix code",IF(COUNTIF(CI_Site,$A33)=0,"⚠ Site not set up in Current Inventory","OK"))))</f>
        <v/>
      </c>
    </row>
    <row r="34" customFormat="false" ht="15" hidden="false" customHeight="false" outlineLevel="0" collapsed="false">
      <c r="A34" s="63"/>
      <c r="B34" s="70"/>
      <c r="C34" s="16" t="str">
        <f aca="false">IF($B34="","",IFERROR(INDEX(Mix_Desc,MATCH($B34,Mix_Code,0)),"⚠ Unknown mix code"))</f>
        <v/>
      </c>
      <c r="D34" s="66"/>
      <c r="E34" s="67" t="str">
        <f aca="false">IF($D34="","",$D34*WorkDaysWeek)</f>
        <v/>
      </c>
      <c r="F34" s="67" t="str">
        <f aca="false">IF($D34="","",$D34*WorkDaysMonth)</f>
        <v/>
      </c>
      <c r="G34" s="67" t="str">
        <f aca="false">IF(OR($B34="",$D34=""),"",IFERROR($D34*INDEX(Mix_Eff,MATCH($B34,Mix_Code,0),1),""))</f>
        <v/>
      </c>
      <c r="H34" s="67" t="str">
        <f aca="false">IF(OR($B34="",$D34=""),"",IFERROR($D34*INDEX(Mix_Eff,MATCH($B34,Mix_Code,0),2),""))</f>
        <v/>
      </c>
      <c r="I34" s="67" t="str">
        <f aca="false">IF(OR($B34="",$D34=""),"",IFERROR($D34*INDEX(Mix_Eff,MATCH($B34,Mix_Code,0),3),""))</f>
        <v/>
      </c>
      <c r="J34" s="67" t="str">
        <f aca="false">IF(OR($B34="",$D34=""),"",IFERROR($D34*INDEX(Mix_Eff,MATCH($B34,Mix_Code,0),4),""))</f>
        <v/>
      </c>
      <c r="K34" s="67" t="str">
        <f aca="false">IF(OR($B34="",$D34=""),"",IFERROR($D34*INDEX(Mix_Eff,MATCH($B34,Mix_Code,0),5),""))</f>
        <v/>
      </c>
      <c r="L34" s="67" t="str">
        <f aca="false">IF(G34="","",G34*WorkDaysMonth)</f>
        <v/>
      </c>
      <c r="M34" s="67" t="str">
        <f aca="false">IF(H34="","",H34*WorkDaysMonth)</f>
        <v/>
      </c>
      <c r="N34" s="67" t="str">
        <f aca="false">IF(I34="","",I34*WorkDaysMonth)</f>
        <v/>
      </c>
      <c r="O34" s="67" t="str">
        <f aca="false">IF(J34="","",J34*WorkDaysMonth)</f>
        <v/>
      </c>
      <c r="P34" s="67" t="str">
        <f aca="false">IF(K34="","",K34*WorkDaysMonth)</f>
        <v/>
      </c>
      <c r="Q34" s="63"/>
      <c r="R34" s="16" t="str">
        <f aca="false">IF(AND($A34="",$B34="",$D34=""),"",IF(OR($A34="",$B34=""),"⚠ Site and mix code required",IF(ISNA(MATCH($B34,Mix_Code,0)),"⚠ Unknown mix code",IF(COUNTIF(CI_Site,$A34)=0,"⚠ Site not set up in Current Inventory","OK"))))</f>
        <v/>
      </c>
    </row>
    <row r="35" customFormat="false" ht="15" hidden="false" customHeight="false" outlineLevel="0" collapsed="false">
      <c r="A35" s="63"/>
      <c r="B35" s="70"/>
      <c r="C35" s="16" t="str">
        <f aca="false">IF($B35="","",IFERROR(INDEX(Mix_Desc,MATCH($B35,Mix_Code,0)),"⚠ Unknown mix code"))</f>
        <v/>
      </c>
      <c r="D35" s="66"/>
      <c r="E35" s="67" t="str">
        <f aca="false">IF($D35="","",$D35*WorkDaysWeek)</f>
        <v/>
      </c>
      <c r="F35" s="67" t="str">
        <f aca="false">IF($D35="","",$D35*WorkDaysMonth)</f>
        <v/>
      </c>
      <c r="G35" s="67" t="str">
        <f aca="false">IF(OR($B35="",$D35=""),"",IFERROR($D35*INDEX(Mix_Eff,MATCH($B35,Mix_Code,0),1),""))</f>
        <v/>
      </c>
      <c r="H35" s="67" t="str">
        <f aca="false">IF(OR($B35="",$D35=""),"",IFERROR($D35*INDEX(Mix_Eff,MATCH($B35,Mix_Code,0),2),""))</f>
        <v/>
      </c>
      <c r="I35" s="67" t="str">
        <f aca="false">IF(OR($B35="",$D35=""),"",IFERROR($D35*INDEX(Mix_Eff,MATCH($B35,Mix_Code,0),3),""))</f>
        <v/>
      </c>
      <c r="J35" s="67" t="str">
        <f aca="false">IF(OR($B35="",$D35=""),"",IFERROR($D35*INDEX(Mix_Eff,MATCH($B35,Mix_Code,0),4),""))</f>
        <v/>
      </c>
      <c r="K35" s="67" t="str">
        <f aca="false">IF(OR($B35="",$D35=""),"",IFERROR($D35*INDEX(Mix_Eff,MATCH($B35,Mix_Code,0),5),""))</f>
        <v/>
      </c>
      <c r="L35" s="67" t="str">
        <f aca="false">IF(G35="","",G35*WorkDaysMonth)</f>
        <v/>
      </c>
      <c r="M35" s="67" t="str">
        <f aca="false">IF(H35="","",H35*WorkDaysMonth)</f>
        <v/>
      </c>
      <c r="N35" s="67" t="str">
        <f aca="false">IF(I35="","",I35*WorkDaysMonth)</f>
        <v/>
      </c>
      <c r="O35" s="67" t="str">
        <f aca="false">IF(J35="","",J35*WorkDaysMonth)</f>
        <v/>
      </c>
      <c r="P35" s="67" t="str">
        <f aca="false">IF(K35="","",K35*WorkDaysMonth)</f>
        <v/>
      </c>
      <c r="Q35" s="63"/>
      <c r="R35" s="16" t="str">
        <f aca="false">IF(AND($A35="",$B35="",$D35=""),"",IF(OR($A35="",$B35=""),"⚠ Site and mix code required",IF(ISNA(MATCH($B35,Mix_Code,0)),"⚠ Unknown mix code",IF(COUNTIF(CI_Site,$A35)=0,"⚠ Site not set up in Current Inventory","OK"))))</f>
        <v/>
      </c>
    </row>
    <row r="36" customFormat="false" ht="15" hidden="false" customHeight="false" outlineLevel="0" collapsed="false">
      <c r="A36" s="63"/>
      <c r="B36" s="70"/>
      <c r="C36" s="16" t="str">
        <f aca="false">IF($B36="","",IFERROR(INDEX(Mix_Desc,MATCH($B36,Mix_Code,0)),"⚠ Unknown mix code"))</f>
        <v/>
      </c>
      <c r="D36" s="66"/>
      <c r="E36" s="67" t="str">
        <f aca="false">IF($D36="","",$D36*WorkDaysWeek)</f>
        <v/>
      </c>
      <c r="F36" s="67" t="str">
        <f aca="false">IF($D36="","",$D36*WorkDaysMonth)</f>
        <v/>
      </c>
      <c r="G36" s="67" t="str">
        <f aca="false">IF(OR($B36="",$D36=""),"",IFERROR($D36*INDEX(Mix_Eff,MATCH($B36,Mix_Code,0),1),""))</f>
        <v/>
      </c>
      <c r="H36" s="67" t="str">
        <f aca="false">IF(OR($B36="",$D36=""),"",IFERROR($D36*INDEX(Mix_Eff,MATCH($B36,Mix_Code,0),2),""))</f>
        <v/>
      </c>
      <c r="I36" s="67" t="str">
        <f aca="false">IF(OR($B36="",$D36=""),"",IFERROR($D36*INDEX(Mix_Eff,MATCH($B36,Mix_Code,0),3),""))</f>
        <v/>
      </c>
      <c r="J36" s="67" t="str">
        <f aca="false">IF(OR($B36="",$D36=""),"",IFERROR($D36*INDEX(Mix_Eff,MATCH($B36,Mix_Code,0),4),""))</f>
        <v/>
      </c>
      <c r="K36" s="67" t="str">
        <f aca="false">IF(OR($B36="",$D36=""),"",IFERROR($D36*INDEX(Mix_Eff,MATCH($B36,Mix_Code,0),5),""))</f>
        <v/>
      </c>
      <c r="L36" s="67" t="str">
        <f aca="false">IF(G36="","",G36*WorkDaysMonth)</f>
        <v/>
      </c>
      <c r="M36" s="67" t="str">
        <f aca="false">IF(H36="","",H36*WorkDaysMonth)</f>
        <v/>
      </c>
      <c r="N36" s="67" t="str">
        <f aca="false">IF(I36="","",I36*WorkDaysMonth)</f>
        <v/>
      </c>
      <c r="O36" s="67" t="str">
        <f aca="false">IF(J36="","",J36*WorkDaysMonth)</f>
        <v/>
      </c>
      <c r="P36" s="67" t="str">
        <f aca="false">IF(K36="","",K36*WorkDaysMonth)</f>
        <v/>
      </c>
      <c r="Q36" s="63"/>
      <c r="R36" s="16" t="str">
        <f aca="false">IF(AND($A36="",$B36="",$D36=""),"",IF(OR($A36="",$B36=""),"⚠ Site and mix code required",IF(ISNA(MATCH($B36,Mix_Code,0)),"⚠ Unknown mix code",IF(COUNTIF(CI_Site,$A36)=0,"⚠ Site not set up in Current Inventory","OK"))))</f>
        <v/>
      </c>
    </row>
    <row r="37" customFormat="false" ht="15" hidden="false" customHeight="false" outlineLevel="0" collapsed="false">
      <c r="A37" s="63"/>
      <c r="B37" s="70"/>
      <c r="C37" s="16" t="str">
        <f aca="false">IF($B37="","",IFERROR(INDEX(Mix_Desc,MATCH($B37,Mix_Code,0)),"⚠ Unknown mix code"))</f>
        <v/>
      </c>
      <c r="D37" s="66"/>
      <c r="E37" s="67" t="str">
        <f aca="false">IF($D37="","",$D37*WorkDaysWeek)</f>
        <v/>
      </c>
      <c r="F37" s="67" t="str">
        <f aca="false">IF($D37="","",$D37*WorkDaysMonth)</f>
        <v/>
      </c>
      <c r="G37" s="67" t="str">
        <f aca="false">IF(OR($B37="",$D37=""),"",IFERROR($D37*INDEX(Mix_Eff,MATCH($B37,Mix_Code,0),1),""))</f>
        <v/>
      </c>
      <c r="H37" s="67" t="str">
        <f aca="false">IF(OR($B37="",$D37=""),"",IFERROR($D37*INDEX(Mix_Eff,MATCH($B37,Mix_Code,0),2),""))</f>
        <v/>
      </c>
      <c r="I37" s="67" t="str">
        <f aca="false">IF(OR($B37="",$D37=""),"",IFERROR($D37*INDEX(Mix_Eff,MATCH($B37,Mix_Code,0),3),""))</f>
        <v/>
      </c>
      <c r="J37" s="67" t="str">
        <f aca="false">IF(OR($B37="",$D37=""),"",IFERROR($D37*INDEX(Mix_Eff,MATCH($B37,Mix_Code,0),4),""))</f>
        <v/>
      </c>
      <c r="K37" s="67" t="str">
        <f aca="false">IF(OR($B37="",$D37=""),"",IFERROR($D37*INDEX(Mix_Eff,MATCH($B37,Mix_Code,0),5),""))</f>
        <v/>
      </c>
      <c r="L37" s="67" t="str">
        <f aca="false">IF(G37="","",G37*WorkDaysMonth)</f>
        <v/>
      </c>
      <c r="M37" s="67" t="str">
        <f aca="false">IF(H37="","",H37*WorkDaysMonth)</f>
        <v/>
      </c>
      <c r="N37" s="67" t="str">
        <f aca="false">IF(I37="","",I37*WorkDaysMonth)</f>
        <v/>
      </c>
      <c r="O37" s="67" t="str">
        <f aca="false">IF(J37="","",J37*WorkDaysMonth)</f>
        <v/>
      </c>
      <c r="P37" s="67" t="str">
        <f aca="false">IF(K37="","",K37*WorkDaysMonth)</f>
        <v/>
      </c>
      <c r="Q37" s="63"/>
      <c r="R37" s="16" t="str">
        <f aca="false">IF(AND($A37="",$B37="",$D37=""),"",IF(OR($A37="",$B37=""),"⚠ Site and mix code required",IF(ISNA(MATCH($B37,Mix_Code,0)),"⚠ Unknown mix code",IF(COUNTIF(CI_Site,$A37)=0,"⚠ Site not set up in Current Inventory","OK"))))</f>
        <v/>
      </c>
    </row>
    <row r="38" customFormat="false" ht="15" hidden="false" customHeight="false" outlineLevel="0" collapsed="false">
      <c r="A38" s="63"/>
      <c r="B38" s="70"/>
      <c r="C38" s="16" t="str">
        <f aca="false">IF($B38="","",IFERROR(INDEX(Mix_Desc,MATCH($B38,Mix_Code,0)),"⚠ Unknown mix code"))</f>
        <v/>
      </c>
      <c r="D38" s="66"/>
      <c r="E38" s="67" t="str">
        <f aca="false">IF($D38="","",$D38*WorkDaysWeek)</f>
        <v/>
      </c>
      <c r="F38" s="67" t="str">
        <f aca="false">IF($D38="","",$D38*WorkDaysMonth)</f>
        <v/>
      </c>
      <c r="G38" s="67" t="str">
        <f aca="false">IF(OR($B38="",$D38=""),"",IFERROR($D38*INDEX(Mix_Eff,MATCH($B38,Mix_Code,0),1),""))</f>
        <v/>
      </c>
      <c r="H38" s="67" t="str">
        <f aca="false">IF(OR($B38="",$D38=""),"",IFERROR($D38*INDEX(Mix_Eff,MATCH($B38,Mix_Code,0),2),""))</f>
        <v/>
      </c>
      <c r="I38" s="67" t="str">
        <f aca="false">IF(OR($B38="",$D38=""),"",IFERROR($D38*INDEX(Mix_Eff,MATCH($B38,Mix_Code,0),3),""))</f>
        <v/>
      </c>
      <c r="J38" s="67" t="str">
        <f aca="false">IF(OR($B38="",$D38=""),"",IFERROR($D38*INDEX(Mix_Eff,MATCH($B38,Mix_Code,0),4),""))</f>
        <v/>
      </c>
      <c r="K38" s="67" t="str">
        <f aca="false">IF(OR($B38="",$D38=""),"",IFERROR($D38*INDEX(Mix_Eff,MATCH($B38,Mix_Code,0),5),""))</f>
        <v/>
      </c>
      <c r="L38" s="67" t="str">
        <f aca="false">IF(G38="","",G38*WorkDaysMonth)</f>
        <v/>
      </c>
      <c r="M38" s="67" t="str">
        <f aca="false">IF(H38="","",H38*WorkDaysMonth)</f>
        <v/>
      </c>
      <c r="N38" s="67" t="str">
        <f aca="false">IF(I38="","",I38*WorkDaysMonth)</f>
        <v/>
      </c>
      <c r="O38" s="67" t="str">
        <f aca="false">IF(J38="","",J38*WorkDaysMonth)</f>
        <v/>
      </c>
      <c r="P38" s="67" t="str">
        <f aca="false">IF(K38="","",K38*WorkDaysMonth)</f>
        <v/>
      </c>
      <c r="Q38" s="63"/>
      <c r="R38" s="16" t="str">
        <f aca="false">IF(AND($A38="",$B38="",$D38=""),"",IF(OR($A38="",$B38=""),"⚠ Site and mix code required",IF(ISNA(MATCH($B38,Mix_Code,0)),"⚠ Unknown mix code",IF(COUNTIF(CI_Site,$A38)=0,"⚠ Site not set up in Current Inventory","OK"))))</f>
        <v/>
      </c>
    </row>
    <row r="39" customFormat="false" ht="15" hidden="false" customHeight="false" outlineLevel="0" collapsed="false">
      <c r="A39" s="63"/>
      <c r="B39" s="70"/>
      <c r="C39" s="16" t="str">
        <f aca="false">IF($B39="","",IFERROR(INDEX(Mix_Desc,MATCH($B39,Mix_Code,0)),"⚠ Unknown mix code"))</f>
        <v/>
      </c>
      <c r="D39" s="66"/>
      <c r="E39" s="67" t="str">
        <f aca="false">IF($D39="","",$D39*WorkDaysWeek)</f>
        <v/>
      </c>
      <c r="F39" s="67" t="str">
        <f aca="false">IF($D39="","",$D39*WorkDaysMonth)</f>
        <v/>
      </c>
      <c r="G39" s="67" t="str">
        <f aca="false">IF(OR($B39="",$D39=""),"",IFERROR($D39*INDEX(Mix_Eff,MATCH($B39,Mix_Code,0),1),""))</f>
        <v/>
      </c>
      <c r="H39" s="67" t="str">
        <f aca="false">IF(OR($B39="",$D39=""),"",IFERROR($D39*INDEX(Mix_Eff,MATCH($B39,Mix_Code,0),2),""))</f>
        <v/>
      </c>
      <c r="I39" s="67" t="str">
        <f aca="false">IF(OR($B39="",$D39=""),"",IFERROR($D39*INDEX(Mix_Eff,MATCH($B39,Mix_Code,0),3),""))</f>
        <v/>
      </c>
      <c r="J39" s="67" t="str">
        <f aca="false">IF(OR($B39="",$D39=""),"",IFERROR($D39*INDEX(Mix_Eff,MATCH($B39,Mix_Code,0),4),""))</f>
        <v/>
      </c>
      <c r="K39" s="67" t="str">
        <f aca="false">IF(OR($B39="",$D39=""),"",IFERROR($D39*INDEX(Mix_Eff,MATCH($B39,Mix_Code,0),5),""))</f>
        <v/>
      </c>
      <c r="L39" s="67" t="str">
        <f aca="false">IF(G39="","",G39*WorkDaysMonth)</f>
        <v/>
      </c>
      <c r="M39" s="67" t="str">
        <f aca="false">IF(H39="","",H39*WorkDaysMonth)</f>
        <v/>
      </c>
      <c r="N39" s="67" t="str">
        <f aca="false">IF(I39="","",I39*WorkDaysMonth)</f>
        <v/>
      </c>
      <c r="O39" s="67" t="str">
        <f aca="false">IF(J39="","",J39*WorkDaysMonth)</f>
        <v/>
      </c>
      <c r="P39" s="67" t="str">
        <f aca="false">IF(K39="","",K39*WorkDaysMonth)</f>
        <v/>
      </c>
      <c r="Q39" s="63"/>
      <c r="R39" s="16" t="str">
        <f aca="false">IF(AND($A39="",$B39="",$D39=""),"",IF(OR($A39="",$B39=""),"⚠ Site and mix code required",IF(ISNA(MATCH($B39,Mix_Code,0)),"⚠ Unknown mix code",IF(COUNTIF(CI_Site,$A39)=0,"⚠ Site not set up in Current Inventory","OK"))))</f>
        <v/>
      </c>
    </row>
    <row r="40" customFormat="false" ht="15" hidden="false" customHeight="false" outlineLevel="0" collapsed="false">
      <c r="A40" s="63"/>
      <c r="B40" s="70"/>
      <c r="C40" s="16" t="str">
        <f aca="false">IF($B40="","",IFERROR(INDEX(Mix_Desc,MATCH($B40,Mix_Code,0)),"⚠ Unknown mix code"))</f>
        <v/>
      </c>
      <c r="D40" s="66"/>
      <c r="E40" s="67" t="str">
        <f aca="false">IF($D40="","",$D40*WorkDaysWeek)</f>
        <v/>
      </c>
      <c r="F40" s="67" t="str">
        <f aca="false">IF($D40="","",$D40*WorkDaysMonth)</f>
        <v/>
      </c>
      <c r="G40" s="67" t="str">
        <f aca="false">IF(OR($B40="",$D40=""),"",IFERROR($D40*INDEX(Mix_Eff,MATCH($B40,Mix_Code,0),1),""))</f>
        <v/>
      </c>
      <c r="H40" s="67" t="str">
        <f aca="false">IF(OR($B40="",$D40=""),"",IFERROR($D40*INDEX(Mix_Eff,MATCH($B40,Mix_Code,0),2),""))</f>
        <v/>
      </c>
      <c r="I40" s="67" t="str">
        <f aca="false">IF(OR($B40="",$D40=""),"",IFERROR($D40*INDEX(Mix_Eff,MATCH($B40,Mix_Code,0),3),""))</f>
        <v/>
      </c>
      <c r="J40" s="67" t="str">
        <f aca="false">IF(OR($B40="",$D40=""),"",IFERROR($D40*INDEX(Mix_Eff,MATCH($B40,Mix_Code,0),4),""))</f>
        <v/>
      </c>
      <c r="K40" s="67" t="str">
        <f aca="false">IF(OR($B40="",$D40=""),"",IFERROR($D40*INDEX(Mix_Eff,MATCH($B40,Mix_Code,0),5),""))</f>
        <v/>
      </c>
      <c r="L40" s="67" t="str">
        <f aca="false">IF(G40="","",G40*WorkDaysMonth)</f>
        <v/>
      </c>
      <c r="M40" s="67" t="str">
        <f aca="false">IF(H40="","",H40*WorkDaysMonth)</f>
        <v/>
      </c>
      <c r="N40" s="67" t="str">
        <f aca="false">IF(I40="","",I40*WorkDaysMonth)</f>
        <v/>
      </c>
      <c r="O40" s="67" t="str">
        <f aca="false">IF(J40="","",J40*WorkDaysMonth)</f>
        <v/>
      </c>
      <c r="P40" s="67" t="str">
        <f aca="false">IF(K40="","",K40*WorkDaysMonth)</f>
        <v/>
      </c>
      <c r="Q40" s="63"/>
      <c r="R40" s="16" t="str">
        <f aca="false">IF(AND($A40="",$B40="",$D40=""),"",IF(OR($A40="",$B40=""),"⚠ Site and mix code required",IF(ISNA(MATCH($B40,Mix_Code,0)),"⚠ Unknown mix code",IF(COUNTIF(CI_Site,$A40)=0,"⚠ Site not set up in Current Inventory","OK"))))</f>
        <v/>
      </c>
    </row>
    <row r="41" customFormat="false" ht="15" hidden="false" customHeight="false" outlineLevel="0" collapsed="false">
      <c r="A41" s="63"/>
      <c r="B41" s="70"/>
      <c r="C41" s="16" t="str">
        <f aca="false">IF($B41="","",IFERROR(INDEX(Mix_Desc,MATCH($B41,Mix_Code,0)),"⚠ Unknown mix code"))</f>
        <v/>
      </c>
      <c r="D41" s="66"/>
      <c r="E41" s="67" t="str">
        <f aca="false">IF($D41="","",$D41*WorkDaysWeek)</f>
        <v/>
      </c>
      <c r="F41" s="67" t="str">
        <f aca="false">IF($D41="","",$D41*WorkDaysMonth)</f>
        <v/>
      </c>
      <c r="G41" s="67" t="str">
        <f aca="false">IF(OR($B41="",$D41=""),"",IFERROR($D41*INDEX(Mix_Eff,MATCH($B41,Mix_Code,0),1),""))</f>
        <v/>
      </c>
      <c r="H41" s="67" t="str">
        <f aca="false">IF(OR($B41="",$D41=""),"",IFERROR($D41*INDEX(Mix_Eff,MATCH($B41,Mix_Code,0),2),""))</f>
        <v/>
      </c>
      <c r="I41" s="67" t="str">
        <f aca="false">IF(OR($B41="",$D41=""),"",IFERROR($D41*INDEX(Mix_Eff,MATCH($B41,Mix_Code,0),3),""))</f>
        <v/>
      </c>
      <c r="J41" s="67" t="str">
        <f aca="false">IF(OR($B41="",$D41=""),"",IFERROR($D41*INDEX(Mix_Eff,MATCH($B41,Mix_Code,0),4),""))</f>
        <v/>
      </c>
      <c r="K41" s="67" t="str">
        <f aca="false">IF(OR($B41="",$D41=""),"",IFERROR($D41*INDEX(Mix_Eff,MATCH($B41,Mix_Code,0),5),""))</f>
        <v/>
      </c>
      <c r="L41" s="67" t="str">
        <f aca="false">IF(G41="","",G41*WorkDaysMonth)</f>
        <v/>
      </c>
      <c r="M41" s="67" t="str">
        <f aca="false">IF(H41="","",H41*WorkDaysMonth)</f>
        <v/>
      </c>
      <c r="N41" s="67" t="str">
        <f aca="false">IF(I41="","",I41*WorkDaysMonth)</f>
        <v/>
      </c>
      <c r="O41" s="67" t="str">
        <f aca="false">IF(J41="","",J41*WorkDaysMonth)</f>
        <v/>
      </c>
      <c r="P41" s="67" t="str">
        <f aca="false">IF(K41="","",K41*WorkDaysMonth)</f>
        <v/>
      </c>
      <c r="Q41" s="63"/>
      <c r="R41" s="16" t="str">
        <f aca="false">IF(AND($A41="",$B41="",$D41=""),"",IF(OR($A41="",$B41=""),"⚠ Site and mix code required",IF(ISNA(MATCH($B41,Mix_Code,0)),"⚠ Unknown mix code",IF(COUNTIF(CI_Site,$A41)=0,"⚠ Site not set up in Current Inventory","OK"))))</f>
        <v/>
      </c>
    </row>
    <row r="42" customFormat="false" ht="15" hidden="false" customHeight="false" outlineLevel="0" collapsed="false">
      <c r="A42" s="63"/>
      <c r="B42" s="70"/>
      <c r="C42" s="16" t="str">
        <f aca="false">IF($B42="","",IFERROR(INDEX(Mix_Desc,MATCH($B42,Mix_Code,0)),"⚠ Unknown mix code"))</f>
        <v/>
      </c>
      <c r="D42" s="66"/>
      <c r="E42" s="67" t="str">
        <f aca="false">IF($D42="","",$D42*WorkDaysWeek)</f>
        <v/>
      </c>
      <c r="F42" s="67" t="str">
        <f aca="false">IF($D42="","",$D42*WorkDaysMonth)</f>
        <v/>
      </c>
      <c r="G42" s="67" t="str">
        <f aca="false">IF(OR($B42="",$D42=""),"",IFERROR($D42*INDEX(Mix_Eff,MATCH($B42,Mix_Code,0),1),""))</f>
        <v/>
      </c>
      <c r="H42" s="67" t="str">
        <f aca="false">IF(OR($B42="",$D42=""),"",IFERROR($D42*INDEX(Mix_Eff,MATCH($B42,Mix_Code,0),2),""))</f>
        <v/>
      </c>
      <c r="I42" s="67" t="str">
        <f aca="false">IF(OR($B42="",$D42=""),"",IFERROR($D42*INDEX(Mix_Eff,MATCH($B42,Mix_Code,0),3),""))</f>
        <v/>
      </c>
      <c r="J42" s="67" t="str">
        <f aca="false">IF(OR($B42="",$D42=""),"",IFERROR($D42*INDEX(Mix_Eff,MATCH($B42,Mix_Code,0),4),""))</f>
        <v/>
      </c>
      <c r="K42" s="67" t="str">
        <f aca="false">IF(OR($B42="",$D42=""),"",IFERROR($D42*INDEX(Mix_Eff,MATCH($B42,Mix_Code,0),5),""))</f>
        <v/>
      </c>
      <c r="L42" s="67" t="str">
        <f aca="false">IF(G42="","",G42*WorkDaysMonth)</f>
        <v/>
      </c>
      <c r="M42" s="67" t="str">
        <f aca="false">IF(H42="","",H42*WorkDaysMonth)</f>
        <v/>
      </c>
      <c r="N42" s="67" t="str">
        <f aca="false">IF(I42="","",I42*WorkDaysMonth)</f>
        <v/>
      </c>
      <c r="O42" s="67" t="str">
        <f aca="false">IF(J42="","",J42*WorkDaysMonth)</f>
        <v/>
      </c>
      <c r="P42" s="67" t="str">
        <f aca="false">IF(K42="","",K42*WorkDaysMonth)</f>
        <v/>
      </c>
      <c r="Q42" s="63"/>
      <c r="R42" s="16" t="str">
        <f aca="false">IF(AND($A42="",$B42="",$D42=""),"",IF(OR($A42="",$B42=""),"⚠ Site and mix code required",IF(ISNA(MATCH($B42,Mix_Code,0)),"⚠ Unknown mix code",IF(COUNTIF(CI_Site,$A42)=0,"⚠ Site not set up in Current Inventory","OK"))))</f>
        <v/>
      </c>
    </row>
    <row r="43" customFormat="false" ht="15" hidden="false" customHeight="false" outlineLevel="0" collapsed="false">
      <c r="A43" s="63"/>
      <c r="B43" s="70"/>
      <c r="C43" s="16" t="str">
        <f aca="false">IF($B43="","",IFERROR(INDEX(Mix_Desc,MATCH($B43,Mix_Code,0)),"⚠ Unknown mix code"))</f>
        <v/>
      </c>
      <c r="D43" s="66"/>
      <c r="E43" s="67" t="str">
        <f aca="false">IF($D43="","",$D43*WorkDaysWeek)</f>
        <v/>
      </c>
      <c r="F43" s="67" t="str">
        <f aca="false">IF($D43="","",$D43*WorkDaysMonth)</f>
        <v/>
      </c>
      <c r="G43" s="67" t="str">
        <f aca="false">IF(OR($B43="",$D43=""),"",IFERROR($D43*INDEX(Mix_Eff,MATCH($B43,Mix_Code,0),1),""))</f>
        <v/>
      </c>
      <c r="H43" s="67" t="str">
        <f aca="false">IF(OR($B43="",$D43=""),"",IFERROR($D43*INDEX(Mix_Eff,MATCH($B43,Mix_Code,0),2),""))</f>
        <v/>
      </c>
      <c r="I43" s="67" t="str">
        <f aca="false">IF(OR($B43="",$D43=""),"",IFERROR($D43*INDEX(Mix_Eff,MATCH($B43,Mix_Code,0),3),""))</f>
        <v/>
      </c>
      <c r="J43" s="67" t="str">
        <f aca="false">IF(OR($B43="",$D43=""),"",IFERROR($D43*INDEX(Mix_Eff,MATCH($B43,Mix_Code,0),4),""))</f>
        <v/>
      </c>
      <c r="K43" s="67" t="str">
        <f aca="false">IF(OR($B43="",$D43=""),"",IFERROR($D43*INDEX(Mix_Eff,MATCH($B43,Mix_Code,0),5),""))</f>
        <v/>
      </c>
      <c r="L43" s="67" t="str">
        <f aca="false">IF(G43="","",G43*WorkDaysMonth)</f>
        <v/>
      </c>
      <c r="M43" s="67" t="str">
        <f aca="false">IF(H43="","",H43*WorkDaysMonth)</f>
        <v/>
      </c>
      <c r="N43" s="67" t="str">
        <f aca="false">IF(I43="","",I43*WorkDaysMonth)</f>
        <v/>
      </c>
      <c r="O43" s="67" t="str">
        <f aca="false">IF(J43="","",J43*WorkDaysMonth)</f>
        <v/>
      </c>
      <c r="P43" s="67" t="str">
        <f aca="false">IF(K43="","",K43*WorkDaysMonth)</f>
        <v/>
      </c>
      <c r="Q43" s="63"/>
      <c r="R43" s="16" t="str">
        <f aca="false">IF(AND($A43="",$B43="",$D43=""),"",IF(OR($A43="",$B43=""),"⚠ Site and mix code required",IF(ISNA(MATCH($B43,Mix_Code,0)),"⚠ Unknown mix code",IF(COUNTIF(CI_Site,$A43)=0,"⚠ Site not set up in Current Inventory","OK"))))</f>
        <v/>
      </c>
    </row>
    <row r="44" customFormat="false" ht="15" hidden="false" customHeight="false" outlineLevel="0" collapsed="false">
      <c r="A44" s="63"/>
      <c r="B44" s="70"/>
      <c r="C44" s="16" t="str">
        <f aca="false">IF($B44="","",IFERROR(INDEX(Mix_Desc,MATCH($B44,Mix_Code,0)),"⚠ Unknown mix code"))</f>
        <v/>
      </c>
      <c r="D44" s="66"/>
      <c r="E44" s="67" t="str">
        <f aca="false">IF($D44="","",$D44*WorkDaysWeek)</f>
        <v/>
      </c>
      <c r="F44" s="67" t="str">
        <f aca="false">IF($D44="","",$D44*WorkDaysMonth)</f>
        <v/>
      </c>
      <c r="G44" s="67" t="str">
        <f aca="false">IF(OR($B44="",$D44=""),"",IFERROR($D44*INDEX(Mix_Eff,MATCH($B44,Mix_Code,0),1),""))</f>
        <v/>
      </c>
      <c r="H44" s="67" t="str">
        <f aca="false">IF(OR($B44="",$D44=""),"",IFERROR($D44*INDEX(Mix_Eff,MATCH($B44,Mix_Code,0),2),""))</f>
        <v/>
      </c>
      <c r="I44" s="67" t="str">
        <f aca="false">IF(OR($B44="",$D44=""),"",IFERROR($D44*INDEX(Mix_Eff,MATCH($B44,Mix_Code,0),3),""))</f>
        <v/>
      </c>
      <c r="J44" s="67" t="str">
        <f aca="false">IF(OR($B44="",$D44=""),"",IFERROR($D44*INDEX(Mix_Eff,MATCH($B44,Mix_Code,0),4),""))</f>
        <v/>
      </c>
      <c r="K44" s="67" t="str">
        <f aca="false">IF(OR($B44="",$D44=""),"",IFERROR($D44*INDEX(Mix_Eff,MATCH($B44,Mix_Code,0),5),""))</f>
        <v/>
      </c>
      <c r="L44" s="67" t="str">
        <f aca="false">IF(G44="","",G44*WorkDaysMonth)</f>
        <v/>
      </c>
      <c r="M44" s="67" t="str">
        <f aca="false">IF(H44="","",H44*WorkDaysMonth)</f>
        <v/>
      </c>
      <c r="N44" s="67" t="str">
        <f aca="false">IF(I44="","",I44*WorkDaysMonth)</f>
        <v/>
      </c>
      <c r="O44" s="67" t="str">
        <f aca="false">IF(J44="","",J44*WorkDaysMonth)</f>
        <v/>
      </c>
      <c r="P44" s="67" t="str">
        <f aca="false">IF(K44="","",K44*WorkDaysMonth)</f>
        <v/>
      </c>
      <c r="Q44" s="63"/>
      <c r="R44" s="16" t="str">
        <f aca="false">IF(AND($A44="",$B44="",$D44=""),"",IF(OR($A44="",$B44=""),"⚠ Site and mix code required",IF(ISNA(MATCH($B44,Mix_Code,0)),"⚠ Unknown mix code",IF(COUNTIF(CI_Site,$A44)=0,"⚠ Site not set up in Current Inventory","OK"))))</f>
        <v/>
      </c>
    </row>
    <row r="45" customFormat="false" ht="15" hidden="false" customHeight="false" outlineLevel="0" collapsed="false">
      <c r="A45" s="63"/>
      <c r="B45" s="70"/>
      <c r="C45" s="16" t="str">
        <f aca="false">IF($B45="","",IFERROR(INDEX(Mix_Desc,MATCH($B45,Mix_Code,0)),"⚠ Unknown mix code"))</f>
        <v/>
      </c>
      <c r="D45" s="66"/>
      <c r="E45" s="67" t="str">
        <f aca="false">IF($D45="","",$D45*WorkDaysWeek)</f>
        <v/>
      </c>
      <c r="F45" s="67" t="str">
        <f aca="false">IF($D45="","",$D45*WorkDaysMonth)</f>
        <v/>
      </c>
      <c r="G45" s="67" t="str">
        <f aca="false">IF(OR($B45="",$D45=""),"",IFERROR($D45*INDEX(Mix_Eff,MATCH($B45,Mix_Code,0),1),""))</f>
        <v/>
      </c>
      <c r="H45" s="67" t="str">
        <f aca="false">IF(OR($B45="",$D45=""),"",IFERROR($D45*INDEX(Mix_Eff,MATCH($B45,Mix_Code,0),2),""))</f>
        <v/>
      </c>
      <c r="I45" s="67" t="str">
        <f aca="false">IF(OR($B45="",$D45=""),"",IFERROR($D45*INDEX(Mix_Eff,MATCH($B45,Mix_Code,0),3),""))</f>
        <v/>
      </c>
      <c r="J45" s="67" t="str">
        <f aca="false">IF(OR($B45="",$D45=""),"",IFERROR($D45*INDEX(Mix_Eff,MATCH($B45,Mix_Code,0),4),""))</f>
        <v/>
      </c>
      <c r="K45" s="67" t="str">
        <f aca="false">IF(OR($B45="",$D45=""),"",IFERROR($D45*INDEX(Mix_Eff,MATCH($B45,Mix_Code,0),5),""))</f>
        <v/>
      </c>
      <c r="L45" s="67" t="str">
        <f aca="false">IF(G45="","",G45*WorkDaysMonth)</f>
        <v/>
      </c>
      <c r="M45" s="67" t="str">
        <f aca="false">IF(H45="","",H45*WorkDaysMonth)</f>
        <v/>
      </c>
      <c r="N45" s="67" t="str">
        <f aca="false">IF(I45="","",I45*WorkDaysMonth)</f>
        <v/>
      </c>
      <c r="O45" s="67" t="str">
        <f aca="false">IF(J45="","",J45*WorkDaysMonth)</f>
        <v/>
      </c>
      <c r="P45" s="67" t="str">
        <f aca="false">IF(K45="","",K45*WorkDaysMonth)</f>
        <v/>
      </c>
      <c r="Q45" s="63"/>
      <c r="R45" s="16" t="str">
        <f aca="false">IF(AND($A45="",$B45="",$D45=""),"",IF(OR($A45="",$B45=""),"⚠ Site and mix code required",IF(ISNA(MATCH($B45,Mix_Code,0)),"⚠ Unknown mix code",IF(COUNTIF(CI_Site,$A45)=0,"⚠ Site not set up in Current Inventory","OK"))))</f>
        <v/>
      </c>
    </row>
    <row r="46" customFormat="false" ht="15" hidden="false" customHeight="false" outlineLevel="0" collapsed="false">
      <c r="A46" s="63"/>
      <c r="B46" s="70"/>
      <c r="C46" s="16" t="str">
        <f aca="false">IF($B46="","",IFERROR(INDEX(Mix_Desc,MATCH($B46,Mix_Code,0)),"⚠ Unknown mix code"))</f>
        <v/>
      </c>
      <c r="D46" s="66"/>
      <c r="E46" s="67" t="str">
        <f aca="false">IF($D46="","",$D46*WorkDaysWeek)</f>
        <v/>
      </c>
      <c r="F46" s="67" t="str">
        <f aca="false">IF($D46="","",$D46*WorkDaysMonth)</f>
        <v/>
      </c>
      <c r="G46" s="67" t="str">
        <f aca="false">IF(OR($B46="",$D46=""),"",IFERROR($D46*INDEX(Mix_Eff,MATCH($B46,Mix_Code,0),1),""))</f>
        <v/>
      </c>
      <c r="H46" s="67" t="str">
        <f aca="false">IF(OR($B46="",$D46=""),"",IFERROR($D46*INDEX(Mix_Eff,MATCH($B46,Mix_Code,0),2),""))</f>
        <v/>
      </c>
      <c r="I46" s="67" t="str">
        <f aca="false">IF(OR($B46="",$D46=""),"",IFERROR($D46*INDEX(Mix_Eff,MATCH($B46,Mix_Code,0),3),""))</f>
        <v/>
      </c>
      <c r="J46" s="67" t="str">
        <f aca="false">IF(OR($B46="",$D46=""),"",IFERROR($D46*INDEX(Mix_Eff,MATCH($B46,Mix_Code,0),4),""))</f>
        <v/>
      </c>
      <c r="K46" s="67" t="str">
        <f aca="false">IF(OR($B46="",$D46=""),"",IFERROR($D46*INDEX(Mix_Eff,MATCH($B46,Mix_Code,0),5),""))</f>
        <v/>
      </c>
      <c r="L46" s="67" t="str">
        <f aca="false">IF(G46="","",G46*WorkDaysMonth)</f>
        <v/>
      </c>
      <c r="M46" s="67" t="str">
        <f aca="false">IF(H46="","",H46*WorkDaysMonth)</f>
        <v/>
      </c>
      <c r="N46" s="67" t="str">
        <f aca="false">IF(I46="","",I46*WorkDaysMonth)</f>
        <v/>
      </c>
      <c r="O46" s="67" t="str">
        <f aca="false">IF(J46="","",J46*WorkDaysMonth)</f>
        <v/>
      </c>
      <c r="P46" s="67" t="str">
        <f aca="false">IF(K46="","",K46*WorkDaysMonth)</f>
        <v/>
      </c>
      <c r="Q46" s="63"/>
      <c r="R46" s="16" t="str">
        <f aca="false">IF(AND($A46="",$B46="",$D46=""),"",IF(OR($A46="",$B46=""),"⚠ Site and mix code required",IF(ISNA(MATCH($B46,Mix_Code,0)),"⚠ Unknown mix code",IF(COUNTIF(CI_Site,$A46)=0,"⚠ Site not set up in Current Inventory","OK"))))</f>
        <v/>
      </c>
    </row>
    <row r="47" customFormat="false" ht="15" hidden="false" customHeight="false" outlineLevel="0" collapsed="false">
      <c r="A47" s="63"/>
      <c r="B47" s="70"/>
      <c r="C47" s="16" t="str">
        <f aca="false">IF($B47="","",IFERROR(INDEX(Mix_Desc,MATCH($B47,Mix_Code,0)),"⚠ Unknown mix code"))</f>
        <v/>
      </c>
      <c r="D47" s="66"/>
      <c r="E47" s="67" t="str">
        <f aca="false">IF($D47="","",$D47*WorkDaysWeek)</f>
        <v/>
      </c>
      <c r="F47" s="67" t="str">
        <f aca="false">IF($D47="","",$D47*WorkDaysMonth)</f>
        <v/>
      </c>
      <c r="G47" s="67" t="str">
        <f aca="false">IF(OR($B47="",$D47=""),"",IFERROR($D47*INDEX(Mix_Eff,MATCH($B47,Mix_Code,0),1),""))</f>
        <v/>
      </c>
      <c r="H47" s="67" t="str">
        <f aca="false">IF(OR($B47="",$D47=""),"",IFERROR($D47*INDEX(Mix_Eff,MATCH($B47,Mix_Code,0),2),""))</f>
        <v/>
      </c>
      <c r="I47" s="67" t="str">
        <f aca="false">IF(OR($B47="",$D47=""),"",IFERROR($D47*INDEX(Mix_Eff,MATCH($B47,Mix_Code,0),3),""))</f>
        <v/>
      </c>
      <c r="J47" s="67" t="str">
        <f aca="false">IF(OR($B47="",$D47=""),"",IFERROR($D47*INDEX(Mix_Eff,MATCH($B47,Mix_Code,0),4),""))</f>
        <v/>
      </c>
      <c r="K47" s="67" t="str">
        <f aca="false">IF(OR($B47="",$D47=""),"",IFERROR($D47*INDEX(Mix_Eff,MATCH($B47,Mix_Code,0),5),""))</f>
        <v/>
      </c>
      <c r="L47" s="67" t="str">
        <f aca="false">IF(G47="","",G47*WorkDaysMonth)</f>
        <v/>
      </c>
      <c r="M47" s="67" t="str">
        <f aca="false">IF(H47="","",H47*WorkDaysMonth)</f>
        <v/>
      </c>
      <c r="N47" s="67" t="str">
        <f aca="false">IF(I47="","",I47*WorkDaysMonth)</f>
        <v/>
      </c>
      <c r="O47" s="67" t="str">
        <f aca="false">IF(J47="","",J47*WorkDaysMonth)</f>
        <v/>
      </c>
      <c r="P47" s="67" t="str">
        <f aca="false">IF(K47="","",K47*WorkDaysMonth)</f>
        <v/>
      </c>
      <c r="Q47" s="63"/>
      <c r="R47" s="16" t="str">
        <f aca="false">IF(AND($A47="",$B47="",$D47=""),"",IF(OR($A47="",$B47=""),"⚠ Site and mix code required",IF(ISNA(MATCH($B47,Mix_Code,0)),"⚠ Unknown mix code",IF(COUNTIF(CI_Site,$A47)=0,"⚠ Site not set up in Current Inventory","OK"))))</f>
        <v/>
      </c>
    </row>
    <row r="48" customFormat="false" ht="15" hidden="false" customHeight="false" outlineLevel="0" collapsed="false">
      <c r="A48" s="63"/>
      <c r="B48" s="70"/>
      <c r="C48" s="16" t="str">
        <f aca="false">IF($B48="","",IFERROR(INDEX(Mix_Desc,MATCH($B48,Mix_Code,0)),"⚠ Unknown mix code"))</f>
        <v/>
      </c>
      <c r="D48" s="66"/>
      <c r="E48" s="67" t="str">
        <f aca="false">IF($D48="","",$D48*WorkDaysWeek)</f>
        <v/>
      </c>
      <c r="F48" s="67" t="str">
        <f aca="false">IF($D48="","",$D48*WorkDaysMonth)</f>
        <v/>
      </c>
      <c r="G48" s="67" t="str">
        <f aca="false">IF(OR($B48="",$D48=""),"",IFERROR($D48*INDEX(Mix_Eff,MATCH($B48,Mix_Code,0),1),""))</f>
        <v/>
      </c>
      <c r="H48" s="67" t="str">
        <f aca="false">IF(OR($B48="",$D48=""),"",IFERROR($D48*INDEX(Mix_Eff,MATCH($B48,Mix_Code,0),2),""))</f>
        <v/>
      </c>
      <c r="I48" s="67" t="str">
        <f aca="false">IF(OR($B48="",$D48=""),"",IFERROR($D48*INDEX(Mix_Eff,MATCH($B48,Mix_Code,0),3),""))</f>
        <v/>
      </c>
      <c r="J48" s="67" t="str">
        <f aca="false">IF(OR($B48="",$D48=""),"",IFERROR($D48*INDEX(Mix_Eff,MATCH($B48,Mix_Code,0),4),""))</f>
        <v/>
      </c>
      <c r="K48" s="67" t="str">
        <f aca="false">IF(OR($B48="",$D48=""),"",IFERROR($D48*INDEX(Mix_Eff,MATCH($B48,Mix_Code,0),5),""))</f>
        <v/>
      </c>
      <c r="L48" s="67" t="str">
        <f aca="false">IF(G48="","",G48*WorkDaysMonth)</f>
        <v/>
      </c>
      <c r="M48" s="67" t="str">
        <f aca="false">IF(H48="","",H48*WorkDaysMonth)</f>
        <v/>
      </c>
      <c r="N48" s="67" t="str">
        <f aca="false">IF(I48="","",I48*WorkDaysMonth)</f>
        <v/>
      </c>
      <c r="O48" s="67" t="str">
        <f aca="false">IF(J48="","",J48*WorkDaysMonth)</f>
        <v/>
      </c>
      <c r="P48" s="67" t="str">
        <f aca="false">IF(K48="","",K48*WorkDaysMonth)</f>
        <v/>
      </c>
      <c r="Q48" s="63"/>
      <c r="R48" s="16" t="str">
        <f aca="false">IF(AND($A48="",$B48="",$D48=""),"",IF(OR($A48="",$B48=""),"⚠ Site and mix code required",IF(ISNA(MATCH($B48,Mix_Code,0)),"⚠ Unknown mix code",IF(COUNTIF(CI_Site,$A48)=0,"⚠ Site not set up in Current Inventory","OK"))))</f>
        <v/>
      </c>
    </row>
    <row r="49" customFormat="false" ht="15" hidden="false" customHeight="false" outlineLevel="0" collapsed="false">
      <c r="A49" s="63"/>
      <c r="B49" s="70"/>
      <c r="C49" s="16" t="str">
        <f aca="false">IF($B49="","",IFERROR(INDEX(Mix_Desc,MATCH($B49,Mix_Code,0)),"⚠ Unknown mix code"))</f>
        <v/>
      </c>
      <c r="D49" s="66"/>
      <c r="E49" s="67" t="str">
        <f aca="false">IF($D49="","",$D49*WorkDaysWeek)</f>
        <v/>
      </c>
      <c r="F49" s="67" t="str">
        <f aca="false">IF($D49="","",$D49*WorkDaysMonth)</f>
        <v/>
      </c>
      <c r="G49" s="67" t="str">
        <f aca="false">IF(OR($B49="",$D49=""),"",IFERROR($D49*INDEX(Mix_Eff,MATCH($B49,Mix_Code,0),1),""))</f>
        <v/>
      </c>
      <c r="H49" s="67" t="str">
        <f aca="false">IF(OR($B49="",$D49=""),"",IFERROR($D49*INDEX(Mix_Eff,MATCH($B49,Mix_Code,0),2),""))</f>
        <v/>
      </c>
      <c r="I49" s="67" t="str">
        <f aca="false">IF(OR($B49="",$D49=""),"",IFERROR($D49*INDEX(Mix_Eff,MATCH($B49,Mix_Code,0),3),""))</f>
        <v/>
      </c>
      <c r="J49" s="67" t="str">
        <f aca="false">IF(OR($B49="",$D49=""),"",IFERROR($D49*INDEX(Mix_Eff,MATCH($B49,Mix_Code,0),4),""))</f>
        <v/>
      </c>
      <c r="K49" s="67" t="str">
        <f aca="false">IF(OR($B49="",$D49=""),"",IFERROR($D49*INDEX(Mix_Eff,MATCH($B49,Mix_Code,0),5),""))</f>
        <v/>
      </c>
      <c r="L49" s="67" t="str">
        <f aca="false">IF(G49="","",G49*WorkDaysMonth)</f>
        <v/>
      </c>
      <c r="M49" s="67" t="str">
        <f aca="false">IF(H49="","",H49*WorkDaysMonth)</f>
        <v/>
      </c>
      <c r="N49" s="67" t="str">
        <f aca="false">IF(I49="","",I49*WorkDaysMonth)</f>
        <v/>
      </c>
      <c r="O49" s="67" t="str">
        <f aca="false">IF(J49="","",J49*WorkDaysMonth)</f>
        <v/>
      </c>
      <c r="P49" s="67" t="str">
        <f aca="false">IF(K49="","",K49*WorkDaysMonth)</f>
        <v/>
      </c>
      <c r="Q49" s="63"/>
      <c r="R49" s="16" t="str">
        <f aca="false">IF(AND($A49="",$B49="",$D49=""),"",IF(OR($A49="",$B49=""),"⚠ Site and mix code required",IF(ISNA(MATCH($B49,Mix_Code,0)),"⚠ Unknown mix code",IF(COUNTIF(CI_Site,$A49)=0,"⚠ Site not set up in Current Inventory","OK"))))</f>
        <v/>
      </c>
    </row>
    <row r="50" customFormat="false" ht="15" hidden="false" customHeight="false" outlineLevel="0" collapsed="false">
      <c r="A50" s="63"/>
      <c r="B50" s="70"/>
      <c r="C50" s="16" t="str">
        <f aca="false">IF($B50="","",IFERROR(INDEX(Mix_Desc,MATCH($B50,Mix_Code,0)),"⚠ Unknown mix code"))</f>
        <v/>
      </c>
      <c r="D50" s="66"/>
      <c r="E50" s="67" t="str">
        <f aca="false">IF($D50="","",$D50*WorkDaysWeek)</f>
        <v/>
      </c>
      <c r="F50" s="67" t="str">
        <f aca="false">IF($D50="","",$D50*WorkDaysMonth)</f>
        <v/>
      </c>
      <c r="G50" s="67" t="str">
        <f aca="false">IF(OR($B50="",$D50=""),"",IFERROR($D50*INDEX(Mix_Eff,MATCH($B50,Mix_Code,0),1),""))</f>
        <v/>
      </c>
      <c r="H50" s="67" t="str">
        <f aca="false">IF(OR($B50="",$D50=""),"",IFERROR($D50*INDEX(Mix_Eff,MATCH($B50,Mix_Code,0),2),""))</f>
        <v/>
      </c>
      <c r="I50" s="67" t="str">
        <f aca="false">IF(OR($B50="",$D50=""),"",IFERROR($D50*INDEX(Mix_Eff,MATCH($B50,Mix_Code,0),3),""))</f>
        <v/>
      </c>
      <c r="J50" s="67" t="str">
        <f aca="false">IF(OR($B50="",$D50=""),"",IFERROR($D50*INDEX(Mix_Eff,MATCH($B50,Mix_Code,0),4),""))</f>
        <v/>
      </c>
      <c r="K50" s="67" t="str">
        <f aca="false">IF(OR($B50="",$D50=""),"",IFERROR($D50*INDEX(Mix_Eff,MATCH($B50,Mix_Code,0),5),""))</f>
        <v/>
      </c>
      <c r="L50" s="67" t="str">
        <f aca="false">IF(G50="","",G50*WorkDaysMonth)</f>
        <v/>
      </c>
      <c r="M50" s="67" t="str">
        <f aca="false">IF(H50="","",H50*WorkDaysMonth)</f>
        <v/>
      </c>
      <c r="N50" s="67" t="str">
        <f aca="false">IF(I50="","",I50*WorkDaysMonth)</f>
        <v/>
      </c>
      <c r="O50" s="67" t="str">
        <f aca="false">IF(J50="","",J50*WorkDaysMonth)</f>
        <v/>
      </c>
      <c r="P50" s="67" t="str">
        <f aca="false">IF(K50="","",K50*WorkDaysMonth)</f>
        <v/>
      </c>
      <c r="Q50" s="63"/>
      <c r="R50" s="16" t="str">
        <f aca="false">IF(AND($A50="",$B50="",$D50=""),"",IF(OR($A50="",$B50=""),"⚠ Site and mix code required",IF(ISNA(MATCH($B50,Mix_Code,0)),"⚠ Unknown mix code",IF(COUNTIF(CI_Site,$A50)=0,"⚠ Site not set up in Current Inventory","OK"))))</f>
        <v/>
      </c>
    </row>
    <row r="51" customFormat="false" ht="15" hidden="false" customHeight="false" outlineLevel="0" collapsed="false">
      <c r="A51" s="63"/>
      <c r="B51" s="70"/>
      <c r="C51" s="16" t="str">
        <f aca="false">IF($B51="","",IFERROR(INDEX(Mix_Desc,MATCH($B51,Mix_Code,0)),"⚠ Unknown mix code"))</f>
        <v/>
      </c>
      <c r="D51" s="66"/>
      <c r="E51" s="67" t="str">
        <f aca="false">IF($D51="","",$D51*WorkDaysWeek)</f>
        <v/>
      </c>
      <c r="F51" s="67" t="str">
        <f aca="false">IF($D51="","",$D51*WorkDaysMonth)</f>
        <v/>
      </c>
      <c r="G51" s="67" t="str">
        <f aca="false">IF(OR($B51="",$D51=""),"",IFERROR($D51*INDEX(Mix_Eff,MATCH($B51,Mix_Code,0),1),""))</f>
        <v/>
      </c>
      <c r="H51" s="67" t="str">
        <f aca="false">IF(OR($B51="",$D51=""),"",IFERROR($D51*INDEX(Mix_Eff,MATCH($B51,Mix_Code,0),2),""))</f>
        <v/>
      </c>
      <c r="I51" s="67" t="str">
        <f aca="false">IF(OR($B51="",$D51=""),"",IFERROR($D51*INDEX(Mix_Eff,MATCH($B51,Mix_Code,0),3),""))</f>
        <v/>
      </c>
      <c r="J51" s="67" t="str">
        <f aca="false">IF(OR($B51="",$D51=""),"",IFERROR($D51*INDEX(Mix_Eff,MATCH($B51,Mix_Code,0),4),""))</f>
        <v/>
      </c>
      <c r="K51" s="67" t="str">
        <f aca="false">IF(OR($B51="",$D51=""),"",IFERROR($D51*INDEX(Mix_Eff,MATCH($B51,Mix_Code,0),5),""))</f>
        <v/>
      </c>
      <c r="L51" s="67" t="str">
        <f aca="false">IF(G51="","",G51*WorkDaysMonth)</f>
        <v/>
      </c>
      <c r="M51" s="67" t="str">
        <f aca="false">IF(H51="","",H51*WorkDaysMonth)</f>
        <v/>
      </c>
      <c r="N51" s="67" t="str">
        <f aca="false">IF(I51="","",I51*WorkDaysMonth)</f>
        <v/>
      </c>
      <c r="O51" s="67" t="str">
        <f aca="false">IF(J51="","",J51*WorkDaysMonth)</f>
        <v/>
      </c>
      <c r="P51" s="67" t="str">
        <f aca="false">IF(K51="","",K51*WorkDaysMonth)</f>
        <v/>
      </c>
      <c r="Q51" s="63"/>
      <c r="R51" s="16" t="str">
        <f aca="false">IF(AND($A51="",$B51="",$D51=""),"",IF(OR($A51="",$B51=""),"⚠ Site and mix code required",IF(ISNA(MATCH($B51,Mix_Code,0)),"⚠ Unknown mix code",IF(COUNTIF(CI_Site,$A51)=0,"⚠ Site not set up in Current Inventory","OK"))))</f>
        <v/>
      </c>
    </row>
    <row r="52" customFormat="false" ht="15" hidden="false" customHeight="false" outlineLevel="0" collapsed="false">
      <c r="A52" s="63"/>
      <c r="B52" s="70"/>
      <c r="C52" s="16" t="str">
        <f aca="false">IF($B52="","",IFERROR(INDEX(Mix_Desc,MATCH($B52,Mix_Code,0)),"⚠ Unknown mix code"))</f>
        <v/>
      </c>
      <c r="D52" s="66"/>
      <c r="E52" s="67" t="str">
        <f aca="false">IF($D52="","",$D52*WorkDaysWeek)</f>
        <v/>
      </c>
      <c r="F52" s="67" t="str">
        <f aca="false">IF($D52="","",$D52*WorkDaysMonth)</f>
        <v/>
      </c>
      <c r="G52" s="67" t="str">
        <f aca="false">IF(OR($B52="",$D52=""),"",IFERROR($D52*INDEX(Mix_Eff,MATCH($B52,Mix_Code,0),1),""))</f>
        <v/>
      </c>
      <c r="H52" s="67" t="str">
        <f aca="false">IF(OR($B52="",$D52=""),"",IFERROR($D52*INDEX(Mix_Eff,MATCH($B52,Mix_Code,0),2),""))</f>
        <v/>
      </c>
      <c r="I52" s="67" t="str">
        <f aca="false">IF(OR($B52="",$D52=""),"",IFERROR($D52*INDEX(Mix_Eff,MATCH($B52,Mix_Code,0),3),""))</f>
        <v/>
      </c>
      <c r="J52" s="67" t="str">
        <f aca="false">IF(OR($B52="",$D52=""),"",IFERROR($D52*INDEX(Mix_Eff,MATCH($B52,Mix_Code,0),4),""))</f>
        <v/>
      </c>
      <c r="K52" s="67" t="str">
        <f aca="false">IF(OR($B52="",$D52=""),"",IFERROR($D52*INDEX(Mix_Eff,MATCH($B52,Mix_Code,0),5),""))</f>
        <v/>
      </c>
      <c r="L52" s="67" t="str">
        <f aca="false">IF(G52="","",G52*WorkDaysMonth)</f>
        <v/>
      </c>
      <c r="M52" s="67" t="str">
        <f aca="false">IF(H52="","",H52*WorkDaysMonth)</f>
        <v/>
      </c>
      <c r="N52" s="67" t="str">
        <f aca="false">IF(I52="","",I52*WorkDaysMonth)</f>
        <v/>
      </c>
      <c r="O52" s="67" t="str">
        <f aca="false">IF(J52="","",J52*WorkDaysMonth)</f>
        <v/>
      </c>
      <c r="P52" s="67" t="str">
        <f aca="false">IF(K52="","",K52*WorkDaysMonth)</f>
        <v/>
      </c>
      <c r="Q52" s="63"/>
      <c r="R52" s="16" t="str">
        <f aca="false">IF(AND($A52="",$B52="",$D52=""),"",IF(OR($A52="",$B52=""),"⚠ Site and mix code required",IF(ISNA(MATCH($B52,Mix_Code,0)),"⚠ Unknown mix code",IF(COUNTIF(CI_Site,$A52)=0,"⚠ Site not set up in Current Inventory","OK"))))</f>
        <v/>
      </c>
    </row>
    <row r="53" customFormat="false" ht="15" hidden="false" customHeight="false" outlineLevel="0" collapsed="false">
      <c r="A53" s="63"/>
      <c r="B53" s="70"/>
      <c r="C53" s="16" t="str">
        <f aca="false">IF($B53="","",IFERROR(INDEX(Mix_Desc,MATCH($B53,Mix_Code,0)),"⚠ Unknown mix code"))</f>
        <v/>
      </c>
      <c r="D53" s="66"/>
      <c r="E53" s="67" t="str">
        <f aca="false">IF($D53="","",$D53*WorkDaysWeek)</f>
        <v/>
      </c>
      <c r="F53" s="67" t="str">
        <f aca="false">IF($D53="","",$D53*WorkDaysMonth)</f>
        <v/>
      </c>
      <c r="G53" s="67" t="str">
        <f aca="false">IF(OR($B53="",$D53=""),"",IFERROR($D53*INDEX(Mix_Eff,MATCH($B53,Mix_Code,0),1),""))</f>
        <v/>
      </c>
      <c r="H53" s="67" t="str">
        <f aca="false">IF(OR($B53="",$D53=""),"",IFERROR($D53*INDEX(Mix_Eff,MATCH($B53,Mix_Code,0),2),""))</f>
        <v/>
      </c>
      <c r="I53" s="67" t="str">
        <f aca="false">IF(OR($B53="",$D53=""),"",IFERROR($D53*INDEX(Mix_Eff,MATCH($B53,Mix_Code,0),3),""))</f>
        <v/>
      </c>
      <c r="J53" s="67" t="str">
        <f aca="false">IF(OR($B53="",$D53=""),"",IFERROR($D53*INDEX(Mix_Eff,MATCH($B53,Mix_Code,0),4),""))</f>
        <v/>
      </c>
      <c r="K53" s="67" t="str">
        <f aca="false">IF(OR($B53="",$D53=""),"",IFERROR($D53*INDEX(Mix_Eff,MATCH($B53,Mix_Code,0),5),""))</f>
        <v/>
      </c>
      <c r="L53" s="67" t="str">
        <f aca="false">IF(G53="","",G53*WorkDaysMonth)</f>
        <v/>
      </c>
      <c r="M53" s="67" t="str">
        <f aca="false">IF(H53="","",H53*WorkDaysMonth)</f>
        <v/>
      </c>
      <c r="N53" s="67" t="str">
        <f aca="false">IF(I53="","",I53*WorkDaysMonth)</f>
        <v/>
      </c>
      <c r="O53" s="67" t="str">
        <f aca="false">IF(J53="","",J53*WorkDaysMonth)</f>
        <v/>
      </c>
      <c r="P53" s="67" t="str">
        <f aca="false">IF(K53="","",K53*WorkDaysMonth)</f>
        <v/>
      </c>
      <c r="Q53" s="63"/>
      <c r="R53" s="16" t="str">
        <f aca="false">IF(AND($A53="",$B53="",$D53=""),"",IF(OR($A53="",$B53=""),"⚠ Site and mix code required",IF(ISNA(MATCH($B53,Mix_Code,0)),"⚠ Unknown mix code",IF(COUNTIF(CI_Site,$A53)=0,"⚠ Site not set up in Current Inventory","OK"))))</f>
        <v/>
      </c>
    </row>
    <row r="54" customFormat="false" ht="15" hidden="false" customHeight="false" outlineLevel="0" collapsed="false">
      <c r="A54" s="63"/>
      <c r="B54" s="70"/>
      <c r="C54" s="16" t="str">
        <f aca="false">IF($B54="","",IFERROR(INDEX(Mix_Desc,MATCH($B54,Mix_Code,0)),"⚠ Unknown mix code"))</f>
        <v/>
      </c>
      <c r="D54" s="66"/>
      <c r="E54" s="67" t="str">
        <f aca="false">IF($D54="","",$D54*WorkDaysWeek)</f>
        <v/>
      </c>
      <c r="F54" s="67" t="str">
        <f aca="false">IF($D54="","",$D54*WorkDaysMonth)</f>
        <v/>
      </c>
      <c r="G54" s="67" t="str">
        <f aca="false">IF(OR($B54="",$D54=""),"",IFERROR($D54*INDEX(Mix_Eff,MATCH($B54,Mix_Code,0),1),""))</f>
        <v/>
      </c>
      <c r="H54" s="67" t="str">
        <f aca="false">IF(OR($B54="",$D54=""),"",IFERROR($D54*INDEX(Mix_Eff,MATCH($B54,Mix_Code,0),2),""))</f>
        <v/>
      </c>
      <c r="I54" s="67" t="str">
        <f aca="false">IF(OR($B54="",$D54=""),"",IFERROR($D54*INDEX(Mix_Eff,MATCH($B54,Mix_Code,0),3),""))</f>
        <v/>
      </c>
      <c r="J54" s="67" t="str">
        <f aca="false">IF(OR($B54="",$D54=""),"",IFERROR($D54*INDEX(Mix_Eff,MATCH($B54,Mix_Code,0),4),""))</f>
        <v/>
      </c>
      <c r="K54" s="67" t="str">
        <f aca="false">IF(OR($B54="",$D54=""),"",IFERROR($D54*INDEX(Mix_Eff,MATCH($B54,Mix_Code,0),5),""))</f>
        <v/>
      </c>
      <c r="L54" s="67" t="str">
        <f aca="false">IF(G54="","",G54*WorkDaysMonth)</f>
        <v/>
      </c>
      <c r="M54" s="67" t="str">
        <f aca="false">IF(H54="","",H54*WorkDaysMonth)</f>
        <v/>
      </c>
      <c r="N54" s="67" t="str">
        <f aca="false">IF(I54="","",I54*WorkDaysMonth)</f>
        <v/>
      </c>
      <c r="O54" s="67" t="str">
        <f aca="false">IF(J54="","",J54*WorkDaysMonth)</f>
        <v/>
      </c>
      <c r="P54" s="67" t="str">
        <f aca="false">IF(K54="","",K54*WorkDaysMonth)</f>
        <v/>
      </c>
      <c r="Q54" s="63"/>
      <c r="R54" s="16" t="str">
        <f aca="false">IF(AND($A54="",$B54="",$D54=""),"",IF(OR($A54="",$B54=""),"⚠ Site and mix code required",IF(ISNA(MATCH($B54,Mix_Code,0)),"⚠ Unknown mix code",IF(COUNTIF(CI_Site,$A54)=0,"⚠ Site not set up in Current Inventory","OK"))))</f>
        <v/>
      </c>
    </row>
    <row r="55" customFormat="false" ht="15" hidden="false" customHeight="false" outlineLevel="0" collapsed="false">
      <c r="A55" s="63"/>
      <c r="B55" s="70"/>
      <c r="C55" s="16" t="str">
        <f aca="false">IF($B55="","",IFERROR(INDEX(Mix_Desc,MATCH($B55,Mix_Code,0)),"⚠ Unknown mix code"))</f>
        <v/>
      </c>
      <c r="D55" s="66"/>
      <c r="E55" s="67" t="str">
        <f aca="false">IF($D55="","",$D55*WorkDaysWeek)</f>
        <v/>
      </c>
      <c r="F55" s="67" t="str">
        <f aca="false">IF($D55="","",$D55*WorkDaysMonth)</f>
        <v/>
      </c>
      <c r="G55" s="67" t="str">
        <f aca="false">IF(OR($B55="",$D55=""),"",IFERROR($D55*INDEX(Mix_Eff,MATCH($B55,Mix_Code,0),1),""))</f>
        <v/>
      </c>
      <c r="H55" s="67" t="str">
        <f aca="false">IF(OR($B55="",$D55=""),"",IFERROR($D55*INDEX(Mix_Eff,MATCH($B55,Mix_Code,0),2),""))</f>
        <v/>
      </c>
      <c r="I55" s="67" t="str">
        <f aca="false">IF(OR($B55="",$D55=""),"",IFERROR($D55*INDEX(Mix_Eff,MATCH($B55,Mix_Code,0),3),""))</f>
        <v/>
      </c>
      <c r="J55" s="67" t="str">
        <f aca="false">IF(OR($B55="",$D55=""),"",IFERROR($D55*INDEX(Mix_Eff,MATCH($B55,Mix_Code,0),4),""))</f>
        <v/>
      </c>
      <c r="K55" s="67" t="str">
        <f aca="false">IF(OR($B55="",$D55=""),"",IFERROR($D55*INDEX(Mix_Eff,MATCH($B55,Mix_Code,0),5),""))</f>
        <v/>
      </c>
      <c r="L55" s="67" t="str">
        <f aca="false">IF(G55="","",G55*WorkDaysMonth)</f>
        <v/>
      </c>
      <c r="M55" s="67" t="str">
        <f aca="false">IF(H55="","",H55*WorkDaysMonth)</f>
        <v/>
      </c>
      <c r="N55" s="67" t="str">
        <f aca="false">IF(I55="","",I55*WorkDaysMonth)</f>
        <v/>
      </c>
      <c r="O55" s="67" t="str">
        <f aca="false">IF(J55="","",J55*WorkDaysMonth)</f>
        <v/>
      </c>
      <c r="P55" s="67" t="str">
        <f aca="false">IF(K55="","",K55*WorkDaysMonth)</f>
        <v/>
      </c>
      <c r="Q55" s="63"/>
      <c r="R55" s="16" t="str">
        <f aca="false">IF(AND($A55="",$B55="",$D55=""),"",IF(OR($A55="",$B55=""),"⚠ Site and mix code required",IF(ISNA(MATCH($B55,Mix_Code,0)),"⚠ Unknown mix code",IF(COUNTIF(CI_Site,$A55)=0,"⚠ Site not set up in Current Inventory","OK"))))</f>
        <v/>
      </c>
    </row>
    <row r="56" customFormat="false" ht="15" hidden="false" customHeight="false" outlineLevel="0" collapsed="false">
      <c r="A56" s="63"/>
      <c r="B56" s="70"/>
      <c r="C56" s="16" t="str">
        <f aca="false">IF($B56="","",IFERROR(INDEX(Mix_Desc,MATCH($B56,Mix_Code,0)),"⚠ Unknown mix code"))</f>
        <v/>
      </c>
      <c r="D56" s="66"/>
      <c r="E56" s="67" t="str">
        <f aca="false">IF($D56="","",$D56*WorkDaysWeek)</f>
        <v/>
      </c>
      <c r="F56" s="67" t="str">
        <f aca="false">IF($D56="","",$D56*WorkDaysMonth)</f>
        <v/>
      </c>
      <c r="G56" s="67" t="str">
        <f aca="false">IF(OR($B56="",$D56=""),"",IFERROR($D56*INDEX(Mix_Eff,MATCH($B56,Mix_Code,0),1),""))</f>
        <v/>
      </c>
      <c r="H56" s="67" t="str">
        <f aca="false">IF(OR($B56="",$D56=""),"",IFERROR($D56*INDEX(Mix_Eff,MATCH($B56,Mix_Code,0),2),""))</f>
        <v/>
      </c>
      <c r="I56" s="67" t="str">
        <f aca="false">IF(OR($B56="",$D56=""),"",IFERROR($D56*INDEX(Mix_Eff,MATCH($B56,Mix_Code,0),3),""))</f>
        <v/>
      </c>
      <c r="J56" s="67" t="str">
        <f aca="false">IF(OR($B56="",$D56=""),"",IFERROR($D56*INDEX(Mix_Eff,MATCH($B56,Mix_Code,0),4),""))</f>
        <v/>
      </c>
      <c r="K56" s="67" t="str">
        <f aca="false">IF(OR($B56="",$D56=""),"",IFERROR($D56*INDEX(Mix_Eff,MATCH($B56,Mix_Code,0),5),""))</f>
        <v/>
      </c>
      <c r="L56" s="67" t="str">
        <f aca="false">IF(G56="","",G56*WorkDaysMonth)</f>
        <v/>
      </c>
      <c r="M56" s="67" t="str">
        <f aca="false">IF(H56="","",H56*WorkDaysMonth)</f>
        <v/>
      </c>
      <c r="N56" s="67" t="str">
        <f aca="false">IF(I56="","",I56*WorkDaysMonth)</f>
        <v/>
      </c>
      <c r="O56" s="67" t="str">
        <f aca="false">IF(J56="","",J56*WorkDaysMonth)</f>
        <v/>
      </c>
      <c r="P56" s="67" t="str">
        <f aca="false">IF(K56="","",K56*WorkDaysMonth)</f>
        <v/>
      </c>
      <c r="Q56" s="63"/>
      <c r="R56" s="16" t="str">
        <f aca="false">IF(AND($A56="",$B56="",$D56=""),"",IF(OR($A56="",$B56=""),"⚠ Site and mix code required",IF(ISNA(MATCH($B56,Mix_Code,0)),"⚠ Unknown mix code",IF(COUNTIF(CI_Site,$A56)=0,"⚠ Site not set up in Current Inventory","OK"))))</f>
        <v/>
      </c>
    </row>
    <row r="57" customFormat="false" ht="15" hidden="false" customHeight="false" outlineLevel="0" collapsed="false">
      <c r="A57" s="63"/>
      <c r="B57" s="70"/>
      <c r="C57" s="16" t="str">
        <f aca="false">IF($B57="","",IFERROR(INDEX(Mix_Desc,MATCH($B57,Mix_Code,0)),"⚠ Unknown mix code"))</f>
        <v/>
      </c>
      <c r="D57" s="66"/>
      <c r="E57" s="67" t="str">
        <f aca="false">IF($D57="","",$D57*WorkDaysWeek)</f>
        <v/>
      </c>
      <c r="F57" s="67" t="str">
        <f aca="false">IF($D57="","",$D57*WorkDaysMonth)</f>
        <v/>
      </c>
      <c r="G57" s="67" t="str">
        <f aca="false">IF(OR($B57="",$D57=""),"",IFERROR($D57*INDEX(Mix_Eff,MATCH($B57,Mix_Code,0),1),""))</f>
        <v/>
      </c>
      <c r="H57" s="67" t="str">
        <f aca="false">IF(OR($B57="",$D57=""),"",IFERROR($D57*INDEX(Mix_Eff,MATCH($B57,Mix_Code,0),2),""))</f>
        <v/>
      </c>
      <c r="I57" s="67" t="str">
        <f aca="false">IF(OR($B57="",$D57=""),"",IFERROR($D57*INDEX(Mix_Eff,MATCH($B57,Mix_Code,0),3),""))</f>
        <v/>
      </c>
      <c r="J57" s="67" t="str">
        <f aca="false">IF(OR($B57="",$D57=""),"",IFERROR($D57*INDEX(Mix_Eff,MATCH($B57,Mix_Code,0),4),""))</f>
        <v/>
      </c>
      <c r="K57" s="67" t="str">
        <f aca="false">IF(OR($B57="",$D57=""),"",IFERROR($D57*INDEX(Mix_Eff,MATCH($B57,Mix_Code,0),5),""))</f>
        <v/>
      </c>
      <c r="L57" s="67" t="str">
        <f aca="false">IF(G57="","",G57*WorkDaysMonth)</f>
        <v/>
      </c>
      <c r="M57" s="67" t="str">
        <f aca="false">IF(H57="","",H57*WorkDaysMonth)</f>
        <v/>
      </c>
      <c r="N57" s="67" t="str">
        <f aca="false">IF(I57="","",I57*WorkDaysMonth)</f>
        <v/>
      </c>
      <c r="O57" s="67" t="str">
        <f aca="false">IF(J57="","",J57*WorkDaysMonth)</f>
        <v/>
      </c>
      <c r="P57" s="67" t="str">
        <f aca="false">IF(K57="","",K57*WorkDaysMonth)</f>
        <v/>
      </c>
      <c r="Q57" s="63"/>
      <c r="R57" s="16" t="str">
        <f aca="false">IF(AND($A57="",$B57="",$D57=""),"",IF(OR($A57="",$B57=""),"⚠ Site and mix code required",IF(ISNA(MATCH($B57,Mix_Code,0)),"⚠ Unknown mix code",IF(COUNTIF(CI_Site,$A57)=0,"⚠ Site not set up in Current Inventory","OK"))))</f>
        <v/>
      </c>
    </row>
    <row r="58" customFormat="false" ht="15" hidden="false" customHeight="false" outlineLevel="0" collapsed="false">
      <c r="A58" s="63"/>
      <c r="B58" s="70"/>
      <c r="C58" s="16" t="str">
        <f aca="false">IF($B58="","",IFERROR(INDEX(Mix_Desc,MATCH($B58,Mix_Code,0)),"⚠ Unknown mix code"))</f>
        <v/>
      </c>
      <c r="D58" s="66"/>
      <c r="E58" s="67" t="str">
        <f aca="false">IF($D58="","",$D58*WorkDaysWeek)</f>
        <v/>
      </c>
      <c r="F58" s="67" t="str">
        <f aca="false">IF($D58="","",$D58*WorkDaysMonth)</f>
        <v/>
      </c>
      <c r="G58" s="67" t="str">
        <f aca="false">IF(OR($B58="",$D58=""),"",IFERROR($D58*INDEX(Mix_Eff,MATCH($B58,Mix_Code,0),1),""))</f>
        <v/>
      </c>
      <c r="H58" s="67" t="str">
        <f aca="false">IF(OR($B58="",$D58=""),"",IFERROR($D58*INDEX(Mix_Eff,MATCH($B58,Mix_Code,0),2),""))</f>
        <v/>
      </c>
      <c r="I58" s="67" t="str">
        <f aca="false">IF(OR($B58="",$D58=""),"",IFERROR($D58*INDEX(Mix_Eff,MATCH($B58,Mix_Code,0),3),""))</f>
        <v/>
      </c>
      <c r="J58" s="67" t="str">
        <f aca="false">IF(OR($B58="",$D58=""),"",IFERROR($D58*INDEX(Mix_Eff,MATCH($B58,Mix_Code,0),4),""))</f>
        <v/>
      </c>
      <c r="K58" s="67" t="str">
        <f aca="false">IF(OR($B58="",$D58=""),"",IFERROR($D58*INDEX(Mix_Eff,MATCH($B58,Mix_Code,0),5),""))</f>
        <v/>
      </c>
      <c r="L58" s="67" t="str">
        <f aca="false">IF(G58="","",G58*WorkDaysMonth)</f>
        <v/>
      </c>
      <c r="M58" s="67" t="str">
        <f aca="false">IF(H58="","",H58*WorkDaysMonth)</f>
        <v/>
      </c>
      <c r="N58" s="67" t="str">
        <f aca="false">IF(I58="","",I58*WorkDaysMonth)</f>
        <v/>
      </c>
      <c r="O58" s="67" t="str">
        <f aca="false">IF(J58="","",J58*WorkDaysMonth)</f>
        <v/>
      </c>
      <c r="P58" s="67" t="str">
        <f aca="false">IF(K58="","",K58*WorkDaysMonth)</f>
        <v/>
      </c>
      <c r="Q58" s="63"/>
      <c r="R58" s="16" t="str">
        <f aca="false">IF(AND($A58="",$B58="",$D58=""),"",IF(OR($A58="",$B58=""),"⚠ Site and mix code required",IF(ISNA(MATCH($B58,Mix_Code,0)),"⚠ Unknown mix code",IF(COUNTIF(CI_Site,$A58)=0,"⚠ Site not set up in Current Inventory","OK"))))</f>
        <v/>
      </c>
    </row>
    <row r="59" customFormat="false" ht="15" hidden="false" customHeight="false" outlineLevel="0" collapsed="false">
      <c r="A59" s="63"/>
      <c r="B59" s="70"/>
      <c r="C59" s="16" t="str">
        <f aca="false">IF($B59="","",IFERROR(INDEX(Mix_Desc,MATCH($B59,Mix_Code,0)),"⚠ Unknown mix code"))</f>
        <v/>
      </c>
      <c r="D59" s="66"/>
      <c r="E59" s="67" t="str">
        <f aca="false">IF($D59="","",$D59*WorkDaysWeek)</f>
        <v/>
      </c>
      <c r="F59" s="67" t="str">
        <f aca="false">IF($D59="","",$D59*WorkDaysMonth)</f>
        <v/>
      </c>
      <c r="G59" s="67" t="str">
        <f aca="false">IF(OR($B59="",$D59=""),"",IFERROR($D59*INDEX(Mix_Eff,MATCH($B59,Mix_Code,0),1),""))</f>
        <v/>
      </c>
      <c r="H59" s="67" t="str">
        <f aca="false">IF(OR($B59="",$D59=""),"",IFERROR($D59*INDEX(Mix_Eff,MATCH($B59,Mix_Code,0),2),""))</f>
        <v/>
      </c>
      <c r="I59" s="67" t="str">
        <f aca="false">IF(OR($B59="",$D59=""),"",IFERROR($D59*INDEX(Mix_Eff,MATCH($B59,Mix_Code,0),3),""))</f>
        <v/>
      </c>
      <c r="J59" s="67" t="str">
        <f aca="false">IF(OR($B59="",$D59=""),"",IFERROR($D59*INDEX(Mix_Eff,MATCH($B59,Mix_Code,0),4),""))</f>
        <v/>
      </c>
      <c r="K59" s="67" t="str">
        <f aca="false">IF(OR($B59="",$D59=""),"",IFERROR($D59*INDEX(Mix_Eff,MATCH($B59,Mix_Code,0),5),""))</f>
        <v/>
      </c>
      <c r="L59" s="67" t="str">
        <f aca="false">IF(G59="","",G59*WorkDaysMonth)</f>
        <v/>
      </c>
      <c r="M59" s="67" t="str">
        <f aca="false">IF(H59="","",H59*WorkDaysMonth)</f>
        <v/>
      </c>
      <c r="N59" s="67" t="str">
        <f aca="false">IF(I59="","",I59*WorkDaysMonth)</f>
        <v/>
      </c>
      <c r="O59" s="67" t="str">
        <f aca="false">IF(J59="","",J59*WorkDaysMonth)</f>
        <v/>
      </c>
      <c r="P59" s="67" t="str">
        <f aca="false">IF(K59="","",K59*WorkDaysMonth)</f>
        <v/>
      </c>
      <c r="Q59" s="63"/>
      <c r="R59" s="16" t="str">
        <f aca="false">IF(AND($A59="",$B59="",$D59=""),"",IF(OR($A59="",$B59=""),"⚠ Site and mix code required",IF(ISNA(MATCH($B59,Mix_Code,0)),"⚠ Unknown mix code",IF(COUNTIF(CI_Site,$A59)=0,"⚠ Site not set up in Current Inventory","OK"))))</f>
        <v/>
      </c>
    </row>
    <row r="60" customFormat="false" ht="15" hidden="false" customHeight="false" outlineLevel="0" collapsed="false">
      <c r="A60" s="63"/>
      <c r="B60" s="70"/>
      <c r="C60" s="16" t="str">
        <f aca="false">IF($B60="","",IFERROR(INDEX(Mix_Desc,MATCH($B60,Mix_Code,0)),"⚠ Unknown mix code"))</f>
        <v/>
      </c>
      <c r="D60" s="66"/>
      <c r="E60" s="67" t="str">
        <f aca="false">IF($D60="","",$D60*WorkDaysWeek)</f>
        <v/>
      </c>
      <c r="F60" s="67" t="str">
        <f aca="false">IF($D60="","",$D60*WorkDaysMonth)</f>
        <v/>
      </c>
      <c r="G60" s="67" t="str">
        <f aca="false">IF(OR($B60="",$D60=""),"",IFERROR($D60*INDEX(Mix_Eff,MATCH($B60,Mix_Code,0),1),""))</f>
        <v/>
      </c>
      <c r="H60" s="67" t="str">
        <f aca="false">IF(OR($B60="",$D60=""),"",IFERROR($D60*INDEX(Mix_Eff,MATCH($B60,Mix_Code,0),2),""))</f>
        <v/>
      </c>
      <c r="I60" s="67" t="str">
        <f aca="false">IF(OR($B60="",$D60=""),"",IFERROR($D60*INDEX(Mix_Eff,MATCH($B60,Mix_Code,0),3),""))</f>
        <v/>
      </c>
      <c r="J60" s="67" t="str">
        <f aca="false">IF(OR($B60="",$D60=""),"",IFERROR($D60*INDEX(Mix_Eff,MATCH($B60,Mix_Code,0),4),""))</f>
        <v/>
      </c>
      <c r="K60" s="67" t="str">
        <f aca="false">IF(OR($B60="",$D60=""),"",IFERROR($D60*INDEX(Mix_Eff,MATCH($B60,Mix_Code,0),5),""))</f>
        <v/>
      </c>
      <c r="L60" s="67" t="str">
        <f aca="false">IF(G60="","",G60*WorkDaysMonth)</f>
        <v/>
      </c>
      <c r="M60" s="67" t="str">
        <f aca="false">IF(H60="","",H60*WorkDaysMonth)</f>
        <v/>
      </c>
      <c r="N60" s="67" t="str">
        <f aca="false">IF(I60="","",I60*WorkDaysMonth)</f>
        <v/>
      </c>
      <c r="O60" s="67" t="str">
        <f aca="false">IF(J60="","",J60*WorkDaysMonth)</f>
        <v/>
      </c>
      <c r="P60" s="67" t="str">
        <f aca="false">IF(K60="","",K60*WorkDaysMonth)</f>
        <v/>
      </c>
      <c r="Q60" s="63"/>
      <c r="R60" s="16" t="str">
        <f aca="false">IF(AND($A60="",$B60="",$D60=""),"",IF(OR($A60="",$B60=""),"⚠ Site and mix code required",IF(ISNA(MATCH($B60,Mix_Code,0)),"⚠ Unknown mix code",IF(COUNTIF(CI_Site,$A60)=0,"⚠ Site not set up in Current Inventory","OK"))))</f>
        <v/>
      </c>
    </row>
    <row r="61" customFormat="false" ht="15" hidden="false" customHeight="false" outlineLevel="0" collapsed="false">
      <c r="A61" s="63"/>
      <c r="B61" s="70"/>
      <c r="C61" s="16" t="str">
        <f aca="false">IF($B61="","",IFERROR(INDEX(Mix_Desc,MATCH($B61,Mix_Code,0)),"⚠ Unknown mix code"))</f>
        <v/>
      </c>
      <c r="D61" s="66"/>
      <c r="E61" s="67" t="str">
        <f aca="false">IF($D61="","",$D61*WorkDaysWeek)</f>
        <v/>
      </c>
      <c r="F61" s="67" t="str">
        <f aca="false">IF($D61="","",$D61*WorkDaysMonth)</f>
        <v/>
      </c>
      <c r="G61" s="67" t="str">
        <f aca="false">IF(OR($B61="",$D61=""),"",IFERROR($D61*INDEX(Mix_Eff,MATCH($B61,Mix_Code,0),1),""))</f>
        <v/>
      </c>
      <c r="H61" s="67" t="str">
        <f aca="false">IF(OR($B61="",$D61=""),"",IFERROR($D61*INDEX(Mix_Eff,MATCH($B61,Mix_Code,0),2),""))</f>
        <v/>
      </c>
      <c r="I61" s="67" t="str">
        <f aca="false">IF(OR($B61="",$D61=""),"",IFERROR($D61*INDEX(Mix_Eff,MATCH($B61,Mix_Code,0),3),""))</f>
        <v/>
      </c>
      <c r="J61" s="67" t="str">
        <f aca="false">IF(OR($B61="",$D61=""),"",IFERROR($D61*INDEX(Mix_Eff,MATCH($B61,Mix_Code,0),4),""))</f>
        <v/>
      </c>
      <c r="K61" s="67" t="str">
        <f aca="false">IF(OR($B61="",$D61=""),"",IFERROR($D61*INDEX(Mix_Eff,MATCH($B61,Mix_Code,0),5),""))</f>
        <v/>
      </c>
      <c r="L61" s="67" t="str">
        <f aca="false">IF(G61="","",G61*WorkDaysMonth)</f>
        <v/>
      </c>
      <c r="M61" s="67" t="str">
        <f aca="false">IF(H61="","",H61*WorkDaysMonth)</f>
        <v/>
      </c>
      <c r="N61" s="67" t="str">
        <f aca="false">IF(I61="","",I61*WorkDaysMonth)</f>
        <v/>
      </c>
      <c r="O61" s="67" t="str">
        <f aca="false">IF(J61="","",J61*WorkDaysMonth)</f>
        <v/>
      </c>
      <c r="P61" s="67" t="str">
        <f aca="false">IF(K61="","",K61*WorkDaysMonth)</f>
        <v/>
      </c>
      <c r="Q61" s="63"/>
      <c r="R61" s="16" t="str">
        <f aca="false">IF(AND($A61="",$B61="",$D61=""),"",IF(OR($A61="",$B61=""),"⚠ Site and mix code required",IF(ISNA(MATCH($B61,Mix_Code,0)),"⚠ Unknown mix code",IF(COUNTIF(CI_Site,$A61)=0,"⚠ Site not set up in Current Inventory","OK"))))</f>
        <v/>
      </c>
    </row>
    <row r="62" customFormat="false" ht="15" hidden="false" customHeight="false" outlineLevel="0" collapsed="false">
      <c r="A62" s="63"/>
      <c r="B62" s="70"/>
      <c r="C62" s="16" t="str">
        <f aca="false">IF($B62="","",IFERROR(INDEX(Mix_Desc,MATCH($B62,Mix_Code,0)),"⚠ Unknown mix code"))</f>
        <v/>
      </c>
      <c r="D62" s="66"/>
      <c r="E62" s="67" t="str">
        <f aca="false">IF($D62="","",$D62*WorkDaysWeek)</f>
        <v/>
      </c>
      <c r="F62" s="67" t="str">
        <f aca="false">IF($D62="","",$D62*WorkDaysMonth)</f>
        <v/>
      </c>
      <c r="G62" s="67" t="str">
        <f aca="false">IF(OR($B62="",$D62=""),"",IFERROR($D62*INDEX(Mix_Eff,MATCH($B62,Mix_Code,0),1),""))</f>
        <v/>
      </c>
      <c r="H62" s="67" t="str">
        <f aca="false">IF(OR($B62="",$D62=""),"",IFERROR($D62*INDEX(Mix_Eff,MATCH($B62,Mix_Code,0),2),""))</f>
        <v/>
      </c>
      <c r="I62" s="67" t="str">
        <f aca="false">IF(OR($B62="",$D62=""),"",IFERROR($D62*INDEX(Mix_Eff,MATCH($B62,Mix_Code,0),3),""))</f>
        <v/>
      </c>
      <c r="J62" s="67" t="str">
        <f aca="false">IF(OR($B62="",$D62=""),"",IFERROR($D62*INDEX(Mix_Eff,MATCH($B62,Mix_Code,0),4),""))</f>
        <v/>
      </c>
      <c r="K62" s="67" t="str">
        <f aca="false">IF(OR($B62="",$D62=""),"",IFERROR($D62*INDEX(Mix_Eff,MATCH($B62,Mix_Code,0),5),""))</f>
        <v/>
      </c>
      <c r="L62" s="67" t="str">
        <f aca="false">IF(G62="","",G62*WorkDaysMonth)</f>
        <v/>
      </c>
      <c r="M62" s="67" t="str">
        <f aca="false">IF(H62="","",H62*WorkDaysMonth)</f>
        <v/>
      </c>
      <c r="N62" s="67" t="str">
        <f aca="false">IF(I62="","",I62*WorkDaysMonth)</f>
        <v/>
      </c>
      <c r="O62" s="67" t="str">
        <f aca="false">IF(J62="","",J62*WorkDaysMonth)</f>
        <v/>
      </c>
      <c r="P62" s="67" t="str">
        <f aca="false">IF(K62="","",K62*WorkDaysMonth)</f>
        <v/>
      </c>
      <c r="Q62" s="63"/>
      <c r="R62" s="16" t="str">
        <f aca="false">IF(AND($A62="",$B62="",$D62=""),"",IF(OR($A62="",$B62=""),"⚠ Site and mix code required",IF(ISNA(MATCH($B62,Mix_Code,0)),"⚠ Unknown mix code",IF(COUNTIF(CI_Site,$A62)=0,"⚠ Site not set up in Current Inventory","OK"))))</f>
        <v/>
      </c>
    </row>
    <row r="63" customFormat="false" ht="15" hidden="false" customHeight="false" outlineLevel="0" collapsed="false">
      <c r="A63" s="63"/>
      <c r="B63" s="70"/>
      <c r="C63" s="16" t="str">
        <f aca="false">IF($B63="","",IFERROR(INDEX(Mix_Desc,MATCH($B63,Mix_Code,0)),"⚠ Unknown mix code"))</f>
        <v/>
      </c>
      <c r="D63" s="66"/>
      <c r="E63" s="67" t="str">
        <f aca="false">IF($D63="","",$D63*WorkDaysWeek)</f>
        <v/>
      </c>
      <c r="F63" s="67" t="str">
        <f aca="false">IF($D63="","",$D63*WorkDaysMonth)</f>
        <v/>
      </c>
      <c r="G63" s="67" t="str">
        <f aca="false">IF(OR($B63="",$D63=""),"",IFERROR($D63*INDEX(Mix_Eff,MATCH($B63,Mix_Code,0),1),""))</f>
        <v/>
      </c>
      <c r="H63" s="67" t="str">
        <f aca="false">IF(OR($B63="",$D63=""),"",IFERROR($D63*INDEX(Mix_Eff,MATCH($B63,Mix_Code,0),2),""))</f>
        <v/>
      </c>
      <c r="I63" s="67" t="str">
        <f aca="false">IF(OR($B63="",$D63=""),"",IFERROR($D63*INDEX(Mix_Eff,MATCH($B63,Mix_Code,0),3),""))</f>
        <v/>
      </c>
      <c r="J63" s="67" t="str">
        <f aca="false">IF(OR($B63="",$D63=""),"",IFERROR($D63*INDEX(Mix_Eff,MATCH($B63,Mix_Code,0),4),""))</f>
        <v/>
      </c>
      <c r="K63" s="67" t="str">
        <f aca="false">IF(OR($B63="",$D63=""),"",IFERROR($D63*INDEX(Mix_Eff,MATCH($B63,Mix_Code,0),5),""))</f>
        <v/>
      </c>
      <c r="L63" s="67" t="str">
        <f aca="false">IF(G63="","",G63*WorkDaysMonth)</f>
        <v/>
      </c>
      <c r="M63" s="67" t="str">
        <f aca="false">IF(H63="","",H63*WorkDaysMonth)</f>
        <v/>
      </c>
      <c r="N63" s="67" t="str">
        <f aca="false">IF(I63="","",I63*WorkDaysMonth)</f>
        <v/>
      </c>
      <c r="O63" s="67" t="str">
        <f aca="false">IF(J63="","",J63*WorkDaysMonth)</f>
        <v/>
      </c>
      <c r="P63" s="67" t="str">
        <f aca="false">IF(K63="","",K63*WorkDaysMonth)</f>
        <v/>
      </c>
      <c r="Q63" s="63"/>
      <c r="R63" s="16" t="str">
        <f aca="false">IF(AND($A63="",$B63="",$D63=""),"",IF(OR($A63="",$B63=""),"⚠ Site and mix code required",IF(ISNA(MATCH($B63,Mix_Code,0)),"⚠ Unknown mix code",IF(COUNTIF(CI_Site,$A63)=0,"⚠ Site not set up in Current Inventory","OK"))))</f>
        <v/>
      </c>
    </row>
    <row r="64" customFormat="false" ht="15" hidden="false" customHeight="false" outlineLevel="0" collapsed="false">
      <c r="A64" s="63"/>
      <c r="B64" s="70"/>
      <c r="C64" s="16" t="str">
        <f aca="false">IF($B64="","",IFERROR(INDEX(Mix_Desc,MATCH($B64,Mix_Code,0)),"⚠ Unknown mix code"))</f>
        <v/>
      </c>
      <c r="D64" s="66"/>
      <c r="E64" s="67" t="str">
        <f aca="false">IF($D64="","",$D64*WorkDaysWeek)</f>
        <v/>
      </c>
      <c r="F64" s="67" t="str">
        <f aca="false">IF($D64="","",$D64*WorkDaysMonth)</f>
        <v/>
      </c>
      <c r="G64" s="67" t="str">
        <f aca="false">IF(OR($B64="",$D64=""),"",IFERROR($D64*INDEX(Mix_Eff,MATCH($B64,Mix_Code,0),1),""))</f>
        <v/>
      </c>
      <c r="H64" s="67" t="str">
        <f aca="false">IF(OR($B64="",$D64=""),"",IFERROR($D64*INDEX(Mix_Eff,MATCH($B64,Mix_Code,0),2),""))</f>
        <v/>
      </c>
      <c r="I64" s="67" t="str">
        <f aca="false">IF(OR($B64="",$D64=""),"",IFERROR($D64*INDEX(Mix_Eff,MATCH($B64,Mix_Code,0),3),""))</f>
        <v/>
      </c>
      <c r="J64" s="67" t="str">
        <f aca="false">IF(OR($B64="",$D64=""),"",IFERROR($D64*INDEX(Mix_Eff,MATCH($B64,Mix_Code,0),4),""))</f>
        <v/>
      </c>
      <c r="K64" s="67" t="str">
        <f aca="false">IF(OR($B64="",$D64=""),"",IFERROR($D64*INDEX(Mix_Eff,MATCH($B64,Mix_Code,0),5),""))</f>
        <v/>
      </c>
      <c r="L64" s="67" t="str">
        <f aca="false">IF(G64="","",G64*WorkDaysMonth)</f>
        <v/>
      </c>
      <c r="M64" s="67" t="str">
        <f aca="false">IF(H64="","",H64*WorkDaysMonth)</f>
        <v/>
      </c>
      <c r="N64" s="67" t="str">
        <f aca="false">IF(I64="","",I64*WorkDaysMonth)</f>
        <v/>
      </c>
      <c r="O64" s="67" t="str">
        <f aca="false">IF(J64="","",J64*WorkDaysMonth)</f>
        <v/>
      </c>
      <c r="P64" s="67" t="str">
        <f aca="false">IF(K64="","",K64*WorkDaysMonth)</f>
        <v/>
      </c>
      <c r="Q64" s="63"/>
      <c r="R64" s="16" t="str">
        <f aca="false">IF(AND($A64="",$B64="",$D64=""),"",IF(OR($A64="",$B64=""),"⚠ Site and mix code required",IF(ISNA(MATCH($B64,Mix_Code,0)),"⚠ Unknown mix code",IF(COUNTIF(CI_Site,$A64)=0,"⚠ Site not set up in Current Inventory","OK"))))</f>
        <v/>
      </c>
    </row>
    <row r="65" customFormat="false" ht="15" hidden="false" customHeight="false" outlineLevel="0" collapsed="false">
      <c r="A65" s="63"/>
      <c r="B65" s="70"/>
      <c r="C65" s="16" t="str">
        <f aca="false">IF($B65="","",IFERROR(INDEX(Mix_Desc,MATCH($B65,Mix_Code,0)),"⚠ Unknown mix code"))</f>
        <v/>
      </c>
      <c r="D65" s="66"/>
      <c r="E65" s="67" t="str">
        <f aca="false">IF($D65="","",$D65*WorkDaysWeek)</f>
        <v/>
      </c>
      <c r="F65" s="67" t="str">
        <f aca="false">IF($D65="","",$D65*WorkDaysMonth)</f>
        <v/>
      </c>
      <c r="G65" s="67" t="str">
        <f aca="false">IF(OR($B65="",$D65=""),"",IFERROR($D65*INDEX(Mix_Eff,MATCH($B65,Mix_Code,0),1),""))</f>
        <v/>
      </c>
      <c r="H65" s="67" t="str">
        <f aca="false">IF(OR($B65="",$D65=""),"",IFERROR($D65*INDEX(Mix_Eff,MATCH($B65,Mix_Code,0),2),""))</f>
        <v/>
      </c>
      <c r="I65" s="67" t="str">
        <f aca="false">IF(OR($B65="",$D65=""),"",IFERROR($D65*INDEX(Mix_Eff,MATCH($B65,Mix_Code,0),3),""))</f>
        <v/>
      </c>
      <c r="J65" s="67" t="str">
        <f aca="false">IF(OR($B65="",$D65=""),"",IFERROR($D65*INDEX(Mix_Eff,MATCH($B65,Mix_Code,0),4),""))</f>
        <v/>
      </c>
      <c r="K65" s="67" t="str">
        <f aca="false">IF(OR($B65="",$D65=""),"",IFERROR($D65*INDEX(Mix_Eff,MATCH($B65,Mix_Code,0),5),""))</f>
        <v/>
      </c>
      <c r="L65" s="67" t="str">
        <f aca="false">IF(G65="","",G65*WorkDaysMonth)</f>
        <v/>
      </c>
      <c r="M65" s="67" t="str">
        <f aca="false">IF(H65="","",H65*WorkDaysMonth)</f>
        <v/>
      </c>
      <c r="N65" s="67" t="str">
        <f aca="false">IF(I65="","",I65*WorkDaysMonth)</f>
        <v/>
      </c>
      <c r="O65" s="67" t="str">
        <f aca="false">IF(J65="","",J65*WorkDaysMonth)</f>
        <v/>
      </c>
      <c r="P65" s="67" t="str">
        <f aca="false">IF(K65="","",K65*WorkDaysMonth)</f>
        <v/>
      </c>
      <c r="Q65" s="63"/>
      <c r="R65" s="16" t="str">
        <f aca="false">IF(AND($A65="",$B65="",$D65=""),"",IF(OR($A65="",$B65=""),"⚠ Site and mix code required",IF(ISNA(MATCH($B65,Mix_Code,0)),"⚠ Unknown mix code",IF(COUNTIF(CI_Site,$A65)=0,"⚠ Site not set up in Current Inventory","OK"))))</f>
        <v/>
      </c>
    </row>
    <row r="66" customFormat="false" ht="15" hidden="false" customHeight="false" outlineLevel="0" collapsed="false">
      <c r="A66" s="63"/>
      <c r="B66" s="70"/>
      <c r="C66" s="16" t="str">
        <f aca="false">IF($B66="","",IFERROR(INDEX(Mix_Desc,MATCH($B66,Mix_Code,0)),"⚠ Unknown mix code"))</f>
        <v/>
      </c>
      <c r="D66" s="66"/>
      <c r="E66" s="67" t="str">
        <f aca="false">IF($D66="","",$D66*WorkDaysWeek)</f>
        <v/>
      </c>
      <c r="F66" s="67" t="str">
        <f aca="false">IF($D66="","",$D66*WorkDaysMonth)</f>
        <v/>
      </c>
      <c r="G66" s="67" t="str">
        <f aca="false">IF(OR($B66="",$D66=""),"",IFERROR($D66*INDEX(Mix_Eff,MATCH($B66,Mix_Code,0),1),""))</f>
        <v/>
      </c>
      <c r="H66" s="67" t="str">
        <f aca="false">IF(OR($B66="",$D66=""),"",IFERROR($D66*INDEX(Mix_Eff,MATCH($B66,Mix_Code,0),2),""))</f>
        <v/>
      </c>
      <c r="I66" s="67" t="str">
        <f aca="false">IF(OR($B66="",$D66=""),"",IFERROR($D66*INDEX(Mix_Eff,MATCH($B66,Mix_Code,0),3),""))</f>
        <v/>
      </c>
      <c r="J66" s="67" t="str">
        <f aca="false">IF(OR($B66="",$D66=""),"",IFERROR($D66*INDEX(Mix_Eff,MATCH($B66,Mix_Code,0),4),""))</f>
        <v/>
      </c>
      <c r="K66" s="67" t="str">
        <f aca="false">IF(OR($B66="",$D66=""),"",IFERROR($D66*INDEX(Mix_Eff,MATCH($B66,Mix_Code,0),5),""))</f>
        <v/>
      </c>
      <c r="L66" s="67" t="str">
        <f aca="false">IF(G66="","",G66*WorkDaysMonth)</f>
        <v/>
      </c>
      <c r="M66" s="67" t="str">
        <f aca="false">IF(H66="","",H66*WorkDaysMonth)</f>
        <v/>
      </c>
      <c r="N66" s="67" t="str">
        <f aca="false">IF(I66="","",I66*WorkDaysMonth)</f>
        <v/>
      </c>
      <c r="O66" s="67" t="str">
        <f aca="false">IF(J66="","",J66*WorkDaysMonth)</f>
        <v/>
      </c>
      <c r="P66" s="67" t="str">
        <f aca="false">IF(K66="","",K66*WorkDaysMonth)</f>
        <v/>
      </c>
      <c r="Q66" s="63"/>
      <c r="R66" s="16" t="str">
        <f aca="false">IF(AND($A66="",$B66="",$D66=""),"",IF(OR($A66="",$B66=""),"⚠ Site and mix code required",IF(ISNA(MATCH($B66,Mix_Code,0)),"⚠ Unknown mix code",IF(COUNTIF(CI_Site,$A66)=0,"⚠ Site not set up in Current Inventory","OK"))))</f>
        <v/>
      </c>
    </row>
    <row r="67" customFormat="false" ht="15" hidden="false" customHeight="false" outlineLevel="0" collapsed="false">
      <c r="A67" s="63"/>
      <c r="B67" s="70"/>
      <c r="C67" s="16" t="str">
        <f aca="false">IF($B67="","",IFERROR(INDEX(Mix_Desc,MATCH($B67,Mix_Code,0)),"⚠ Unknown mix code"))</f>
        <v/>
      </c>
      <c r="D67" s="66"/>
      <c r="E67" s="67" t="str">
        <f aca="false">IF($D67="","",$D67*WorkDaysWeek)</f>
        <v/>
      </c>
      <c r="F67" s="67" t="str">
        <f aca="false">IF($D67="","",$D67*WorkDaysMonth)</f>
        <v/>
      </c>
      <c r="G67" s="67" t="str">
        <f aca="false">IF(OR($B67="",$D67=""),"",IFERROR($D67*INDEX(Mix_Eff,MATCH($B67,Mix_Code,0),1),""))</f>
        <v/>
      </c>
      <c r="H67" s="67" t="str">
        <f aca="false">IF(OR($B67="",$D67=""),"",IFERROR($D67*INDEX(Mix_Eff,MATCH($B67,Mix_Code,0),2),""))</f>
        <v/>
      </c>
      <c r="I67" s="67" t="str">
        <f aca="false">IF(OR($B67="",$D67=""),"",IFERROR($D67*INDEX(Mix_Eff,MATCH($B67,Mix_Code,0),3),""))</f>
        <v/>
      </c>
      <c r="J67" s="67" t="str">
        <f aca="false">IF(OR($B67="",$D67=""),"",IFERROR($D67*INDEX(Mix_Eff,MATCH($B67,Mix_Code,0),4),""))</f>
        <v/>
      </c>
      <c r="K67" s="67" t="str">
        <f aca="false">IF(OR($B67="",$D67=""),"",IFERROR($D67*INDEX(Mix_Eff,MATCH($B67,Mix_Code,0),5),""))</f>
        <v/>
      </c>
      <c r="L67" s="67" t="str">
        <f aca="false">IF(G67="","",G67*WorkDaysMonth)</f>
        <v/>
      </c>
      <c r="M67" s="67" t="str">
        <f aca="false">IF(H67="","",H67*WorkDaysMonth)</f>
        <v/>
      </c>
      <c r="N67" s="67" t="str">
        <f aca="false">IF(I67="","",I67*WorkDaysMonth)</f>
        <v/>
      </c>
      <c r="O67" s="67" t="str">
        <f aca="false">IF(J67="","",J67*WorkDaysMonth)</f>
        <v/>
      </c>
      <c r="P67" s="67" t="str">
        <f aca="false">IF(K67="","",K67*WorkDaysMonth)</f>
        <v/>
      </c>
      <c r="Q67" s="63"/>
      <c r="R67" s="16" t="str">
        <f aca="false">IF(AND($A67="",$B67="",$D67=""),"",IF(OR($A67="",$B67=""),"⚠ Site and mix code required",IF(ISNA(MATCH($B67,Mix_Code,0)),"⚠ Unknown mix code",IF(COUNTIF(CI_Site,$A67)=0,"⚠ Site not set up in Current Inventory","OK"))))</f>
        <v/>
      </c>
    </row>
    <row r="68" customFormat="false" ht="15" hidden="false" customHeight="false" outlineLevel="0" collapsed="false">
      <c r="A68" s="63"/>
      <c r="B68" s="70"/>
      <c r="C68" s="16" t="str">
        <f aca="false">IF($B68="","",IFERROR(INDEX(Mix_Desc,MATCH($B68,Mix_Code,0)),"⚠ Unknown mix code"))</f>
        <v/>
      </c>
      <c r="D68" s="66"/>
      <c r="E68" s="67" t="str">
        <f aca="false">IF($D68="","",$D68*WorkDaysWeek)</f>
        <v/>
      </c>
      <c r="F68" s="67" t="str">
        <f aca="false">IF($D68="","",$D68*WorkDaysMonth)</f>
        <v/>
      </c>
      <c r="G68" s="67" t="str">
        <f aca="false">IF(OR($B68="",$D68=""),"",IFERROR($D68*INDEX(Mix_Eff,MATCH($B68,Mix_Code,0),1),""))</f>
        <v/>
      </c>
      <c r="H68" s="67" t="str">
        <f aca="false">IF(OR($B68="",$D68=""),"",IFERROR($D68*INDEX(Mix_Eff,MATCH($B68,Mix_Code,0),2),""))</f>
        <v/>
      </c>
      <c r="I68" s="67" t="str">
        <f aca="false">IF(OR($B68="",$D68=""),"",IFERROR($D68*INDEX(Mix_Eff,MATCH($B68,Mix_Code,0),3),""))</f>
        <v/>
      </c>
      <c r="J68" s="67" t="str">
        <f aca="false">IF(OR($B68="",$D68=""),"",IFERROR($D68*INDEX(Mix_Eff,MATCH($B68,Mix_Code,0),4),""))</f>
        <v/>
      </c>
      <c r="K68" s="67" t="str">
        <f aca="false">IF(OR($B68="",$D68=""),"",IFERROR($D68*INDEX(Mix_Eff,MATCH($B68,Mix_Code,0),5),""))</f>
        <v/>
      </c>
      <c r="L68" s="67" t="str">
        <f aca="false">IF(G68="","",G68*WorkDaysMonth)</f>
        <v/>
      </c>
      <c r="M68" s="67" t="str">
        <f aca="false">IF(H68="","",H68*WorkDaysMonth)</f>
        <v/>
      </c>
      <c r="N68" s="67" t="str">
        <f aca="false">IF(I68="","",I68*WorkDaysMonth)</f>
        <v/>
      </c>
      <c r="O68" s="67" t="str">
        <f aca="false">IF(J68="","",J68*WorkDaysMonth)</f>
        <v/>
      </c>
      <c r="P68" s="67" t="str">
        <f aca="false">IF(K68="","",K68*WorkDaysMonth)</f>
        <v/>
      </c>
      <c r="Q68" s="63"/>
      <c r="R68" s="16" t="str">
        <f aca="false">IF(AND($A68="",$B68="",$D68=""),"",IF(OR($A68="",$B68=""),"⚠ Site and mix code required",IF(ISNA(MATCH($B68,Mix_Code,0)),"⚠ Unknown mix code",IF(COUNTIF(CI_Site,$A68)=0,"⚠ Site not set up in Current Inventory","OK"))))</f>
        <v/>
      </c>
    </row>
    <row r="69" customFormat="false" ht="15" hidden="false" customHeight="false" outlineLevel="0" collapsed="false">
      <c r="A69" s="63"/>
      <c r="B69" s="70"/>
      <c r="C69" s="16" t="str">
        <f aca="false">IF($B69="","",IFERROR(INDEX(Mix_Desc,MATCH($B69,Mix_Code,0)),"⚠ Unknown mix code"))</f>
        <v/>
      </c>
      <c r="D69" s="66"/>
      <c r="E69" s="67" t="str">
        <f aca="false">IF($D69="","",$D69*WorkDaysWeek)</f>
        <v/>
      </c>
      <c r="F69" s="67" t="str">
        <f aca="false">IF($D69="","",$D69*WorkDaysMonth)</f>
        <v/>
      </c>
      <c r="G69" s="67" t="str">
        <f aca="false">IF(OR($B69="",$D69=""),"",IFERROR($D69*INDEX(Mix_Eff,MATCH($B69,Mix_Code,0),1),""))</f>
        <v/>
      </c>
      <c r="H69" s="67" t="str">
        <f aca="false">IF(OR($B69="",$D69=""),"",IFERROR($D69*INDEX(Mix_Eff,MATCH($B69,Mix_Code,0),2),""))</f>
        <v/>
      </c>
      <c r="I69" s="67" t="str">
        <f aca="false">IF(OR($B69="",$D69=""),"",IFERROR($D69*INDEX(Mix_Eff,MATCH($B69,Mix_Code,0),3),""))</f>
        <v/>
      </c>
      <c r="J69" s="67" t="str">
        <f aca="false">IF(OR($B69="",$D69=""),"",IFERROR($D69*INDEX(Mix_Eff,MATCH($B69,Mix_Code,0),4),""))</f>
        <v/>
      </c>
      <c r="K69" s="67" t="str">
        <f aca="false">IF(OR($B69="",$D69=""),"",IFERROR($D69*INDEX(Mix_Eff,MATCH($B69,Mix_Code,0),5),""))</f>
        <v/>
      </c>
      <c r="L69" s="67" t="str">
        <f aca="false">IF(G69="","",G69*WorkDaysMonth)</f>
        <v/>
      </c>
      <c r="M69" s="67" t="str">
        <f aca="false">IF(H69="","",H69*WorkDaysMonth)</f>
        <v/>
      </c>
      <c r="N69" s="67" t="str">
        <f aca="false">IF(I69="","",I69*WorkDaysMonth)</f>
        <v/>
      </c>
      <c r="O69" s="67" t="str">
        <f aca="false">IF(J69="","",J69*WorkDaysMonth)</f>
        <v/>
      </c>
      <c r="P69" s="67" t="str">
        <f aca="false">IF(K69="","",K69*WorkDaysMonth)</f>
        <v/>
      </c>
      <c r="Q69" s="63"/>
      <c r="R69" s="16" t="str">
        <f aca="false">IF(AND($A69="",$B69="",$D69=""),"",IF(OR($A69="",$B69=""),"⚠ Site and mix code required",IF(ISNA(MATCH($B69,Mix_Code,0)),"⚠ Unknown mix code",IF(COUNTIF(CI_Site,$A69)=0,"⚠ Site not set up in Current Inventory","OK"))))</f>
        <v/>
      </c>
    </row>
    <row r="70" customFormat="false" ht="15" hidden="false" customHeight="false" outlineLevel="0" collapsed="false">
      <c r="A70" s="63"/>
      <c r="B70" s="70"/>
      <c r="C70" s="16" t="str">
        <f aca="false">IF($B70="","",IFERROR(INDEX(Mix_Desc,MATCH($B70,Mix_Code,0)),"⚠ Unknown mix code"))</f>
        <v/>
      </c>
      <c r="D70" s="66"/>
      <c r="E70" s="67" t="str">
        <f aca="false">IF($D70="","",$D70*WorkDaysWeek)</f>
        <v/>
      </c>
      <c r="F70" s="67" t="str">
        <f aca="false">IF($D70="","",$D70*WorkDaysMonth)</f>
        <v/>
      </c>
      <c r="G70" s="67" t="str">
        <f aca="false">IF(OR($B70="",$D70=""),"",IFERROR($D70*INDEX(Mix_Eff,MATCH($B70,Mix_Code,0),1),""))</f>
        <v/>
      </c>
      <c r="H70" s="67" t="str">
        <f aca="false">IF(OR($B70="",$D70=""),"",IFERROR($D70*INDEX(Mix_Eff,MATCH($B70,Mix_Code,0),2),""))</f>
        <v/>
      </c>
      <c r="I70" s="67" t="str">
        <f aca="false">IF(OR($B70="",$D70=""),"",IFERROR($D70*INDEX(Mix_Eff,MATCH($B70,Mix_Code,0),3),""))</f>
        <v/>
      </c>
      <c r="J70" s="67" t="str">
        <f aca="false">IF(OR($B70="",$D70=""),"",IFERROR($D70*INDEX(Mix_Eff,MATCH($B70,Mix_Code,0),4),""))</f>
        <v/>
      </c>
      <c r="K70" s="67" t="str">
        <f aca="false">IF(OR($B70="",$D70=""),"",IFERROR($D70*INDEX(Mix_Eff,MATCH($B70,Mix_Code,0),5),""))</f>
        <v/>
      </c>
      <c r="L70" s="67" t="str">
        <f aca="false">IF(G70="","",G70*WorkDaysMonth)</f>
        <v/>
      </c>
      <c r="M70" s="67" t="str">
        <f aca="false">IF(H70="","",H70*WorkDaysMonth)</f>
        <v/>
      </c>
      <c r="N70" s="67" t="str">
        <f aca="false">IF(I70="","",I70*WorkDaysMonth)</f>
        <v/>
      </c>
      <c r="O70" s="67" t="str">
        <f aca="false">IF(J70="","",J70*WorkDaysMonth)</f>
        <v/>
      </c>
      <c r="P70" s="67" t="str">
        <f aca="false">IF(K70="","",K70*WorkDaysMonth)</f>
        <v/>
      </c>
      <c r="Q70" s="63"/>
      <c r="R70" s="16" t="str">
        <f aca="false">IF(AND($A70="",$B70="",$D70=""),"",IF(OR($A70="",$B70=""),"⚠ Site and mix code required",IF(ISNA(MATCH($B70,Mix_Code,0)),"⚠ Unknown mix code",IF(COUNTIF(CI_Site,$A70)=0,"⚠ Site not set up in Current Inventory","OK"))))</f>
        <v/>
      </c>
    </row>
    <row r="71" customFormat="false" ht="15" hidden="false" customHeight="false" outlineLevel="0" collapsed="false">
      <c r="A71" s="63"/>
      <c r="B71" s="70"/>
      <c r="C71" s="16" t="str">
        <f aca="false">IF($B71="","",IFERROR(INDEX(Mix_Desc,MATCH($B71,Mix_Code,0)),"⚠ Unknown mix code"))</f>
        <v/>
      </c>
      <c r="D71" s="66"/>
      <c r="E71" s="67" t="str">
        <f aca="false">IF($D71="","",$D71*WorkDaysWeek)</f>
        <v/>
      </c>
      <c r="F71" s="67" t="str">
        <f aca="false">IF($D71="","",$D71*WorkDaysMonth)</f>
        <v/>
      </c>
      <c r="G71" s="67" t="str">
        <f aca="false">IF(OR($B71="",$D71=""),"",IFERROR($D71*INDEX(Mix_Eff,MATCH($B71,Mix_Code,0),1),""))</f>
        <v/>
      </c>
      <c r="H71" s="67" t="str">
        <f aca="false">IF(OR($B71="",$D71=""),"",IFERROR($D71*INDEX(Mix_Eff,MATCH($B71,Mix_Code,0),2),""))</f>
        <v/>
      </c>
      <c r="I71" s="67" t="str">
        <f aca="false">IF(OR($B71="",$D71=""),"",IFERROR($D71*INDEX(Mix_Eff,MATCH($B71,Mix_Code,0),3),""))</f>
        <v/>
      </c>
      <c r="J71" s="67" t="str">
        <f aca="false">IF(OR($B71="",$D71=""),"",IFERROR($D71*INDEX(Mix_Eff,MATCH($B71,Mix_Code,0),4),""))</f>
        <v/>
      </c>
      <c r="K71" s="67" t="str">
        <f aca="false">IF(OR($B71="",$D71=""),"",IFERROR($D71*INDEX(Mix_Eff,MATCH($B71,Mix_Code,0),5),""))</f>
        <v/>
      </c>
      <c r="L71" s="67" t="str">
        <f aca="false">IF(G71="","",G71*WorkDaysMonth)</f>
        <v/>
      </c>
      <c r="M71" s="67" t="str">
        <f aca="false">IF(H71="","",H71*WorkDaysMonth)</f>
        <v/>
      </c>
      <c r="N71" s="67" t="str">
        <f aca="false">IF(I71="","",I71*WorkDaysMonth)</f>
        <v/>
      </c>
      <c r="O71" s="67" t="str">
        <f aca="false">IF(J71="","",J71*WorkDaysMonth)</f>
        <v/>
      </c>
      <c r="P71" s="67" t="str">
        <f aca="false">IF(K71="","",K71*WorkDaysMonth)</f>
        <v/>
      </c>
      <c r="Q71" s="63"/>
      <c r="R71" s="16" t="str">
        <f aca="false">IF(AND($A71="",$B71="",$D71=""),"",IF(OR($A71="",$B71=""),"⚠ Site and mix code required",IF(ISNA(MATCH($B71,Mix_Code,0)),"⚠ Unknown mix code",IF(COUNTIF(CI_Site,$A71)=0,"⚠ Site not set up in Current Inventory","OK"))))</f>
        <v/>
      </c>
    </row>
    <row r="72" customFormat="false" ht="15" hidden="false" customHeight="false" outlineLevel="0" collapsed="false">
      <c r="A72" s="63"/>
      <c r="B72" s="70"/>
      <c r="C72" s="16" t="str">
        <f aca="false">IF($B72="","",IFERROR(INDEX(Mix_Desc,MATCH($B72,Mix_Code,0)),"⚠ Unknown mix code"))</f>
        <v/>
      </c>
      <c r="D72" s="66"/>
      <c r="E72" s="67" t="str">
        <f aca="false">IF($D72="","",$D72*WorkDaysWeek)</f>
        <v/>
      </c>
      <c r="F72" s="67" t="str">
        <f aca="false">IF($D72="","",$D72*WorkDaysMonth)</f>
        <v/>
      </c>
      <c r="G72" s="67" t="str">
        <f aca="false">IF(OR($B72="",$D72=""),"",IFERROR($D72*INDEX(Mix_Eff,MATCH($B72,Mix_Code,0),1),""))</f>
        <v/>
      </c>
      <c r="H72" s="67" t="str">
        <f aca="false">IF(OR($B72="",$D72=""),"",IFERROR($D72*INDEX(Mix_Eff,MATCH($B72,Mix_Code,0),2),""))</f>
        <v/>
      </c>
      <c r="I72" s="67" t="str">
        <f aca="false">IF(OR($B72="",$D72=""),"",IFERROR($D72*INDEX(Mix_Eff,MATCH($B72,Mix_Code,0),3),""))</f>
        <v/>
      </c>
      <c r="J72" s="67" t="str">
        <f aca="false">IF(OR($B72="",$D72=""),"",IFERROR($D72*INDEX(Mix_Eff,MATCH($B72,Mix_Code,0),4),""))</f>
        <v/>
      </c>
      <c r="K72" s="67" t="str">
        <f aca="false">IF(OR($B72="",$D72=""),"",IFERROR($D72*INDEX(Mix_Eff,MATCH($B72,Mix_Code,0),5),""))</f>
        <v/>
      </c>
      <c r="L72" s="67" t="str">
        <f aca="false">IF(G72="","",G72*WorkDaysMonth)</f>
        <v/>
      </c>
      <c r="M72" s="67" t="str">
        <f aca="false">IF(H72="","",H72*WorkDaysMonth)</f>
        <v/>
      </c>
      <c r="N72" s="67" t="str">
        <f aca="false">IF(I72="","",I72*WorkDaysMonth)</f>
        <v/>
      </c>
      <c r="O72" s="67" t="str">
        <f aca="false">IF(J72="","",J72*WorkDaysMonth)</f>
        <v/>
      </c>
      <c r="P72" s="67" t="str">
        <f aca="false">IF(K72="","",K72*WorkDaysMonth)</f>
        <v/>
      </c>
      <c r="Q72" s="63"/>
      <c r="R72" s="16" t="str">
        <f aca="false">IF(AND($A72="",$B72="",$D72=""),"",IF(OR($A72="",$B72=""),"⚠ Site and mix code required",IF(ISNA(MATCH($B72,Mix_Code,0)),"⚠ Unknown mix code",IF(COUNTIF(CI_Site,$A72)=0,"⚠ Site not set up in Current Inventory","OK"))))</f>
        <v/>
      </c>
    </row>
    <row r="73" customFormat="false" ht="15" hidden="false" customHeight="false" outlineLevel="0" collapsed="false">
      <c r="A73" s="63"/>
      <c r="B73" s="70"/>
      <c r="C73" s="16" t="str">
        <f aca="false">IF($B73="","",IFERROR(INDEX(Mix_Desc,MATCH($B73,Mix_Code,0)),"⚠ Unknown mix code"))</f>
        <v/>
      </c>
      <c r="D73" s="66"/>
      <c r="E73" s="67" t="str">
        <f aca="false">IF($D73="","",$D73*WorkDaysWeek)</f>
        <v/>
      </c>
      <c r="F73" s="67" t="str">
        <f aca="false">IF($D73="","",$D73*WorkDaysMonth)</f>
        <v/>
      </c>
      <c r="G73" s="67" t="str">
        <f aca="false">IF(OR($B73="",$D73=""),"",IFERROR($D73*INDEX(Mix_Eff,MATCH($B73,Mix_Code,0),1),""))</f>
        <v/>
      </c>
      <c r="H73" s="67" t="str">
        <f aca="false">IF(OR($B73="",$D73=""),"",IFERROR($D73*INDEX(Mix_Eff,MATCH($B73,Mix_Code,0),2),""))</f>
        <v/>
      </c>
      <c r="I73" s="67" t="str">
        <f aca="false">IF(OR($B73="",$D73=""),"",IFERROR($D73*INDEX(Mix_Eff,MATCH($B73,Mix_Code,0),3),""))</f>
        <v/>
      </c>
      <c r="J73" s="67" t="str">
        <f aca="false">IF(OR($B73="",$D73=""),"",IFERROR($D73*INDEX(Mix_Eff,MATCH($B73,Mix_Code,0),4),""))</f>
        <v/>
      </c>
      <c r="K73" s="67" t="str">
        <f aca="false">IF(OR($B73="",$D73=""),"",IFERROR($D73*INDEX(Mix_Eff,MATCH($B73,Mix_Code,0),5),""))</f>
        <v/>
      </c>
      <c r="L73" s="67" t="str">
        <f aca="false">IF(G73="","",G73*WorkDaysMonth)</f>
        <v/>
      </c>
      <c r="M73" s="67" t="str">
        <f aca="false">IF(H73="","",H73*WorkDaysMonth)</f>
        <v/>
      </c>
      <c r="N73" s="67" t="str">
        <f aca="false">IF(I73="","",I73*WorkDaysMonth)</f>
        <v/>
      </c>
      <c r="O73" s="67" t="str">
        <f aca="false">IF(J73="","",J73*WorkDaysMonth)</f>
        <v/>
      </c>
      <c r="P73" s="67" t="str">
        <f aca="false">IF(K73="","",K73*WorkDaysMonth)</f>
        <v/>
      </c>
      <c r="Q73" s="63"/>
      <c r="R73" s="16" t="str">
        <f aca="false">IF(AND($A73="",$B73="",$D73=""),"",IF(OR($A73="",$B73=""),"⚠ Site and mix code required",IF(ISNA(MATCH($B73,Mix_Code,0)),"⚠ Unknown mix code",IF(COUNTIF(CI_Site,$A73)=0,"⚠ Site not set up in Current Inventory","OK"))))</f>
        <v/>
      </c>
    </row>
    <row r="74" customFormat="false" ht="15" hidden="false" customHeight="false" outlineLevel="0" collapsed="false">
      <c r="A74" s="63"/>
      <c r="B74" s="70"/>
      <c r="C74" s="16" t="str">
        <f aca="false">IF($B74="","",IFERROR(INDEX(Mix_Desc,MATCH($B74,Mix_Code,0)),"⚠ Unknown mix code"))</f>
        <v/>
      </c>
      <c r="D74" s="66"/>
      <c r="E74" s="67" t="str">
        <f aca="false">IF($D74="","",$D74*WorkDaysWeek)</f>
        <v/>
      </c>
      <c r="F74" s="67" t="str">
        <f aca="false">IF($D74="","",$D74*WorkDaysMonth)</f>
        <v/>
      </c>
      <c r="G74" s="67" t="str">
        <f aca="false">IF(OR($B74="",$D74=""),"",IFERROR($D74*INDEX(Mix_Eff,MATCH($B74,Mix_Code,0),1),""))</f>
        <v/>
      </c>
      <c r="H74" s="67" t="str">
        <f aca="false">IF(OR($B74="",$D74=""),"",IFERROR($D74*INDEX(Mix_Eff,MATCH($B74,Mix_Code,0),2),""))</f>
        <v/>
      </c>
      <c r="I74" s="67" t="str">
        <f aca="false">IF(OR($B74="",$D74=""),"",IFERROR($D74*INDEX(Mix_Eff,MATCH($B74,Mix_Code,0),3),""))</f>
        <v/>
      </c>
      <c r="J74" s="67" t="str">
        <f aca="false">IF(OR($B74="",$D74=""),"",IFERROR($D74*INDEX(Mix_Eff,MATCH($B74,Mix_Code,0),4),""))</f>
        <v/>
      </c>
      <c r="K74" s="67" t="str">
        <f aca="false">IF(OR($B74="",$D74=""),"",IFERROR($D74*INDEX(Mix_Eff,MATCH($B74,Mix_Code,0),5),""))</f>
        <v/>
      </c>
      <c r="L74" s="67" t="str">
        <f aca="false">IF(G74="","",G74*WorkDaysMonth)</f>
        <v/>
      </c>
      <c r="M74" s="67" t="str">
        <f aca="false">IF(H74="","",H74*WorkDaysMonth)</f>
        <v/>
      </c>
      <c r="N74" s="67" t="str">
        <f aca="false">IF(I74="","",I74*WorkDaysMonth)</f>
        <v/>
      </c>
      <c r="O74" s="67" t="str">
        <f aca="false">IF(J74="","",J74*WorkDaysMonth)</f>
        <v/>
      </c>
      <c r="P74" s="67" t="str">
        <f aca="false">IF(K74="","",K74*WorkDaysMonth)</f>
        <v/>
      </c>
      <c r="Q74" s="63"/>
      <c r="R74" s="16" t="str">
        <f aca="false">IF(AND($A74="",$B74="",$D74=""),"",IF(OR($A74="",$B74=""),"⚠ Site and mix code required",IF(ISNA(MATCH($B74,Mix_Code,0)),"⚠ Unknown mix code",IF(COUNTIF(CI_Site,$A74)=0,"⚠ Site not set up in Current Inventory","OK"))))</f>
        <v/>
      </c>
    </row>
    <row r="75" customFormat="false" ht="15" hidden="false" customHeight="false" outlineLevel="0" collapsed="false">
      <c r="A75" s="63"/>
      <c r="B75" s="70"/>
      <c r="C75" s="16" t="str">
        <f aca="false">IF($B75="","",IFERROR(INDEX(Mix_Desc,MATCH($B75,Mix_Code,0)),"⚠ Unknown mix code"))</f>
        <v/>
      </c>
      <c r="D75" s="66"/>
      <c r="E75" s="67" t="str">
        <f aca="false">IF($D75="","",$D75*WorkDaysWeek)</f>
        <v/>
      </c>
      <c r="F75" s="67" t="str">
        <f aca="false">IF($D75="","",$D75*WorkDaysMonth)</f>
        <v/>
      </c>
      <c r="G75" s="67" t="str">
        <f aca="false">IF(OR($B75="",$D75=""),"",IFERROR($D75*INDEX(Mix_Eff,MATCH($B75,Mix_Code,0),1),""))</f>
        <v/>
      </c>
      <c r="H75" s="67" t="str">
        <f aca="false">IF(OR($B75="",$D75=""),"",IFERROR($D75*INDEX(Mix_Eff,MATCH($B75,Mix_Code,0),2),""))</f>
        <v/>
      </c>
      <c r="I75" s="67" t="str">
        <f aca="false">IF(OR($B75="",$D75=""),"",IFERROR($D75*INDEX(Mix_Eff,MATCH($B75,Mix_Code,0),3),""))</f>
        <v/>
      </c>
      <c r="J75" s="67" t="str">
        <f aca="false">IF(OR($B75="",$D75=""),"",IFERROR($D75*INDEX(Mix_Eff,MATCH($B75,Mix_Code,0),4),""))</f>
        <v/>
      </c>
      <c r="K75" s="67" t="str">
        <f aca="false">IF(OR($B75="",$D75=""),"",IFERROR($D75*INDEX(Mix_Eff,MATCH($B75,Mix_Code,0),5),""))</f>
        <v/>
      </c>
      <c r="L75" s="67" t="str">
        <f aca="false">IF(G75="","",G75*WorkDaysMonth)</f>
        <v/>
      </c>
      <c r="M75" s="67" t="str">
        <f aca="false">IF(H75="","",H75*WorkDaysMonth)</f>
        <v/>
      </c>
      <c r="N75" s="67" t="str">
        <f aca="false">IF(I75="","",I75*WorkDaysMonth)</f>
        <v/>
      </c>
      <c r="O75" s="67" t="str">
        <f aca="false">IF(J75="","",J75*WorkDaysMonth)</f>
        <v/>
      </c>
      <c r="P75" s="67" t="str">
        <f aca="false">IF(K75="","",K75*WorkDaysMonth)</f>
        <v/>
      </c>
      <c r="Q75" s="63"/>
      <c r="R75" s="16" t="str">
        <f aca="false">IF(AND($A75="",$B75="",$D75=""),"",IF(OR($A75="",$B75=""),"⚠ Site and mix code required",IF(ISNA(MATCH($B75,Mix_Code,0)),"⚠ Unknown mix code",IF(COUNTIF(CI_Site,$A75)=0,"⚠ Site not set up in Current Inventory","OK"))))</f>
        <v/>
      </c>
    </row>
    <row r="76" customFormat="false" ht="15" hidden="false" customHeight="false" outlineLevel="0" collapsed="false">
      <c r="A76" s="63"/>
      <c r="B76" s="70"/>
      <c r="C76" s="16" t="str">
        <f aca="false">IF($B76="","",IFERROR(INDEX(Mix_Desc,MATCH($B76,Mix_Code,0)),"⚠ Unknown mix code"))</f>
        <v/>
      </c>
      <c r="D76" s="66"/>
      <c r="E76" s="67" t="str">
        <f aca="false">IF($D76="","",$D76*WorkDaysWeek)</f>
        <v/>
      </c>
      <c r="F76" s="67" t="str">
        <f aca="false">IF($D76="","",$D76*WorkDaysMonth)</f>
        <v/>
      </c>
      <c r="G76" s="67" t="str">
        <f aca="false">IF(OR($B76="",$D76=""),"",IFERROR($D76*INDEX(Mix_Eff,MATCH($B76,Mix_Code,0),1),""))</f>
        <v/>
      </c>
      <c r="H76" s="67" t="str">
        <f aca="false">IF(OR($B76="",$D76=""),"",IFERROR($D76*INDEX(Mix_Eff,MATCH($B76,Mix_Code,0),2),""))</f>
        <v/>
      </c>
      <c r="I76" s="67" t="str">
        <f aca="false">IF(OR($B76="",$D76=""),"",IFERROR($D76*INDEX(Mix_Eff,MATCH($B76,Mix_Code,0),3),""))</f>
        <v/>
      </c>
      <c r="J76" s="67" t="str">
        <f aca="false">IF(OR($B76="",$D76=""),"",IFERROR($D76*INDEX(Mix_Eff,MATCH($B76,Mix_Code,0),4),""))</f>
        <v/>
      </c>
      <c r="K76" s="67" t="str">
        <f aca="false">IF(OR($B76="",$D76=""),"",IFERROR($D76*INDEX(Mix_Eff,MATCH($B76,Mix_Code,0),5),""))</f>
        <v/>
      </c>
      <c r="L76" s="67" t="str">
        <f aca="false">IF(G76="","",G76*WorkDaysMonth)</f>
        <v/>
      </c>
      <c r="M76" s="67" t="str">
        <f aca="false">IF(H76="","",H76*WorkDaysMonth)</f>
        <v/>
      </c>
      <c r="N76" s="67" t="str">
        <f aca="false">IF(I76="","",I76*WorkDaysMonth)</f>
        <v/>
      </c>
      <c r="O76" s="67" t="str">
        <f aca="false">IF(J76="","",J76*WorkDaysMonth)</f>
        <v/>
      </c>
      <c r="P76" s="67" t="str">
        <f aca="false">IF(K76="","",K76*WorkDaysMonth)</f>
        <v/>
      </c>
      <c r="Q76" s="63"/>
      <c r="R76" s="16" t="str">
        <f aca="false">IF(AND($A76="",$B76="",$D76=""),"",IF(OR($A76="",$B76=""),"⚠ Site and mix code required",IF(ISNA(MATCH($B76,Mix_Code,0)),"⚠ Unknown mix code",IF(COUNTIF(CI_Site,$A76)=0,"⚠ Site not set up in Current Inventory","OK"))))</f>
        <v/>
      </c>
    </row>
    <row r="77" customFormat="false" ht="15" hidden="false" customHeight="false" outlineLevel="0" collapsed="false">
      <c r="A77" s="63"/>
      <c r="B77" s="70"/>
      <c r="C77" s="16" t="str">
        <f aca="false">IF($B77="","",IFERROR(INDEX(Mix_Desc,MATCH($B77,Mix_Code,0)),"⚠ Unknown mix code"))</f>
        <v/>
      </c>
      <c r="D77" s="66"/>
      <c r="E77" s="67" t="str">
        <f aca="false">IF($D77="","",$D77*WorkDaysWeek)</f>
        <v/>
      </c>
      <c r="F77" s="67" t="str">
        <f aca="false">IF($D77="","",$D77*WorkDaysMonth)</f>
        <v/>
      </c>
      <c r="G77" s="67" t="str">
        <f aca="false">IF(OR($B77="",$D77=""),"",IFERROR($D77*INDEX(Mix_Eff,MATCH($B77,Mix_Code,0),1),""))</f>
        <v/>
      </c>
      <c r="H77" s="67" t="str">
        <f aca="false">IF(OR($B77="",$D77=""),"",IFERROR($D77*INDEX(Mix_Eff,MATCH($B77,Mix_Code,0),2),""))</f>
        <v/>
      </c>
      <c r="I77" s="67" t="str">
        <f aca="false">IF(OR($B77="",$D77=""),"",IFERROR($D77*INDEX(Mix_Eff,MATCH($B77,Mix_Code,0),3),""))</f>
        <v/>
      </c>
      <c r="J77" s="67" t="str">
        <f aca="false">IF(OR($B77="",$D77=""),"",IFERROR($D77*INDEX(Mix_Eff,MATCH($B77,Mix_Code,0),4),""))</f>
        <v/>
      </c>
      <c r="K77" s="67" t="str">
        <f aca="false">IF(OR($B77="",$D77=""),"",IFERROR($D77*INDEX(Mix_Eff,MATCH($B77,Mix_Code,0),5),""))</f>
        <v/>
      </c>
      <c r="L77" s="67" t="str">
        <f aca="false">IF(G77="","",G77*WorkDaysMonth)</f>
        <v/>
      </c>
      <c r="M77" s="67" t="str">
        <f aca="false">IF(H77="","",H77*WorkDaysMonth)</f>
        <v/>
      </c>
      <c r="N77" s="67" t="str">
        <f aca="false">IF(I77="","",I77*WorkDaysMonth)</f>
        <v/>
      </c>
      <c r="O77" s="67" t="str">
        <f aca="false">IF(J77="","",J77*WorkDaysMonth)</f>
        <v/>
      </c>
      <c r="P77" s="67" t="str">
        <f aca="false">IF(K77="","",K77*WorkDaysMonth)</f>
        <v/>
      </c>
      <c r="Q77" s="63"/>
      <c r="R77" s="16" t="str">
        <f aca="false">IF(AND($A77="",$B77="",$D77=""),"",IF(OR($A77="",$B77=""),"⚠ Site and mix code required",IF(ISNA(MATCH($B77,Mix_Code,0)),"⚠ Unknown mix code",IF(COUNTIF(CI_Site,$A77)=0,"⚠ Site not set up in Current Inventory","OK"))))</f>
        <v/>
      </c>
    </row>
    <row r="78" customFormat="false" ht="15" hidden="false" customHeight="false" outlineLevel="0" collapsed="false">
      <c r="A78" s="63"/>
      <c r="B78" s="70"/>
      <c r="C78" s="16" t="str">
        <f aca="false">IF($B78="","",IFERROR(INDEX(Mix_Desc,MATCH($B78,Mix_Code,0)),"⚠ Unknown mix code"))</f>
        <v/>
      </c>
      <c r="D78" s="66"/>
      <c r="E78" s="67" t="str">
        <f aca="false">IF($D78="","",$D78*WorkDaysWeek)</f>
        <v/>
      </c>
      <c r="F78" s="67" t="str">
        <f aca="false">IF($D78="","",$D78*WorkDaysMonth)</f>
        <v/>
      </c>
      <c r="G78" s="67" t="str">
        <f aca="false">IF(OR($B78="",$D78=""),"",IFERROR($D78*INDEX(Mix_Eff,MATCH($B78,Mix_Code,0),1),""))</f>
        <v/>
      </c>
      <c r="H78" s="67" t="str">
        <f aca="false">IF(OR($B78="",$D78=""),"",IFERROR($D78*INDEX(Mix_Eff,MATCH($B78,Mix_Code,0),2),""))</f>
        <v/>
      </c>
      <c r="I78" s="67" t="str">
        <f aca="false">IF(OR($B78="",$D78=""),"",IFERROR($D78*INDEX(Mix_Eff,MATCH($B78,Mix_Code,0),3),""))</f>
        <v/>
      </c>
      <c r="J78" s="67" t="str">
        <f aca="false">IF(OR($B78="",$D78=""),"",IFERROR($D78*INDEX(Mix_Eff,MATCH($B78,Mix_Code,0),4),""))</f>
        <v/>
      </c>
      <c r="K78" s="67" t="str">
        <f aca="false">IF(OR($B78="",$D78=""),"",IFERROR($D78*INDEX(Mix_Eff,MATCH($B78,Mix_Code,0),5),""))</f>
        <v/>
      </c>
      <c r="L78" s="67" t="str">
        <f aca="false">IF(G78="","",G78*WorkDaysMonth)</f>
        <v/>
      </c>
      <c r="M78" s="67" t="str">
        <f aca="false">IF(H78="","",H78*WorkDaysMonth)</f>
        <v/>
      </c>
      <c r="N78" s="67" t="str">
        <f aca="false">IF(I78="","",I78*WorkDaysMonth)</f>
        <v/>
      </c>
      <c r="O78" s="67" t="str">
        <f aca="false">IF(J78="","",J78*WorkDaysMonth)</f>
        <v/>
      </c>
      <c r="P78" s="67" t="str">
        <f aca="false">IF(K78="","",K78*WorkDaysMonth)</f>
        <v/>
      </c>
      <c r="Q78" s="63"/>
      <c r="R78" s="16" t="str">
        <f aca="false">IF(AND($A78="",$B78="",$D78=""),"",IF(OR($A78="",$B78=""),"⚠ Site and mix code required",IF(ISNA(MATCH($B78,Mix_Code,0)),"⚠ Unknown mix code",IF(COUNTIF(CI_Site,$A78)=0,"⚠ Site not set up in Current Inventory","OK"))))</f>
        <v/>
      </c>
    </row>
    <row r="79" customFormat="false" ht="15" hidden="false" customHeight="false" outlineLevel="0" collapsed="false">
      <c r="A79" s="63"/>
      <c r="B79" s="70"/>
      <c r="C79" s="16" t="str">
        <f aca="false">IF($B79="","",IFERROR(INDEX(Mix_Desc,MATCH($B79,Mix_Code,0)),"⚠ Unknown mix code"))</f>
        <v/>
      </c>
      <c r="D79" s="66"/>
      <c r="E79" s="67" t="str">
        <f aca="false">IF($D79="","",$D79*WorkDaysWeek)</f>
        <v/>
      </c>
      <c r="F79" s="67" t="str">
        <f aca="false">IF($D79="","",$D79*WorkDaysMonth)</f>
        <v/>
      </c>
      <c r="G79" s="67" t="str">
        <f aca="false">IF(OR($B79="",$D79=""),"",IFERROR($D79*INDEX(Mix_Eff,MATCH($B79,Mix_Code,0),1),""))</f>
        <v/>
      </c>
      <c r="H79" s="67" t="str">
        <f aca="false">IF(OR($B79="",$D79=""),"",IFERROR($D79*INDEX(Mix_Eff,MATCH($B79,Mix_Code,0),2),""))</f>
        <v/>
      </c>
      <c r="I79" s="67" t="str">
        <f aca="false">IF(OR($B79="",$D79=""),"",IFERROR($D79*INDEX(Mix_Eff,MATCH($B79,Mix_Code,0),3),""))</f>
        <v/>
      </c>
      <c r="J79" s="67" t="str">
        <f aca="false">IF(OR($B79="",$D79=""),"",IFERROR($D79*INDEX(Mix_Eff,MATCH($B79,Mix_Code,0),4),""))</f>
        <v/>
      </c>
      <c r="K79" s="67" t="str">
        <f aca="false">IF(OR($B79="",$D79=""),"",IFERROR($D79*INDEX(Mix_Eff,MATCH($B79,Mix_Code,0),5),""))</f>
        <v/>
      </c>
      <c r="L79" s="67" t="str">
        <f aca="false">IF(G79="","",G79*WorkDaysMonth)</f>
        <v/>
      </c>
      <c r="M79" s="67" t="str">
        <f aca="false">IF(H79="","",H79*WorkDaysMonth)</f>
        <v/>
      </c>
      <c r="N79" s="67" t="str">
        <f aca="false">IF(I79="","",I79*WorkDaysMonth)</f>
        <v/>
      </c>
      <c r="O79" s="67" t="str">
        <f aca="false">IF(J79="","",J79*WorkDaysMonth)</f>
        <v/>
      </c>
      <c r="P79" s="67" t="str">
        <f aca="false">IF(K79="","",K79*WorkDaysMonth)</f>
        <v/>
      </c>
      <c r="Q79" s="63"/>
      <c r="R79" s="16" t="str">
        <f aca="false">IF(AND($A79="",$B79="",$D79=""),"",IF(OR($A79="",$B79=""),"⚠ Site and mix code required",IF(ISNA(MATCH($B79,Mix_Code,0)),"⚠ Unknown mix code",IF(COUNTIF(CI_Site,$A79)=0,"⚠ Site not set up in Current Inventory","OK"))))</f>
        <v/>
      </c>
    </row>
    <row r="80" customFormat="false" ht="15" hidden="false" customHeight="false" outlineLevel="0" collapsed="false">
      <c r="A80" s="63"/>
      <c r="B80" s="70"/>
      <c r="C80" s="16" t="str">
        <f aca="false">IF($B80="","",IFERROR(INDEX(Mix_Desc,MATCH($B80,Mix_Code,0)),"⚠ Unknown mix code"))</f>
        <v/>
      </c>
      <c r="D80" s="66"/>
      <c r="E80" s="67" t="str">
        <f aca="false">IF($D80="","",$D80*WorkDaysWeek)</f>
        <v/>
      </c>
      <c r="F80" s="67" t="str">
        <f aca="false">IF($D80="","",$D80*WorkDaysMonth)</f>
        <v/>
      </c>
      <c r="G80" s="67" t="str">
        <f aca="false">IF(OR($B80="",$D80=""),"",IFERROR($D80*INDEX(Mix_Eff,MATCH($B80,Mix_Code,0),1),""))</f>
        <v/>
      </c>
      <c r="H80" s="67" t="str">
        <f aca="false">IF(OR($B80="",$D80=""),"",IFERROR($D80*INDEX(Mix_Eff,MATCH($B80,Mix_Code,0),2),""))</f>
        <v/>
      </c>
      <c r="I80" s="67" t="str">
        <f aca="false">IF(OR($B80="",$D80=""),"",IFERROR($D80*INDEX(Mix_Eff,MATCH($B80,Mix_Code,0),3),""))</f>
        <v/>
      </c>
      <c r="J80" s="67" t="str">
        <f aca="false">IF(OR($B80="",$D80=""),"",IFERROR($D80*INDEX(Mix_Eff,MATCH($B80,Mix_Code,0),4),""))</f>
        <v/>
      </c>
      <c r="K80" s="67" t="str">
        <f aca="false">IF(OR($B80="",$D80=""),"",IFERROR($D80*INDEX(Mix_Eff,MATCH($B80,Mix_Code,0),5),""))</f>
        <v/>
      </c>
      <c r="L80" s="67" t="str">
        <f aca="false">IF(G80="","",G80*WorkDaysMonth)</f>
        <v/>
      </c>
      <c r="M80" s="67" t="str">
        <f aca="false">IF(H80="","",H80*WorkDaysMonth)</f>
        <v/>
      </c>
      <c r="N80" s="67" t="str">
        <f aca="false">IF(I80="","",I80*WorkDaysMonth)</f>
        <v/>
      </c>
      <c r="O80" s="67" t="str">
        <f aca="false">IF(J80="","",J80*WorkDaysMonth)</f>
        <v/>
      </c>
      <c r="P80" s="67" t="str">
        <f aca="false">IF(K80="","",K80*WorkDaysMonth)</f>
        <v/>
      </c>
      <c r="Q80" s="63"/>
      <c r="R80" s="16" t="str">
        <f aca="false">IF(AND($A80="",$B80="",$D80=""),"",IF(OR($A80="",$B80=""),"⚠ Site and mix code required",IF(ISNA(MATCH($B80,Mix_Code,0)),"⚠ Unknown mix code",IF(COUNTIF(CI_Site,$A80)=0,"⚠ Site not set up in Current Inventory","OK"))))</f>
        <v/>
      </c>
    </row>
    <row r="81" customFormat="false" ht="15" hidden="false" customHeight="false" outlineLevel="0" collapsed="false">
      <c r="A81" s="63"/>
      <c r="B81" s="70"/>
      <c r="C81" s="16" t="str">
        <f aca="false">IF($B81="","",IFERROR(INDEX(Mix_Desc,MATCH($B81,Mix_Code,0)),"⚠ Unknown mix code"))</f>
        <v/>
      </c>
      <c r="D81" s="66"/>
      <c r="E81" s="67" t="str">
        <f aca="false">IF($D81="","",$D81*WorkDaysWeek)</f>
        <v/>
      </c>
      <c r="F81" s="67" t="str">
        <f aca="false">IF($D81="","",$D81*WorkDaysMonth)</f>
        <v/>
      </c>
      <c r="G81" s="67" t="str">
        <f aca="false">IF(OR($B81="",$D81=""),"",IFERROR($D81*INDEX(Mix_Eff,MATCH($B81,Mix_Code,0),1),""))</f>
        <v/>
      </c>
      <c r="H81" s="67" t="str">
        <f aca="false">IF(OR($B81="",$D81=""),"",IFERROR($D81*INDEX(Mix_Eff,MATCH($B81,Mix_Code,0),2),""))</f>
        <v/>
      </c>
      <c r="I81" s="67" t="str">
        <f aca="false">IF(OR($B81="",$D81=""),"",IFERROR($D81*INDEX(Mix_Eff,MATCH($B81,Mix_Code,0),3),""))</f>
        <v/>
      </c>
      <c r="J81" s="67" t="str">
        <f aca="false">IF(OR($B81="",$D81=""),"",IFERROR($D81*INDEX(Mix_Eff,MATCH($B81,Mix_Code,0),4),""))</f>
        <v/>
      </c>
      <c r="K81" s="67" t="str">
        <f aca="false">IF(OR($B81="",$D81=""),"",IFERROR($D81*INDEX(Mix_Eff,MATCH($B81,Mix_Code,0),5),""))</f>
        <v/>
      </c>
      <c r="L81" s="67" t="str">
        <f aca="false">IF(G81="","",G81*WorkDaysMonth)</f>
        <v/>
      </c>
      <c r="M81" s="67" t="str">
        <f aca="false">IF(H81="","",H81*WorkDaysMonth)</f>
        <v/>
      </c>
      <c r="N81" s="67" t="str">
        <f aca="false">IF(I81="","",I81*WorkDaysMonth)</f>
        <v/>
      </c>
      <c r="O81" s="67" t="str">
        <f aca="false">IF(J81="","",J81*WorkDaysMonth)</f>
        <v/>
      </c>
      <c r="P81" s="67" t="str">
        <f aca="false">IF(K81="","",K81*WorkDaysMonth)</f>
        <v/>
      </c>
      <c r="Q81" s="63"/>
      <c r="R81" s="16" t="str">
        <f aca="false">IF(AND($A81="",$B81="",$D81=""),"",IF(OR($A81="",$B81=""),"⚠ Site and mix code required",IF(ISNA(MATCH($B81,Mix_Code,0)),"⚠ Unknown mix code",IF(COUNTIF(CI_Site,$A81)=0,"⚠ Site not set up in Current Inventory","OK"))))</f>
        <v/>
      </c>
    </row>
    <row r="82" customFormat="false" ht="15" hidden="false" customHeight="false" outlineLevel="0" collapsed="false">
      <c r="A82" s="63"/>
      <c r="B82" s="70"/>
      <c r="C82" s="16" t="str">
        <f aca="false">IF($B82="","",IFERROR(INDEX(Mix_Desc,MATCH($B82,Mix_Code,0)),"⚠ Unknown mix code"))</f>
        <v/>
      </c>
      <c r="D82" s="66"/>
      <c r="E82" s="67" t="str">
        <f aca="false">IF($D82="","",$D82*WorkDaysWeek)</f>
        <v/>
      </c>
      <c r="F82" s="67" t="str">
        <f aca="false">IF($D82="","",$D82*WorkDaysMonth)</f>
        <v/>
      </c>
      <c r="G82" s="67" t="str">
        <f aca="false">IF(OR($B82="",$D82=""),"",IFERROR($D82*INDEX(Mix_Eff,MATCH($B82,Mix_Code,0),1),""))</f>
        <v/>
      </c>
      <c r="H82" s="67" t="str">
        <f aca="false">IF(OR($B82="",$D82=""),"",IFERROR($D82*INDEX(Mix_Eff,MATCH($B82,Mix_Code,0),2),""))</f>
        <v/>
      </c>
      <c r="I82" s="67" t="str">
        <f aca="false">IF(OR($B82="",$D82=""),"",IFERROR($D82*INDEX(Mix_Eff,MATCH($B82,Mix_Code,0),3),""))</f>
        <v/>
      </c>
      <c r="J82" s="67" t="str">
        <f aca="false">IF(OR($B82="",$D82=""),"",IFERROR($D82*INDEX(Mix_Eff,MATCH($B82,Mix_Code,0),4),""))</f>
        <v/>
      </c>
      <c r="K82" s="67" t="str">
        <f aca="false">IF(OR($B82="",$D82=""),"",IFERROR($D82*INDEX(Mix_Eff,MATCH($B82,Mix_Code,0),5),""))</f>
        <v/>
      </c>
      <c r="L82" s="67" t="str">
        <f aca="false">IF(G82="","",G82*WorkDaysMonth)</f>
        <v/>
      </c>
      <c r="M82" s="67" t="str">
        <f aca="false">IF(H82="","",H82*WorkDaysMonth)</f>
        <v/>
      </c>
      <c r="N82" s="67" t="str">
        <f aca="false">IF(I82="","",I82*WorkDaysMonth)</f>
        <v/>
      </c>
      <c r="O82" s="67" t="str">
        <f aca="false">IF(J82="","",J82*WorkDaysMonth)</f>
        <v/>
      </c>
      <c r="P82" s="67" t="str">
        <f aca="false">IF(K82="","",K82*WorkDaysMonth)</f>
        <v/>
      </c>
      <c r="Q82" s="63"/>
      <c r="R82" s="16" t="str">
        <f aca="false">IF(AND($A82="",$B82="",$D82=""),"",IF(OR($A82="",$B82=""),"⚠ Site and mix code required",IF(ISNA(MATCH($B82,Mix_Code,0)),"⚠ Unknown mix code",IF(COUNTIF(CI_Site,$A82)=0,"⚠ Site not set up in Current Inventory","OK"))))</f>
        <v/>
      </c>
    </row>
    <row r="83" customFormat="false" ht="15" hidden="false" customHeight="false" outlineLevel="0" collapsed="false">
      <c r="A83" s="63"/>
      <c r="B83" s="70"/>
      <c r="C83" s="16" t="str">
        <f aca="false">IF($B83="","",IFERROR(INDEX(Mix_Desc,MATCH($B83,Mix_Code,0)),"⚠ Unknown mix code"))</f>
        <v/>
      </c>
      <c r="D83" s="66"/>
      <c r="E83" s="67" t="str">
        <f aca="false">IF($D83="","",$D83*WorkDaysWeek)</f>
        <v/>
      </c>
      <c r="F83" s="67" t="str">
        <f aca="false">IF($D83="","",$D83*WorkDaysMonth)</f>
        <v/>
      </c>
      <c r="G83" s="67" t="str">
        <f aca="false">IF(OR($B83="",$D83=""),"",IFERROR($D83*INDEX(Mix_Eff,MATCH($B83,Mix_Code,0),1),""))</f>
        <v/>
      </c>
      <c r="H83" s="67" t="str">
        <f aca="false">IF(OR($B83="",$D83=""),"",IFERROR($D83*INDEX(Mix_Eff,MATCH($B83,Mix_Code,0),2),""))</f>
        <v/>
      </c>
      <c r="I83" s="67" t="str">
        <f aca="false">IF(OR($B83="",$D83=""),"",IFERROR($D83*INDEX(Mix_Eff,MATCH($B83,Mix_Code,0),3),""))</f>
        <v/>
      </c>
      <c r="J83" s="67" t="str">
        <f aca="false">IF(OR($B83="",$D83=""),"",IFERROR($D83*INDEX(Mix_Eff,MATCH($B83,Mix_Code,0),4),""))</f>
        <v/>
      </c>
      <c r="K83" s="67" t="str">
        <f aca="false">IF(OR($B83="",$D83=""),"",IFERROR($D83*INDEX(Mix_Eff,MATCH($B83,Mix_Code,0),5),""))</f>
        <v/>
      </c>
      <c r="L83" s="67" t="str">
        <f aca="false">IF(G83="","",G83*WorkDaysMonth)</f>
        <v/>
      </c>
      <c r="M83" s="67" t="str">
        <f aca="false">IF(H83="","",H83*WorkDaysMonth)</f>
        <v/>
      </c>
      <c r="N83" s="67" t="str">
        <f aca="false">IF(I83="","",I83*WorkDaysMonth)</f>
        <v/>
      </c>
      <c r="O83" s="67" t="str">
        <f aca="false">IF(J83="","",J83*WorkDaysMonth)</f>
        <v/>
      </c>
      <c r="P83" s="67" t="str">
        <f aca="false">IF(K83="","",K83*WorkDaysMonth)</f>
        <v/>
      </c>
      <c r="Q83" s="63"/>
      <c r="R83" s="16" t="str">
        <f aca="false">IF(AND($A83="",$B83="",$D83=""),"",IF(OR($A83="",$B83=""),"⚠ Site and mix code required",IF(ISNA(MATCH($B83,Mix_Code,0)),"⚠ Unknown mix code",IF(COUNTIF(CI_Site,$A83)=0,"⚠ Site not set up in Current Inventory","OK"))))</f>
        <v/>
      </c>
    </row>
    <row r="84" customFormat="false" ht="15" hidden="false" customHeight="false" outlineLevel="0" collapsed="false">
      <c r="A84" s="63"/>
      <c r="B84" s="70"/>
      <c r="C84" s="16" t="str">
        <f aca="false">IF($B84="","",IFERROR(INDEX(Mix_Desc,MATCH($B84,Mix_Code,0)),"⚠ Unknown mix code"))</f>
        <v/>
      </c>
      <c r="D84" s="66"/>
      <c r="E84" s="67" t="str">
        <f aca="false">IF($D84="","",$D84*WorkDaysWeek)</f>
        <v/>
      </c>
      <c r="F84" s="67" t="str">
        <f aca="false">IF($D84="","",$D84*WorkDaysMonth)</f>
        <v/>
      </c>
      <c r="G84" s="67" t="str">
        <f aca="false">IF(OR($B84="",$D84=""),"",IFERROR($D84*INDEX(Mix_Eff,MATCH($B84,Mix_Code,0),1),""))</f>
        <v/>
      </c>
      <c r="H84" s="67" t="str">
        <f aca="false">IF(OR($B84="",$D84=""),"",IFERROR($D84*INDEX(Mix_Eff,MATCH($B84,Mix_Code,0),2),""))</f>
        <v/>
      </c>
      <c r="I84" s="67" t="str">
        <f aca="false">IF(OR($B84="",$D84=""),"",IFERROR($D84*INDEX(Mix_Eff,MATCH($B84,Mix_Code,0),3),""))</f>
        <v/>
      </c>
      <c r="J84" s="67" t="str">
        <f aca="false">IF(OR($B84="",$D84=""),"",IFERROR($D84*INDEX(Mix_Eff,MATCH($B84,Mix_Code,0),4),""))</f>
        <v/>
      </c>
      <c r="K84" s="67" t="str">
        <f aca="false">IF(OR($B84="",$D84=""),"",IFERROR($D84*INDEX(Mix_Eff,MATCH($B84,Mix_Code,0),5),""))</f>
        <v/>
      </c>
      <c r="L84" s="67" t="str">
        <f aca="false">IF(G84="","",G84*WorkDaysMonth)</f>
        <v/>
      </c>
      <c r="M84" s="67" t="str">
        <f aca="false">IF(H84="","",H84*WorkDaysMonth)</f>
        <v/>
      </c>
      <c r="N84" s="67" t="str">
        <f aca="false">IF(I84="","",I84*WorkDaysMonth)</f>
        <v/>
      </c>
      <c r="O84" s="67" t="str">
        <f aca="false">IF(J84="","",J84*WorkDaysMonth)</f>
        <v/>
      </c>
      <c r="P84" s="67" t="str">
        <f aca="false">IF(K84="","",K84*WorkDaysMonth)</f>
        <v/>
      </c>
      <c r="Q84" s="63"/>
      <c r="R84" s="16" t="str">
        <f aca="false">IF(AND($A84="",$B84="",$D84=""),"",IF(OR($A84="",$B84=""),"⚠ Site and mix code required",IF(ISNA(MATCH($B84,Mix_Code,0)),"⚠ Unknown mix code",IF(COUNTIF(CI_Site,$A84)=0,"⚠ Site not set up in Current Inventory","OK"))))</f>
        <v/>
      </c>
    </row>
    <row r="85" customFormat="false" ht="15" hidden="false" customHeight="false" outlineLevel="0" collapsed="false">
      <c r="A85" s="63"/>
      <c r="B85" s="70"/>
      <c r="C85" s="16" t="str">
        <f aca="false">IF($B85="","",IFERROR(INDEX(Mix_Desc,MATCH($B85,Mix_Code,0)),"⚠ Unknown mix code"))</f>
        <v/>
      </c>
      <c r="D85" s="66"/>
      <c r="E85" s="67" t="str">
        <f aca="false">IF($D85="","",$D85*WorkDaysWeek)</f>
        <v/>
      </c>
      <c r="F85" s="67" t="str">
        <f aca="false">IF($D85="","",$D85*WorkDaysMonth)</f>
        <v/>
      </c>
      <c r="G85" s="67" t="str">
        <f aca="false">IF(OR($B85="",$D85=""),"",IFERROR($D85*INDEX(Mix_Eff,MATCH($B85,Mix_Code,0),1),""))</f>
        <v/>
      </c>
      <c r="H85" s="67" t="str">
        <f aca="false">IF(OR($B85="",$D85=""),"",IFERROR($D85*INDEX(Mix_Eff,MATCH($B85,Mix_Code,0),2),""))</f>
        <v/>
      </c>
      <c r="I85" s="67" t="str">
        <f aca="false">IF(OR($B85="",$D85=""),"",IFERROR($D85*INDEX(Mix_Eff,MATCH($B85,Mix_Code,0),3),""))</f>
        <v/>
      </c>
      <c r="J85" s="67" t="str">
        <f aca="false">IF(OR($B85="",$D85=""),"",IFERROR($D85*INDEX(Mix_Eff,MATCH($B85,Mix_Code,0),4),""))</f>
        <v/>
      </c>
      <c r="K85" s="67" t="str">
        <f aca="false">IF(OR($B85="",$D85=""),"",IFERROR($D85*INDEX(Mix_Eff,MATCH($B85,Mix_Code,0),5),""))</f>
        <v/>
      </c>
      <c r="L85" s="67" t="str">
        <f aca="false">IF(G85="","",G85*WorkDaysMonth)</f>
        <v/>
      </c>
      <c r="M85" s="67" t="str">
        <f aca="false">IF(H85="","",H85*WorkDaysMonth)</f>
        <v/>
      </c>
      <c r="N85" s="67" t="str">
        <f aca="false">IF(I85="","",I85*WorkDaysMonth)</f>
        <v/>
      </c>
      <c r="O85" s="67" t="str">
        <f aca="false">IF(J85="","",J85*WorkDaysMonth)</f>
        <v/>
      </c>
      <c r="P85" s="67" t="str">
        <f aca="false">IF(K85="","",K85*WorkDaysMonth)</f>
        <v/>
      </c>
      <c r="Q85" s="63"/>
      <c r="R85" s="16" t="str">
        <f aca="false">IF(AND($A85="",$B85="",$D85=""),"",IF(OR($A85="",$B85=""),"⚠ Site and mix code required",IF(ISNA(MATCH($B85,Mix_Code,0)),"⚠ Unknown mix code",IF(COUNTIF(CI_Site,$A85)=0,"⚠ Site not set up in Current Inventory","OK"))))</f>
        <v/>
      </c>
    </row>
  </sheetData>
  <mergeCells count="3">
    <mergeCell ref="D3:F3"/>
    <mergeCell ref="G3:K3"/>
    <mergeCell ref="L3:P3"/>
  </mergeCells>
  <conditionalFormatting sqref="R6:R85">
    <cfRule type="expression" priority="2" aboveAverage="0" equalAverage="0" bottom="0" percent="0" rank="0" text="" dxfId="2">
      <formula>LEFT($R6,1)="⚠"</formula>
    </cfRule>
  </conditionalFormatting>
  <dataValidations count="3">
    <dataValidation allowBlank="true" error="Enter a number &gt;= 0." errorStyle="stop" errorTitle="Number" operator="greaterThanOrEqual" showDropDown="false" showErrorMessage="true" showInputMessage="false" sqref="D6:D85" type="decimal">
      <formula1>0</formula1>
      <formula2>0</formula2>
    </dataValidation>
    <dataValidation allowBlank="true" error="Pick a site from the list (the list is kept in Settings)." errorStyle="stop" errorTitle="Not in list" operator="between" showDropDown="false" showErrorMessage="true" showInputMessage="false" sqref="A6:A85" type="list">
      <formula1>SiteList</formula1>
      <formula2>0</formula2>
    </dataValidation>
    <dataValidation allowBlank="true" error="Pick a mix code from the Mix Design sheet." errorStyle="stop" errorTitle="Not in list" operator="between" showDropDown="false" showErrorMessage="true" showInputMessage="false" sqref="B6:B85" type="list">
      <formula1>Mix_Code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true"/>
  </sheetPr>
  <dimension ref="A1:AJ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3" min="2" style="0" width="12"/>
    <col collapsed="false" customWidth="true" hidden="false" outlineLevel="0" max="34" min="34" style="0" width="15"/>
    <col collapsed="false" customWidth="true" hidden="false" outlineLevel="0" max="36" min="35" style="0" width="12"/>
  </cols>
  <sheetData>
    <row r="1" customFormat="false" ht="21.75" hidden="false" customHeight="true" outlineLevel="0" collapsed="false">
      <c r="A1" s="59" t="s">
        <v>191</v>
      </c>
    </row>
    <row r="2" customFormat="false" ht="15" hidden="false" customHeight="false" outlineLevel="0" collapsed="false">
      <c r="A2" s="8" t="s">
        <v>192</v>
      </c>
    </row>
    <row r="4" customFormat="false" ht="18" hidden="false" customHeight="true" outlineLevel="0" collapsed="false">
      <c r="A4" s="35" t="s">
        <v>193</v>
      </c>
      <c r="B4" s="35"/>
      <c r="C4" s="35"/>
      <c r="D4" s="35"/>
      <c r="E4" s="35"/>
      <c r="F4" s="35"/>
      <c r="G4" s="35"/>
    </row>
    <row r="5" customFormat="false" ht="15" hidden="false" customHeight="false" outlineLevel="0" collapsed="false">
      <c r="A5" s="79" t="s">
        <v>194</v>
      </c>
      <c r="B5" s="76" t="s">
        <v>195</v>
      </c>
      <c r="C5" s="76" t="s">
        <v>196</v>
      </c>
      <c r="D5" s="76" t="s">
        <v>197</v>
      </c>
      <c r="E5" s="76" t="s">
        <v>198</v>
      </c>
      <c r="F5" s="76" t="s">
        <v>199</v>
      </c>
      <c r="G5" s="76" t="s">
        <v>200</v>
      </c>
    </row>
    <row r="6" customFormat="false" ht="15" hidden="false" customHeight="false" outlineLevel="0" collapsed="false">
      <c r="A6" s="79" t="s">
        <v>201</v>
      </c>
      <c r="B6" s="73" t="n">
        <f aca="false">AsOfDate+1</f>
        <v>46327</v>
      </c>
      <c r="C6" s="73" t="n">
        <f aca="false">B7+1</f>
        <v>46357</v>
      </c>
      <c r="D6" s="73" t="n">
        <f aca="false">C7+1</f>
        <v>46388</v>
      </c>
      <c r="E6" s="73" t="n">
        <f aca="false">D7+1</f>
        <v>46419</v>
      </c>
      <c r="F6" s="73" t="n">
        <f aca="false">E7+1</f>
        <v>46447</v>
      </c>
      <c r="G6" s="73" t="n">
        <f aca="false">F7+1</f>
        <v>46478</v>
      </c>
    </row>
    <row r="7" customFormat="false" ht="15" hidden="false" customHeight="false" outlineLevel="0" collapsed="false">
      <c r="A7" s="79" t="s">
        <v>202</v>
      </c>
      <c r="B7" s="73" t="n">
        <f aca="false">EOMONTH(B6,0)</f>
        <v>46356</v>
      </c>
      <c r="C7" s="73" t="n">
        <f aca="false">EOMONTH(C6,0)</f>
        <v>46387</v>
      </c>
      <c r="D7" s="73" t="n">
        <f aca="false">EOMONTH(D6,0)</f>
        <v>46418</v>
      </c>
      <c r="E7" s="73" t="n">
        <f aca="false">EOMONTH(E6,0)</f>
        <v>46446</v>
      </c>
      <c r="F7" s="73" t="n">
        <f aca="false">EOMONTH(F6,0)</f>
        <v>46477</v>
      </c>
      <c r="G7" s="73" t="n">
        <f aca="false">EOMONTH(G6,0)</f>
        <v>46507</v>
      </c>
    </row>
    <row r="8" customFormat="false" ht="15" hidden="false" customHeight="false" outlineLevel="0" collapsed="false">
      <c r="A8" s="79" t="s">
        <v>203</v>
      </c>
      <c r="B8" s="80" t="n">
        <f aca="false">NETWORKDAYS.INTL(B6,B7,WeekendMask,Holidays)</f>
        <v>25</v>
      </c>
      <c r="C8" s="80" t="n">
        <f aca="false">NETWORKDAYS.INTL(C6,C7,WeekendMask,Holidays)</f>
        <v>27</v>
      </c>
      <c r="D8" s="80" t="n">
        <f aca="false">NETWORKDAYS.INTL(D6,D7,WeekendMask,Holidays)</f>
        <v>26</v>
      </c>
      <c r="E8" s="80" t="n">
        <f aca="false">NETWORKDAYS.INTL(E6,E7,WeekendMask,Holidays)</f>
        <v>24</v>
      </c>
      <c r="F8" s="80" t="n">
        <f aca="false">NETWORKDAYS.INTL(F6,F7,WeekendMask,Holidays)</f>
        <v>27</v>
      </c>
      <c r="G8" s="80" t="n">
        <f aca="false">NETWORKDAYS.INTL(G6,G7,WeekendMask,Holidays)</f>
        <v>26</v>
      </c>
      <c r="H8" s="15" t="s">
        <v>204</v>
      </c>
    </row>
    <row r="9" customFormat="false" ht="15" hidden="false" customHeight="false" outlineLevel="0" collapsed="false">
      <c r="A9" s="79" t="s">
        <v>96</v>
      </c>
      <c r="B9" s="76" t="str">
        <f aca="false">TEXT(B6,"mmm yyyy")&amp;IF(DAY(B6)=1,""," ("&amp;DAY(B6)&amp;"–"&amp;DAY(B7)&amp;")")</f>
        <v>Nov 2026</v>
      </c>
      <c r="C9" s="76" t="str">
        <f aca="false">TEXT(C6,"mmm yyyy")&amp;IF(DAY(C6)=1,""," ("&amp;DAY(C6)&amp;"–"&amp;DAY(C7)&amp;")")</f>
        <v>Dec 2026</v>
      </c>
      <c r="D9" s="76" t="str">
        <f aca="false">TEXT(D6,"mmm yyyy")&amp;IF(DAY(D6)=1,""," ("&amp;DAY(D6)&amp;"–"&amp;DAY(D7)&amp;")")</f>
        <v>Jan 2027</v>
      </c>
      <c r="E9" s="76" t="str">
        <f aca="false">TEXT(E6,"mmm yyyy")&amp;IF(DAY(E6)=1,""," ("&amp;DAY(E6)&amp;"–"&amp;DAY(E7)&amp;")")</f>
        <v>Feb 2027</v>
      </c>
      <c r="F9" s="76" t="str">
        <f aca="false">TEXT(F6,"mmm yyyy")&amp;IF(DAY(F6)=1,""," ("&amp;DAY(F6)&amp;"–"&amp;DAY(F7)&amp;")")</f>
        <v>Mar 2027</v>
      </c>
      <c r="G9" s="76" t="str">
        <f aca="false">TEXT(G6,"mmm yyyy")&amp;IF(DAY(G6)=1,""," ("&amp;DAY(G6)&amp;"–"&amp;DAY(G7)&amp;")")</f>
        <v>Apr 2027</v>
      </c>
    </row>
    <row r="11" customFormat="false" ht="18" hidden="false" customHeight="true" outlineLevel="0" collapsed="false">
      <c r="A11" s="35" t="s">
        <v>205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customFormat="false" ht="39.75" hidden="false" customHeight="true" outlineLevel="0" collapsed="false">
      <c r="A12" s="22" t="s">
        <v>88</v>
      </c>
      <c r="B12" s="22" t="s">
        <v>187</v>
      </c>
      <c r="C12" s="22" t="s">
        <v>188</v>
      </c>
      <c r="D12" s="22" t="s">
        <v>206</v>
      </c>
      <c r="E12" s="22" t="str">
        <f aca="false">B$9</f>
        <v>Nov 2026</v>
      </c>
      <c r="F12" s="22" t="str">
        <f aca="false">C$9</f>
        <v>Dec 2026</v>
      </c>
      <c r="G12" s="22" t="str">
        <f aca="false">D$9</f>
        <v>Jan 2027</v>
      </c>
      <c r="H12" s="22" t="str">
        <f aca="false">E$9</f>
        <v>Feb 2027</v>
      </c>
      <c r="I12" s="22" t="str">
        <f aca="false">F$9</f>
        <v>Mar 2027</v>
      </c>
      <c r="J12" s="22" t="str">
        <f aca="false">G$9</f>
        <v>Apr 2027</v>
      </c>
      <c r="K12" s="22" t="s">
        <v>207</v>
      </c>
    </row>
    <row r="13" customFormat="false" ht="15" hidden="false" customHeight="false" outlineLevel="0" collapsed="false">
      <c r="A13" s="16" t="str">
        <f aca="false">IF(Settings!$B19="","",Settings!$B19)</f>
        <v>Batulao Parkhomes</v>
      </c>
      <c r="B13" s="67" t="n">
        <f aca="false">IF($A13="","",SUMIFS(PP_Vol,PP_Site,$A13))</f>
        <v>0</v>
      </c>
      <c r="C13" s="67" t="n">
        <f aca="false">IF($A13="","",$B13*WorkDaysWeek)</f>
        <v>0</v>
      </c>
      <c r="D13" s="67" t="n">
        <f aca="false">IF($A13="","",$B13*WorkDaysMonth)</f>
        <v>0</v>
      </c>
      <c r="E13" s="67" t="n">
        <f aca="false">IF($A13="","",$B13*B$8)</f>
        <v>0</v>
      </c>
      <c r="F13" s="67" t="n">
        <f aca="false">IF($A13="","",$B13*C$8)</f>
        <v>0</v>
      </c>
      <c r="G13" s="67" t="n">
        <f aca="false">IF($A13="","",$B13*D$8)</f>
        <v>0</v>
      </c>
      <c r="H13" s="67" t="n">
        <f aca="false">IF($A13="","",$B13*E$8)</f>
        <v>0</v>
      </c>
      <c r="I13" s="67" t="n">
        <f aca="false">IF($A13="","",$B13*F$8)</f>
        <v>0</v>
      </c>
      <c r="J13" s="67" t="n">
        <f aca="false">IF($A13="","",$B13*G$8)</f>
        <v>0</v>
      </c>
      <c r="K13" s="68" t="n">
        <f aca="false">IF($A13="","",SUM(E13:J13))</f>
        <v>0</v>
      </c>
    </row>
    <row r="14" customFormat="false" ht="15" hidden="false" customHeight="false" outlineLevel="0" collapsed="false">
      <c r="A14" s="16" t="str">
        <f aca="false">IF(Settings!$B20="","",Settings!$B20)</f>
        <v>Calauan (Alora+Amani)</v>
      </c>
      <c r="B14" s="67" t="n">
        <f aca="false">IF($A14="","",SUMIFS(PP_Vol,PP_Site,$A14))</f>
        <v>0</v>
      </c>
      <c r="C14" s="67" t="n">
        <f aca="false">IF($A14="","",$B14*WorkDaysWeek)</f>
        <v>0</v>
      </c>
      <c r="D14" s="67" t="n">
        <f aca="false">IF($A14="","",$B14*WorkDaysMonth)</f>
        <v>0</v>
      </c>
      <c r="E14" s="67" t="n">
        <f aca="false">IF($A14="","",$B14*B$8)</f>
        <v>0</v>
      </c>
      <c r="F14" s="67" t="n">
        <f aca="false">IF($A14="","",$B14*C$8)</f>
        <v>0</v>
      </c>
      <c r="G14" s="67" t="n">
        <f aca="false">IF($A14="","",$B14*D$8)</f>
        <v>0</v>
      </c>
      <c r="H14" s="67" t="n">
        <f aca="false">IF($A14="","",$B14*E$8)</f>
        <v>0</v>
      </c>
      <c r="I14" s="67" t="n">
        <f aca="false">IF($A14="","",$B14*F$8)</f>
        <v>0</v>
      </c>
      <c r="J14" s="67" t="n">
        <f aca="false">IF($A14="","",$B14*G$8)</f>
        <v>0</v>
      </c>
      <c r="K14" s="68" t="n">
        <f aca="false">IF($A14="","",SUM(E14:J14))</f>
        <v>0</v>
      </c>
    </row>
    <row r="15" customFormat="false" ht="15" hidden="false" customHeight="false" outlineLevel="0" collapsed="false">
      <c r="A15" s="16" t="str">
        <f aca="false">IF(Settings!$B21="","",Settings!$B21)</f>
        <v>Gentri</v>
      </c>
      <c r="B15" s="67" t="n">
        <f aca="false">IF($A15="","",SUMIFS(PP_Vol,PP_Site,$A15))</f>
        <v>0</v>
      </c>
      <c r="C15" s="67" t="n">
        <f aca="false">IF($A15="","",$B15*WorkDaysWeek)</f>
        <v>0</v>
      </c>
      <c r="D15" s="67" t="n">
        <f aca="false">IF($A15="","",$B15*WorkDaysMonth)</f>
        <v>0</v>
      </c>
      <c r="E15" s="67" t="n">
        <f aca="false">IF($A15="","",$B15*B$8)</f>
        <v>0</v>
      </c>
      <c r="F15" s="67" t="n">
        <f aca="false">IF($A15="","",$B15*C$8)</f>
        <v>0</v>
      </c>
      <c r="G15" s="67" t="n">
        <f aca="false">IF($A15="","",$B15*D$8)</f>
        <v>0</v>
      </c>
      <c r="H15" s="67" t="n">
        <f aca="false">IF($A15="","",$B15*E$8)</f>
        <v>0</v>
      </c>
      <c r="I15" s="67" t="n">
        <f aca="false">IF($A15="","",$B15*F$8)</f>
        <v>0</v>
      </c>
      <c r="J15" s="67" t="n">
        <f aca="false">IF($A15="","",$B15*G$8)</f>
        <v>0</v>
      </c>
      <c r="K15" s="68" t="n">
        <f aca="false">IF($A15="","",SUM(E15:J15))</f>
        <v>0</v>
      </c>
    </row>
    <row r="16" customFormat="false" ht="15" hidden="false" customHeight="false" outlineLevel="0" collapsed="false">
      <c r="A16" s="16" t="str">
        <f aca="false">IF(Settings!$B22="","",Settings!$B22)</f>
        <v>Naic</v>
      </c>
      <c r="B16" s="67" t="n">
        <f aca="false">IF($A16="","",SUMIFS(PP_Vol,PP_Site,$A16))</f>
        <v>0</v>
      </c>
      <c r="C16" s="67" t="n">
        <f aca="false">IF($A16="","",$B16*WorkDaysWeek)</f>
        <v>0</v>
      </c>
      <c r="D16" s="67" t="n">
        <f aca="false">IF($A16="","",$B16*WorkDaysMonth)</f>
        <v>0</v>
      </c>
      <c r="E16" s="67" t="n">
        <f aca="false">IF($A16="","",$B16*B$8)</f>
        <v>0</v>
      </c>
      <c r="F16" s="67" t="n">
        <f aca="false">IF($A16="","",$B16*C$8)</f>
        <v>0</v>
      </c>
      <c r="G16" s="67" t="n">
        <f aca="false">IF($A16="","",$B16*D$8)</f>
        <v>0</v>
      </c>
      <c r="H16" s="67" t="n">
        <f aca="false">IF($A16="","",$B16*E$8)</f>
        <v>0</v>
      </c>
      <c r="I16" s="67" t="n">
        <f aca="false">IF($A16="","",$B16*F$8)</f>
        <v>0</v>
      </c>
      <c r="J16" s="67" t="n">
        <f aca="false">IF($A16="","",$B16*G$8)</f>
        <v>0</v>
      </c>
      <c r="K16" s="68" t="n">
        <f aca="false">IF($A16="","",SUM(E16:J16))</f>
        <v>0</v>
      </c>
    </row>
    <row r="17" customFormat="false" ht="15" hidden="false" customHeight="false" outlineLevel="0" collapsed="false">
      <c r="A17" s="16" t="str">
        <f aca="false">IF(Settings!$B23="","",Settings!$B23)</f>
        <v>The Cove Lipa</v>
      </c>
      <c r="B17" s="67" t="n">
        <f aca="false">IF($A17="","",SUMIFS(PP_Vol,PP_Site,$A17))</f>
        <v>0</v>
      </c>
      <c r="C17" s="67" t="n">
        <f aca="false">IF($A17="","",$B17*WorkDaysWeek)</f>
        <v>0</v>
      </c>
      <c r="D17" s="67" t="n">
        <f aca="false">IF($A17="","",$B17*WorkDaysMonth)</f>
        <v>0</v>
      </c>
      <c r="E17" s="67" t="n">
        <f aca="false">IF($A17="","",$B17*B$8)</f>
        <v>0</v>
      </c>
      <c r="F17" s="67" t="n">
        <f aca="false">IF($A17="","",$B17*C$8)</f>
        <v>0</v>
      </c>
      <c r="G17" s="67" t="n">
        <f aca="false">IF($A17="","",$B17*D$8)</f>
        <v>0</v>
      </c>
      <c r="H17" s="67" t="n">
        <f aca="false">IF($A17="","",$B17*E$8)</f>
        <v>0</v>
      </c>
      <c r="I17" s="67" t="n">
        <f aca="false">IF($A17="","",$B17*F$8)</f>
        <v>0</v>
      </c>
      <c r="J17" s="67" t="n">
        <f aca="false">IF($A17="","",$B17*G$8)</f>
        <v>0</v>
      </c>
      <c r="K17" s="68" t="n">
        <f aca="false">IF($A17="","",SUM(E17:J17))</f>
        <v>0</v>
      </c>
    </row>
    <row r="18" customFormat="false" ht="15" hidden="false" customHeight="false" outlineLevel="0" collapsed="false">
      <c r="A18" s="16" t="str">
        <f aca="false">IF(Settings!$B24="","",Settings!$B24)</f>
        <v>Sights Bay</v>
      </c>
      <c r="B18" s="67" t="n">
        <f aca="false">IF($A18="","",SUMIFS(PP_Vol,PP_Site,$A18))</f>
        <v>0</v>
      </c>
      <c r="C18" s="67" t="n">
        <f aca="false">IF($A18="","",$B18*WorkDaysWeek)</f>
        <v>0</v>
      </c>
      <c r="D18" s="67" t="n">
        <f aca="false">IF($A18="","",$B18*WorkDaysMonth)</f>
        <v>0</v>
      </c>
      <c r="E18" s="67" t="n">
        <f aca="false">IF($A18="","",$B18*B$8)</f>
        <v>0</v>
      </c>
      <c r="F18" s="67" t="n">
        <f aca="false">IF($A18="","",$B18*C$8)</f>
        <v>0</v>
      </c>
      <c r="G18" s="67" t="n">
        <f aca="false">IF($A18="","",$B18*D$8)</f>
        <v>0</v>
      </c>
      <c r="H18" s="67" t="n">
        <f aca="false">IF($A18="","",$B18*E$8)</f>
        <v>0</v>
      </c>
      <c r="I18" s="67" t="n">
        <f aca="false">IF($A18="","",$B18*F$8)</f>
        <v>0</v>
      </c>
      <c r="J18" s="67" t="n">
        <f aca="false">IF($A18="","",$B18*G$8)</f>
        <v>0</v>
      </c>
      <c r="K18" s="68" t="n">
        <f aca="false">IF($A18="","",SUM(E18:J18))</f>
        <v>0</v>
      </c>
    </row>
    <row r="19" customFormat="false" ht="15" hidden="false" customHeight="false" outlineLevel="0" collapsed="false">
      <c r="A19" s="16" t="str">
        <f aca="false">IF(Settings!$B25="","",Settings!$B25)</f>
        <v>Tayabas</v>
      </c>
      <c r="B19" s="67" t="n">
        <f aca="false">IF($A19="","",SUMIFS(PP_Vol,PP_Site,$A19))</f>
        <v>0</v>
      </c>
      <c r="C19" s="67" t="n">
        <f aca="false">IF($A19="","",$B19*WorkDaysWeek)</f>
        <v>0</v>
      </c>
      <c r="D19" s="67" t="n">
        <f aca="false">IF($A19="","",$B19*WorkDaysMonth)</f>
        <v>0</v>
      </c>
      <c r="E19" s="67" t="n">
        <f aca="false">IF($A19="","",$B19*B$8)</f>
        <v>0</v>
      </c>
      <c r="F19" s="67" t="n">
        <f aca="false">IF($A19="","",$B19*C$8)</f>
        <v>0</v>
      </c>
      <c r="G19" s="67" t="n">
        <f aca="false">IF($A19="","",$B19*D$8)</f>
        <v>0</v>
      </c>
      <c r="H19" s="67" t="n">
        <f aca="false">IF($A19="","",$B19*E$8)</f>
        <v>0</v>
      </c>
      <c r="I19" s="67" t="n">
        <f aca="false">IF($A19="","",$B19*F$8)</f>
        <v>0</v>
      </c>
      <c r="J19" s="67" t="n">
        <f aca="false">IF($A19="","",$B19*G$8)</f>
        <v>0</v>
      </c>
      <c r="K19" s="68" t="n">
        <f aca="false">IF($A19="","",SUM(E19:J19))</f>
        <v>0</v>
      </c>
    </row>
    <row r="20" customFormat="false" ht="15" hidden="false" customHeight="false" outlineLevel="0" collapsed="false">
      <c r="A20" s="16" t="str">
        <f aca="false">IF(Settings!$B26="","",Settings!$B26)</f>
        <v>Batulao Impression</v>
      </c>
      <c r="B20" s="67" t="n">
        <f aca="false">IF($A20="","",SUMIFS(PP_Vol,PP_Site,$A20))</f>
        <v>0</v>
      </c>
      <c r="C20" s="67" t="n">
        <f aca="false">IF($A20="","",$B20*WorkDaysWeek)</f>
        <v>0</v>
      </c>
      <c r="D20" s="67" t="n">
        <f aca="false">IF($A20="","",$B20*WorkDaysMonth)</f>
        <v>0</v>
      </c>
      <c r="E20" s="67" t="n">
        <f aca="false">IF($A20="","",$B20*B$8)</f>
        <v>0</v>
      </c>
      <c r="F20" s="67" t="n">
        <f aca="false">IF($A20="","",$B20*C$8)</f>
        <v>0</v>
      </c>
      <c r="G20" s="67" t="n">
        <f aca="false">IF($A20="","",$B20*D$8)</f>
        <v>0</v>
      </c>
      <c r="H20" s="67" t="n">
        <f aca="false">IF($A20="","",$B20*E$8)</f>
        <v>0</v>
      </c>
      <c r="I20" s="67" t="n">
        <f aca="false">IF($A20="","",$B20*F$8)</f>
        <v>0</v>
      </c>
      <c r="J20" s="67" t="n">
        <f aca="false">IF($A20="","",$B20*G$8)</f>
        <v>0</v>
      </c>
      <c r="K20" s="68" t="n">
        <f aca="false">IF($A20="","",SUM(E20:J20))</f>
        <v>0</v>
      </c>
    </row>
    <row r="21" customFormat="false" ht="15" hidden="false" customHeight="false" outlineLevel="0" collapsed="false">
      <c r="A21" s="16" t="str">
        <f aca="false">IF(Settings!$B27="","",Settings!$B27)</f>
        <v/>
      </c>
      <c r="B21" s="67" t="str">
        <f aca="false">IF($A21="","",SUMIFS(PP_Vol,PP_Site,$A21))</f>
        <v/>
      </c>
      <c r="C21" s="67" t="str">
        <f aca="false">IF($A21="","",$B21*WorkDaysWeek)</f>
        <v/>
      </c>
      <c r="D21" s="67" t="str">
        <f aca="false">IF($A21="","",$B21*WorkDaysMonth)</f>
        <v/>
      </c>
      <c r="E21" s="67" t="str">
        <f aca="false">IF($A21="","",$B21*B$8)</f>
        <v/>
      </c>
      <c r="F21" s="67" t="str">
        <f aca="false">IF($A21="","",$B21*C$8)</f>
        <v/>
      </c>
      <c r="G21" s="67" t="str">
        <f aca="false">IF($A21="","",$B21*D$8)</f>
        <v/>
      </c>
      <c r="H21" s="67" t="str">
        <f aca="false">IF($A21="","",$B21*E$8)</f>
        <v/>
      </c>
      <c r="I21" s="67" t="str">
        <f aca="false">IF($A21="","",$B21*F$8)</f>
        <v/>
      </c>
      <c r="J21" s="67" t="str">
        <f aca="false">IF($A21="","",$B21*G$8)</f>
        <v/>
      </c>
      <c r="K21" s="68" t="str">
        <f aca="false">IF($A21="","",SUM(E21:J21))</f>
        <v/>
      </c>
    </row>
    <row r="22" customFormat="false" ht="15" hidden="false" customHeight="false" outlineLevel="0" collapsed="false">
      <c r="A22" s="16" t="str">
        <f aca="false">IF(Settings!$B28="","",Settings!$B28)</f>
        <v/>
      </c>
      <c r="B22" s="67" t="str">
        <f aca="false">IF($A22="","",SUMIFS(PP_Vol,PP_Site,$A22))</f>
        <v/>
      </c>
      <c r="C22" s="67" t="str">
        <f aca="false">IF($A22="","",$B22*WorkDaysWeek)</f>
        <v/>
      </c>
      <c r="D22" s="67" t="str">
        <f aca="false">IF($A22="","",$B22*WorkDaysMonth)</f>
        <v/>
      </c>
      <c r="E22" s="67" t="str">
        <f aca="false">IF($A22="","",$B22*B$8)</f>
        <v/>
      </c>
      <c r="F22" s="67" t="str">
        <f aca="false">IF($A22="","",$B22*C$8)</f>
        <v/>
      </c>
      <c r="G22" s="67" t="str">
        <f aca="false">IF($A22="","",$B22*D$8)</f>
        <v/>
      </c>
      <c r="H22" s="67" t="str">
        <f aca="false">IF($A22="","",$B22*E$8)</f>
        <v/>
      </c>
      <c r="I22" s="67" t="str">
        <f aca="false">IF($A22="","",$B22*F$8)</f>
        <v/>
      </c>
      <c r="J22" s="67" t="str">
        <f aca="false">IF($A22="","",$B22*G$8)</f>
        <v/>
      </c>
      <c r="K22" s="68" t="str">
        <f aca="false">IF($A22="","",SUM(E22:J22))</f>
        <v/>
      </c>
    </row>
    <row r="23" customFormat="false" ht="15" hidden="false" customHeight="false" outlineLevel="0" collapsed="false">
      <c r="A23" s="16" t="str">
        <f aca="false">IF(Settings!$B29="","",Settings!$B29)</f>
        <v/>
      </c>
      <c r="B23" s="67" t="str">
        <f aca="false">IF($A23="","",SUMIFS(PP_Vol,PP_Site,$A23))</f>
        <v/>
      </c>
      <c r="C23" s="67" t="str">
        <f aca="false">IF($A23="","",$B23*WorkDaysWeek)</f>
        <v/>
      </c>
      <c r="D23" s="67" t="str">
        <f aca="false">IF($A23="","",$B23*WorkDaysMonth)</f>
        <v/>
      </c>
      <c r="E23" s="67" t="str">
        <f aca="false">IF($A23="","",$B23*B$8)</f>
        <v/>
      </c>
      <c r="F23" s="67" t="str">
        <f aca="false">IF($A23="","",$B23*C$8)</f>
        <v/>
      </c>
      <c r="G23" s="67" t="str">
        <f aca="false">IF($A23="","",$B23*D$8)</f>
        <v/>
      </c>
      <c r="H23" s="67" t="str">
        <f aca="false">IF($A23="","",$B23*E$8)</f>
        <v/>
      </c>
      <c r="I23" s="67" t="str">
        <f aca="false">IF($A23="","",$B23*F$8)</f>
        <v/>
      </c>
      <c r="J23" s="67" t="str">
        <f aca="false">IF($A23="","",$B23*G$8)</f>
        <v/>
      </c>
      <c r="K23" s="68" t="str">
        <f aca="false">IF($A23="","",SUM(E23:J23))</f>
        <v/>
      </c>
    </row>
    <row r="24" customFormat="false" ht="15" hidden="false" customHeight="false" outlineLevel="0" collapsed="false">
      <c r="A24" s="16" t="str">
        <f aca="false">IF(Settings!$B30="","",Settings!$B30)</f>
        <v/>
      </c>
      <c r="B24" s="67" t="str">
        <f aca="false">IF($A24="","",SUMIFS(PP_Vol,PP_Site,$A24))</f>
        <v/>
      </c>
      <c r="C24" s="67" t="str">
        <f aca="false">IF($A24="","",$B24*WorkDaysWeek)</f>
        <v/>
      </c>
      <c r="D24" s="67" t="str">
        <f aca="false">IF($A24="","",$B24*WorkDaysMonth)</f>
        <v/>
      </c>
      <c r="E24" s="67" t="str">
        <f aca="false">IF($A24="","",$B24*B$8)</f>
        <v/>
      </c>
      <c r="F24" s="67" t="str">
        <f aca="false">IF($A24="","",$B24*C$8)</f>
        <v/>
      </c>
      <c r="G24" s="67" t="str">
        <f aca="false">IF($A24="","",$B24*D$8)</f>
        <v/>
      </c>
      <c r="H24" s="67" t="str">
        <f aca="false">IF($A24="","",$B24*E$8)</f>
        <v/>
      </c>
      <c r="I24" s="67" t="str">
        <f aca="false">IF($A24="","",$B24*F$8)</f>
        <v/>
      </c>
      <c r="J24" s="67" t="str">
        <f aca="false">IF($A24="","",$B24*G$8)</f>
        <v/>
      </c>
      <c r="K24" s="68" t="str">
        <f aca="false">IF($A24="","",SUM(E24:J24))</f>
        <v/>
      </c>
    </row>
    <row r="25" customFormat="false" ht="15" hidden="false" customHeight="false" outlineLevel="0" collapsed="false">
      <c r="A25" s="16" t="str">
        <f aca="false">IF(Settings!$B31="","",Settings!$B31)</f>
        <v/>
      </c>
      <c r="B25" s="67" t="str">
        <f aca="false">IF($A25="","",SUMIFS(PP_Vol,PP_Site,$A25))</f>
        <v/>
      </c>
      <c r="C25" s="67" t="str">
        <f aca="false">IF($A25="","",$B25*WorkDaysWeek)</f>
        <v/>
      </c>
      <c r="D25" s="67" t="str">
        <f aca="false">IF($A25="","",$B25*WorkDaysMonth)</f>
        <v/>
      </c>
      <c r="E25" s="67" t="str">
        <f aca="false">IF($A25="","",$B25*B$8)</f>
        <v/>
      </c>
      <c r="F25" s="67" t="str">
        <f aca="false">IF($A25="","",$B25*C$8)</f>
        <v/>
      </c>
      <c r="G25" s="67" t="str">
        <f aca="false">IF($A25="","",$B25*D$8)</f>
        <v/>
      </c>
      <c r="H25" s="67" t="str">
        <f aca="false">IF($A25="","",$B25*E$8)</f>
        <v/>
      </c>
      <c r="I25" s="67" t="str">
        <f aca="false">IF($A25="","",$B25*F$8)</f>
        <v/>
      </c>
      <c r="J25" s="67" t="str">
        <f aca="false">IF($A25="","",$B25*G$8)</f>
        <v/>
      </c>
      <c r="K25" s="68" t="str">
        <f aca="false">IF($A25="","",SUM(E25:J25))</f>
        <v/>
      </c>
    </row>
    <row r="26" customFormat="false" ht="15" hidden="false" customHeight="false" outlineLevel="0" collapsed="false">
      <c r="A26" s="16" t="str">
        <f aca="false">IF(Settings!$B32="","",Settings!$B32)</f>
        <v/>
      </c>
      <c r="B26" s="67" t="str">
        <f aca="false">IF($A26="","",SUMIFS(PP_Vol,PP_Site,$A26))</f>
        <v/>
      </c>
      <c r="C26" s="67" t="str">
        <f aca="false">IF($A26="","",$B26*WorkDaysWeek)</f>
        <v/>
      </c>
      <c r="D26" s="67" t="str">
        <f aca="false">IF($A26="","",$B26*WorkDaysMonth)</f>
        <v/>
      </c>
      <c r="E26" s="67" t="str">
        <f aca="false">IF($A26="","",$B26*B$8)</f>
        <v/>
      </c>
      <c r="F26" s="67" t="str">
        <f aca="false">IF($A26="","",$B26*C$8)</f>
        <v/>
      </c>
      <c r="G26" s="67" t="str">
        <f aca="false">IF($A26="","",$B26*D$8)</f>
        <v/>
      </c>
      <c r="H26" s="67" t="str">
        <f aca="false">IF($A26="","",$B26*E$8)</f>
        <v/>
      </c>
      <c r="I26" s="67" t="str">
        <f aca="false">IF($A26="","",$B26*F$8)</f>
        <v/>
      </c>
      <c r="J26" s="67" t="str">
        <f aca="false">IF($A26="","",$B26*G$8)</f>
        <v/>
      </c>
      <c r="K26" s="68" t="str">
        <f aca="false">IF($A26="","",SUM(E26:J26))</f>
        <v/>
      </c>
    </row>
    <row r="27" customFormat="false" ht="15" hidden="false" customHeight="false" outlineLevel="0" collapsed="false">
      <c r="A27" s="16" t="str">
        <f aca="false">IF(Settings!$B33="","",Settings!$B33)</f>
        <v/>
      </c>
      <c r="B27" s="67" t="str">
        <f aca="false">IF($A27="","",SUMIFS(PP_Vol,PP_Site,$A27))</f>
        <v/>
      </c>
      <c r="C27" s="67" t="str">
        <f aca="false">IF($A27="","",$B27*WorkDaysWeek)</f>
        <v/>
      </c>
      <c r="D27" s="67" t="str">
        <f aca="false">IF($A27="","",$B27*WorkDaysMonth)</f>
        <v/>
      </c>
      <c r="E27" s="67" t="str">
        <f aca="false">IF($A27="","",$B27*B$8)</f>
        <v/>
      </c>
      <c r="F27" s="67" t="str">
        <f aca="false">IF($A27="","",$B27*C$8)</f>
        <v/>
      </c>
      <c r="G27" s="67" t="str">
        <f aca="false">IF($A27="","",$B27*D$8)</f>
        <v/>
      </c>
      <c r="H27" s="67" t="str">
        <f aca="false">IF($A27="","",$B27*E$8)</f>
        <v/>
      </c>
      <c r="I27" s="67" t="str">
        <f aca="false">IF($A27="","",$B27*F$8)</f>
        <v/>
      </c>
      <c r="J27" s="67" t="str">
        <f aca="false">IF($A27="","",$B27*G$8)</f>
        <v/>
      </c>
      <c r="K27" s="68" t="str">
        <f aca="false">IF($A27="","",SUM(E27:J27))</f>
        <v/>
      </c>
    </row>
    <row r="28" customFormat="false" ht="15" hidden="false" customHeight="false" outlineLevel="0" collapsed="false">
      <c r="A28" s="16" t="str">
        <f aca="false">IF(Settings!$B34="","",Settings!$B34)</f>
        <v/>
      </c>
      <c r="B28" s="67" t="str">
        <f aca="false">IF($A28="","",SUMIFS(PP_Vol,PP_Site,$A28))</f>
        <v/>
      </c>
      <c r="C28" s="67" t="str">
        <f aca="false">IF($A28="","",$B28*WorkDaysWeek)</f>
        <v/>
      </c>
      <c r="D28" s="67" t="str">
        <f aca="false">IF($A28="","",$B28*WorkDaysMonth)</f>
        <v/>
      </c>
      <c r="E28" s="67" t="str">
        <f aca="false">IF($A28="","",$B28*B$8)</f>
        <v/>
      </c>
      <c r="F28" s="67" t="str">
        <f aca="false">IF($A28="","",$B28*C$8)</f>
        <v/>
      </c>
      <c r="G28" s="67" t="str">
        <f aca="false">IF($A28="","",$B28*D$8)</f>
        <v/>
      </c>
      <c r="H28" s="67" t="str">
        <f aca="false">IF($A28="","",$B28*E$8)</f>
        <v/>
      </c>
      <c r="I28" s="67" t="str">
        <f aca="false">IF($A28="","",$B28*F$8)</f>
        <v/>
      </c>
      <c r="J28" s="67" t="str">
        <f aca="false">IF($A28="","",$B28*G$8)</f>
        <v/>
      </c>
      <c r="K28" s="68" t="str">
        <f aca="false">IF($A28="","",SUM(E28:J28))</f>
        <v/>
      </c>
    </row>
    <row r="29" customFormat="false" ht="15" hidden="false" customHeight="false" outlineLevel="0" collapsed="false">
      <c r="A29" s="16" t="str">
        <f aca="false">IF(Settings!$B35="","",Settings!$B35)</f>
        <v/>
      </c>
      <c r="B29" s="67" t="str">
        <f aca="false">IF($A29="","",SUMIFS(PP_Vol,PP_Site,$A29))</f>
        <v/>
      </c>
      <c r="C29" s="67" t="str">
        <f aca="false">IF($A29="","",$B29*WorkDaysWeek)</f>
        <v/>
      </c>
      <c r="D29" s="67" t="str">
        <f aca="false">IF($A29="","",$B29*WorkDaysMonth)</f>
        <v/>
      </c>
      <c r="E29" s="67" t="str">
        <f aca="false">IF($A29="","",$B29*B$8)</f>
        <v/>
      </c>
      <c r="F29" s="67" t="str">
        <f aca="false">IF($A29="","",$B29*C$8)</f>
        <v/>
      </c>
      <c r="G29" s="67" t="str">
        <f aca="false">IF($A29="","",$B29*D$8)</f>
        <v/>
      </c>
      <c r="H29" s="67" t="str">
        <f aca="false">IF($A29="","",$B29*E$8)</f>
        <v/>
      </c>
      <c r="I29" s="67" t="str">
        <f aca="false">IF($A29="","",$B29*F$8)</f>
        <v/>
      </c>
      <c r="J29" s="67" t="str">
        <f aca="false">IF($A29="","",$B29*G$8)</f>
        <v/>
      </c>
      <c r="K29" s="68" t="str">
        <f aca="false">IF($A29="","",SUM(E29:J29))</f>
        <v/>
      </c>
    </row>
    <row r="30" customFormat="false" ht="15" hidden="false" customHeight="false" outlineLevel="0" collapsed="false">
      <c r="A30" s="16" t="str">
        <f aca="false">IF(Settings!$B36="","",Settings!$B36)</f>
        <v/>
      </c>
      <c r="B30" s="67" t="str">
        <f aca="false">IF($A30="","",SUMIFS(PP_Vol,PP_Site,$A30))</f>
        <v/>
      </c>
      <c r="C30" s="67" t="str">
        <f aca="false">IF($A30="","",$B30*WorkDaysWeek)</f>
        <v/>
      </c>
      <c r="D30" s="67" t="str">
        <f aca="false">IF($A30="","",$B30*WorkDaysMonth)</f>
        <v/>
      </c>
      <c r="E30" s="67" t="str">
        <f aca="false">IF($A30="","",$B30*B$8)</f>
        <v/>
      </c>
      <c r="F30" s="67" t="str">
        <f aca="false">IF($A30="","",$B30*C$8)</f>
        <v/>
      </c>
      <c r="G30" s="67" t="str">
        <f aca="false">IF($A30="","",$B30*D$8)</f>
        <v/>
      </c>
      <c r="H30" s="67" t="str">
        <f aca="false">IF($A30="","",$B30*E$8)</f>
        <v/>
      </c>
      <c r="I30" s="67" t="str">
        <f aca="false">IF($A30="","",$B30*F$8)</f>
        <v/>
      </c>
      <c r="J30" s="67" t="str">
        <f aca="false">IF($A30="","",$B30*G$8)</f>
        <v/>
      </c>
      <c r="K30" s="68" t="str">
        <f aca="false">IF($A30="","",SUM(E30:J30))</f>
        <v/>
      </c>
    </row>
    <row r="31" customFormat="false" ht="15" hidden="false" customHeight="false" outlineLevel="0" collapsed="false">
      <c r="A31" s="16" t="str">
        <f aca="false">IF(Settings!$B37="","",Settings!$B37)</f>
        <v/>
      </c>
      <c r="B31" s="67" t="str">
        <f aca="false">IF($A31="","",SUMIFS(PP_Vol,PP_Site,$A31))</f>
        <v/>
      </c>
      <c r="C31" s="67" t="str">
        <f aca="false">IF($A31="","",$B31*WorkDaysWeek)</f>
        <v/>
      </c>
      <c r="D31" s="67" t="str">
        <f aca="false">IF($A31="","",$B31*WorkDaysMonth)</f>
        <v/>
      </c>
      <c r="E31" s="67" t="str">
        <f aca="false">IF($A31="","",$B31*B$8)</f>
        <v/>
      </c>
      <c r="F31" s="67" t="str">
        <f aca="false">IF($A31="","",$B31*C$8)</f>
        <v/>
      </c>
      <c r="G31" s="67" t="str">
        <f aca="false">IF($A31="","",$B31*D$8)</f>
        <v/>
      </c>
      <c r="H31" s="67" t="str">
        <f aca="false">IF($A31="","",$B31*E$8)</f>
        <v/>
      </c>
      <c r="I31" s="67" t="str">
        <f aca="false">IF($A31="","",$B31*F$8)</f>
        <v/>
      </c>
      <c r="J31" s="67" t="str">
        <f aca="false">IF($A31="","",$B31*G$8)</f>
        <v/>
      </c>
      <c r="K31" s="68" t="str">
        <f aca="false">IF($A31="","",SUM(E31:J31))</f>
        <v/>
      </c>
    </row>
    <row r="32" customFormat="false" ht="15" hidden="false" customHeight="false" outlineLevel="0" collapsed="false">
      <c r="A32" s="16" t="str">
        <f aca="false">IF(Settings!$B38="","",Settings!$B38)</f>
        <v/>
      </c>
      <c r="B32" s="67" t="str">
        <f aca="false">IF($A32="","",SUMIFS(PP_Vol,PP_Site,$A32))</f>
        <v/>
      </c>
      <c r="C32" s="67" t="str">
        <f aca="false">IF($A32="","",$B32*WorkDaysWeek)</f>
        <v/>
      </c>
      <c r="D32" s="67" t="str">
        <f aca="false">IF($A32="","",$B32*WorkDaysMonth)</f>
        <v/>
      </c>
      <c r="E32" s="67" t="str">
        <f aca="false">IF($A32="","",$B32*B$8)</f>
        <v/>
      </c>
      <c r="F32" s="67" t="str">
        <f aca="false">IF($A32="","",$B32*C$8)</f>
        <v/>
      </c>
      <c r="G32" s="67" t="str">
        <f aca="false">IF($A32="","",$B32*D$8)</f>
        <v/>
      </c>
      <c r="H32" s="67" t="str">
        <f aca="false">IF($A32="","",$B32*E$8)</f>
        <v/>
      </c>
      <c r="I32" s="67" t="str">
        <f aca="false">IF($A32="","",$B32*F$8)</f>
        <v/>
      </c>
      <c r="J32" s="67" t="str">
        <f aca="false">IF($A32="","",$B32*G$8)</f>
        <v/>
      </c>
      <c r="K32" s="68" t="str">
        <f aca="false">IF($A32="","",SUM(E32:J32))</f>
        <v/>
      </c>
    </row>
    <row r="33" customFormat="false" ht="15" hidden="false" customHeight="false" outlineLevel="0" collapsed="false">
      <c r="A33" s="23" t="s">
        <v>208</v>
      </c>
      <c r="B33" s="68" t="n">
        <f aca="false">SUM(B13:B32)</f>
        <v>0</v>
      </c>
      <c r="C33" s="68" t="n">
        <f aca="false">SUM(C13:C32)</f>
        <v>0</v>
      </c>
      <c r="D33" s="68" t="n">
        <f aca="false">SUM(D13:D32)</f>
        <v>0</v>
      </c>
      <c r="E33" s="68" t="n">
        <f aca="false">SUM(E13:E32)</f>
        <v>0</v>
      </c>
      <c r="F33" s="68" t="n">
        <f aca="false">SUM(F13:F32)</f>
        <v>0</v>
      </c>
      <c r="G33" s="68" t="n">
        <f aca="false">SUM(G13:G32)</f>
        <v>0</v>
      </c>
      <c r="H33" s="68" t="n">
        <f aca="false">SUM(H13:H32)</f>
        <v>0</v>
      </c>
      <c r="I33" s="68" t="n">
        <f aca="false">SUM(I13:I32)</f>
        <v>0</v>
      </c>
      <c r="J33" s="68" t="n">
        <f aca="false">SUM(J13:J32)</f>
        <v>0</v>
      </c>
      <c r="K33" s="68" t="n">
        <f aca="false">SUM(K13:K32)</f>
        <v>0</v>
      </c>
    </row>
    <row r="35" customFormat="false" ht="18" hidden="false" customHeight="true" outlineLevel="0" collapsed="false">
      <c r="A35" s="35" t="s">
        <v>209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customFormat="false" ht="18" hidden="false" customHeight="true" outlineLevel="0" collapsed="false">
      <c r="A36" s="35" t="s">
        <v>156</v>
      </c>
      <c r="B36" s="35"/>
      <c r="C36" s="35"/>
      <c r="D36" s="35"/>
      <c r="E36" s="35" t="s">
        <v>210</v>
      </c>
      <c r="F36" s="35"/>
      <c r="G36" s="35"/>
      <c r="H36" s="35"/>
      <c r="I36" s="35"/>
      <c r="J36" s="35" t="s">
        <v>211</v>
      </c>
      <c r="K36" s="35"/>
      <c r="L36" s="35"/>
      <c r="M36" s="35"/>
      <c r="N36" s="35"/>
      <c r="O36" s="35"/>
      <c r="P36" s="35" t="s">
        <v>212</v>
      </c>
      <c r="Q36" s="35"/>
      <c r="R36" s="35"/>
      <c r="S36" s="35"/>
      <c r="T36" s="35"/>
      <c r="U36" s="35"/>
      <c r="V36" s="35" t="s">
        <v>213</v>
      </c>
      <c r="W36" s="35"/>
      <c r="X36" s="35"/>
      <c r="Y36" s="35"/>
      <c r="Z36" s="35"/>
      <c r="AA36" s="35"/>
      <c r="AB36" s="35" t="s">
        <v>214</v>
      </c>
      <c r="AC36" s="35"/>
      <c r="AD36" s="35"/>
      <c r="AE36" s="35"/>
      <c r="AF36" s="35"/>
      <c r="AG36" s="35"/>
      <c r="AH36" s="35" t="s">
        <v>215</v>
      </c>
      <c r="AI36" s="35"/>
      <c r="AJ36" s="35"/>
    </row>
    <row r="37" customFormat="false" ht="39.75" hidden="false" customHeight="true" outlineLevel="0" collapsed="false">
      <c r="A37" s="22" t="s">
        <v>88</v>
      </c>
      <c r="B37" s="22" t="s">
        <v>66</v>
      </c>
      <c r="C37" s="22" t="s">
        <v>52</v>
      </c>
      <c r="D37" s="22" t="s">
        <v>53</v>
      </c>
      <c r="E37" s="22" t="s">
        <v>57</v>
      </c>
      <c r="F37" s="22" t="s">
        <v>216</v>
      </c>
      <c r="G37" s="22" t="s">
        <v>217</v>
      </c>
      <c r="H37" s="22" t="s">
        <v>114</v>
      </c>
      <c r="I37" s="22" t="s">
        <v>218</v>
      </c>
      <c r="J37" s="22" t="str">
        <f aca="false">B$9</f>
        <v>Nov 2026</v>
      </c>
      <c r="K37" s="22" t="str">
        <f aca="false">C$9</f>
        <v>Dec 2026</v>
      </c>
      <c r="L37" s="22" t="str">
        <f aca="false">D$9</f>
        <v>Jan 2027</v>
      </c>
      <c r="M37" s="22" t="str">
        <f aca="false">E$9</f>
        <v>Feb 2027</v>
      </c>
      <c r="N37" s="22" t="str">
        <f aca="false">F$9</f>
        <v>Mar 2027</v>
      </c>
      <c r="O37" s="22" t="str">
        <f aca="false">G$9</f>
        <v>Apr 2027</v>
      </c>
      <c r="P37" s="22" t="str">
        <f aca="false">B$9</f>
        <v>Nov 2026</v>
      </c>
      <c r="Q37" s="22" t="str">
        <f aca="false">C$9</f>
        <v>Dec 2026</v>
      </c>
      <c r="R37" s="22" t="str">
        <f aca="false">D$9</f>
        <v>Jan 2027</v>
      </c>
      <c r="S37" s="22" t="str">
        <f aca="false">E$9</f>
        <v>Feb 2027</v>
      </c>
      <c r="T37" s="22" t="str">
        <f aca="false">F$9</f>
        <v>Mar 2027</v>
      </c>
      <c r="U37" s="22" t="str">
        <f aca="false">G$9</f>
        <v>Apr 2027</v>
      </c>
      <c r="V37" s="22" t="str">
        <f aca="false">B$9</f>
        <v>Nov 2026</v>
      </c>
      <c r="W37" s="22" t="str">
        <f aca="false">C$9</f>
        <v>Dec 2026</v>
      </c>
      <c r="X37" s="22" t="str">
        <f aca="false">D$9</f>
        <v>Jan 2027</v>
      </c>
      <c r="Y37" s="22" t="str">
        <f aca="false">E$9</f>
        <v>Feb 2027</v>
      </c>
      <c r="Z37" s="22" t="str">
        <f aca="false">F$9</f>
        <v>Mar 2027</v>
      </c>
      <c r="AA37" s="22" t="str">
        <f aca="false">G$9</f>
        <v>Apr 2027</v>
      </c>
      <c r="AB37" s="22" t="str">
        <f aca="false">B$9</f>
        <v>Nov 2026</v>
      </c>
      <c r="AC37" s="22" t="str">
        <f aca="false">C$9</f>
        <v>Dec 2026</v>
      </c>
      <c r="AD37" s="22" t="str">
        <f aca="false">D$9</f>
        <v>Jan 2027</v>
      </c>
      <c r="AE37" s="22" t="str">
        <f aca="false">E$9</f>
        <v>Feb 2027</v>
      </c>
      <c r="AF37" s="22" t="str">
        <f aca="false">F$9</f>
        <v>Mar 2027</v>
      </c>
      <c r="AG37" s="22" t="str">
        <f aca="false">G$9</f>
        <v>Apr 2027</v>
      </c>
      <c r="AH37" s="22" t="s">
        <v>219</v>
      </c>
      <c r="AI37" s="22" t="s">
        <v>220</v>
      </c>
      <c r="AJ37" s="22" t="s">
        <v>221</v>
      </c>
    </row>
    <row r="38" customFormat="false" ht="15" hidden="false" customHeight="false" outlineLevel="0" collapsed="false">
      <c r="A38" s="16" t="str">
        <f aca="false">IF('Stock Monitor'!$A6="","",'Stock Monitor'!$A6)</f>
        <v/>
      </c>
      <c r="B38" s="64" t="str">
        <f aca="false">IF($A38="","",'Stock Monitor'!$B6)</f>
        <v/>
      </c>
      <c r="C38" s="16" t="str">
        <f aca="false">IF($A38="","",'Stock Monitor'!$C6)</f>
        <v/>
      </c>
      <c r="D38" s="64" t="str">
        <f aca="false">IF($A38="","",'Stock Monitor'!$D6)</f>
        <v/>
      </c>
      <c r="E38" s="67" t="str">
        <f aca="false">IF($A38="","",'Stock Monitor'!$J6)</f>
        <v/>
      </c>
      <c r="F38" s="67" t="str">
        <f aca="false">IF($A38="","",$E38*WorkDaysWeek)</f>
        <v/>
      </c>
      <c r="G38" s="67" t="str">
        <f aca="false">IF($A38="","",$E38*WorkDaysMonth)</f>
        <v/>
      </c>
      <c r="H38" s="68" t="str">
        <f aca="false">IF($A38="","",'Stock Monitor'!$E6)</f>
        <v/>
      </c>
      <c r="I38" s="67" t="str">
        <f aca="false">IF($A38="","",'Stock Monitor'!$T6)</f>
        <v/>
      </c>
      <c r="J38" s="67" t="str">
        <f aca="false">IF($A38="","",$E38*B$8)</f>
        <v/>
      </c>
      <c r="K38" s="67" t="str">
        <f aca="false">IF($A38="","",$E38*C$8)</f>
        <v/>
      </c>
      <c r="L38" s="67" t="str">
        <f aca="false">IF($A38="","",$E38*D$8)</f>
        <v/>
      </c>
      <c r="M38" s="67" t="str">
        <f aca="false">IF($A38="","",$E38*E$8)</f>
        <v/>
      </c>
      <c r="N38" s="67" t="str">
        <f aca="false">IF($A38="","",$E38*F$8)</f>
        <v/>
      </c>
      <c r="O38" s="67" t="str">
        <f aca="false">IF($A38="","",$E38*G$8)</f>
        <v/>
      </c>
      <c r="P38" s="74" t="str">
        <f aca="false">IF($A38="","",SUMIFS(Del_Qty,Del_Site,$A38,Del_Mat,$B38,Del_Date,"&gt;="&amp;B$6,Del_Date,"&lt;="&amp;B$7))</f>
        <v/>
      </c>
      <c r="Q38" s="74" t="str">
        <f aca="false">IF($A38="","",SUMIFS(Del_Qty,Del_Site,$A38,Del_Mat,$B38,Del_Date,"&gt;="&amp;C$6,Del_Date,"&lt;="&amp;C$7))</f>
        <v/>
      </c>
      <c r="R38" s="74" t="str">
        <f aca="false">IF($A38="","",SUMIFS(Del_Qty,Del_Site,$A38,Del_Mat,$B38,Del_Date,"&gt;="&amp;D$6,Del_Date,"&lt;="&amp;D$7))</f>
        <v/>
      </c>
      <c r="S38" s="74" t="str">
        <f aca="false">IF($A38="","",SUMIFS(Del_Qty,Del_Site,$A38,Del_Mat,$B38,Del_Date,"&gt;="&amp;E$6,Del_Date,"&lt;="&amp;E$7))</f>
        <v/>
      </c>
      <c r="T38" s="74" t="str">
        <f aca="false">IF($A38="","",SUMIFS(Del_Qty,Del_Site,$A38,Del_Mat,$B38,Del_Date,"&gt;="&amp;F$6,Del_Date,"&lt;="&amp;F$7))</f>
        <v/>
      </c>
      <c r="U38" s="74" t="str">
        <f aca="false">IF($A38="","",SUMIFS(Del_Qty,Del_Site,$A38,Del_Mat,$B38,Del_Date,"&gt;="&amp;G$6,Del_Date,"&lt;="&amp;G$7))</f>
        <v/>
      </c>
      <c r="V38" s="81" t="str">
        <f aca="false">IF($A38="","",MAX(0,J38+$I38-MAX(0,$H38)-P38))</f>
        <v/>
      </c>
      <c r="W38" s="81" t="str">
        <f aca="false">IF($A38="","",MAX(0,K38+$I38-AB38-Q38))</f>
        <v/>
      </c>
      <c r="X38" s="81" t="str">
        <f aca="false">IF($A38="","",MAX(0,L38+$I38-AC38-R38))</f>
        <v/>
      </c>
      <c r="Y38" s="81" t="str">
        <f aca="false">IF($A38="","",MAX(0,M38+$I38-AD38-S38))</f>
        <v/>
      </c>
      <c r="Z38" s="81" t="str">
        <f aca="false">IF($A38="","",MAX(0,N38+$I38-AE38-T38))</f>
        <v/>
      </c>
      <c r="AA38" s="81" t="str">
        <f aca="false">IF($A38="","",MAX(0,O38+$I38-AF38-U38))</f>
        <v/>
      </c>
      <c r="AB38" s="67" t="str">
        <f aca="false">IF($A38="","",MAX($I38,MAX(0,$H38)+P38-J38))</f>
        <v/>
      </c>
      <c r="AC38" s="67" t="str">
        <f aca="false">IF($A38="","",MAX($I38,AB38+Q38-K38))</f>
        <v/>
      </c>
      <c r="AD38" s="67" t="str">
        <f aca="false">IF($A38="","",MAX($I38,AC38+R38-L38))</f>
        <v/>
      </c>
      <c r="AE38" s="67" t="str">
        <f aca="false">IF($A38="","",MAX($I38,AD38+S38-M38))</f>
        <v/>
      </c>
      <c r="AF38" s="67" t="str">
        <f aca="false">IF($A38="","",MAX($I38,AE38+T38-N38))</f>
        <v/>
      </c>
      <c r="AG38" s="67" t="str">
        <f aca="false">IF($A38="","",MAX($I38,AF38+U38-O38))</f>
        <v/>
      </c>
      <c r="AH38" s="76" t="str">
        <f aca="false">IF($A38="","",IF($H38&lt;=0,"Already out",IF($E38&lt;=0,"No usage",IF(MAX(0,$H38)+SUM($P38:P38)-SUM($J38:J38)&lt;=0,$B$9,IF(MAX(0,$H38)+SUM($P38:Q38)-SUM($J38:K38)&lt;=0,$C$9,IF(MAX(0,$H38)+SUM($P38:R38)-SUM($J38:L38)&lt;=0,$D$9,IF(MAX(0,$H38)+SUM($P38:S38)-SUM($J38:M38)&lt;=0,$E$9,IF(MAX(0,$H38)+SUM($P38:T38)-SUM($J38:N38)&lt;=0,$F$9,IF(MAX(0,$H38)+SUM($P38:U38)-SUM($J38:O38)&lt;=0,$G$9,"Beyond 6 periods")))))))))</f>
        <v/>
      </c>
      <c r="AI38" s="67" t="str">
        <f aca="false">IF($A38="","",SUM(J38:O38))</f>
        <v/>
      </c>
      <c r="AJ38" s="68" t="str">
        <f aca="false">IF($A38="","",SUM(V38:AA38))</f>
        <v/>
      </c>
    </row>
    <row r="39" customFormat="false" ht="15" hidden="false" customHeight="false" outlineLevel="0" collapsed="false">
      <c r="A39" s="16" t="str">
        <f aca="false">IF('Stock Monitor'!$A7="","",'Stock Monitor'!$A7)</f>
        <v/>
      </c>
      <c r="B39" s="64" t="str">
        <f aca="false">IF($A39="","",'Stock Monitor'!$B7)</f>
        <v/>
      </c>
      <c r="C39" s="16" t="str">
        <f aca="false">IF($A39="","",'Stock Monitor'!$C7)</f>
        <v/>
      </c>
      <c r="D39" s="64" t="str">
        <f aca="false">IF($A39="","",'Stock Monitor'!$D7)</f>
        <v/>
      </c>
      <c r="E39" s="67" t="str">
        <f aca="false">IF($A39="","",'Stock Monitor'!$J7)</f>
        <v/>
      </c>
      <c r="F39" s="67" t="str">
        <f aca="false">IF($A39="","",$E39*WorkDaysWeek)</f>
        <v/>
      </c>
      <c r="G39" s="67" t="str">
        <f aca="false">IF($A39="","",$E39*WorkDaysMonth)</f>
        <v/>
      </c>
      <c r="H39" s="68" t="str">
        <f aca="false">IF($A39="","",'Stock Monitor'!$E7)</f>
        <v/>
      </c>
      <c r="I39" s="67" t="str">
        <f aca="false">IF($A39="","",'Stock Monitor'!$T7)</f>
        <v/>
      </c>
      <c r="J39" s="67" t="str">
        <f aca="false">IF($A39="","",$E39*B$8)</f>
        <v/>
      </c>
      <c r="K39" s="67" t="str">
        <f aca="false">IF($A39="","",$E39*C$8)</f>
        <v/>
      </c>
      <c r="L39" s="67" t="str">
        <f aca="false">IF($A39="","",$E39*D$8)</f>
        <v/>
      </c>
      <c r="M39" s="67" t="str">
        <f aca="false">IF($A39="","",$E39*E$8)</f>
        <v/>
      </c>
      <c r="N39" s="67" t="str">
        <f aca="false">IF($A39="","",$E39*F$8)</f>
        <v/>
      </c>
      <c r="O39" s="67" t="str">
        <f aca="false">IF($A39="","",$E39*G$8)</f>
        <v/>
      </c>
      <c r="P39" s="74" t="str">
        <f aca="false">IF($A39="","",SUMIFS(Del_Qty,Del_Site,$A39,Del_Mat,$B39,Del_Date,"&gt;="&amp;B$6,Del_Date,"&lt;="&amp;B$7))</f>
        <v/>
      </c>
      <c r="Q39" s="74" t="str">
        <f aca="false">IF($A39="","",SUMIFS(Del_Qty,Del_Site,$A39,Del_Mat,$B39,Del_Date,"&gt;="&amp;C$6,Del_Date,"&lt;="&amp;C$7))</f>
        <v/>
      </c>
      <c r="R39" s="74" t="str">
        <f aca="false">IF($A39="","",SUMIFS(Del_Qty,Del_Site,$A39,Del_Mat,$B39,Del_Date,"&gt;="&amp;D$6,Del_Date,"&lt;="&amp;D$7))</f>
        <v/>
      </c>
      <c r="S39" s="74" t="str">
        <f aca="false">IF($A39="","",SUMIFS(Del_Qty,Del_Site,$A39,Del_Mat,$B39,Del_Date,"&gt;="&amp;E$6,Del_Date,"&lt;="&amp;E$7))</f>
        <v/>
      </c>
      <c r="T39" s="74" t="str">
        <f aca="false">IF($A39="","",SUMIFS(Del_Qty,Del_Site,$A39,Del_Mat,$B39,Del_Date,"&gt;="&amp;F$6,Del_Date,"&lt;="&amp;F$7))</f>
        <v/>
      </c>
      <c r="U39" s="74" t="str">
        <f aca="false">IF($A39="","",SUMIFS(Del_Qty,Del_Site,$A39,Del_Mat,$B39,Del_Date,"&gt;="&amp;G$6,Del_Date,"&lt;="&amp;G$7))</f>
        <v/>
      </c>
      <c r="V39" s="81" t="str">
        <f aca="false">IF($A39="","",MAX(0,J39+$I39-MAX(0,$H39)-P39))</f>
        <v/>
      </c>
      <c r="W39" s="81" t="str">
        <f aca="false">IF($A39="","",MAX(0,K39+$I39-AB39-Q39))</f>
        <v/>
      </c>
      <c r="X39" s="81" t="str">
        <f aca="false">IF($A39="","",MAX(0,L39+$I39-AC39-R39))</f>
        <v/>
      </c>
      <c r="Y39" s="81" t="str">
        <f aca="false">IF($A39="","",MAX(0,M39+$I39-AD39-S39))</f>
        <v/>
      </c>
      <c r="Z39" s="81" t="str">
        <f aca="false">IF($A39="","",MAX(0,N39+$I39-AE39-T39))</f>
        <v/>
      </c>
      <c r="AA39" s="81" t="str">
        <f aca="false">IF($A39="","",MAX(0,O39+$I39-AF39-U39))</f>
        <v/>
      </c>
      <c r="AB39" s="67" t="str">
        <f aca="false">IF($A39="","",MAX($I39,MAX(0,$H39)+P39-J39))</f>
        <v/>
      </c>
      <c r="AC39" s="67" t="str">
        <f aca="false">IF($A39="","",MAX($I39,AB39+Q39-K39))</f>
        <v/>
      </c>
      <c r="AD39" s="67" t="str">
        <f aca="false">IF($A39="","",MAX($I39,AC39+R39-L39))</f>
        <v/>
      </c>
      <c r="AE39" s="67" t="str">
        <f aca="false">IF($A39="","",MAX($I39,AD39+S39-M39))</f>
        <v/>
      </c>
      <c r="AF39" s="67" t="str">
        <f aca="false">IF($A39="","",MAX($I39,AE39+T39-N39))</f>
        <v/>
      </c>
      <c r="AG39" s="67" t="str">
        <f aca="false">IF($A39="","",MAX($I39,AF39+U39-O39))</f>
        <v/>
      </c>
      <c r="AH39" s="76" t="str">
        <f aca="false">IF($A39="","",IF($H39&lt;=0,"Already out",IF($E39&lt;=0,"No usage",IF(MAX(0,$H39)+SUM($P39:P39)-SUM($J39:J39)&lt;=0,$B$9,IF(MAX(0,$H39)+SUM($P39:Q39)-SUM($J39:K39)&lt;=0,$C$9,IF(MAX(0,$H39)+SUM($P39:R39)-SUM($J39:L39)&lt;=0,$D$9,IF(MAX(0,$H39)+SUM($P39:S39)-SUM($J39:M39)&lt;=0,$E$9,IF(MAX(0,$H39)+SUM($P39:T39)-SUM($J39:N39)&lt;=0,$F$9,IF(MAX(0,$H39)+SUM($P39:U39)-SUM($J39:O39)&lt;=0,$G$9,"Beyond 6 periods")))))))))</f>
        <v/>
      </c>
      <c r="AI39" s="67" t="str">
        <f aca="false">IF($A39="","",SUM(J39:O39))</f>
        <v/>
      </c>
      <c r="AJ39" s="68" t="str">
        <f aca="false">IF($A39="","",SUM(V39:AA39))</f>
        <v/>
      </c>
    </row>
    <row r="40" customFormat="false" ht="15" hidden="false" customHeight="false" outlineLevel="0" collapsed="false">
      <c r="A40" s="16" t="str">
        <f aca="false">IF('Stock Monitor'!$A8="","",'Stock Monitor'!$A8)</f>
        <v/>
      </c>
      <c r="B40" s="64" t="str">
        <f aca="false">IF($A40="","",'Stock Monitor'!$B8)</f>
        <v/>
      </c>
      <c r="C40" s="16" t="str">
        <f aca="false">IF($A40="","",'Stock Monitor'!$C8)</f>
        <v/>
      </c>
      <c r="D40" s="64" t="str">
        <f aca="false">IF($A40="","",'Stock Monitor'!$D8)</f>
        <v/>
      </c>
      <c r="E40" s="67" t="str">
        <f aca="false">IF($A40="","",'Stock Monitor'!$J8)</f>
        <v/>
      </c>
      <c r="F40" s="67" t="str">
        <f aca="false">IF($A40="","",$E40*WorkDaysWeek)</f>
        <v/>
      </c>
      <c r="G40" s="67" t="str">
        <f aca="false">IF($A40="","",$E40*WorkDaysMonth)</f>
        <v/>
      </c>
      <c r="H40" s="68" t="str">
        <f aca="false">IF($A40="","",'Stock Monitor'!$E8)</f>
        <v/>
      </c>
      <c r="I40" s="67" t="str">
        <f aca="false">IF($A40="","",'Stock Monitor'!$T8)</f>
        <v/>
      </c>
      <c r="J40" s="67" t="str">
        <f aca="false">IF($A40="","",$E40*B$8)</f>
        <v/>
      </c>
      <c r="K40" s="67" t="str">
        <f aca="false">IF($A40="","",$E40*C$8)</f>
        <v/>
      </c>
      <c r="L40" s="67" t="str">
        <f aca="false">IF($A40="","",$E40*D$8)</f>
        <v/>
      </c>
      <c r="M40" s="67" t="str">
        <f aca="false">IF($A40="","",$E40*E$8)</f>
        <v/>
      </c>
      <c r="N40" s="67" t="str">
        <f aca="false">IF($A40="","",$E40*F$8)</f>
        <v/>
      </c>
      <c r="O40" s="67" t="str">
        <f aca="false">IF($A40="","",$E40*G$8)</f>
        <v/>
      </c>
      <c r="P40" s="74" t="str">
        <f aca="false">IF($A40="","",SUMIFS(Del_Qty,Del_Site,$A40,Del_Mat,$B40,Del_Date,"&gt;="&amp;B$6,Del_Date,"&lt;="&amp;B$7))</f>
        <v/>
      </c>
      <c r="Q40" s="74" t="str">
        <f aca="false">IF($A40="","",SUMIFS(Del_Qty,Del_Site,$A40,Del_Mat,$B40,Del_Date,"&gt;="&amp;C$6,Del_Date,"&lt;="&amp;C$7))</f>
        <v/>
      </c>
      <c r="R40" s="74" t="str">
        <f aca="false">IF($A40="","",SUMIFS(Del_Qty,Del_Site,$A40,Del_Mat,$B40,Del_Date,"&gt;="&amp;D$6,Del_Date,"&lt;="&amp;D$7))</f>
        <v/>
      </c>
      <c r="S40" s="74" t="str">
        <f aca="false">IF($A40="","",SUMIFS(Del_Qty,Del_Site,$A40,Del_Mat,$B40,Del_Date,"&gt;="&amp;E$6,Del_Date,"&lt;="&amp;E$7))</f>
        <v/>
      </c>
      <c r="T40" s="74" t="str">
        <f aca="false">IF($A40="","",SUMIFS(Del_Qty,Del_Site,$A40,Del_Mat,$B40,Del_Date,"&gt;="&amp;F$6,Del_Date,"&lt;="&amp;F$7))</f>
        <v/>
      </c>
      <c r="U40" s="74" t="str">
        <f aca="false">IF($A40="","",SUMIFS(Del_Qty,Del_Site,$A40,Del_Mat,$B40,Del_Date,"&gt;="&amp;G$6,Del_Date,"&lt;="&amp;G$7))</f>
        <v/>
      </c>
      <c r="V40" s="81" t="str">
        <f aca="false">IF($A40="","",MAX(0,J40+$I40-MAX(0,$H40)-P40))</f>
        <v/>
      </c>
      <c r="W40" s="81" t="str">
        <f aca="false">IF($A40="","",MAX(0,K40+$I40-AB40-Q40))</f>
        <v/>
      </c>
      <c r="X40" s="81" t="str">
        <f aca="false">IF($A40="","",MAX(0,L40+$I40-AC40-R40))</f>
        <v/>
      </c>
      <c r="Y40" s="81" t="str">
        <f aca="false">IF($A40="","",MAX(0,M40+$I40-AD40-S40))</f>
        <v/>
      </c>
      <c r="Z40" s="81" t="str">
        <f aca="false">IF($A40="","",MAX(0,N40+$I40-AE40-T40))</f>
        <v/>
      </c>
      <c r="AA40" s="81" t="str">
        <f aca="false">IF($A40="","",MAX(0,O40+$I40-AF40-U40))</f>
        <v/>
      </c>
      <c r="AB40" s="67" t="str">
        <f aca="false">IF($A40="","",MAX($I40,MAX(0,$H40)+P40-J40))</f>
        <v/>
      </c>
      <c r="AC40" s="67" t="str">
        <f aca="false">IF($A40="","",MAX($I40,AB40+Q40-K40))</f>
        <v/>
      </c>
      <c r="AD40" s="67" t="str">
        <f aca="false">IF($A40="","",MAX($I40,AC40+R40-L40))</f>
        <v/>
      </c>
      <c r="AE40" s="67" t="str">
        <f aca="false">IF($A40="","",MAX($I40,AD40+S40-M40))</f>
        <v/>
      </c>
      <c r="AF40" s="67" t="str">
        <f aca="false">IF($A40="","",MAX($I40,AE40+T40-N40))</f>
        <v/>
      </c>
      <c r="AG40" s="67" t="str">
        <f aca="false">IF($A40="","",MAX($I40,AF40+U40-O40))</f>
        <v/>
      </c>
      <c r="AH40" s="76" t="str">
        <f aca="false">IF($A40="","",IF($H40&lt;=0,"Already out",IF($E40&lt;=0,"No usage",IF(MAX(0,$H40)+SUM($P40:P40)-SUM($J40:J40)&lt;=0,$B$9,IF(MAX(0,$H40)+SUM($P40:Q40)-SUM($J40:K40)&lt;=0,$C$9,IF(MAX(0,$H40)+SUM($P40:R40)-SUM($J40:L40)&lt;=0,$D$9,IF(MAX(0,$H40)+SUM($P40:S40)-SUM($J40:M40)&lt;=0,$E$9,IF(MAX(0,$H40)+SUM($P40:T40)-SUM($J40:N40)&lt;=0,$F$9,IF(MAX(0,$H40)+SUM($P40:U40)-SUM($J40:O40)&lt;=0,$G$9,"Beyond 6 periods")))))))))</f>
        <v/>
      </c>
      <c r="AI40" s="67" t="str">
        <f aca="false">IF($A40="","",SUM(J40:O40))</f>
        <v/>
      </c>
      <c r="AJ40" s="68" t="str">
        <f aca="false">IF($A40="","",SUM(V40:AA40))</f>
        <v/>
      </c>
    </row>
    <row r="41" customFormat="false" ht="15" hidden="false" customHeight="false" outlineLevel="0" collapsed="false">
      <c r="A41" s="16" t="str">
        <f aca="false">IF('Stock Monitor'!$A9="","",'Stock Monitor'!$A9)</f>
        <v/>
      </c>
      <c r="B41" s="64" t="str">
        <f aca="false">IF($A41="","",'Stock Monitor'!$B9)</f>
        <v/>
      </c>
      <c r="C41" s="16" t="str">
        <f aca="false">IF($A41="","",'Stock Monitor'!$C9)</f>
        <v/>
      </c>
      <c r="D41" s="64" t="str">
        <f aca="false">IF($A41="","",'Stock Monitor'!$D9)</f>
        <v/>
      </c>
      <c r="E41" s="67" t="str">
        <f aca="false">IF($A41="","",'Stock Monitor'!$J9)</f>
        <v/>
      </c>
      <c r="F41" s="67" t="str">
        <f aca="false">IF($A41="","",$E41*WorkDaysWeek)</f>
        <v/>
      </c>
      <c r="G41" s="67" t="str">
        <f aca="false">IF($A41="","",$E41*WorkDaysMonth)</f>
        <v/>
      </c>
      <c r="H41" s="68" t="str">
        <f aca="false">IF($A41="","",'Stock Monitor'!$E9)</f>
        <v/>
      </c>
      <c r="I41" s="67" t="str">
        <f aca="false">IF($A41="","",'Stock Monitor'!$T9)</f>
        <v/>
      </c>
      <c r="J41" s="67" t="str">
        <f aca="false">IF($A41="","",$E41*B$8)</f>
        <v/>
      </c>
      <c r="K41" s="67" t="str">
        <f aca="false">IF($A41="","",$E41*C$8)</f>
        <v/>
      </c>
      <c r="L41" s="67" t="str">
        <f aca="false">IF($A41="","",$E41*D$8)</f>
        <v/>
      </c>
      <c r="M41" s="67" t="str">
        <f aca="false">IF($A41="","",$E41*E$8)</f>
        <v/>
      </c>
      <c r="N41" s="67" t="str">
        <f aca="false">IF($A41="","",$E41*F$8)</f>
        <v/>
      </c>
      <c r="O41" s="67" t="str">
        <f aca="false">IF($A41="","",$E41*G$8)</f>
        <v/>
      </c>
      <c r="P41" s="74" t="str">
        <f aca="false">IF($A41="","",SUMIFS(Del_Qty,Del_Site,$A41,Del_Mat,$B41,Del_Date,"&gt;="&amp;B$6,Del_Date,"&lt;="&amp;B$7))</f>
        <v/>
      </c>
      <c r="Q41" s="74" t="str">
        <f aca="false">IF($A41="","",SUMIFS(Del_Qty,Del_Site,$A41,Del_Mat,$B41,Del_Date,"&gt;="&amp;C$6,Del_Date,"&lt;="&amp;C$7))</f>
        <v/>
      </c>
      <c r="R41" s="74" t="str">
        <f aca="false">IF($A41="","",SUMIFS(Del_Qty,Del_Site,$A41,Del_Mat,$B41,Del_Date,"&gt;="&amp;D$6,Del_Date,"&lt;="&amp;D$7))</f>
        <v/>
      </c>
      <c r="S41" s="74" t="str">
        <f aca="false">IF($A41="","",SUMIFS(Del_Qty,Del_Site,$A41,Del_Mat,$B41,Del_Date,"&gt;="&amp;E$6,Del_Date,"&lt;="&amp;E$7))</f>
        <v/>
      </c>
      <c r="T41" s="74" t="str">
        <f aca="false">IF($A41="","",SUMIFS(Del_Qty,Del_Site,$A41,Del_Mat,$B41,Del_Date,"&gt;="&amp;F$6,Del_Date,"&lt;="&amp;F$7))</f>
        <v/>
      </c>
      <c r="U41" s="74" t="str">
        <f aca="false">IF($A41="","",SUMIFS(Del_Qty,Del_Site,$A41,Del_Mat,$B41,Del_Date,"&gt;="&amp;G$6,Del_Date,"&lt;="&amp;G$7))</f>
        <v/>
      </c>
      <c r="V41" s="81" t="str">
        <f aca="false">IF($A41="","",MAX(0,J41+$I41-MAX(0,$H41)-P41))</f>
        <v/>
      </c>
      <c r="W41" s="81" t="str">
        <f aca="false">IF($A41="","",MAX(0,K41+$I41-AB41-Q41))</f>
        <v/>
      </c>
      <c r="X41" s="81" t="str">
        <f aca="false">IF($A41="","",MAX(0,L41+$I41-AC41-R41))</f>
        <v/>
      </c>
      <c r="Y41" s="81" t="str">
        <f aca="false">IF($A41="","",MAX(0,M41+$I41-AD41-S41))</f>
        <v/>
      </c>
      <c r="Z41" s="81" t="str">
        <f aca="false">IF($A41="","",MAX(0,N41+$I41-AE41-T41))</f>
        <v/>
      </c>
      <c r="AA41" s="81" t="str">
        <f aca="false">IF($A41="","",MAX(0,O41+$I41-AF41-U41))</f>
        <v/>
      </c>
      <c r="AB41" s="67" t="str">
        <f aca="false">IF($A41="","",MAX($I41,MAX(0,$H41)+P41-J41))</f>
        <v/>
      </c>
      <c r="AC41" s="67" t="str">
        <f aca="false">IF($A41="","",MAX($I41,AB41+Q41-K41))</f>
        <v/>
      </c>
      <c r="AD41" s="67" t="str">
        <f aca="false">IF($A41="","",MAX($I41,AC41+R41-L41))</f>
        <v/>
      </c>
      <c r="AE41" s="67" t="str">
        <f aca="false">IF($A41="","",MAX($I41,AD41+S41-M41))</f>
        <v/>
      </c>
      <c r="AF41" s="67" t="str">
        <f aca="false">IF($A41="","",MAX($I41,AE41+T41-N41))</f>
        <v/>
      </c>
      <c r="AG41" s="67" t="str">
        <f aca="false">IF($A41="","",MAX($I41,AF41+U41-O41))</f>
        <v/>
      </c>
      <c r="AH41" s="76" t="str">
        <f aca="false">IF($A41="","",IF($H41&lt;=0,"Already out",IF($E41&lt;=0,"No usage",IF(MAX(0,$H41)+SUM($P41:P41)-SUM($J41:J41)&lt;=0,$B$9,IF(MAX(0,$H41)+SUM($P41:Q41)-SUM($J41:K41)&lt;=0,$C$9,IF(MAX(0,$H41)+SUM($P41:R41)-SUM($J41:L41)&lt;=0,$D$9,IF(MAX(0,$H41)+SUM($P41:S41)-SUM($J41:M41)&lt;=0,$E$9,IF(MAX(0,$H41)+SUM($P41:T41)-SUM($J41:N41)&lt;=0,$F$9,IF(MAX(0,$H41)+SUM($P41:U41)-SUM($J41:O41)&lt;=0,$G$9,"Beyond 6 periods")))))))))</f>
        <v/>
      </c>
      <c r="AI41" s="67" t="str">
        <f aca="false">IF($A41="","",SUM(J41:O41))</f>
        <v/>
      </c>
      <c r="AJ41" s="68" t="str">
        <f aca="false">IF($A41="","",SUM(V41:AA41))</f>
        <v/>
      </c>
    </row>
    <row r="42" customFormat="false" ht="15" hidden="false" customHeight="false" outlineLevel="0" collapsed="false">
      <c r="A42" s="16" t="str">
        <f aca="false">IF('Stock Monitor'!$A10="","",'Stock Monitor'!$A10)</f>
        <v/>
      </c>
      <c r="B42" s="64" t="str">
        <f aca="false">IF($A42="","",'Stock Monitor'!$B10)</f>
        <v/>
      </c>
      <c r="C42" s="16" t="str">
        <f aca="false">IF($A42="","",'Stock Monitor'!$C10)</f>
        <v/>
      </c>
      <c r="D42" s="64" t="str">
        <f aca="false">IF($A42="","",'Stock Monitor'!$D10)</f>
        <v/>
      </c>
      <c r="E42" s="67" t="str">
        <f aca="false">IF($A42="","",'Stock Monitor'!$J10)</f>
        <v/>
      </c>
      <c r="F42" s="67" t="str">
        <f aca="false">IF($A42="","",$E42*WorkDaysWeek)</f>
        <v/>
      </c>
      <c r="G42" s="67" t="str">
        <f aca="false">IF($A42="","",$E42*WorkDaysMonth)</f>
        <v/>
      </c>
      <c r="H42" s="68" t="str">
        <f aca="false">IF($A42="","",'Stock Monitor'!$E10)</f>
        <v/>
      </c>
      <c r="I42" s="67" t="str">
        <f aca="false">IF($A42="","",'Stock Monitor'!$T10)</f>
        <v/>
      </c>
      <c r="J42" s="67" t="str">
        <f aca="false">IF($A42="","",$E42*B$8)</f>
        <v/>
      </c>
      <c r="K42" s="67" t="str">
        <f aca="false">IF($A42="","",$E42*C$8)</f>
        <v/>
      </c>
      <c r="L42" s="67" t="str">
        <f aca="false">IF($A42="","",$E42*D$8)</f>
        <v/>
      </c>
      <c r="M42" s="67" t="str">
        <f aca="false">IF($A42="","",$E42*E$8)</f>
        <v/>
      </c>
      <c r="N42" s="67" t="str">
        <f aca="false">IF($A42="","",$E42*F$8)</f>
        <v/>
      </c>
      <c r="O42" s="67" t="str">
        <f aca="false">IF($A42="","",$E42*G$8)</f>
        <v/>
      </c>
      <c r="P42" s="74" t="str">
        <f aca="false">IF($A42="","",SUMIFS(Del_Qty,Del_Site,$A42,Del_Mat,$B42,Del_Date,"&gt;="&amp;B$6,Del_Date,"&lt;="&amp;B$7))</f>
        <v/>
      </c>
      <c r="Q42" s="74" t="str">
        <f aca="false">IF($A42="","",SUMIFS(Del_Qty,Del_Site,$A42,Del_Mat,$B42,Del_Date,"&gt;="&amp;C$6,Del_Date,"&lt;="&amp;C$7))</f>
        <v/>
      </c>
      <c r="R42" s="74" t="str">
        <f aca="false">IF($A42="","",SUMIFS(Del_Qty,Del_Site,$A42,Del_Mat,$B42,Del_Date,"&gt;="&amp;D$6,Del_Date,"&lt;="&amp;D$7))</f>
        <v/>
      </c>
      <c r="S42" s="74" t="str">
        <f aca="false">IF($A42="","",SUMIFS(Del_Qty,Del_Site,$A42,Del_Mat,$B42,Del_Date,"&gt;="&amp;E$6,Del_Date,"&lt;="&amp;E$7))</f>
        <v/>
      </c>
      <c r="T42" s="74" t="str">
        <f aca="false">IF($A42="","",SUMIFS(Del_Qty,Del_Site,$A42,Del_Mat,$B42,Del_Date,"&gt;="&amp;F$6,Del_Date,"&lt;="&amp;F$7))</f>
        <v/>
      </c>
      <c r="U42" s="74" t="str">
        <f aca="false">IF($A42="","",SUMIFS(Del_Qty,Del_Site,$A42,Del_Mat,$B42,Del_Date,"&gt;="&amp;G$6,Del_Date,"&lt;="&amp;G$7))</f>
        <v/>
      </c>
      <c r="V42" s="81" t="str">
        <f aca="false">IF($A42="","",MAX(0,J42+$I42-MAX(0,$H42)-P42))</f>
        <v/>
      </c>
      <c r="W42" s="81" t="str">
        <f aca="false">IF($A42="","",MAX(0,K42+$I42-AB42-Q42))</f>
        <v/>
      </c>
      <c r="X42" s="81" t="str">
        <f aca="false">IF($A42="","",MAX(0,L42+$I42-AC42-R42))</f>
        <v/>
      </c>
      <c r="Y42" s="81" t="str">
        <f aca="false">IF($A42="","",MAX(0,M42+$I42-AD42-S42))</f>
        <v/>
      </c>
      <c r="Z42" s="81" t="str">
        <f aca="false">IF($A42="","",MAX(0,N42+$I42-AE42-T42))</f>
        <v/>
      </c>
      <c r="AA42" s="81" t="str">
        <f aca="false">IF($A42="","",MAX(0,O42+$I42-AF42-U42))</f>
        <v/>
      </c>
      <c r="AB42" s="67" t="str">
        <f aca="false">IF($A42="","",MAX($I42,MAX(0,$H42)+P42-J42))</f>
        <v/>
      </c>
      <c r="AC42" s="67" t="str">
        <f aca="false">IF($A42="","",MAX($I42,AB42+Q42-K42))</f>
        <v/>
      </c>
      <c r="AD42" s="67" t="str">
        <f aca="false">IF($A42="","",MAX($I42,AC42+R42-L42))</f>
        <v/>
      </c>
      <c r="AE42" s="67" t="str">
        <f aca="false">IF($A42="","",MAX($I42,AD42+S42-M42))</f>
        <v/>
      </c>
      <c r="AF42" s="67" t="str">
        <f aca="false">IF($A42="","",MAX($I42,AE42+T42-N42))</f>
        <v/>
      </c>
      <c r="AG42" s="67" t="str">
        <f aca="false">IF($A42="","",MAX($I42,AF42+U42-O42))</f>
        <v/>
      </c>
      <c r="AH42" s="76" t="str">
        <f aca="false">IF($A42="","",IF($H42&lt;=0,"Already out",IF($E42&lt;=0,"No usage",IF(MAX(0,$H42)+SUM($P42:P42)-SUM($J42:J42)&lt;=0,$B$9,IF(MAX(0,$H42)+SUM($P42:Q42)-SUM($J42:K42)&lt;=0,$C$9,IF(MAX(0,$H42)+SUM($P42:R42)-SUM($J42:L42)&lt;=0,$D$9,IF(MAX(0,$H42)+SUM($P42:S42)-SUM($J42:M42)&lt;=0,$E$9,IF(MAX(0,$H42)+SUM($P42:T42)-SUM($J42:N42)&lt;=0,$F$9,IF(MAX(0,$H42)+SUM($P42:U42)-SUM($J42:O42)&lt;=0,$G$9,"Beyond 6 periods")))))))))</f>
        <v/>
      </c>
      <c r="AI42" s="67" t="str">
        <f aca="false">IF($A42="","",SUM(J42:O42))</f>
        <v/>
      </c>
      <c r="AJ42" s="68" t="str">
        <f aca="false">IF($A42="","",SUM(V42:AA42))</f>
        <v/>
      </c>
    </row>
    <row r="43" customFormat="false" ht="15" hidden="false" customHeight="false" outlineLevel="0" collapsed="false">
      <c r="A43" s="16" t="str">
        <f aca="false">IF('Stock Monitor'!$A11="","",'Stock Monitor'!$A11)</f>
        <v/>
      </c>
      <c r="B43" s="64" t="str">
        <f aca="false">IF($A43="","",'Stock Monitor'!$B11)</f>
        <v/>
      </c>
      <c r="C43" s="16" t="str">
        <f aca="false">IF($A43="","",'Stock Monitor'!$C11)</f>
        <v/>
      </c>
      <c r="D43" s="64" t="str">
        <f aca="false">IF($A43="","",'Stock Monitor'!$D11)</f>
        <v/>
      </c>
      <c r="E43" s="67" t="str">
        <f aca="false">IF($A43="","",'Stock Monitor'!$J11)</f>
        <v/>
      </c>
      <c r="F43" s="67" t="str">
        <f aca="false">IF($A43="","",$E43*WorkDaysWeek)</f>
        <v/>
      </c>
      <c r="G43" s="67" t="str">
        <f aca="false">IF($A43="","",$E43*WorkDaysMonth)</f>
        <v/>
      </c>
      <c r="H43" s="68" t="str">
        <f aca="false">IF($A43="","",'Stock Monitor'!$E11)</f>
        <v/>
      </c>
      <c r="I43" s="67" t="str">
        <f aca="false">IF($A43="","",'Stock Monitor'!$T11)</f>
        <v/>
      </c>
      <c r="J43" s="67" t="str">
        <f aca="false">IF($A43="","",$E43*B$8)</f>
        <v/>
      </c>
      <c r="K43" s="67" t="str">
        <f aca="false">IF($A43="","",$E43*C$8)</f>
        <v/>
      </c>
      <c r="L43" s="67" t="str">
        <f aca="false">IF($A43="","",$E43*D$8)</f>
        <v/>
      </c>
      <c r="M43" s="67" t="str">
        <f aca="false">IF($A43="","",$E43*E$8)</f>
        <v/>
      </c>
      <c r="N43" s="67" t="str">
        <f aca="false">IF($A43="","",$E43*F$8)</f>
        <v/>
      </c>
      <c r="O43" s="67" t="str">
        <f aca="false">IF($A43="","",$E43*G$8)</f>
        <v/>
      </c>
      <c r="P43" s="74" t="str">
        <f aca="false">IF($A43="","",SUMIFS(Del_Qty,Del_Site,$A43,Del_Mat,$B43,Del_Date,"&gt;="&amp;B$6,Del_Date,"&lt;="&amp;B$7))</f>
        <v/>
      </c>
      <c r="Q43" s="74" t="str">
        <f aca="false">IF($A43="","",SUMIFS(Del_Qty,Del_Site,$A43,Del_Mat,$B43,Del_Date,"&gt;="&amp;C$6,Del_Date,"&lt;="&amp;C$7))</f>
        <v/>
      </c>
      <c r="R43" s="74" t="str">
        <f aca="false">IF($A43="","",SUMIFS(Del_Qty,Del_Site,$A43,Del_Mat,$B43,Del_Date,"&gt;="&amp;D$6,Del_Date,"&lt;="&amp;D$7))</f>
        <v/>
      </c>
      <c r="S43" s="74" t="str">
        <f aca="false">IF($A43="","",SUMIFS(Del_Qty,Del_Site,$A43,Del_Mat,$B43,Del_Date,"&gt;="&amp;E$6,Del_Date,"&lt;="&amp;E$7))</f>
        <v/>
      </c>
      <c r="T43" s="74" t="str">
        <f aca="false">IF($A43="","",SUMIFS(Del_Qty,Del_Site,$A43,Del_Mat,$B43,Del_Date,"&gt;="&amp;F$6,Del_Date,"&lt;="&amp;F$7))</f>
        <v/>
      </c>
      <c r="U43" s="74" t="str">
        <f aca="false">IF($A43="","",SUMIFS(Del_Qty,Del_Site,$A43,Del_Mat,$B43,Del_Date,"&gt;="&amp;G$6,Del_Date,"&lt;="&amp;G$7))</f>
        <v/>
      </c>
      <c r="V43" s="81" t="str">
        <f aca="false">IF($A43="","",MAX(0,J43+$I43-MAX(0,$H43)-P43))</f>
        <v/>
      </c>
      <c r="W43" s="81" t="str">
        <f aca="false">IF($A43="","",MAX(0,K43+$I43-AB43-Q43))</f>
        <v/>
      </c>
      <c r="X43" s="81" t="str">
        <f aca="false">IF($A43="","",MAX(0,L43+$I43-AC43-R43))</f>
        <v/>
      </c>
      <c r="Y43" s="81" t="str">
        <f aca="false">IF($A43="","",MAX(0,M43+$I43-AD43-S43))</f>
        <v/>
      </c>
      <c r="Z43" s="81" t="str">
        <f aca="false">IF($A43="","",MAX(0,N43+$I43-AE43-T43))</f>
        <v/>
      </c>
      <c r="AA43" s="81" t="str">
        <f aca="false">IF($A43="","",MAX(0,O43+$I43-AF43-U43))</f>
        <v/>
      </c>
      <c r="AB43" s="67" t="str">
        <f aca="false">IF($A43="","",MAX($I43,MAX(0,$H43)+P43-J43))</f>
        <v/>
      </c>
      <c r="AC43" s="67" t="str">
        <f aca="false">IF($A43="","",MAX($I43,AB43+Q43-K43))</f>
        <v/>
      </c>
      <c r="AD43" s="67" t="str">
        <f aca="false">IF($A43="","",MAX($I43,AC43+R43-L43))</f>
        <v/>
      </c>
      <c r="AE43" s="67" t="str">
        <f aca="false">IF($A43="","",MAX($I43,AD43+S43-M43))</f>
        <v/>
      </c>
      <c r="AF43" s="67" t="str">
        <f aca="false">IF($A43="","",MAX($I43,AE43+T43-N43))</f>
        <v/>
      </c>
      <c r="AG43" s="67" t="str">
        <f aca="false">IF($A43="","",MAX($I43,AF43+U43-O43))</f>
        <v/>
      </c>
      <c r="AH43" s="76" t="str">
        <f aca="false">IF($A43="","",IF($H43&lt;=0,"Already out",IF($E43&lt;=0,"No usage",IF(MAX(0,$H43)+SUM($P43:P43)-SUM($J43:J43)&lt;=0,$B$9,IF(MAX(0,$H43)+SUM($P43:Q43)-SUM($J43:K43)&lt;=0,$C$9,IF(MAX(0,$H43)+SUM($P43:R43)-SUM($J43:L43)&lt;=0,$D$9,IF(MAX(0,$H43)+SUM($P43:S43)-SUM($J43:M43)&lt;=0,$E$9,IF(MAX(0,$H43)+SUM($P43:T43)-SUM($J43:N43)&lt;=0,$F$9,IF(MAX(0,$H43)+SUM($P43:U43)-SUM($J43:O43)&lt;=0,$G$9,"Beyond 6 periods")))))))))</f>
        <v/>
      </c>
      <c r="AI43" s="67" t="str">
        <f aca="false">IF($A43="","",SUM(J43:O43))</f>
        <v/>
      </c>
      <c r="AJ43" s="68" t="str">
        <f aca="false">IF($A43="","",SUM(V43:AA43))</f>
        <v/>
      </c>
    </row>
    <row r="44" customFormat="false" ht="15" hidden="false" customHeight="false" outlineLevel="0" collapsed="false">
      <c r="A44" s="16" t="str">
        <f aca="false">IF('Stock Monitor'!$A12="","",'Stock Monitor'!$A12)</f>
        <v/>
      </c>
      <c r="B44" s="64" t="str">
        <f aca="false">IF($A44="","",'Stock Monitor'!$B12)</f>
        <v/>
      </c>
      <c r="C44" s="16" t="str">
        <f aca="false">IF($A44="","",'Stock Monitor'!$C12)</f>
        <v/>
      </c>
      <c r="D44" s="64" t="str">
        <f aca="false">IF($A44="","",'Stock Monitor'!$D12)</f>
        <v/>
      </c>
      <c r="E44" s="67" t="str">
        <f aca="false">IF($A44="","",'Stock Monitor'!$J12)</f>
        <v/>
      </c>
      <c r="F44" s="67" t="str">
        <f aca="false">IF($A44="","",$E44*WorkDaysWeek)</f>
        <v/>
      </c>
      <c r="G44" s="67" t="str">
        <f aca="false">IF($A44="","",$E44*WorkDaysMonth)</f>
        <v/>
      </c>
      <c r="H44" s="68" t="str">
        <f aca="false">IF($A44="","",'Stock Monitor'!$E12)</f>
        <v/>
      </c>
      <c r="I44" s="67" t="str">
        <f aca="false">IF($A44="","",'Stock Monitor'!$T12)</f>
        <v/>
      </c>
      <c r="J44" s="67" t="str">
        <f aca="false">IF($A44="","",$E44*B$8)</f>
        <v/>
      </c>
      <c r="K44" s="67" t="str">
        <f aca="false">IF($A44="","",$E44*C$8)</f>
        <v/>
      </c>
      <c r="L44" s="67" t="str">
        <f aca="false">IF($A44="","",$E44*D$8)</f>
        <v/>
      </c>
      <c r="M44" s="67" t="str">
        <f aca="false">IF($A44="","",$E44*E$8)</f>
        <v/>
      </c>
      <c r="N44" s="67" t="str">
        <f aca="false">IF($A44="","",$E44*F$8)</f>
        <v/>
      </c>
      <c r="O44" s="67" t="str">
        <f aca="false">IF($A44="","",$E44*G$8)</f>
        <v/>
      </c>
      <c r="P44" s="74" t="str">
        <f aca="false">IF($A44="","",SUMIFS(Del_Qty,Del_Site,$A44,Del_Mat,$B44,Del_Date,"&gt;="&amp;B$6,Del_Date,"&lt;="&amp;B$7))</f>
        <v/>
      </c>
      <c r="Q44" s="74" t="str">
        <f aca="false">IF($A44="","",SUMIFS(Del_Qty,Del_Site,$A44,Del_Mat,$B44,Del_Date,"&gt;="&amp;C$6,Del_Date,"&lt;="&amp;C$7))</f>
        <v/>
      </c>
      <c r="R44" s="74" t="str">
        <f aca="false">IF($A44="","",SUMIFS(Del_Qty,Del_Site,$A44,Del_Mat,$B44,Del_Date,"&gt;="&amp;D$6,Del_Date,"&lt;="&amp;D$7))</f>
        <v/>
      </c>
      <c r="S44" s="74" t="str">
        <f aca="false">IF($A44="","",SUMIFS(Del_Qty,Del_Site,$A44,Del_Mat,$B44,Del_Date,"&gt;="&amp;E$6,Del_Date,"&lt;="&amp;E$7))</f>
        <v/>
      </c>
      <c r="T44" s="74" t="str">
        <f aca="false">IF($A44="","",SUMIFS(Del_Qty,Del_Site,$A44,Del_Mat,$B44,Del_Date,"&gt;="&amp;F$6,Del_Date,"&lt;="&amp;F$7))</f>
        <v/>
      </c>
      <c r="U44" s="74" t="str">
        <f aca="false">IF($A44="","",SUMIFS(Del_Qty,Del_Site,$A44,Del_Mat,$B44,Del_Date,"&gt;="&amp;G$6,Del_Date,"&lt;="&amp;G$7))</f>
        <v/>
      </c>
      <c r="V44" s="81" t="str">
        <f aca="false">IF($A44="","",MAX(0,J44+$I44-MAX(0,$H44)-P44))</f>
        <v/>
      </c>
      <c r="W44" s="81" t="str">
        <f aca="false">IF($A44="","",MAX(0,K44+$I44-AB44-Q44))</f>
        <v/>
      </c>
      <c r="X44" s="81" t="str">
        <f aca="false">IF($A44="","",MAX(0,L44+$I44-AC44-R44))</f>
        <v/>
      </c>
      <c r="Y44" s="81" t="str">
        <f aca="false">IF($A44="","",MAX(0,M44+$I44-AD44-S44))</f>
        <v/>
      </c>
      <c r="Z44" s="81" t="str">
        <f aca="false">IF($A44="","",MAX(0,N44+$I44-AE44-T44))</f>
        <v/>
      </c>
      <c r="AA44" s="81" t="str">
        <f aca="false">IF($A44="","",MAX(0,O44+$I44-AF44-U44))</f>
        <v/>
      </c>
      <c r="AB44" s="67" t="str">
        <f aca="false">IF($A44="","",MAX($I44,MAX(0,$H44)+P44-J44))</f>
        <v/>
      </c>
      <c r="AC44" s="67" t="str">
        <f aca="false">IF($A44="","",MAX($I44,AB44+Q44-K44))</f>
        <v/>
      </c>
      <c r="AD44" s="67" t="str">
        <f aca="false">IF($A44="","",MAX($I44,AC44+R44-L44))</f>
        <v/>
      </c>
      <c r="AE44" s="67" t="str">
        <f aca="false">IF($A44="","",MAX($I44,AD44+S44-M44))</f>
        <v/>
      </c>
      <c r="AF44" s="67" t="str">
        <f aca="false">IF($A44="","",MAX($I44,AE44+T44-N44))</f>
        <v/>
      </c>
      <c r="AG44" s="67" t="str">
        <f aca="false">IF($A44="","",MAX($I44,AF44+U44-O44))</f>
        <v/>
      </c>
      <c r="AH44" s="76" t="str">
        <f aca="false">IF($A44="","",IF($H44&lt;=0,"Already out",IF($E44&lt;=0,"No usage",IF(MAX(0,$H44)+SUM($P44:P44)-SUM($J44:J44)&lt;=0,$B$9,IF(MAX(0,$H44)+SUM($P44:Q44)-SUM($J44:K44)&lt;=0,$C$9,IF(MAX(0,$H44)+SUM($P44:R44)-SUM($J44:L44)&lt;=0,$D$9,IF(MAX(0,$H44)+SUM($P44:S44)-SUM($J44:M44)&lt;=0,$E$9,IF(MAX(0,$H44)+SUM($P44:T44)-SUM($J44:N44)&lt;=0,$F$9,IF(MAX(0,$H44)+SUM($P44:U44)-SUM($J44:O44)&lt;=0,$G$9,"Beyond 6 periods")))))))))</f>
        <v/>
      </c>
      <c r="AI44" s="67" t="str">
        <f aca="false">IF($A44="","",SUM(J44:O44))</f>
        <v/>
      </c>
      <c r="AJ44" s="68" t="str">
        <f aca="false">IF($A44="","",SUM(V44:AA44))</f>
        <v/>
      </c>
    </row>
    <row r="45" customFormat="false" ht="15" hidden="false" customHeight="false" outlineLevel="0" collapsed="false">
      <c r="A45" s="16" t="str">
        <f aca="false">IF('Stock Monitor'!$A13="","",'Stock Monitor'!$A13)</f>
        <v/>
      </c>
      <c r="B45" s="64" t="str">
        <f aca="false">IF($A45="","",'Stock Monitor'!$B13)</f>
        <v/>
      </c>
      <c r="C45" s="16" t="str">
        <f aca="false">IF($A45="","",'Stock Monitor'!$C13)</f>
        <v/>
      </c>
      <c r="D45" s="64" t="str">
        <f aca="false">IF($A45="","",'Stock Monitor'!$D13)</f>
        <v/>
      </c>
      <c r="E45" s="67" t="str">
        <f aca="false">IF($A45="","",'Stock Monitor'!$J13)</f>
        <v/>
      </c>
      <c r="F45" s="67" t="str">
        <f aca="false">IF($A45="","",$E45*WorkDaysWeek)</f>
        <v/>
      </c>
      <c r="G45" s="67" t="str">
        <f aca="false">IF($A45="","",$E45*WorkDaysMonth)</f>
        <v/>
      </c>
      <c r="H45" s="68" t="str">
        <f aca="false">IF($A45="","",'Stock Monitor'!$E13)</f>
        <v/>
      </c>
      <c r="I45" s="67" t="str">
        <f aca="false">IF($A45="","",'Stock Monitor'!$T13)</f>
        <v/>
      </c>
      <c r="J45" s="67" t="str">
        <f aca="false">IF($A45="","",$E45*B$8)</f>
        <v/>
      </c>
      <c r="K45" s="67" t="str">
        <f aca="false">IF($A45="","",$E45*C$8)</f>
        <v/>
      </c>
      <c r="L45" s="67" t="str">
        <f aca="false">IF($A45="","",$E45*D$8)</f>
        <v/>
      </c>
      <c r="M45" s="67" t="str">
        <f aca="false">IF($A45="","",$E45*E$8)</f>
        <v/>
      </c>
      <c r="N45" s="67" t="str">
        <f aca="false">IF($A45="","",$E45*F$8)</f>
        <v/>
      </c>
      <c r="O45" s="67" t="str">
        <f aca="false">IF($A45="","",$E45*G$8)</f>
        <v/>
      </c>
      <c r="P45" s="74" t="str">
        <f aca="false">IF($A45="","",SUMIFS(Del_Qty,Del_Site,$A45,Del_Mat,$B45,Del_Date,"&gt;="&amp;B$6,Del_Date,"&lt;="&amp;B$7))</f>
        <v/>
      </c>
      <c r="Q45" s="74" t="str">
        <f aca="false">IF($A45="","",SUMIFS(Del_Qty,Del_Site,$A45,Del_Mat,$B45,Del_Date,"&gt;="&amp;C$6,Del_Date,"&lt;="&amp;C$7))</f>
        <v/>
      </c>
      <c r="R45" s="74" t="str">
        <f aca="false">IF($A45="","",SUMIFS(Del_Qty,Del_Site,$A45,Del_Mat,$B45,Del_Date,"&gt;="&amp;D$6,Del_Date,"&lt;="&amp;D$7))</f>
        <v/>
      </c>
      <c r="S45" s="74" t="str">
        <f aca="false">IF($A45="","",SUMIFS(Del_Qty,Del_Site,$A45,Del_Mat,$B45,Del_Date,"&gt;="&amp;E$6,Del_Date,"&lt;="&amp;E$7))</f>
        <v/>
      </c>
      <c r="T45" s="74" t="str">
        <f aca="false">IF($A45="","",SUMIFS(Del_Qty,Del_Site,$A45,Del_Mat,$B45,Del_Date,"&gt;="&amp;F$6,Del_Date,"&lt;="&amp;F$7))</f>
        <v/>
      </c>
      <c r="U45" s="74" t="str">
        <f aca="false">IF($A45="","",SUMIFS(Del_Qty,Del_Site,$A45,Del_Mat,$B45,Del_Date,"&gt;="&amp;G$6,Del_Date,"&lt;="&amp;G$7))</f>
        <v/>
      </c>
      <c r="V45" s="81" t="str">
        <f aca="false">IF($A45="","",MAX(0,J45+$I45-MAX(0,$H45)-P45))</f>
        <v/>
      </c>
      <c r="W45" s="81" t="str">
        <f aca="false">IF($A45="","",MAX(0,K45+$I45-AB45-Q45))</f>
        <v/>
      </c>
      <c r="X45" s="81" t="str">
        <f aca="false">IF($A45="","",MAX(0,L45+$I45-AC45-R45))</f>
        <v/>
      </c>
      <c r="Y45" s="81" t="str">
        <f aca="false">IF($A45="","",MAX(0,M45+$I45-AD45-S45))</f>
        <v/>
      </c>
      <c r="Z45" s="81" t="str">
        <f aca="false">IF($A45="","",MAX(0,N45+$I45-AE45-T45))</f>
        <v/>
      </c>
      <c r="AA45" s="81" t="str">
        <f aca="false">IF($A45="","",MAX(0,O45+$I45-AF45-U45))</f>
        <v/>
      </c>
      <c r="AB45" s="67" t="str">
        <f aca="false">IF($A45="","",MAX($I45,MAX(0,$H45)+P45-J45))</f>
        <v/>
      </c>
      <c r="AC45" s="67" t="str">
        <f aca="false">IF($A45="","",MAX($I45,AB45+Q45-K45))</f>
        <v/>
      </c>
      <c r="AD45" s="67" t="str">
        <f aca="false">IF($A45="","",MAX($I45,AC45+R45-L45))</f>
        <v/>
      </c>
      <c r="AE45" s="67" t="str">
        <f aca="false">IF($A45="","",MAX($I45,AD45+S45-M45))</f>
        <v/>
      </c>
      <c r="AF45" s="67" t="str">
        <f aca="false">IF($A45="","",MAX($I45,AE45+T45-N45))</f>
        <v/>
      </c>
      <c r="AG45" s="67" t="str">
        <f aca="false">IF($A45="","",MAX($I45,AF45+U45-O45))</f>
        <v/>
      </c>
      <c r="AH45" s="76" t="str">
        <f aca="false">IF($A45="","",IF($H45&lt;=0,"Already out",IF($E45&lt;=0,"No usage",IF(MAX(0,$H45)+SUM($P45:P45)-SUM($J45:J45)&lt;=0,$B$9,IF(MAX(0,$H45)+SUM($P45:Q45)-SUM($J45:K45)&lt;=0,$C$9,IF(MAX(0,$H45)+SUM($P45:R45)-SUM($J45:L45)&lt;=0,$D$9,IF(MAX(0,$H45)+SUM($P45:S45)-SUM($J45:M45)&lt;=0,$E$9,IF(MAX(0,$H45)+SUM($P45:T45)-SUM($J45:N45)&lt;=0,$F$9,IF(MAX(0,$H45)+SUM($P45:U45)-SUM($J45:O45)&lt;=0,$G$9,"Beyond 6 periods")))))))))</f>
        <v/>
      </c>
      <c r="AI45" s="67" t="str">
        <f aca="false">IF($A45="","",SUM(J45:O45))</f>
        <v/>
      </c>
      <c r="AJ45" s="68" t="str">
        <f aca="false">IF($A45="","",SUM(V45:AA45))</f>
        <v/>
      </c>
    </row>
    <row r="46" customFormat="false" ht="15" hidden="false" customHeight="false" outlineLevel="0" collapsed="false">
      <c r="A46" s="16" t="str">
        <f aca="false">IF('Stock Monitor'!$A14="","",'Stock Monitor'!$A14)</f>
        <v/>
      </c>
      <c r="B46" s="64" t="str">
        <f aca="false">IF($A46="","",'Stock Monitor'!$B14)</f>
        <v/>
      </c>
      <c r="C46" s="16" t="str">
        <f aca="false">IF($A46="","",'Stock Monitor'!$C14)</f>
        <v/>
      </c>
      <c r="D46" s="64" t="str">
        <f aca="false">IF($A46="","",'Stock Monitor'!$D14)</f>
        <v/>
      </c>
      <c r="E46" s="67" t="str">
        <f aca="false">IF($A46="","",'Stock Monitor'!$J14)</f>
        <v/>
      </c>
      <c r="F46" s="67" t="str">
        <f aca="false">IF($A46="","",$E46*WorkDaysWeek)</f>
        <v/>
      </c>
      <c r="G46" s="67" t="str">
        <f aca="false">IF($A46="","",$E46*WorkDaysMonth)</f>
        <v/>
      </c>
      <c r="H46" s="68" t="str">
        <f aca="false">IF($A46="","",'Stock Monitor'!$E14)</f>
        <v/>
      </c>
      <c r="I46" s="67" t="str">
        <f aca="false">IF($A46="","",'Stock Monitor'!$T14)</f>
        <v/>
      </c>
      <c r="J46" s="67" t="str">
        <f aca="false">IF($A46="","",$E46*B$8)</f>
        <v/>
      </c>
      <c r="K46" s="67" t="str">
        <f aca="false">IF($A46="","",$E46*C$8)</f>
        <v/>
      </c>
      <c r="L46" s="67" t="str">
        <f aca="false">IF($A46="","",$E46*D$8)</f>
        <v/>
      </c>
      <c r="M46" s="67" t="str">
        <f aca="false">IF($A46="","",$E46*E$8)</f>
        <v/>
      </c>
      <c r="N46" s="67" t="str">
        <f aca="false">IF($A46="","",$E46*F$8)</f>
        <v/>
      </c>
      <c r="O46" s="67" t="str">
        <f aca="false">IF($A46="","",$E46*G$8)</f>
        <v/>
      </c>
      <c r="P46" s="74" t="str">
        <f aca="false">IF($A46="","",SUMIFS(Del_Qty,Del_Site,$A46,Del_Mat,$B46,Del_Date,"&gt;="&amp;B$6,Del_Date,"&lt;="&amp;B$7))</f>
        <v/>
      </c>
      <c r="Q46" s="74" t="str">
        <f aca="false">IF($A46="","",SUMIFS(Del_Qty,Del_Site,$A46,Del_Mat,$B46,Del_Date,"&gt;="&amp;C$6,Del_Date,"&lt;="&amp;C$7))</f>
        <v/>
      </c>
      <c r="R46" s="74" t="str">
        <f aca="false">IF($A46="","",SUMIFS(Del_Qty,Del_Site,$A46,Del_Mat,$B46,Del_Date,"&gt;="&amp;D$6,Del_Date,"&lt;="&amp;D$7))</f>
        <v/>
      </c>
      <c r="S46" s="74" t="str">
        <f aca="false">IF($A46="","",SUMIFS(Del_Qty,Del_Site,$A46,Del_Mat,$B46,Del_Date,"&gt;="&amp;E$6,Del_Date,"&lt;="&amp;E$7))</f>
        <v/>
      </c>
      <c r="T46" s="74" t="str">
        <f aca="false">IF($A46="","",SUMIFS(Del_Qty,Del_Site,$A46,Del_Mat,$B46,Del_Date,"&gt;="&amp;F$6,Del_Date,"&lt;="&amp;F$7))</f>
        <v/>
      </c>
      <c r="U46" s="74" t="str">
        <f aca="false">IF($A46="","",SUMIFS(Del_Qty,Del_Site,$A46,Del_Mat,$B46,Del_Date,"&gt;="&amp;G$6,Del_Date,"&lt;="&amp;G$7))</f>
        <v/>
      </c>
      <c r="V46" s="81" t="str">
        <f aca="false">IF($A46="","",MAX(0,J46+$I46-MAX(0,$H46)-P46))</f>
        <v/>
      </c>
      <c r="W46" s="81" t="str">
        <f aca="false">IF($A46="","",MAX(0,K46+$I46-AB46-Q46))</f>
        <v/>
      </c>
      <c r="X46" s="81" t="str">
        <f aca="false">IF($A46="","",MAX(0,L46+$I46-AC46-R46))</f>
        <v/>
      </c>
      <c r="Y46" s="81" t="str">
        <f aca="false">IF($A46="","",MAX(0,M46+$I46-AD46-S46))</f>
        <v/>
      </c>
      <c r="Z46" s="81" t="str">
        <f aca="false">IF($A46="","",MAX(0,N46+$I46-AE46-T46))</f>
        <v/>
      </c>
      <c r="AA46" s="81" t="str">
        <f aca="false">IF($A46="","",MAX(0,O46+$I46-AF46-U46))</f>
        <v/>
      </c>
      <c r="AB46" s="67" t="str">
        <f aca="false">IF($A46="","",MAX($I46,MAX(0,$H46)+P46-J46))</f>
        <v/>
      </c>
      <c r="AC46" s="67" t="str">
        <f aca="false">IF($A46="","",MAX($I46,AB46+Q46-K46))</f>
        <v/>
      </c>
      <c r="AD46" s="67" t="str">
        <f aca="false">IF($A46="","",MAX($I46,AC46+R46-L46))</f>
        <v/>
      </c>
      <c r="AE46" s="67" t="str">
        <f aca="false">IF($A46="","",MAX($I46,AD46+S46-M46))</f>
        <v/>
      </c>
      <c r="AF46" s="67" t="str">
        <f aca="false">IF($A46="","",MAX($I46,AE46+T46-N46))</f>
        <v/>
      </c>
      <c r="AG46" s="67" t="str">
        <f aca="false">IF($A46="","",MAX($I46,AF46+U46-O46))</f>
        <v/>
      </c>
      <c r="AH46" s="76" t="str">
        <f aca="false">IF($A46="","",IF($H46&lt;=0,"Already out",IF($E46&lt;=0,"No usage",IF(MAX(0,$H46)+SUM($P46:P46)-SUM($J46:J46)&lt;=0,$B$9,IF(MAX(0,$H46)+SUM($P46:Q46)-SUM($J46:K46)&lt;=0,$C$9,IF(MAX(0,$H46)+SUM($P46:R46)-SUM($J46:L46)&lt;=0,$D$9,IF(MAX(0,$H46)+SUM($P46:S46)-SUM($J46:M46)&lt;=0,$E$9,IF(MAX(0,$H46)+SUM($P46:T46)-SUM($J46:N46)&lt;=0,$F$9,IF(MAX(0,$H46)+SUM($P46:U46)-SUM($J46:O46)&lt;=0,$G$9,"Beyond 6 periods")))))))))</f>
        <v/>
      </c>
      <c r="AI46" s="67" t="str">
        <f aca="false">IF($A46="","",SUM(J46:O46))</f>
        <v/>
      </c>
      <c r="AJ46" s="68" t="str">
        <f aca="false">IF($A46="","",SUM(V46:AA46))</f>
        <v/>
      </c>
    </row>
    <row r="47" customFormat="false" ht="15" hidden="false" customHeight="false" outlineLevel="0" collapsed="false">
      <c r="A47" s="16" t="str">
        <f aca="false">IF('Stock Monitor'!$A15="","",'Stock Monitor'!$A15)</f>
        <v/>
      </c>
      <c r="B47" s="64" t="str">
        <f aca="false">IF($A47="","",'Stock Monitor'!$B15)</f>
        <v/>
      </c>
      <c r="C47" s="16" t="str">
        <f aca="false">IF($A47="","",'Stock Monitor'!$C15)</f>
        <v/>
      </c>
      <c r="D47" s="64" t="str">
        <f aca="false">IF($A47="","",'Stock Monitor'!$D15)</f>
        <v/>
      </c>
      <c r="E47" s="67" t="str">
        <f aca="false">IF($A47="","",'Stock Monitor'!$J15)</f>
        <v/>
      </c>
      <c r="F47" s="67" t="str">
        <f aca="false">IF($A47="","",$E47*WorkDaysWeek)</f>
        <v/>
      </c>
      <c r="G47" s="67" t="str">
        <f aca="false">IF($A47="","",$E47*WorkDaysMonth)</f>
        <v/>
      </c>
      <c r="H47" s="68" t="str">
        <f aca="false">IF($A47="","",'Stock Monitor'!$E15)</f>
        <v/>
      </c>
      <c r="I47" s="67" t="str">
        <f aca="false">IF($A47="","",'Stock Monitor'!$T15)</f>
        <v/>
      </c>
      <c r="J47" s="67" t="str">
        <f aca="false">IF($A47="","",$E47*B$8)</f>
        <v/>
      </c>
      <c r="K47" s="67" t="str">
        <f aca="false">IF($A47="","",$E47*C$8)</f>
        <v/>
      </c>
      <c r="L47" s="67" t="str">
        <f aca="false">IF($A47="","",$E47*D$8)</f>
        <v/>
      </c>
      <c r="M47" s="67" t="str">
        <f aca="false">IF($A47="","",$E47*E$8)</f>
        <v/>
      </c>
      <c r="N47" s="67" t="str">
        <f aca="false">IF($A47="","",$E47*F$8)</f>
        <v/>
      </c>
      <c r="O47" s="67" t="str">
        <f aca="false">IF($A47="","",$E47*G$8)</f>
        <v/>
      </c>
      <c r="P47" s="74" t="str">
        <f aca="false">IF($A47="","",SUMIFS(Del_Qty,Del_Site,$A47,Del_Mat,$B47,Del_Date,"&gt;="&amp;B$6,Del_Date,"&lt;="&amp;B$7))</f>
        <v/>
      </c>
      <c r="Q47" s="74" t="str">
        <f aca="false">IF($A47="","",SUMIFS(Del_Qty,Del_Site,$A47,Del_Mat,$B47,Del_Date,"&gt;="&amp;C$6,Del_Date,"&lt;="&amp;C$7))</f>
        <v/>
      </c>
      <c r="R47" s="74" t="str">
        <f aca="false">IF($A47="","",SUMIFS(Del_Qty,Del_Site,$A47,Del_Mat,$B47,Del_Date,"&gt;="&amp;D$6,Del_Date,"&lt;="&amp;D$7))</f>
        <v/>
      </c>
      <c r="S47" s="74" t="str">
        <f aca="false">IF($A47="","",SUMIFS(Del_Qty,Del_Site,$A47,Del_Mat,$B47,Del_Date,"&gt;="&amp;E$6,Del_Date,"&lt;="&amp;E$7))</f>
        <v/>
      </c>
      <c r="T47" s="74" t="str">
        <f aca="false">IF($A47="","",SUMIFS(Del_Qty,Del_Site,$A47,Del_Mat,$B47,Del_Date,"&gt;="&amp;F$6,Del_Date,"&lt;="&amp;F$7))</f>
        <v/>
      </c>
      <c r="U47" s="74" t="str">
        <f aca="false">IF($A47="","",SUMIFS(Del_Qty,Del_Site,$A47,Del_Mat,$B47,Del_Date,"&gt;="&amp;G$6,Del_Date,"&lt;="&amp;G$7))</f>
        <v/>
      </c>
      <c r="V47" s="81" t="str">
        <f aca="false">IF($A47="","",MAX(0,J47+$I47-MAX(0,$H47)-P47))</f>
        <v/>
      </c>
      <c r="W47" s="81" t="str">
        <f aca="false">IF($A47="","",MAX(0,K47+$I47-AB47-Q47))</f>
        <v/>
      </c>
      <c r="X47" s="81" t="str">
        <f aca="false">IF($A47="","",MAX(0,L47+$I47-AC47-R47))</f>
        <v/>
      </c>
      <c r="Y47" s="81" t="str">
        <f aca="false">IF($A47="","",MAX(0,M47+$I47-AD47-S47))</f>
        <v/>
      </c>
      <c r="Z47" s="81" t="str">
        <f aca="false">IF($A47="","",MAX(0,N47+$I47-AE47-T47))</f>
        <v/>
      </c>
      <c r="AA47" s="81" t="str">
        <f aca="false">IF($A47="","",MAX(0,O47+$I47-AF47-U47))</f>
        <v/>
      </c>
      <c r="AB47" s="67" t="str">
        <f aca="false">IF($A47="","",MAX($I47,MAX(0,$H47)+P47-J47))</f>
        <v/>
      </c>
      <c r="AC47" s="67" t="str">
        <f aca="false">IF($A47="","",MAX($I47,AB47+Q47-K47))</f>
        <v/>
      </c>
      <c r="AD47" s="67" t="str">
        <f aca="false">IF($A47="","",MAX($I47,AC47+R47-L47))</f>
        <v/>
      </c>
      <c r="AE47" s="67" t="str">
        <f aca="false">IF($A47="","",MAX($I47,AD47+S47-M47))</f>
        <v/>
      </c>
      <c r="AF47" s="67" t="str">
        <f aca="false">IF($A47="","",MAX($I47,AE47+T47-N47))</f>
        <v/>
      </c>
      <c r="AG47" s="67" t="str">
        <f aca="false">IF($A47="","",MAX($I47,AF47+U47-O47))</f>
        <v/>
      </c>
      <c r="AH47" s="76" t="str">
        <f aca="false">IF($A47="","",IF($H47&lt;=0,"Already out",IF($E47&lt;=0,"No usage",IF(MAX(0,$H47)+SUM($P47:P47)-SUM($J47:J47)&lt;=0,$B$9,IF(MAX(0,$H47)+SUM($P47:Q47)-SUM($J47:K47)&lt;=0,$C$9,IF(MAX(0,$H47)+SUM($P47:R47)-SUM($J47:L47)&lt;=0,$D$9,IF(MAX(0,$H47)+SUM($P47:S47)-SUM($J47:M47)&lt;=0,$E$9,IF(MAX(0,$H47)+SUM($P47:T47)-SUM($J47:N47)&lt;=0,$F$9,IF(MAX(0,$H47)+SUM($P47:U47)-SUM($J47:O47)&lt;=0,$G$9,"Beyond 6 periods")))))))))</f>
        <v/>
      </c>
      <c r="AI47" s="67" t="str">
        <f aca="false">IF($A47="","",SUM(J47:O47))</f>
        <v/>
      </c>
      <c r="AJ47" s="68" t="str">
        <f aca="false">IF($A47="","",SUM(V47:AA47))</f>
        <v/>
      </c>
    </row>
    <row r="48" customFormat="false" ht="15" hidden="false" customHeight="false" outlineLevel="0" collapsed="false">
      <c r="A48" s="16" t="str">
        <f aca="false">IF('Stock Monitor'!$A16="","",'Stock Monitor'!$A16)</f>
        <v/>
      </c>
      <c r="B48" s="64" t="str">
        <f aca="false">IF($A48="","",'Stock Monitor'!$B16)</f>
        <v/>
      </c>
      <c r="C48" s="16" t="str">
        <f aca="false">IF($A48="","",'Stock Monitor'!$C16)</f>
        <v/>
      </c>
      <c r="D48" s="64" t="str">
        <f aca="false">IF($A48="","",'Stock Monitor'!$D16)</f>
        <v/>
      </c>
      <c r="E48" s="67" t="str">
        <f aca="false">IF($A48="","",'Stock Monitor'!$J16)</f>
        <v/>
      </c>
      <c r="F48" s="67" t="str">
        <f aca="false">IF($A48="","",$E48*WorkDaysWeek)</f>
        <v/>
      </c>
      <c r="G48" s="67" t="str">
        <f aca="false">IF($A48="","",$E48*WorkDaysMonth)</f>
        <v/>
      </c>
      <c r="H48" s="68" t="str">
        <f aca="false">IF($A48="","",'Stock Monitor'!$E16)</f>
        <v/>
      </c>
      <c r="I48" s="67" t="str">
        <f aca="false">IF($A48="","",'Stock Monitor'!$T16)</f>
        <v/>
      </c>
      <c r="J48" s="67" t="str">
        <f aca="false">IF($A48="","",$E48*B$8)</f>
        <v/>
      </c>
      <c r="K48" s="67" t="str">
        <f aca="false">IF($A48="","",$E48*C$8)</f>
        <v/>
      </c>
      <c r="L48" s="67" t="str">
        <f aca="false">IF($A48="","",$E48*D$8)</f>
        <v/>
      </c>
      <c r="M48" s="67" t="str">
        <f aca="false">IF($A48="","",$E48*E$8)</f>
        <v/>
      </c>
      <c r="N48" s="67" t="str">
        <f aca="false">IF($A48="","",$E48*F$8)</f>
        <v/>
      </c>
      <c r="O48" s="67" t="str">
        <f aca="false">IF($A48="","",$E48*G$8)</f>
        <v/>
      </c>
      <c r="P48" s="74" t="str">
        <f aca="false">IF($A48="","",SUMIFS(Del_Qty,Del_Site,$A48,Del_Mat,$B48,Del_Date,"&gt;="&amp;B$6,Del_Date,"&lt;="&amp;B$7))</f>
        <v/>
      </c>
      <c r="Q48" s="74" t="str">
        <f aca="false">IF($A48="","",SUMIFS(Del_Qty,Del_Site,$A48,Del_Mat,$B48,Del_Date,"&gt;="&amp;C$6,Del_Date,"&lt;="&amp;C$7))</f>
        <v/>
      </c>
      <c r="R48" s="74" t="str">
        <f aca="false">IF($A48="","",SUMIFS(Del_Qty,Del_Site,$A48,Del_Mat,$B48,Del_Date,"&gt;="&amp;D$6,Del_Date,"&lt;="&amp;D$7))</f>
        <v/>
      </c>
      <c r="S48" s="74" t="str">
        <f aca="false">IF($A48="","",SUMIFS(Del_Qty,Del_Site,$A48,Del_Mat,$B48,Del_Date,"&gt;="&amp;E$6,Del_Date,"&lt;="&amp;E$7))</f>
        <v/>
      </c>
      <c r="T48" s="74" t="str">
        <f aca="false">IF($A48="","",SUMIFS(Del_Qty,Del_Site,$A48,Del_Mat,$B48,Del_Date,"&gt;="&amp;F$6,Del_Date,"&lt;="&amp;F$7))</f>
        <v/>
      </c>
      <c r="U48" s="74" t="str">
        <f aca="false">IF($A48="","",SUMIFS(Del_Qty,Del_Site,$A48,Del_Mat,$B48,Del_Date,"&gt;="&amp;G$6,Del_Date,"&lt;="&amp;G$7))</f>
        <v/>
      </c>
      <c r="V48" s="81" t="str">
        <f aca="false">IF($A48="","",MAX(0,J48+$I48-MAX(0,$H48)-P48))</f>
        <v/>
      </c>
      <c r="W48" s="81" t="str">
        <f aca="false">IF($A48="","",MAX(0,K48+$I48-AB48-Q48))</f>
        <v/>
      </c>
      <c r="X48" s="81" t="str">
        <f aca="false">IF($A48="","",MAX(0,L48+$I48-AC48-R48))</f>
        <v/>
      </c>
      <c r="Y48" s="81" t="str">
        <f aca="false">IF($A48="","",MAX(0,M48+$I48-AD48-S48))</f>
        <v/>
      </c>
      <c r="Z48" s="81" t="str">
        <f aca="false">IF($A48="","",MAX(0,N48+$I48-AE48-T48))</f>
        <v/>
      </c>
      <c r="AA48" s="81" t="str">
        <f aca="false">IF($A48="","",MAX(0,O48+$I48-AF48-U48))</f>
        <v/>
      </c>
      <c r="AB48" s="67" t="str">
        <f aca="false">IF($A48="","",MAX($I48,MAX(0,$H48)+P48-J48))</f>
        <v/>
      </c>
      <c r="AC48" s="67" t="str">
        <f aca="false">IF($A48="","",MAX($I48,AB48+Q48-K48))</f>
        <v/>
      </c>
      <c r="AD48" s="67" t="str">
        <f aca="false">IF($A48="","",MAX($I48,AC48+R48-L48))</f>
        <v/>
      </c>
      <c r="AE48" s="67" t="str">
        <f aca="false">IF($A48="","",MAX($I48,AD48+S48-M48))</f>
        <v/>
      </c>
      <c r="AF48" s="67" t="str">
        <f aca="false">IF($A48="","",MAX($I48,AE48+T48-N48))</f>
        <v/>
      </c>
      <c r="AG48" s="67" t="str">
        <f aca="false">IF($A48="","",MAX($I48,AF48+U48-O48))</f>
        <v/>
      </c>
      <c r="AH48" s="76" t="str">
        <f aca="false">IF($A48="","",IF($H48&lt;=0,"Already out",IF($E48&lt;=0,"No usage",IF(MAX(0,$H48)+SUM($P48:P48)-SUM($J48:J48)&lt;=0,$B$9,IF(MAX(0,$H48)+SUM($P48:Q48)-SUM($J48:K48)&lt;=0,$C$9,IF(MAX(0,$H48)+SUM($P48:R48)-SUM($J48:L48)&lt;=0,$D$9,IF(MAX(0,$H48)+SUM($P48:S48)-SUM($J48:M48)&lt;=0,$E$9,IF(MAX(0,$H48)+SUM($P48:T48)-SUM($J48:N48)&lt;=0,$F$9,IF(MAX(0,$H48)+SUM($P48:U48)-SUM($J48:O48)&lt;=0,$G$9,"Beyond 6 periods")))))))))</f>
        <v/>
      </c>
      <c r="AI48" s="67" t="str">
        <f aca="false">IF($A48="","",SUM(J48:O48))</f>
        <v/>
      </c>
      <c r="AJ48" s="68" t="str">
        <f aca="false">IF($A48="","",SUM(V48:AA48))</f>
        <v/>
      </c>
    </row>
    <row r="49" customFormat="false" ht="15" hidden="false" customHeight="false" outlineLevel="0" collapsed="false">
      <c r="A49" s="16" t="str">
        <f aca="false">IF('Stock Monitor'!$A17="","",'Stock Monitor'!$A17)</f>
        <v/>
      </c>
      <c r="B49" s="64" t="str">
        <f aca="false">IF($A49="","",'Stock Monitor'!$B17)</f>
        <v/>
      </c>
      <c r="C49" s="16" t="str">
        <f aca="false">IF($A49="","",'Stock Monitor'!$C17)</f>
        <v/>
      </c>
      <c r="D49" s="64" t="str">
        <f aca="false">IF($A49="","",'Stock Monitor'!$D17)</f>
        <v/>
      </c>
      <c r="E49" s="67" t="str">
        <f aca="false">IF($A49="","",'Stock Monitor'!$J17)</f>
        <v/>
      </c>
      <c r="F49" s="67" t="str">
        <f aca="false">IF($A49="","",$E49*WorkDaysWeek)</f>
        <v/>
      </c>
      <c r="G49" s="67" t="str">
        <f aca="false">IF($A49="","",$E49*WorkDaysMonth)</f>
        <v/>
      </c>
      <c r="H49" s="68" t="str">
        <f aca="false">IF($A49="","",'Stock Monitor'!$E17)</f>
        <v/>
      </c>
      <c r="I49" s="67" t="str">
        <f aca="false">IF($A49="","",'Stock Monitor'!$T17)</f>
        <v/>
      </c>
      <c r="J49" s="67" t="str">
        <f aca="false">IF($A49="","",$E49*B$8)</f>
        <v/>
      </c>
      <c r="K49" s="67" t="str">
        <f aca="false">IF($A49="","",$E49*C$8)</f>
        <v/>
      </c>
      <c r="L49" s="67" t="str">
        <f aca="false">IF($A49="","",$E49*D$8)</f>
        <v/>
      </c>
      <c r="M49" s="67" t="str">
        <f aca="false">IF($A49="","",$E49*E$8)</f>
        <v/>
      </c>
      <c r="N49" s="67" t="str">
        <f aca="false">IF($A49="","",$E49*F$8)</f>
        <v/>
      </c>
      <c r="O49" s="67" t="str">
        <f aca="false">IF($A49="","",$E49*G$8)</f>
        <v/>
      </c>
      <c r="P49" s="74" t="str">
        <f aca="false">IF($A49="","",SUMIFS(Del_Qty,Del_Site,$A49,Del_Mat,$B49,Del_Date,"&gt;="&amp;B$6,Del_Date,"&lt;="&amp;B$7))</f>
        <v/>
      </c>
      <c r="Q49" s="74" t="str">
        <f aca="false">IF($A49="","",SUMIFS(Del_Qty,Del_Site,$A49,Del_Mat,$B49,Del_Date,"&gt;="&amp;C$6,Del_Date,"&lt;="&amp;C$7))</f>
        <v/>
      </c>
      <c r="R49" s="74" t="str">
        <f aca="false">IF($A49="","",SUMIFS(Del_Qty,Del_Site,$A49,Del_Mat,$B49,Del_Date,"&gt;="&amp;D$6,Del_Date,"&lt;="&amp;D$7))</f>
        <v/>
      </c>
      <c r="S49" s="74" t="str">
        <f aca="false">IF($A49="","",SUMIFS(Del_Qty,Del_Site,$A49,Del_Mat,$B49,Del_Date,"&gt;="&amp;E$6,Del_Date,"&lt;="&amp;E$7))</f>
        <v/>
      </c>
      <c r="T49" s="74" t="str">
        <f aca="false">IF($A49="","",SUMIFS(Del_Qty,Del_Site,$A49,Del_Mat,$B49,Del_Date,"&gt;="&amp;F$6,Del_Date,"&lt;="&amp;F$7))</f>
        <v/>
      </c>
      <c r="U49" s="74" t="str">
        <f aca="false">IF($A49="","",SUMIFS(Del_Qty,Del_Site,$A49,Del_Mat,$B49,Del_Date,"&gt;="&amp;G$6,Del_Date,"&lt;="&amp;G$7))</f>
        <v/>
      </c>
      <c r="V49" s="81" t="str">
        <f aca="false">IF($A49="","",MAX(0,J49+$I49-MAX(0,$H49)-P49))</f>
        <v/>
      </c>
      <c r="W49" s="81" t="str">
        <f aca="false">IF($A49="","",MAX(0,K49+$I49-AB49-Q49))</f>
        <v/>
      </c>
      <c r="X49" s="81" t="str">
        <f aca="false">IF($A49="","",MAX(0,L49+$I49-AC49-R49))</f>
        <v/>
      </c>
      <c r="Y49" s="81" t="str">
        <f aca="false">IF($A49="","",MAX(0,M49+$I49-AD49-S49))</f>
        <v/>
      </c>
      <c r="Z49" s="81" t="str">
        <f aca="false">IF($A49="","",MAX(0,N49+$I49-AE49-T49))</f>
        <v/>
      </c>
      <c r="AA49" s="81" t="str">
        <f aca="false">IF($A49="","",MAX(0,O49+$I49-AF49-U49))</f>
        <v/>
      </c>
      <c r="AB49" s="67" t="str">
        <f aca="false">IF($A49="","",MAX($I49,MAX(0,$H49)+P49-J49))</f>
        <v/>
      </c>
      <c r="AC49" s="67" t="str">
        <f aca="false">IF($A49="","",MAX($I49,AB49+Q49-K49))</f>
        <v/>
      </c>
      <c r="AD49" s="67" t="str">
        <f aca="false">IF($A49="","",MAX($I49,AC49+R49-L49))</f>
        <v/>
      </c>
      <c r="AE49" s="67" t="str">
        <f aca="false">IF($A49="","",MAX($I49,AD49+S49-M49))</f>
        <v/>
      </c>
      <c r="AF49" s="67" t="str">
        <f aca="false">IF($A49="","",MAX($I49,AE49+T49-N49))</f>
        <v/>
      </c>
      <c r="AG49" s="67" t="str">
        <f aca="false">IF($A49="","",MAX($I49,AF49+U49-O49))</f>
        <v/>
      </c>
      <c r="AH49" s="76" t="str">
        <f aca="false">IF($A49="","",IF($H49&lt;=0,"Already out",IF($E49&lt;=0,"No usage",IF(MAX(0,$H49)+SUM($P49:P49)-SUM($J49:J49)&lt;=0,$B$9,IF(MAX(0,$H49)+SUM($P49:Q49)-SUM($J49:K49)&lt;=0,$C$9,IF(MAX(0,$H49)+SUM($P49:R49)-SUM($J49:L49)&lt;=0,$D$9,IF(MAX(0,$H49)+SUM($P49:S49)-SUM($J49:M49)&lt;=0,$E$9,IF(MAX(0,$H49)+SUM($P49:T49)-SUM($J49:N49)&lt;=0,$F$9,IF(MAX(0,$H49)+SUM($P49:U49)-SUM($J49:O49)&lt;=0,$G$9,"Beyond 6 periods")))))))))</f>
        <v/>
      </c>
      <c r="AI49" s="67" t="str">
        <f aca="false">IF($A49="","",SUM(J49:O49))</f>
        <v/>
      </c>
      <c r="AJ49" s="68" t="str">
        <f aca="false">IF($A49="","",SUM(V49:AA49))</f>
        <v/>
      </c>
    </row>
    <row r="50" customFormat="false" ht="15" hidden="false" customHeight="false" outlineLevel="0" collapsed="false">
      <c r="A50" s="16" t="str">
        <f aca="false">IF('Stock Monitor'!$A18="","",'Stock Monitor'!$A18)</f>
        <v/>
      </c>
      <c r="B50" s="64" t="str">
        <f aca="false">IF($A50="","",'Stock Monitor'!$B18)</f>
        <v/>
      </c>
      <c r="C50" s="16" t="str">
        <f aca="false">IF($A50="","",'Stock Monitor'!$C18)</f>
        <v/>
      </c>
      <c r="D50" s="64" t="str">
        <f aca="false">IF($A50="","",'Stock Monitor'!$D18)</f>
        <v/>
      </c>
      <c r="E50" s="67" t="str">
        <f aca="false">IF($A50="","",'Stock Monitor'!$J18)</f>
        <v/>
      </c>
      <c r="F50" s="67" t="str">
        <f aca="false">IF($A50="","",$E50*WorkDaysWeek)</f>
        <v/>
      </c>
      <c r="G50" s="67" t="str">
        <f aca="false">IF($A50="","",$E50*WorkDaysMonth)</f>
        <v/>
      </c>
      <c r="H50" s="68" t="str">
        <f aca="false">IF($A50="","",'Stock Monitor'!$E18)</f>
        <v/>
      </c>
      <c r="I50" s="67" t="str">
        <f aca="false">IF($A50="","",'Stock Monitor'!$T18)</f>
        <v/>
      </c>
      <c r="J50" s="67" t="str">
        <f aca="false">IF($A50="","",$E50*B$8)</f>
        <v/>
      </c>
      <c r="K50" s="67" t="str">
        <f aca="false">IF($A50="","",$E50*C$8)</f>
        <v/>
      </c>
      <c r="L50" s="67" t="str">
        <f aca="false">IF($A50="","",$E50*D$8)</f>
        <v/>
      </c>
      <c r="M50" s="67" t="str">
        <f aca="false">IF($A50="","",$E50*E$8)</f>
        <v/>
      </c>
      <c r="N50" s="67" t="str">
        <f aca="false">IF($A50="","",$E50*F$8)</f>
        <v/>
      </c>
      <c r="O50" s="67" t="str">
        <f aca="false">IF($A50="","",$E50*G$8)</f>
        <v/>
      </c>
      <c r="P50" s="74" t="str">
        <f aca="false">IF($A50="","",SUMIFS(Del_Qty,Del_Site,$A50,Del_Mat,$B50,Del_Date,"&gt;="&amp;B$6,Del_Date,"&lt;="&amp;B$7))</f>
        <v/>
      </c>
      <c r="Q50" s="74" t="str">
        <f aca="false">IF($A50="","",SUMIFS(Del_Qty,Del_Site,$A50,Del_Mat,$B50,Del_Date,"&gt;="&amp;C$6,Del_Date,"&lt;="&amp;C$7))</f>
        <v/>
      </c>
      <c r="R50" s="74" t="str">
        <f aca="false">IF($A50="","",SUMIFS(Del_Qty,Del_Site,$A50,Del_Mat,$B50,Del_Date,"&gt;="&amp;D$6,Del_Date,"&lt;="&amp;D$7))</f>
        <v/>
      </c>
      <c r="S50" s="74" t="str">
        <f aca="false">IF($A50="","",SUMIFS(Del_Qty,Del_Site,$A50,Del_Mat,$B50,Del_Date,"&gt;="&amp;E$6,Del_Date,"&lt;="&amp;E$7))</f>
        <v/>
      </c>
      <c r="T50" s="74" t="str">
        <f aca="false">IF($A50="","",SUMIFS(Del_Qty,Del_Site,$A50,Del_Mat,$B50,Del_Date,"&gt;="&amp;F$6,Del_Date,"&lt;="&amp;F$7))</f>
        <v/>
      </c>
      <c r="U50" s="74" t="str">
        <f aca="false">IF($A50="","",SUMIFS(Del_Qty,Del_Site,$A50,Del_Mat,$B50,Del_Date,"&gt;="&amp;G$6,Del_Date,"&lt;="&amp;G$7))</f>
        <v/>
      </c>
      <c r="V50" s="81" t="str">
        <f aca="false">IF($A50="","",MAX(0,J50+$I50-MAX(0,$H50)-P50))</f>
        <v/>
      </c>
      <c r="W50" s="81" t="str">
        <f aca="false">IF($A50="","",MAX(0,K50+$I50-AB50-Q50))</f>
        <v/>
      </c>
      <c r="X50" s="81" t="str">
        <f aca="false">IF($A50="","",MAX(0,L50+$I50-AC50-R50))</f>
        <v/>
      </c>
      <c r="Y50" s="81" t="str">
        <f aca="false">IF($A50="","",MAX(0,M50+$I50-AD50-S50))</f>
        <v/>
      </c>
      <c r="Z50" s="81" t="str">
        <f aca="false">IF($A50="","",MAX(0,N50+$I50-AE50-T50))</f>
        <v/>
      </c>
      <c r="AA50" s="81" t="str">
        <f aca="false">IF($A50="","",MAX(0,O50+$I50-AF50-U50))</f>
        <v/>
      </c>
      <c r="AB50" s="67" t="str">
        <f aca="false">IF($A50="","",MAX($I50,MAX(0,$H50)+P50-J50))</f>
        <v/>
      </c>
      <c r="AC50" s="67" t="str">
        <f aca="false">IF($A50="","",MAX($I50,AB50+Q50-K50))</f>
        <v/>
      </c>
      <c r="AD50" s="67" t="str">
        <f aca="false">IF($A50="","",MAX($I50,AC50+R50-L50))</f>
        <v/>
      </c>
      <c r="AE50" s="67" t="str">
        <f aca="false">IF($A50="","",MAX($I50,AD50+S50-M50))</f>
        <v/>
      </c>
      <c r="AF50" s="67" t="str">
        <f aca="false">IF($A50="","",MAX($I50,AE50+T50-N50))</f>
        <v/>
      </c>
      <c r="AG50" s="67" t="str">
        <f aca="false">IF($A50="","",MAX($I50,AF50+U50-O50))</f>
        <v/>
      </c>
      <c r="AH50" s="76" t="str">
        <f aca="false">IF($A50="","",IF($H50&lt;=0,"Already out",IF($E50&lt;=0,"No usage",IF(MAX(0,$H50)+SUM($P50:P50)-SUM($J50:J50)&lt;=0,$B$9,IF(MAX(0,$H50)+SUM($P50:Q50)-SUM($J50:K50)&lt;=0,$C$9,IF(MAX(0,$H50)+SUM($P50:R50)-SUM($J50:L50)&lt;=0,$D$9,IF(MAX(0,$H50)+SUM($P50:S50)-SUM($J50:M50)&lt;=0,$E$9,IF(MAX(0,$H50)+SUM($P50:T50)-SUM($J50:N50)&lt;=0,$F$9,IF(MAX(0,$H50)+SUM($P50:U50)-SUM($J50:O50)&lt;=0,$G$9,"Beyond 6 periods")))))))))</f>
        <v/>
      </c>
      <c r="AI50" s="67" t="str">
        <f aca="false">IF($A50="","",SUM(J50:O50))</f>
        <v/>
      </c>
      <c r="AJ50" s="68" t="str">
        <f aca="false">IF($A50="","",SUM(V50:AA50))</f>
        <v/>
      </c>
    </row>
    <row r="51" customFormat="false" ht="15" hidden="false" customHeight="false" outlineLevel="0" collapsed="false">
      <c r="A51" s="16" t="str">
        <f aca="false">IF('Stock Monitor'!$A19="","",'Stock Monitor'!$A19)</f>
        <v/>
      </c>
      <c r="B51" s="64" t="str">
        <f aca="false">IF($A51="","",'Stock Monitor'!$B19)</f>
        <v/>
      </c>
      <c r="C51" s="16" t="str">
        <f aca="false">IF($A51="","",'Stock Monitor'!$C19)</f>
        <v/>
      </c>
      <c r="D51" s="64" t="str">
        <f aca="false">IF($A51="","",'Stock Monitor'!$D19)</f>
        <v/>
      </c>
      <c r="E51" s="67" t="str">
        <f aca="false">IF($A51="","",'Stock Monitor'!$J19)</f>
        <v/>
      </c>
      <c r="F51" s="67" t="str">
        <f aca="false">IF($A51="","",$E51*WorkDaysWeek)</f>
        <v/>
      </c>
      <c r="G51" s="67" t="str">
        <f aca="false">IF($A51="","",$E51*WorkDaysMonth)</f>
        <v/>
      </c>
      <c r="H51" s="68" t="str">
        <f aca="false">IF($A51="","",'Stock Monitor'!$E19)</f>
        <v/>
      </c>
      <c r="I51" s="67" t="str">
        <f aca="false">IF($A51="","",'Stock Monitor'!$T19)</f>
        <v/>
      </c>
      <c r="J51" s="67" t="str">
        <f aca="false">IF($A51="","",$E51*B$8)</f>
        <v/>
      </c>
      <c r="K51" s="67" t="str">
        <f aca="false">IF($A51="","",$E51*C$8)</f>
        <v/>
      </c>
      <c r="L51" s="67" t="str">
        <f aca="false">IF($A51="","",$E51*D$8)</f>
        <v/>
      </c>
      <c r="M51" s="67" t="str">
        <f aca="false">IF($A51="","",$E51*E$8)</f>
        <v/>
      </c>
      <c r="N51" s="67" t="str">
        <f aca="false">IF($A51="","",$E51*F$8)</f>
        <v/>
      </c>
      <c r="O51" s="67" t="str">
        <f aca="false">IF($A51="","",$E51*G$8)</f>
        <v/>
      </c>
      <c r="P51" s="74" t="str">
        <f aca="false">IF($A51="","",SUMIFS(Del_Qty,Del_Site,$A51,Del_Mat,$B51,Del_Date,"&gt;="&amp;B$6,Del_Date,"&lt;="&amp;B$7))</f>
        <v/>
      </c>
      <c r="Q51" s="74" t="str">
        <f aca="false">IF($A51="","",SUMIFS(Del_Qty,Del_Site,$A51,Del_Mat,$B51,Del_Date,"&gt;="&amp;C$6,Del_Date,"&lt;="&amp;C$7))</f>
        <v/>
      </c>
      <c r="R51" s="74" t="str">
        <f aca="false">IF($A51="","",SUMIFS(Del_Qty,Del_Site,$A51,Del_Mat,$B51,Del_Date,"&gt;="&amp;D$6,Del_Date,"&lt;="&amp;D$7))</f>
        <v/>
      </c>
      <c r="S51" s="74" t="str">
        <f aca="false">IF($A51="","",SUMIFS(Del_Qty,Del_Site,$A51,Del_Mat,$B51,Del_Date,"&gt;="&amp;E$6,Del_Date,"&lt;="&amp;E$7))</f>
        <v/>
      </c>
      <c r="T51" s="74" t="str">
        <f aca="false">IF($A51="","",SUMIFS(Del_Qty,Del_Site,$A51,Del_Mat,$B51,Del_Date,"&gt;="&amp;F$6,Del_Date,"&lt;="&amp;F$7))</f>
        <v/>
      </c>
      <c r="U51" s="74" t="str">
        <f aca="false">IF($A51="","",SUMIFS(Del_Qty,Del_Site,$A51,Del_Mat,$B51,Del_Date,"&gt;="&amp;G$6,Del_Date,"&lt;="&amp;G$7))</f>
        <v/>
      </c>
      <c r="V51" s="81" t="str">
        <f aca="false">IF($A51="","",MAX(0,J51+$I51-MAX(0,$H51)-P51))</f>
        <v/>
      </c>
      <c r="W51" s="81" t="str">
        <f aca="false">IF($A51="","",MAX(0,K51+$I51-AB51-Q51))</f>
        <v/>
      </c>
      <c r="X51" s="81" t="str">
        <f aca="false">IF($A51="","",MAX(0,L51+$I51-AC51-R51))</f>
        <v/>
      </c>
      <c r="Y51" s="81" t="str">
        <f aca="false">IF($A51="","",MAX(0,M51+$I51-AD51-S51))</f>
        <v/>
      </c>
      <c r="Z51" s="81" t="str">
        <f aca="false">IF($A51="","",MAX(0,N51+$I51-AE51-T51))</f>
        <v/>
      </c>
      <c r="AA51" s="81" t="str">
        <f aca="false">IF($A51="","",MAX(0,O51+$I51-AF51-U51))</f>
        <v/>
      </c>
      <c r="AB51" s="67" t="str">
        <f aca="false">IF($A51="","",MAX($I51,MAX(0,$H51)+P51-J51))</f>
        <v/>
      </c>
      <c r="AC51" s="67" t="str">
        <f aca="false">IF($A51="","",MAX($I51,AB51+Q51-K51))</f>
        <v/>
      </c>
      <c r="AD51" s="67" t="str">
        <f aca="false">IF($A51="","",MAX($I51,AC51+R51-L51))</f>
        <v/>
      </c>
      <c r="AE51" s="67" t="str">
        <f aca="false">IF($A51="","",MAX($I51,AD51+S51-M51))</f>
        <v/>
      </c>
      <c r="AF51" s="67" t="str">
        <f aca="false">IF($A51="","",MAX($I51,AE51+T51-N51))</f>
        <v/>
      </c>
      <c r="AG51" s="67" t="str">
        <f aca="false">IF($A51="","",MAX($I51,AF51+U51-O51))</f>
        <v/>
      </c>
      <c r="AH51" s="76" t="str">
        <f aca="false">IF($A51="","",IF($H51&lt;=0,"Already out",IF($E51&lt;=0,"No usage",IF(MAX(0,$H51)+SUM($P51:P51)-SUM($J51:J51)&lt;=0,$B$9,IF(MAX(0,$H51)+SUM($P51:Q51)-SUM($J51:K51)&lt;=0,$C$9,IF(MAX(0,$H51)+SUM($P51:R51)-SUM($J51:L51)&lt;=0,$D$9,IF(MAX(0,$H51)+SUM($P51:S51)-SUM($J51:M51)&lt;=0,$E$9,IF(MAX(0,$H51)+SUM($P51:T51)-SUM($J51:N51)&lt;=0,$F$9,IF(MAX(0,$H51)+SUM($P51:U51)-SUM($J51:O51)&lt;=0,$G$9,"Beyond 6 periods")))))))))</f>
        <v/>
      </c>
      <c r="AI51" s="67" t="str">
        <f aca="false">IF($A51="","",SUM(J51:O51))</f>
        <v/>
      </c>
      <c r="AJ51" s="68" t="str">
        <f aca="false">IF($A51="","",SUM(V51:AA51))</f>
        <v/>
      </c>
    </row>
    <row r="52" customFormat="false" ht="15" hidden="false" customHeight="false" outlineLevel="0" collapsed="false">
      <c r="A52" s="16" t="str">
        <f aca="false">IF('Stock Monitor'!$A20="","",'Stock Monitor'!$A20)</f>
        <v/>
      </c>
      <c r="B52" s="64" t="str">
        <f aca="false">IF($A52="","",'Stock Monitor'!$B20)</f>
        <v/>
      </c>
      <c r="C52" s="16" t="str">
        <f aca="false">IF($A52="","",'Stock Monitor'!$C20)</f>
        <v/>
      </c>
      <c r="D52" s="64" t="str">
        <f aca="false">IF($A52="","",'Stock Monitor'!$D20)</f>
        <v/>
      </c>
      <c r="E52" s="67" t="str">
        <f aca="false">IF($A52="","",'Stock Monitor'!$J20)</f>
        <v/>
      </c>
      <c r="F52" s="67" t="str">
        <f aca="false">IF($A52="","",$E52*WorkDaysWeek)</f>
        <v/>
      </c>
      <c r="G52" s="67" t="str">
        <f aca="false">IF($A52="","",$E52*WorkDaysMonth)</f>
        <v/>
      </c>
      <c r="H52" s="68" t="str">
        <f aca="false">IF($A52="","",'Stock Monitor'!$E20)</f>
        <v/>
      </c>
      <c r="I52" s="67" t="str">
        <f aca="false">IF($A52="","",'Stock Monitor'!$T20)</f>
        <v/>
      </c>
      <c r="J52" s="67" t="str">
        <f aca="false">IF($A52="","",$E52*B$8)</f>
        <v/>
      </c>
      <c r="K52" s="67" t="str">
        <f aca="false">IF($A52="","",$E52*C$8)</f>
        <v/>
      </c>
      <c r="L52" s="67" t="str">
        <f aca="false">IF($A52="","",$E52*D$8)</f>
        <v/>
      </c>
      <c r="M52" s="67" t="str">
        <f aca="false">IF($A52="","",$E52*E$8)</f>
        <v/>
      </c>
      <c r="N52" s="67" t="str">
        <f aca="false">IF($A52="","",$E52*F$8)</f>
        <v/>
      </c>
      <c r="O52" s="67" t="str">
        <f aca="false">IF($A52="","",$E52*G$8)</f>
        <v/>
      </c>
      <c r="P52" s="74" t="str">
        <f aca="false">IF($A52="","",SUMIFS(Del_Qty,Del_Site,$A52,Del_Mat,$B52,Del_Date,"&gt;="&amp;B$6,Del_Date,"&lt;="&amp;B$7))</f>
        <v/>
      </c>
      <c r="Q52" s="74" t="str">
        <f aca="false">IF($A52="","",SUMIFS(Del_Qty,Del_Site,$A52,Del_Mat,$B52,Del_Date,"&gt;="&amp;C$6,Del_Date,"&lt;="&amp;C$7))</f>
        <v/>
      </c>
      <c r="R52" s="74" t="str">
        <f aca="false">IF($A52="","",SUMIFS(Del_Qty,Del_Site,$A52,Del_Mat,$B52,Del_Date,"&gt;="&amp;D$6,Del_Date,"&lt;="&amp;D$7))</f>
        <v/>
      </c>
      <c r="S52" s="74" t="str">
        <f aca="false">IF($A52="","",SUMIFS(Del_Qty,Del_Site,$A52,Del_Mat,$B52,Del_Date,"&gt;="&amp;E$6,Del_Date,"&lt;="&amp;E$7))</f>
        <v/>
      </c>
      <c r="T52" s="74" t="str">
        <f aca="false">IF($A52="","",SUMIFS(Del_Qty,Del_Site,$A52,Del_Mat,$B52,Del_Date,"&gt;="&amp;F$6,Del_Date,"&lt;="&amp;F$7))</f>
        <v/>
      </c>
      <c r="U52" s="74" t="str">
        <f aca="false">IF($A52="","",SUMIFS(Del_Qty,Del_Site,$A52,Del_Mat,$B52,Del_Date,"&gt;="&amp;G$6,Del_Date,"&lt;="&amp;G$7))</f>
        <v/>
      </c>
      <c r="V52" s="81" t="str">
        <f aca="false">IF($A52="","",MAX(0,J52+$I52-MAX(0,$H52)-P52))</f>
        <v/>
      </c>
      <c r="W52" s="81" t="str">
        <f aca="false">IF($A52="","",MAX(0,K52+$I52-AB52-Q52))</f>
        <v/>
      </c>
      <c r="X52" s="81" t="str">
        <f aca="false">IF($A52="","",MAX(0,L52+$I52-AC52-R52))</f>
        <v/>
      </c>
      <c r="Y52" s="81" t="str">
        <f aca="false">IF($A52="","",MAX(0,M52+$I52-AD52-S52))</f>
        <v/>
      </c>
      <c r="Z52" s="81" t="str">
        <f aca="false">IF($A52="","",MAX(0,N52+$I52-AE52-T52))</f>
        <v/>
      </c>
      <c r="AA52" s="81" t="str">
        <f aca="false">IF($A52="","",MAX(0,O52+$I52-AF52-U52))</f>
        <v/>
      </c>
      <c r="AB52" s="67" t="str">
        <f aca="false">IF($A52="","",MAX($I52,MAX(0,$H52)+P52-J52))</f>
        <v/>
      </c>
      <c r="AC52" s="67" t="str">
        <f aca="false">IF($A52="","",MAX($I52,AB52+Q52-K52))</f>
        <v/>
      </c>
      <c r="AD52" s="67" t="str">
        <f aca="false">IF($A52="","",MAX($I52,AC52+R52-L52))</f>
        <v/>
      </c>
      <c r="AE52" s="67" t="str">
        <f aca="false">IF($A52="","",MAX($I52,AD52+S52-M52))</f>
        <v/>
      </c>
      <c r="AF52" s="67" t="str">
        <f aca="false">IF($A52="","",MAX($I52,AE52+T52-N52))</f>
        <v/>
      </c>
      <c r="AG52" s="67" t="str">
        <f aca="false">IF($A52="","",MAX($I52,AF52+U52-O52))</f>
        <v/>
      </c>
      <c r="AH52" s="76" t="str">
        <f aca="false">IF($A52="","",IF($H52&lt;=0,"Already out",IF($E52&lt;=0,"No usage",IF(MAX(0,$H52)+SUM($P52:P52)-SUM($J52:J52)&lt;=0,$B$9,IF(MAX(0,$H52)+SUM($P52:Q52)-SUM($J52:K52)&lt;=0,$C$9,IF(MAX(0,$H52)+SUM($P52:R52)-SUM($J52:L52)&lt;=0,$D$9,IF(MAX(0,$H52)+SUM($P52:S52)-SUM($J52:M52)&lt;=0,$E$9,IF(MAX(0,$H52)+SUM($P52:T52)-SUM($J52:N52)&lt;=0,$F$9,IF(MAX(0,$H52)+SUM($P52:U52)-SUM($J52:O52)&lt;=0,$G$9,"Beyond 6 periods")))))))))</f>
        <v/>
      </c>
      <c r="AI52" s="67" t="str">
        <f aca="false">IF($A52="","",SUM(J52:O52))</f>
        <v/>
      </c>
      <c r="AJ52" s="68" t="str">
        <f aca="false">IF($A52="","",SUM(V52:AA52))</f>
        <v/>
      </c>
    </row>
    <row r="53" customFormat="false" ht="15" hidden="false" customHeight="false" outlineLevel="0" collapsed="false">
      <c r="A53" s="16" t="str">
        <f aca="false">IF('Stock Monitor'!$A21="","",'Stock Monitor'!$A21)</f>
        <v/>
      </c>
      <c r="B53" s="64" t="str">
        <f aca="false">IF($A53="","",'Stock Monitor'!$B21)</f>
        <v/>
      </c>
      <c r="C53" s="16" t="str">
        <f aca="false">IF($A53="","",'Stock Monitor'!$C21)</f>
        <v/>
      </c>
      <c r="D53" s="64" t="str">
        <f aca="false">IF($A53="","",'Stock Monitor'!$D21)</f>
        <v/>
      </c>
      <c r="E53" s="67" t="str">
        <f aca="false">IF($A53="","",'Stock Monitor'!$J21)</f>
        <v/>
      </c>
      <c r="F53" s="67" t="str">
        <f aca="false">IF($A53="","",$E53*WorkDaysWeek)</f>
        <v/>
      </c>
      <c r="G53" s="67" t="str">
        <f aca="false">IF($A53="","",$E53*WorkDaysMonth)</f>
        <v/>
      </c>
      <c r="H53" s="68" t="str">
        <f aca="false">IF($A53="","",'Stock Monitor'!$E21)</f>
        <v/>
      </c>
      <c r="I53" s="67" t="str">
        <f aca="false">IF($A53="","",'Stock Monitor'!$T21)</f>
        <v/>
      </c>
      <c r="J53" s="67" t="str">
        <f aca="false">IF($A53="","",$E53*B$8)</f>
        <v/>
      </c>
      <c r="K53" s="67" t="str">
        <f aca="false">IF($A53="","",$E53*C$8)</f>
        <v/>
      </c>
      <c r="L53" s="67" t="str">
        <f aca="false">IF($A53="","",$E53*D$8)</f>
        <v/>
      </c>
      <c r="M53" s="67" t="str">
        <f aca="false">IF($A53="","",$E53*E$8)</f>
        <v/>
      </c>
      <c r="N53" s="67" t="str">
        <f aca="false">IF($A53="","",$E53*F$8)</f>
        <v/>
      </c>
      <c r="O53" s="67" t="str">
        <f aca="false">IF($A53="","",$E53*G$8)</f>
        <v/>
      </c>
      <c r="P53" s="74" t="str">
        <f aca="false">IF($A53="","",SUMIFS(Del_Qty,Del_Site,$A53,Del_Mat,$B53,Del_Date,"&gt;="&amp;B$6,Del_Date,"&lt;="&amp;B$7))</f>
        <v/>
      </c>
      <c r="Q53" s="74" t="str">
        <f aca="false">IF($A53="","",SUMIFS(Del_Qty,Del_Site,$A53,Del_Mat,$B53,Del_Date,"&gt;="&amp;C$6,Del_Date,"&lt;="&amp;C$7))</f>
        <v/>
      </c>
      <c r="R53" s="74" t="str">
        <f aca="false">IF($A53="","",SUMIFS(Del_Qty,Del_Site,$A53,Del_Mat,$B53,Del_Date,"&gt;="&amp;D$6,Del_Date,"&lt;="&amp;D$7))</f>
        <v/>
      </c>
      <c r="S53" s="74" t="str">
        <f aca="false">IF($A53="","",SUMIFS(Del_Qty,Del_Site,$A53,Del_Mat,$B53,Del_Date,"&gt;="&amp;E$6,Del_Date,"&lt;="&amp;E$7))</f>
        <v/>
      </c>
      <c r="T53" s="74" t="str">
        <f aca="false">IF($A53="","",SUMIFS(Del_Qty,Del_Site,$A53,Del_Mat,$B53,Del_Date,"&gt;="&amp;F$6,Del_Date,"&lt;="&amp;F$7))</f>
        <v/>
      </c>
      <c r="U53" s="74" t="str">
        <f aca="false">IF($A53="","",SUMIFS(Del_Qty,Del_Site,$A53,Del_Mat,$B53,Del_Date,"&gt;="&amp;G$6,Del_Date,"&lt;="&amp;G$7))</f>
        <v/>
      </c>
      <c r="V53" s="81" t="str">
        <f aca="false">IF($A53="","",MAX(0,J53+$I53-MAX(0,$H53)-P53))</f>
        <v/>
      </c>
      <c r="W53" s="81" t="str">
        <f aca="false">IF($A53="","",MAX(0,K53+$I53-AB53-Q53))</f>
        <v/>
      </c>
      <c r="X53" s="81" t="str">
        <f aca="false">IF($A53="","",MAX(0,L53+$I53-AC53-R53))</f>
        <v/>
      </c>
      <c r="Y53" s="81" t="str">
        <f aca="false">IF($A53="","",MAX(0,M53+$I53-AD53-S53))</f>
        <v/>
      </c>
      <c r="Z53" s="81" t="str">
        <f aca="false">IF($A53="","",MAX(0,N53+$I53-AE53-T53))</f>
        <v/>
      </c>
      <c r="AA53" s="81" t="str">
        <f aca="false">IF($A53="","",MAX(0,O53+$I53-AF53-U53))</f>
        <v/>
      </c>
      <c r="AB53" s="67" t="str">
        <f aca="false">IF($A53="","",MAX($I53,MAX(0,$H53)+P53-J53))</f>
        <v/>
      </c>
      <c r="AC53" s="67" t="str">
        <f aca="false">IF($A53="","",MAX($I53,AB53+Q53-K53))</f>
        <v/>
      </c>
      <c r="AD53" s="67" t="str">
        <f aca="false">IF($A53="","",MAX($I53,AC53+R53-L53))</f>
        <v/>
      </c>
      <c r="AE53" s="67" t="str">
        <f aca="false">IF($A53="","",MAX($I53,AD53+S53-M53))</f>
        <v/>
      </c>
      <c r="AF53" s="67" t="str">
        <f aca="false">IF($A53="","",MAX($I53,AE53+T53-N53))</f>
        <v/>
      </c>
      <c r="AG53" s="67" t="str">
        <f aca="false">IF($A53="","",MAX($I53,AF53+U53-O53))</f>
        <v/>
      </c>
      <c r="AH53" s="76" t="str">
        <f aca="false">IF($A53="","",IF($H53&lt;=0,"Already out",IF($E53&lt;=0,"No usage",IF(MAX(0,$H53)+SUM($P53:P53)-SUM($J53:J53)&lt;=0,$B$9,IF(MAX(0,$H53)+SUM($P53:Q53)-SUM($J53:K53)&lt;=0,$C$9,IF(MAX(0,$H53)+SUM($P53:R53)-SUM($J53:L53)&lt;=0,$D$9,IF(MAX(0,$H53)+SUM($P53:S53)-SUM($J53:M53)&lt;=0,$E$9,IF(MAX(0,$H53)+SUM($P53:T53)-SUM($J53:N53)&lt;=0,$F$9,IF(MAX(0,$H53)+SUM($P53:U53)-SUM($J53:O53)&lt;=0,$G$9,"Beyond 6 periods")))))))))</f>
        <v/>
      </c>
      <c r="AI53" s="67" t="str">
        <f aca="false">IF($A53="","",SUM(J53:O53))</f>
        <v/>
      </c>
      <c r="AJ53" s="68" t="str">
        <f aca="false">IF($A53="","",SUM(V53:AA53))</f>
        <v/>
      </c>
    </row>
    <row r="54" customFormat="false" ht="15" hidden="false" customHeight="false" outlineLevel="0" collapsed="false">
      <c r="A54" s="16" t="str">
        <f aca="false">IF('Stock Monitor'!$A22="","",'Stock Monitor'!$A22)</f>
        <v/>
      </c>
      <c r="B54" s="64" t="str">
        <f aca="false">IF($A54="","",'Stock Monitor'!$B22)</f>
        <v/>
      </c>
      <c r="C54" s="16" t="str">
        <f aca="false">IF($A54="","",'Stock Monitor'!$C22)</f>
        <v/>
      </c>
      <c r="D54" s="64" t="str">
        <f aca="false">IF($A54="","",'Stock Monitor'!$D22)</f>
        <v/>
      </c>
      <c r="E54" s="67" t="str">
        <f aca="false">IF($A54="","",'Stock Monitor'!$J22)</f>
        <v/>
      </c>
      <c r="F54" s="67" t="str">
        <f aca="false">IF($A54="","",$E54*WorkDaysWeek)</f>
        <v/>
      </c>
      <c r="G54" s="67" t="str">
        <f aca="false">IF($A54="","",$E54*WorkDaysMonth)</f>
        <v/>
      </c>
      <c r="H54" s="68" t="str">
        <f aca="false">IF($A54="","",'Stock Monitor'!$E22)</f>
        <v/>
      </c>
      <c r="I54" s="67" t="str">
        <f aca="false">IF($A54="","",'Stock Monitor'!$T22)</f>
        <v/>
      </c>
      <c r="J54" s="67" t="str">
        <f aca="false">IF($A54="","",$E54*B$8)</f>
        <v/>
      </c>
      <c r="K54" s="67" t="str">
        <f aca="false">IF($A54="","",$E54*C$8)</f>
        <v/>
      </c>
      <c r="L54" s="67" t="str">
        <f aca="false">IF($A54="","",$E54*D$8)</f>
        <v/>
      </c>
      <c r="M54" s="67" t="str">
        <f aca="false">IF($A54="","",$E54*E$8)</f>
        <v/>
      </c>
      <c r="N54" s="67" t="str">
        <f aca="false">IF($A54="","",$E54*F$8)</f>
        <v/>
      </c>
      <c r="O54" s="67" t="str">
        <f aca="false">IF($A54="","",$E54*G$8)</f>
        <v/>
      </c>
      <c r="P54" s="74" t="str">
        <f aca="false">IF($A54="","",SUMIFS(Del_Qty,Del_Site,$A54,Del_Mat,$B54,Del_Date,"&gt;="&amp;B$6,Del_Date,"&lt;="&amp;B$7))</f>
        <v/>
      </c>
      <c r="Q54" s="74" t="str">
        <f aca="false">IF($A54="","",SUMIFS(Del_Qty,Del_Site,$A54,Del_Mat,$B54,Del_Date,"&gt;="&amp;C$6,Del_Date,"&lt;="&amp;C$7))</f>
        <v/>
      </c>
      <c r="R54" s="74" t="str">
        <f aca="false">IF($A54="","",SUMIFS(Del_Qty,Del_Site,$A54,Del_Mat,$B54,Del_Date,"&gt;="&amp;D$6,Del_Date,"&lt;="&amp;D$7))</f>
        <v/>
      </c>
      <c r="S54" s="74" t="str">
        <f aca="false">IF($A54="","",SUMIFS(Del_Qty,Del_Site,$A54,Del_Mat,$B54,Del_Date,"&gt;="&amp;E$6,Del_Date,"&lt;="&amp;E$7))</f>
        <v/>
      </c>
      <c r="T54" s="74" t="str">
        <f aca="false">IF($A54="","",SUMIFS(Del_Qty,Del_Site,$A54,Del_Mat,$B54,Del_Date,"&gt;="&amp;F$6,Del_Date,"&lt;="&amp;F$7))</f>
        <v/>
      </c>
      <c r="U54" s="74" t="str">
        <f aca="false">IF($A54="","",SUMIFS(Del_Qty,Del_Site,$A54,Del_Mat,$B54,Del_Date,"&gt;="&amp;G$6,Del_Date,"&lt;="&amp;G$7))</f>
        <v/>
      </c>
      <c r="V54" s="81" t="str">
        <f aca="false">IF($A54="","",MAX(0,J54+$I54-MAX(0,$H54)-P54))</f>
        <v/>
      </c>
      <c r="W54" s="81" t="str">
        <f aca="false">IF($A54="","",MAX(0,K54+$I54-AB54-Q54))</f>
        <v/>
      </c>
      <c r="X54" s="81" t="str">
        <f aca="false">IF($A54="","",MAX(0,L54+$I54-AC54-R54))</f>
        <v/>
      </c>
      <c r="Y54" s="81" t="str">
        <f aca="false">IF($A54="","",MAX(0,M54+$I54-AD54-S54))</f>
        <v/>
      </c>
      <c r="Z54" s="81" t="str">
        <f aca="false">IF($A54="","",MAX(0,N54+$I54-AE54-T54))</f>
        <v/>
      </c>
      <c r="AA54" s="81" t="str">
        <f aca="false">IF($A54="","",MAX(0,O54+$I54-AF54-U54))</f>
        <v/>
      </c>
      <c r="AB54" s="67" t="str">
        <f aca="false">IF($A54="","",MAX($I54,MAX(0,$H54)+P54-J54))</f>
        <v/>
      </c>
      <c r="AC54" s="67" t="str">
        <f aca="false">IF($A54="","",MAX($I54,AB54+Q54-K54))</f>
        <v/>
      </c>
      <c r="AD54" s="67" t="str">
        <f aca="false">IF($A54="","",MAX($I54,AC54+R54-L54))</f>
        <v/>
      </c>
      <c r="AE54" s="67" t="str">
        <f aca="false">IF($A54="","",MAX($I54,AD54+S54-M54))</f>
        <v/>
      </c>
      <c r="AF54" s="67" t="str">
        <f aca="false">IF($A54="","",MAX($I54,AE54+T54-N54))</f>
        <v/>
      </c>
      <c r="AG54" s="67" t="str">
        <f aca="false">IF($A54="","",MAX($I54,AF54+U54-O54))</f>
        <v/>
      </c>
      <c r="AH54" s="76" t="str">
        <f aca="false">IF($A54="","",IF($H54&lt;=0,"Already out",IF($E54&lt;=0,"No usage",IF(MAX(0,$H54)+SUM($P54:P54)-SUM($J54:J54)&lt;=0,$B$9,IF(MAX(0,$H54)+SUM($P54:Q54)-SUM($J54:K54)&lt;=0,$C$9,IF(MAX(0,$H54)+SUM($P54:R54)-SUM($J54:L54)&lt;=0,$D$9,IF(MAX(0,$H54)+SUM($P54:S54)-SUM($J54:M54)&lt;=0,$E$9,IF(MAX(0,$H54)+SUM($P54:T54)-SUM($J54:N54)&lt;=0,$F$9,IF(MAX(0,$H54)+SUM($P54:U54)-SUM($J54:O54)&lt;=0,$G$9,"Beyond 6 periods")))))))))</f>
        <v/>
      </c>
      <c r="AI54" s="67" t="str">
        <f aca="false">IF($A54="","",SUM(J54:O54))</f>
        <v/>
      </c>
      <c r="AJ54" s="68" t="str">
        <f aca="false">IF($A54="","",SUM(V54:AA54))</f>
        <v/>
      </c>
    </row>
    <row r="55" customFormat="false" ht="15" hidden="false" customHeight="false" outlineLevel="0" collapsed="false">
      <c r="A55" s="16" t="str">
        <f aca="false">IF('Stock Monitor'!$A23="","",'Stock Monitor'!$A23)</f>
        <v/>
      </c>
      <c r="B55" s="64" t="str">
        <f aca="false">IF($A55="","",'Stock Monitor'!$B23)</f>
        <v/>
      </c>
      <c r="C55" s="16" t="str">
        <f aca="false">IF($A55="","",'Stock Monitor'!$C23)</f>
        <v/>
      </c>
      <c r="D55" s="64" t="str">
        <f aca="false">IF($A55="","",'Stock Monitor'!$D23)</f>
        <v/>
      </c>
      <c r="E55" s="67" t="str">
        <f aca="false">IF($A55="","",'Stock Monitor'!$J23)</f>
        <v/>
      </c>
      <c r="F55" s="67" t="str">
        <f aca="false">IF($A55="","",$E55*WorkDaysWeek)</f>
        <v/>
      </c>
      <c r="G55" s="67" t="str">
        <f aca="false">IF($A55="","",$E55*WorkDaysMonth)</f>
        <v/>
      </c>
      <c r="H55" s="68" t="str">
        <f aca="false">IF($A55="","",'Stock Monitor'!$E23)</f>
        <v/>
      </c>
      <c r="I55" s="67" t="str">
        <f aca="false">IF($A55="","",'Stock Monitor'!$T23)</f>
        <v/>
      </c>
      <c r="J55" s="67" t="str">
        <f aca="false">IF($A55="","",$E55*B$8)</f>
        <v/>
      </c>
      <c r="K55" s="67" t="str">
        <f aca="false">IF($A55="","",$E55*C$8)</f>
        <v/>
      </c>
      <c r="L55" s="67" t="str">
        <f aca="false">IF($A55="","",$E55*D$8)</f>
        <v/>
      </c>
      <c r="M55" s="67" t="str">
        <f aca="false">IF($A55="","",$E55*E$8)</f>
        <v/>
      </c>
      <c r="N55" s="67" t="str">
        <f aca="false">IF($A55="","",$E55*F$8)</f>
        <v/>
      </c>
      <c r="O55" s="67" t="str">
        <f aca="false">IF($A55="","",$E55*G$8)</f>
        <v/>
      </c>
      <c r="P55" s="74" t="str">
        <f aca="false">IF($A55="","",SUMIFS(Del_Qty,Del_Site,$A55,Del_Mat,$B55,Del_Date,"&gt;="&amp;B$6,Del_Date,"&lt;="&amp;B$7))</f>
        <v/>
      </c>
      <c r="Q55" s="74" t="str">
        <f aca="false">IF($A55="","",SUMIFS(Del_Qty,Del_Site,$A55,Del_Mat,$B55,Del_Date,"&gt;="&amp;C$6,Del_Date,"&lt;="&amp;C$7))</f>
        <v/>
      </c>
      <c r="R55" s="74" t="str">
        <f aca="false">IF($A55="","",SUMIFS(Del_Qty,Del_Site,$A55,Del_Mat,$B55,Del_Date,"&gt;="&amp;D$6,Del_Date,"&lt;="&amp;D$7))</f>
        <v/>
      </c>
      <c r="S55" s="74" t="str">
        <f aca="false">IF($A55="","",SUMIFS(Del_Qty,Del_Site,$A55,Del_Mat,$B55,Del_Date,"&gt;="&amp;E$6,Del_Date,"&lt;="&amp;E$7))</f>
        <v/>
      </c>
      <c r="T55" s="74" t="str">
        <f aca="false">IF($A55="","",SUMIFS(Del_Qty,Del_Site,$A55,Del_Mat,$B55,Del_Date,"&gt;="&amp;F$6,Del_Date,"&lt;="&amp;F$7))</f>
        <v/>
      </c>
      <c r="U55" s="74" t="str">
        <f aca="false">IF($A55="","",SUMIFS(Del_Qty,Del_Site,$A55,Del_Mat,$B55,Del_Date,"&gt;="&amp;G$6,Del_Date,"&lt;="&amp;G$7))</f>
        <v/>
      </c>
      <c r="V55" s="81" t="str">
        <f aca="false">IF($A55="","",MAX(0,J55+$I55-MAX(0,$H55)-P55))</f>
        <v/>
      </c>
      <c r="W55" s="81" t="str">
        <f aca="false">IF($A55="","",MAX(0,K55+$I55-AB55-Q55))</f>
        <v/>
      </c>
      <c r="X55" s="81" t="str">
        <f aca="false">IF($A55="","",MAX(0,L55+$I55-AC55-R55))</f>
        <v/>
      </c>
      <c r="Y55" s="81" t="str">
        <f aca="false">IF($A55="","",MAX(0,M55+$I55-AD55-S55))</f>
        <v/>
      </c>
      <c r="Z55" s="81" t="str">
        <f aca="false">IF($A55="","",MAX(0,N55+$I55-AE55-T55))</f>
        <v/>
      </c>
      <c r="AA55" s="81" t="str">
        <f aca="false">IF($A55="","",MAX(0,O55+$I55-AF55-U55))</f>
        <v/>
      </c>
      <c r="AB55" s="67" t="str">
        <f aca="false">IF($A55="","",MAX($I55,MAX(0,$H55)+P55-J55))</f>
        <v/>
      </c>
      <c r="AC55" s="67" t="str">
        <f aca="false">IF($A55="","",MAX($I55,AB55+Q55-K55))</f>
        <v/>
      </c>
      <c r="AD55" s="67" t="str">
        <f aca="false">IF($A55="","",MAX($I55,AC55+R55-L55))</f>
        <v/>
      </c>
      <c r="AE55" s="67" t="str">
        <f aca="false">IF($A55="","",MAX($I55,AD55+S55-M55))</f>
        <v/>
      </c>
      <c r="AF55" s="67" t="str">
        <f aca="false">IF($A55="","",MAX($I55,AE55+T55-N55))</f>
        <v/>
      </c>
      <c r="AG55" s="67" t="str">
        <f aca="false">IF($A55="","",MAX($I55,AF55+U55-O55))</f>
        <v/>
      </c>
      <c r="AH55" s="76" t="str">
        <f aca="false">IF($A55="","",IF($H55&lt;=0,"Already out",IF($E55&lt;=0,"No usage",IF(MAX(0,$H55)+SUM($P55:P55)-SUM($J55:J55)&lt;=0,$B$9,IF(MAX(0,$H55)+SUM($P55:Q55)-SUM($J55:K55)&lt;=0,$C$9,IF(MAX(0,$H55)+SUM($P55:R55)-SUM($J55:L55)&lt;=0,$D$9,IF(MAX(0,$H55)+SUM($P55:S55)-SUM($J55:M55)&lt;=0,$E$9,IF(MAX(0,$H55)+SUM($P55:T55)-SUM($J55:N55)&lt;=0,$F$9,IF(MAX(0,$H55)+SUM($P55:U55)-SUM($J55:O55)&lt;=0,$G$9,"Beyond 6 periods")))))))))</f>
        <v/>
      </c>
      <c r="AI55" s="67" t="str">
        <f aca="false">IF($A55="","",SUM(J55:O55))</f>
        <v/>
      </c>
      <c r="AJ55" s="68" t="str">
        <f aca="false">IF($A55="","",SUM(V55:AA55))</f>
        <v/>
      </c>
    </row>
    <row r="56" customFormat="false" ht="15" hidden="false" customHeight="false" outlineLevel="0" collapsed="false">
      <c r="A56" s="16" t="str">
        <f aca="false">IF('Stock Monitor'!$A24="","",'Stock Monitor'!$A24)</f>
        <v/>
      </c>
      <c r="B56" s="64" t="str">
        <f aca="false">IF($A56="","",'Stock Monitor'!$B24)</f>
        <v/>
      </c>
      <c r="C56" s="16" t="str">
        <f aca="false">IF($A56="","",'Stock Monitor'!$C24)</f>
        <v/>
      </c>
      <c r="D56" s="64" t="str">
        <f aca="false">IF($A56="","",'Stock Monitor'!$D24)</f>
        <v/>
      </c>
      <c r="E56" s="67" t="str">
        <f aca="false">IF($A56="","",'Stock Monitor'!$J24)</f>
        <v/>
      </c>
      <c r="F56" s="67" t="str">
        <f aca="false">IF($A56="","",$E56*WorkDaysWeek)</f>
        <v/>
      </c>
      <c r="G56" s="67" t="str">
        <f aca="false">IF($A56="","",$E56*WorkDaysMonth)</f>
        <v/>
      </c>
      <c r="H56" s="68" t="str">
        <f aca="false">IF($A56="","",'Stock Monitor'!$E24)</f>
        <v/>
      </c>
      <c r="I56" s="67" t="str">
        <f aca="false">IF($A56="","",'Stock Monitor'!$T24)</f>
        <v/>
      </c>
      <c r="J56" s="67" t="str">
        <f aca="false">IF($A56="","",$E56*B$8)</f>
        <v/>
      </c>
      <c r="K56" s="67" t="str">
        <f aca="false">IF($A56="","",$E56*C$8)</f>
        <v/>
      </c>
      <c r="L56" s="67" t="str">
        <f aca="false">IF($A56="","",$E56*D$8)</f>
        <v/>
      </c>
      <c r="M56" s="67" t="str">
        <f aca="false">IF($A56="","",$E56*E$8)</f>
        <v/>
      </c>
      <c r="N56" s="67" t="str">
        <f aca="false">IF($A56="","",$E56*F$8)</f>
        <v/>
      </c>
      <c r="O56" s="67" t="str">
        <f aca="false">IF($A56="","",$E56*G$8)</f>
        <v/>
      </c>
      <c r="P56" s="74" t="str">
        <f aca="false">IF($A56="","",SUMIFS(Del_Qty,Del_Site,$A56,Del_Mat,$B56,Del_Date,"&gt;="&amp;B$6,Del_Date,"&lt;="&amp;B$7))</f>
        <v/>
      </c>
      <c r="Q56" s="74" t="str">
        <f aca="false">IF($A56="","",SUMIFS(Del_Qty,Del_Site,$A56,Del_Mat,$B56,Del_Date,"&gt;="&amp;C$6,Del_Date,"&lt;="&amp;C$7))</f>
        <v/>
      </c>
      <c r="R56" s="74" t="str">
        <f aca="false">IF($A56="","",SUMIFS(Del_Qty,Del_Site,$A56,Del_Mat,$B56,Del_Date,"&gt;="&amp;D$6,Del_Date,"&lt;="&amp;D$7))</f>
        <v/>
      </c>
      <c r="S56" s="74" t="str">
        <f aca="false">IF($A56="","",SUMIFS(Del_Qty,Del_Site,$A56,Del_Mat,$B56,Del_Date,"&gt;="&amp;E$6,Del_Date,"&lt;="&amp;E$7))</f>
        <v/>
      </c>
      <c r="T56" s="74" t="str">
        <f aca="false">IF($A56="","",SUMIFS(Del_Qty,Del_Site,$A56,Del_Mat,$B56,Del_Date,"&gt;="&amp;F$6,Del_Date,"&lt;="&amp;F$7))</f>
        <v/>
      </c>
      <c r="U56" s="74" t="str">
        <f aca="false">IF($A56="","",SUMIFS(Del_Qty,Del_Site,$A56,Del_Mat,$B56,Del_Date,"&gt;="&amp;G$6,Del_Date,"&lt;="&amp;G$7))</f>
        <v/>
      </c>
      <c r="V56" s="81" t="str">
        <f aca="false">IF($A56="","",MAX(0,J56+$I56-MAX(0,$H56)-P56))</f>
        <v/>
      </c>
      <c r="W56" s="81" t="str">
        <f aca="false">IF($A56="","",MAX(0,K56+$I56-AB56-Q56))</f>
        <v/>
      </c>
      <c r="X56" s="81" t="str">
        <f aca="false">IF($A56="","",MAX(0,L56+$I56-AC56-R56))</f>
        <v/>
      </c>
      <c r="Y56" s="81" t="str">
        <f aca="false">IF($A56="","",MAX(0,M56+$I56-AD56-S56))</f>
        <v/>
      </c>
      <c r="Z56" s="81" t="str">
        <f aca="false">IF($A56="","",MAX(0,N56+$I56-AE56-T56))</f>
        <v/>
      </c>
      <c r="AA56" s="81" t="str">
        <f aca="false">IF($A56="","",MAX(0,O56+$I56-AF56-U56))</f>
        <v/>
      </c>
      <c r="AB56" s="67" t="str">
        <f aca="false">IF($A56="","",MAX($I56,MAX(0,$H56)+P56-J56))</f>
        <v/>
      </c>
      <c r="AC56" s="67" t="str">
        <f aca="false">IF($A56="","",MAX($I56,AB56+Q56-K56))</f>
        <v/>
      </c>
      <c r="AD56" s="67" t="str">
        <f aca="false">IF($A56="","",MAX($I56,AC56+R56-L56))</f>
        <v/>
      </c>
      <c r="AE56" s="67" t="str">
        <f aca="false">IF($A56="","",MAX($I56,AD56+S56-M56))</f>
        <v/>
      </c>
      <c r="AF56" s="67" t="str">
        <f aca="false">IF($A56="","",MAX($I56,AE56+T56-N56))</f>
        <v/>
      </c>
      <c r="AG56" s="67" t="str">
        <f aca="false">IF($A56="","",MAX($I56,AF56+U56-O56))</f>
        <v/>
      </c>
      <c r="AH56" s="76" t="str">
        <f aca="false">IF($A56="","",IF($H56&lt;=0,"Already out",IF($E56&lt;=0,"No usage",IF(MAX(0,$H56)+SUM($P56:P56)-SUM($J56:J56)&lt;=0,$B$9,IF(MAX(0,$H56)+SUM($P56:Q56)-SUM($J56:K56)&lt;=0,$C$9,IF(MAX(0,$H56)+SUM($P56:R56)-SUM($J56:L56)&lt;=0,$D$9,IF(MAX(0,$H56)+SUM($P56:S56)-SUM($J56:M56)&lt;=0,$E$9,IF(MAX(0,$H56)+SUM($P56:T56)-SUM($J56:N56)&lt;=0,$F$9,IF(MAX(0,$H56)+SUM($P56:U56)-SUM($J56:O56)&lt;=0,$G$9,"Beyond 6 periods")))))))))</f>
        <v/>
      </c>
      <c r="AI56" s="67" t="str">
        <f aca="false">IF($A56="","",SUM(J56:O56))</f>
        <v/>
      </c>
      <c r="AJ56" s="68" t="str">
        <f aca="false">IF($A56="","",SUM(V56:AA56))</f>
        <v/>
      </c>
    </row>
    <row r="57" customFormat="false" ht="15" hidden="false" customHeight="false" outlineLevel="0" collapsed="false">
      <c r="A57" s="16" t="str">
        <f aca="false">IF('Stock Monitor'!$A25="","",'Stock Monitor'!$A25)</f>
        <v/>
      </c>
      <c r="B57" s="64" t="str">
        <f aca="false">IF($A57="","",'Stock Monitor'!$B25)</f>
        <v/>
      </c>
      <c r="C57" s="16" t="str">
        <f aca="false">IF($A57="","",'Stock Monitor'!$C25)</f>
        <v/>
      </c>
      <c r="D57" s="64" t="str">
        <f aca="false">IF($A57="","",'Stock Monitor'!$D25)</f>
        <v/>
      </c>
      <c r="E57" s="67" t="str">
        <f aca="false">IF($A57="","",'Stock Monitor'!$J25)</f>
        <v/>
      </c>
      <c r="F57" s="67" t="str">
        <f aca="false">IF($A57="","",$E57*WorkDaysWeek)</f>
        <v/>
      </c>
      <c r="G57" s="67" t="str">
        <f aca="false">IF($A57="","",$E57*WorkDaysMonth)</f>
        <v/>
      </c>
      <c r="H57" s="68" t="str">
        <f aca="false">IF($A57="","",'Stock Monitor'!$E25)</f>
        <v/>
      </c>
      <c r="I57" s="67" t="str">
        <f aca="false">IF($A57="","",'Stock Monitor'!$T25)</f>
        <v/>
      </c>
      <c r="J57" s="67" t="str">
        <f aca="false">IF($A57="","",$E57*B$8)</f>
        <v/>
      </c>
      <c r="K57" s="67" t="str">
        <f aca="false">IF($A57="","",$E57*C$8)</f>
        <v/>
      </c>
      <c r="L57" s="67" t="str">
        <f aca="false">IF($A57="","",$E57*D$8)</f>
        <v/>
      </c>
      <c r="M57" s="67" t="str">
        <f aca="false">IF($A57="","",$E57*E$8)</f>
        <v/>
      </c>
      <c r="N57" s="67" t="str">
        <f aca="false">IF($A57="","",$E57*F$8)</f>
        <v/>
      </c>
      <c r="O57" s="67" t="str">
        <f aca="false">IF($A57="","",$E57*G$8)</f>
        <v/>
      </c>
      <c r="P57" s="74" t="str">
        <f aca="false">IF($A57="","",SUMIFS(Del_Qty,Del_Site,$A57,Del_Mat,$B57,Del_Date,"&gt;="&amp;B$6,Del_Date,"&lt;="&amp;B$7))</f>
        <v/>
      </c>
      <c r="Q57" s="74" t="str">
        <f aca="false">IF($A57="","",SUMIFS(Del_Qty,Del_Site,$A57,Del_Mat,$B57,Del_Date,"&gt;="&amp;C$6,Del_Date,"&lt;="&amp;C$7))</f>
        <v/>
      </c>
      <c r="R57" s="74" t="str">
        <f aca="false">IF($A57="","",SUMIFS(Del_Qty,Del_Site,$A57,Del_Mat,$B57,Del_Date,"&gt;="&amp;D$6,Del_Date,"&lt;="&amp;D$7))</f>
        <v/>
      </c>
      <c r="S57" s="74" t="str">
        <f aca="false">IF($A57="","",SUMIFS(Del_Qty,Del_Site,$A57,Del_Mat,$B57,Del_Date,"&gt;="&amp;E$6,Del_Date,"&lt;="&amp;E$7))</f>
        <v/>
      </c>
      <c r="T57" s="74" t="str">
        <f aca="false">IF($A57="","",SUMIFS(Del_Qty,Del_Site,$A57,Del_Mat,$B57,Del_Date,"&gt;="&amp;F$6,Del_Date,"&lt;="&amp;F$7))</f>
        <v/>
      </c>
      <c r="U57" s="74" t="str">
        <f aca="false">IF($A57="","",SUMIFS(Del_Qty,Del_Site,$A57,Del_Mat,$B57,Del_Date,"&gt;="&amp;G$6,Del_Date,"&lt;="&amp;G$7))</f>
        <v/>
      </c>
      <c r="V57" s="81" t="str">
        <f aca="false">IF($A57="","",MAX(0,J57+$I57-MAX(0,$H57)-P57))</f>
        <v/>
      </c>
      <c r="W57" s="81" t="str">
        <f aca="false">IF($A57="","",MAX(0,K57+$I57-AB57-Q57))</f>
        <v/>
      </c>
      <c r="X57" s="81" t="str">
        <f aca="false">IF($A57="","",MAX(0,L57+$I57-AC57-R57))</f>
        <v/>
      </c>
      <c r="Y57" s="81" t="str">
        <f aca="false">IF($A57="","",MAX(0,M57+$I57-AD57-S57))</f>
        <v/>
      </c>
      <c r="Z57" s="81" t="str">
        <f aca="false">IF($A57="","",MAX(0,N57+$I57-AE57-T57))</f>
        <v/>
      </c>
      <c r="AA57" s="81" t="str">
        <f aca="false">IF($A57="","",MAX(0,O57+$I57-AF57-U57))</f>
        <v/>
      </c>
      <c r="AB57" s="67" t="str">
        <f aca="false">IF($A57="","",MAX($I57,MAX(0,$H57)+P57-J57))</f>
        <v/>
      </c>
      <c r="AC57" s="67" t="str">
        <f aca="false">IF($A57="","",MAX($I57,AB57+Q57-K57))</f>
        <v/>
      </c>
      <c r="AD57" s="67" t="str">
        <f aca="false">IF($A57="","",MAX($I57,AC57+R57-L57))</f>
        <v/>
      </c>
      <c r="AE57" s="67" t="str">
        <f aca="false">IF($A57="","",MAX($I57,AD57+S57-M57))</f>
        <v/>
      </c>
      <c r="AF57" s="67" t="str">
        <f aca="false">IF($A57="","",MAX($I57,AE57+T57-N57))</f>
        <v/>
      </c>
      <c r="AG57" s="67" t="str">
        <f aca="false">IF($A57="","",MAX($I57,AF57+U57-O57))</f>
        <v/>
      </c>
      <c r="AH57" s="76" t="str">
        <f aca="false">IF($A57="","",IF($H57&lt;=0,"Already out",IF($E57&lt;=0,"No usage",IF(MAX(0,$H57)+SUM($P57:P57)-SUM($J57:J57)&lt;=0,$B$9,IF(MAX(0,$H57)+SUM($P57:Q57)-SUM($J57:K57)&lt;=0,$C$9,IF(MAX(0,$H57)+SUM($P57:R57)-SUM($J57:L57)&lt;=0,$D$9,IF(MAX(0,$H57)+SUM($P57:S57)-SUM($J57:M57)&lt;=0,$E$9,IF(MAX(0,$H57)+SUM($P57:T57)-SUM($J57:N57)&lt;=0,$F$9,IF(MAX(0,$H57)+SUM($P57:U57)-SUM($J57:O57)&lt;=0,$G$9,"Beyond 6 periods")))))))))</f>
        <v/>
      </c>
      <c r="AI57" s="67" t="str">
        <f aca="false">IF($A57="","",SUM(J57:O57))</f>
        <v/>
      </c>
      <c r="AJ57" s="68" t="str">
        <f aca="false">IF($A57="","",SUM(V57:AA57))</f>
        <v/>
      </c>
    </row>
    <row r="58" customFormat="false" ht="15" hidden="false" customHeight="false" outlineLevel="0" collapsed="false">
      <c r="A58" s="16" t="str">
        <f aca="false">IF('Stock Monitor'!$A26="","",'Stock Monitor'!$A26)</f>
        <v/>
      </c>
      <c r="B58" s="64" t="str">
        <f aca="false">IF($A58="","",'Stock Monitor'!$B26)</f>
        <v/>
      </c>
      <c r="C58" s="16" t="str">
        <f aca="false">IF($A58="","",'Stock Monitor'!$C26)</f>
        <v/>
      </c>
      <c r="D58" s="64" t="str">
        <f aca="false">IF($A58="","",'Stock Monitor'!$D26)</f>
        <v/>
      </c>
      <c r="E58" s="67" t="str">
        <f aca="false">IF($A58="","",'Stock Monitor'!$J26)</f>
        <v/>
      </c>
      <c r="F58" s="67" t="str">
        <f aca="false">IF($A58="","",$E58*WorkDaysWeek)</f>
        <v/>
      </c>
      <c r="G58" s="67" t="str">
        <f aca="false">IF($A58="","",$E58*WorkDaysMonth)</f>
        <v/>
      </c>
      <c r="H58" s="68" t="str">
        <f aca="false">IF($A58="","",'Stock Monitor'!$E26)</f>
        <v/>
      </c>
      <c r="I58" s="67" t="str">
        <f aca="false">IF($A58="","",'Stock Monitor'!$T26)</f>
        <v/>
      </c>
      <c r="J58" s="67" t="str">
        <f aca="false">IF($A58="","",$E58*B$8)</f>
        <v/>
      </c>
      <c r="K58" s="67" t="str">
        <f aca="false">IF($A58="","",$E58*C$8)</f>
        <v/>
      </c>
      <c r="L58" s="67" t="str">
        <f aca="false">IF($A58="","",$E58*D$8)</f>
        <v/>
      </c>
      <c r="M58" s="67" t="str">
        <f aca="false">IF($A58="","",$E58*E$8)</f>
        <v/>
      </c>
      <c r="N58" s="67" t="str">
        <f aca="false">IF($A58="","",$E58*F$8)</f>
        <v/>
      </c>
      <c r="O58" s="67" t="str">
        <f aca="false">IF($A58="","",$E58*G$8)</f>
        <v/>
      </c>
      <c r="P58" s="74" t="str">
        <f aca="false">IF($A58="","",SUMIFS(Del_Qty,Del_Site,$A58,Del_Mat,$B58,Del_Date,"&gt;="&amp;B$6,Del_Date,"&lt;="&amp;B$7))</f>
        <v/>
      </c>
      <c r="Q58" s="74" t="str">
        <f aca="false">IF($A58="","",SUMIFS(Del_Qty,Del_Site,$A58,Del_Mat,$B58,Del_Date,"&gt;="&amp;C$6,Del_Date,"&lt;="&amp;C$7))</f>
        <v/>
      </c>
      <c r="R58" s="74" t="str">
        <f aca="false">IF($A58="","",SUMIFS(Del_Qty,Del_Site,$A58,Del_Mat,$B58,Del_Date,"&gt;="&amp;D$6,Del_Date,"&lt;="&amp;D$7))</f>
        <v/>
      </c>
      <c r="S58" s="74" t="str">
        <f aca="false">IF($A58="","",SUMIFS(Del_Qty,Del_Site,$A58,Del_Mat,$B58,Del_Date,"&gt;="&amp;E$6,Del_Date,"&lt;="&amp;E$7))</f>
        <v/>
      </c>
      <c r="T58" s="74" t="str">
        <f aca="false">IF($A58="","",SUMIFS(Del_Qty,Del_Site,$A58,Del_Mat,$B58,Del_Date,"&gt;="&amp;F$6,Del_Date,"&lt;="&amp;F$7))</f>
        <v/>
      </c>
      <c r="U58" s="74" t="str">
        <f aca="false">IF($A58="","",SUMIFS(Del_Qty,Del_Site,$A58,Del_Mat,$B58,Del_Date,"&gt;="&amp;G$6,Del_Date,"&lt;="&amp;G$7))</f>
        <v/>
      </c>
      <c r="V58" s="81" t="str">
        <f aca="false">IF($A58="","",MAX(0,J58+$I58-MAX(0,$H58)-P58))</f>
        <v/>
      </c>
      <c r="W58" s="81" t="str">
        <f aca="false">IF($A58="","",MAX(0,K58+$I58-AB58-Q58))</f>
        <v/>
      </c>
      <c r="X58" s="81" t="str">
        <f aca="false">IF($A58="","",MAX(0,L58+$I58-AC58-R58))</f>
        <v/>
      </c>
      <c r="Y58" s="81" t="str">
        <f aca="false">IF($A58="","",MAX(0,M58+$I58-AD58-S58))</f>
        <v/>
      </c>
      <c r="Z58" s="81" t="str">
        <f aca="false">IF($A58="","",MAX(0,N58+$I58-AE58-T58))</f>
        <v/>
      </c>
      <c r="AA58" s="81" t="str">
        <f aca="false">IF($A58="","",MAX(0,O58+$I58-AF58-U58))</f>
        <v/>
      </c>
      <c r="AB58" s="67" t="str">
        <f aca="false">IF($A58="","",MAX($I58,MAX(0,$H58)+P58-J58))</f>
        <v/>
      </c>
      <c r="AC58" s="67" t="str">
        <f aca="false">IF($A58="","",MAX($I58,AB58+Q58-K58))</f>
        <v/>
      </c>
      <c r="AD58" s="67" t="str">
        <f aca="false">IF($A58="","",MAX($I58,AC58+R58-L58))</f>
        <v/>
      </c>
      <c r="AE58" s="67" t="str">
        <f aca="false">IF($A58="","",MAX($I58,AD58+S58-M58))</f>
        <v/>
      </c>
      <c r="AF58" s="67" t="str">
        <f aca="false">IF($A58="","",MAX($I58,AE58+T58-N58))</f>
        <v/>
      </c>
      <c r="AG58" s="67" t="str">
        <f aca="false">IF($A58="","",MAX($I58,AF58+U58-O58))</f>
        <v/>
      </c>
      <c r="AH58" s="76" t="str">
        <f aca="false">IF($A58="","",IF($H58&lt;=0,"Already out",IF($E58&lt;=0,"No usage",IF(MAX(0,$H58)+SUM($P58:P58)-SUM($J58:J58)&lt;=0,$B$9,IF(MAX(0,$H58)+SUM($P58:Q58)-SUM($J58:K58)&lt;=0,$C$9,IF(MAX(0,$H58)+SUM($P58:R58)-SUM($J58:L58)&lt;=0,$D$9,IF(MAX(0,$H58)+SUM($P58:S58)-SUM($J58:M58)&lt;=0,$E$9,IF(MAX(0,$H58)+SUM($P58:T58)-SUM($J58:N58)&lt;=0,$F$9,IF(MAX(0,$H58)+SUM($P58:U58)-SUM($J58:O58)&lt;=0,$G$9,"Beyond 6 periods")))))))))</f>
        <v/>
      </c>
      <c r="AI58" s="67" t="str">
        <f aca="false">IF($A58="","",SUM(J58:O58))</f>
        <v/>
      </c>
      <c r="AJ58" s="68" t="str">
        <f aca="false">IF($A58="","",SUM(V58:AA58))</f>
        <v/>
      </c>
    </row>
    <row r="59" customFormat="false" ht="15" hidden="false" customHeight="false" outlineLevel="0" collapsed="false">
      <c r="A59" s="16" t="str">
        <f aca="false">IF('Stock Monitor'!$A27="","",'Stock Monitor'!$A27)</f>
        <v/>
      </c>
      <c r="B59" s="64" t="str">
        <f aca="false">IF($A59="","",'Stock Monitor'!$B27)</f>
        <v/>
      </c>
      <c r="C59" s="16" t="str">
        <f aca="false">IF($A59="","",'Stock Monitor'!$C27)</f>
        <v/>
      </c>
      <c r="D59" s="64" t="str">
        <f aca="false">IF($A59="","",'Stock Monitor'!$D27)</f>
        <v/>
      </c>
      <c r="E59" s="67" t="str">
        <f aca="false">IF($A59="","",'Stock Monitor'!$J27)</f>
        <v/>
      </c>
      <c r="F59" s="67" t="str">
        <f aca="false">IF($A59="","",$E59*WorkDaysWeek)</f>
        <v/>
      </c>
      <c r="G59" s="67" t="str">
        <f aca="false">IF($A59="","",$E59*WorkDaysMonth)</f>
        <v/>
      </c>
      <c r="H59" s="68" t="str">
        <f aca="false">IF($A59="","",'Stock Monitor'!$E27)</f>
        <v/>
      </c>
      <c r="I59" s="67" t="str">
        <f aca="false">IF($A59="","",'Stock Monitor'!$T27)</f>
        <v/>
      </c>
      <c r="J59" s="67" t="str">
        <f aca="false">IF($A59="","",$E59*B$8)</f>
        <v/>
      </c>
      <c r="K59" s="67" t="str">
        <f aca="false">IF($A59="","",$E59*C$8)</f>
        <v/>
      </c>
      <c r="L59" s="67" t="str">
        <f aca="false">IF($A59="","",$E59*D$8)</f>
        <v/>
      </c>
      <c r="M59" s="67" t="str">
        <f aca="false">IF($A59="","",$E59*E$8)</f>
        <v/>
      </c>
      <c r="N59" s="67" t="str">
        <f aca="false">IF($A59="","",$E59*F$8)</f>
        <v/>
      </c>
      <c r="O59" s="67" t="str">
        <f aca="false">IF($A59="","",$E59*G$8)</f>
        <v/>
      </c>
      <c r="P59" s="74" t="str">
        <f aca="false">IF($A59="","",SUMIFS(Del_Qty,Del_Site,$A59,Del_Mat,$B59,Del_Date,"&gt;="&amp;B$6,Del_Date,"&lt;="&amp;B$7))</f>
        <v/>
      </c>
      <c r="Q59" s="74" t="str">
        <f aca="false">IF($A59="","",SUMIFS(Del_Qty,Del_Site,$A59,Del_Mat,$B59,Del_Date,"&gt;="&amp;C$6,Del_Date,"&lt;="&amp;C$7))</f>
        <v/>
      </c>
      <c r="R59" s="74" t="str">
        <f aca="false">IF($A59="","",SUMIFS(Del_Qty,Del_Site,$A59,Del_Mat,$B59,Del_Date,"&gt;="&amp;D$6,Del_Date,"&lt;="&amp;D$7))</f>
        <v/>
      </c>
      <c r="S59" s="74" t="str">
        <f aca="false">IF($A59="","",SUMIFS(Del_Qty,Del_Site,$A59,Del_Mat,$B59,Del_Date,"&gt;="&amp;E$6,Del_Date,"&lt;="&amp;E$7))</f>
        <v/>
      </c>
      <c r="T59" s="74" t="str">
        <f aca="false">IF($A59="","",SUMIFS(Del_Qty,Del_Site,$A59,Del_Mat,$B59,Del_Date,"&gt;="&amp;F$6,Del_Date,"&lt;="&amp;F$7))</f>
        <v/>
      </c>
      <c r="U59" s="74" t="str">
        <f aca="false">IF($A59="","",SUMIFS(Del_Qty,Del_Site,$A59,Del_Mat,$B59,Del_Date,"&gt;="&amp;G$6,Del_Date,"&lt;="&amp;G$7))</f>
        <v/>
      </c>
      <c r="V59" s="81" t="str">
        <f aca="false">IF($A59="","",MAX(0,J59+$I59-MAX(0,$H59)-P59))</f>
        <v/>
      </c>
      <c r="W59" s="81" t="str">
        <f aca="false">IF($A59="","",MAX(0,K59+$I59-AB59-Q59))</f>
        <v/>
      </c>
      <c r="X59" s="81" t="str">
        <f aca="false">IF($A59="","",MAX(0,L59+$I59-AC59-R59))</f>
        <v/>
      </c>
      <c r="Y59" s="81" t="str">
        <f aca="false">IF($A59="","",MAX(0,M59+$I59-AD59-S59))</f>
        <v/>
      </c>
      <c r="Z59" s="81" t="str">
        <f aca="false">IF($A59="","",MAX(0,N59+$I59-AE59-T59))</f>
        <v/>
      </c>
      <c r="AA59" s="81" t="str">
        <f aca="false">IF($A59="","",MAX(0,O59+$I59-AF59-U59))</f>
        <v/>
      </c>
      <c r="AB59" s="67" t="str">
        <f aca="false">IF($A59="","",MAX($I59,MAX(0,$H59)+P59-J59))</f>
        <v/>
      </c>
      <c r="AC59" s="67" t="str">
        <f aca="false">IF($A59="","",MAX($I59,AB59+Q59-K59))</f>
        <v/>
      </c>
      <c r="AD59" s="67" t="str">
        <f aca="false">IF($A59="","",MAX($I59,AC59+R59-L59))</f>
        <v/>
      </c>
      <c r="AE59" s="67" t="str">
        <f aca="false">IF($A59="","",MAX($I59,AD59+S59-M59))</f>
        <v/>
      </c>
      <c r="AF59" s="67" t="str">
        <f aca="false">IF($A59="","",MAX($I59,AE59+T59-N59))</f>
        <v/>
      </c>
      <c r="AG59" s="67" t="str">
        <f aca="false">IF($A59="","",MAX($I59,AF59+U59-O59))</f>
        <v/>
      </c>
      <c r="AH59" s="76" t="str">
        <f aca="false">IF($A59="","",IF($H59&lt;=0,"Already out",IF($E59&lt;=0,"No usage",IF(MAX(0,$H59)+SUM($P59:P59)-SUM($J59:J59)&lt;=0,$B$9,IF(MAX(0,$H59)+SUM($P59:Q59)-SUM($J59:K59)&lt;=0,$C$9,IF(MAX(0,$H59)+SUM($P59:R59)-SUM($J59:L59)&lt;=0,$D$9,IF(MAX(0,$H59)+SUM($P59:S59)-SUM($J59:M59)&lt;=0,$E$9,IF(MAX(0,$H59)+SUM($P59:T59)-SUM($J59:N59)&lt;=0,$F$9,IF(MAX(0,$H59)+SUM($P59:U59)-SUM($J59:O59)&lt;=0,$G$9,"Beyond 6 periods")))))))))</f>
        <v/>
      </c>
      <c r="AI59" s="67" t="str">
        <f aca="false">IF($A59="","",SUM(J59:O59))</f>
        <v/>
      </c>
      <c r="AJ59" s="68" t="str">
        <f aca="false">IF($A59="","",SUM(V59:AA59))</f>
        <v/>
      </c>
    </row>
    <row r="60" customFormat="false" ht="15" hidden="false" customHeight="false" outlineLevel="0" collapsed="false">
      <c r="A60" s="16" t="str">
        <f aca="false">IF('Stock Monitor'!$A28="","",'Stock Monitor'!$A28)</f>
        <v/>
      </c>
      <c r="B60" s="64" t="str">
        <f aca="false">IF($A60="","",'Stock Monitor'!$B28)</f>
        <v/>
      </c>
      <c r="C60" s="16" t="str">
        <f aca="false">IF($A60="","",'Stock Monitor'!$C28)</f>
        <v/>
      </c>
      <c r="D60" s="64" t="str">
        <f aca="false">IF($A60="","",'Stock Monitor'!$D28)</f>
        <v/>
      </c>
      <c r="E60" s="67" t="str">
        <f aca="false">IF($A60="","",'Stock Monitor'!$J28)</f>
        <v/>
      </c>
      <c r="F60" s="67" t="str">
        <f aca="false">IF($A60="","",$E60*WorkDaysWeek)</f>
        <v/>
      </c>
      <c r="G60" s="67" t="str">
        <f aca="false">IF($A60="","",$E60*WorkDaysMonth)</f>
        <v/>
      </c>
      <c r="H60" s="68" t="str">
        <f aca="false">IF($A60="","",'Stock Monitor'!$E28)</f>
        <v/>
      </c>
      <c r="I60" s="67" t="str">
        <f aca="false">IF($A60="","",'Stock Monitor'!$T28)</f>
        <v/>
      </c>
      <c r="J60" s="67" t="str">
        <f aca="false">IF($A60="","",$E60*B$8)</f>
        <v/>
      </c>
      <c r="K60" s="67" t="str">
        <f aca="false">IF($A60="","",$E60*C$8)</f>
        <v/>
      </c>
      <c r="L60" s="67" t="str">
        <f aca="false">IF($A60="","",$E60*D$8)</f>
        <v/>
      </c>
      <c r="M60" s="67" t="str">
        <f aca="false">IF($A60="","",$E60*E$8)</f>
        <v/>
      </c>
      <c r="N60" s="67" t="str">
        <f aca="false">IF($A60="","",$E60*F$8)</f>
        <v/>
      </c>
      <c r="O60" s="67" t="str">
        <f aca="false">IF($A60="","",$E60*G$8)</f>
        <v/>
      </c>
      <c r="P60" s="74" t="str">
        <f aca="false">IF($A60="","",SUMIFS(Del_Qty,Del_Site,$A60,Del_Mat,$B60,Del_Date,"&gt;="&amp;B$6,Del_Date,"&lt;="&amp;B$7))</f>
        <v/>
      </c>
      <c r="Q60" s="74" t="str">
        <f aca="false">IF($A60="","",SUMIFS(Del_Qty,Del_Site,$A60,Del_Mat,$B60,Del_Date,"&gt;="&amp;C$6,Del_Date,"&lt;="&amp;C$7))</f>
        <v/>
      </c>
      <c r="R60" s="74" t="str">
        <f aca="false">IF($A60="","",SUMIFS(Del_Qty,Del_Site,$A60,Del_Mat,$B60,Del_Date,"&gt;="&amp;D$6,Del_Date,"&lt;="&amp;D$7))</f>
        <v/>
      </c>
      <c r="S60" s="74" t="str">
        <f aca="false">IF($A60="","",SUMIFS(Del_Qty,Del_Site,$A60,Del_Mat,$B60,Del_Date,"&gt;="&amp;E$6,Del_Date,"&lt;="&amp;E$7))</f>
        <v/>
      </c>
      <c r="T60" s="74" t="str">
        <f aca="false">IF($A60="","",SUMIFS(Del_Qty,Del_Site,$A60,Del_Mat,$B60,Del_Date,"&gt;="&amp;F$6,Del_Date,"&lt;="&amp;F$7))</f>
        <v/>
      </c>
      <c r="U60" s="74" t="str">
        <f aca="false">IF($A60="","",SUMIFS(Del_Qty,Del_Site,$A60,Del_Mat,$B60,Del_Date,"&gt;="&amp;G$6,Del_Date,"&lt;="&amp;G$7))</f>
        <v/>
      </c>
      <c r="V60" s="81" t="str">
        <f aca="false">IF($A60="","",MAX(0,J60+$I60-MAX(0,$H60)-P60))</f>
        <v/>
      </c>
      <c r="W60" s="81" t="str">
        <f aca="false">IF($A60="","",MAX(0,K60+$I60-AB60-Q60))</f>
        <v/>
      </c>
      <c r="X60" s="81" t="str">
        <f aca="false">IF($A60="","",MAX(0,L60+$I60-AC60-R60))</f>
        <v/>
      </c>
      <c r="Y60" s="81" t="str">
        <f aca="false">IF($A60="","",MAX(0,M60+$I60-AD60-S60))</f>
        <v/>
      </c>
      <c r="Z60" s="81" t="str">
        <f aca="false">IF($A60="","",MAX(0,N60+$I60-AE60-T60))</f>
        <v/>
      </c>
      <c r="AA60" s="81" t="str">
        <f aca="false">IF($A60="","",MAX(0,O60+$I60-AF60-U60))</f>
        <v/>
      </c>
      <c r="AB60" s="67" t="str">
        <f aca="false">IF($A60="","",MAX($I60,MAX(0,$H60)+P60-J60))</f>
        <v/>
      </c>
      <c r="AC60" s="67" t="str">
        <f aca="false">IF($A60="","",MAX($I60,AB60+Q60-K60))</f>
        <v/>
      </c>
      <c r="AD60" s="67" t="str">
        <f aca="false">IF($A60="","",MAX($I60,AC60+R60-L60))</f>
        <v/>
      </c>
      <c r="AE60" s="67" t="str">
        <f aca="false">IF($A60="","",MAX($I60,AD60+S60-M60))</f>
        <v/>
      </c>
      <c r="AF60" s="67" t="str">
        <f aca="false">IF($A60="","",MAX($I60,AE60+T60-N60))</f>
        <v/>
      </c>
      <c r="AG60" s="67" t="str">
        <f aca="false">IF($A60="","",MAX($I60,AF60+U60-O60))</f>
        <v/>
      </c>
      <c r="AH60" s="76" t="str">
        <f aca="false">IF($A60="","",IF($H60&lt;=0,"Already out",IF($E60&lt;=0,"No usage",IF(MAX(0,$H60)+SUM($P60:P60)-SUM($J60:J60)&lt;=0,$B$9,IF(MAX(0,$H60)+SUM($P60:Q60)-SUM($J60:K60)&lt;=0,$C$9,IF(MAX(0,$H60)+SUM($P60:R60)-SUM($J60:L60)&lt;=0,$D$9,IF(MAX(0,$H60)+SUM($P60:S60)-SUM($J60:M60)&lt;=0,$E$9,IF(MAX(0,$H60)+SUM($P60:T60)-SUM($J60:N60)&lt;=0,$F$9,IF(MAX(0,$H60)+SUM($P60:U60)-SUM($J60:O60)&lt;=0,$G$9,"Beyond 6 periods")))))))))</f>
        <v/>
      </c>
      <c r="AI60" s="67" t="str">
        <f aca="false">IF($A60="","",SUM(J60:O60))</f>
        <v/>
      </c>
      <c r="AJ60" s="68" t="str">
        <f aca="false">IF($A60="","",SUM(V60:AA60))</f>
        <v/>
      </c>
    </row>
    <row r="61" customFormat="false" ht="15" hidden="false" customHeight="false" outlineLevel="0" collapsed="false">
      <c r="A61" s="16" t="str">
        <f aca="false">IF('Stock Monitor'!$A29="","",'Stock Monitor'!$A29)</f>
        <v/>
      </c>
      <c r="B61" s="64" t="str">
        <f aca="false">IF($A61="","",'Stock Monitor'!$B29)</f>
        <v/>
      </c>
      <c r="C61" s="16" t="str">
        <f aca="false">IF($A61="","",'Stock Monitor'!$C29)</f>
        <v/>
      </c>
      <c r="D61" s="64" t="str">
        <f aca="false">IF($A61="","",'Stock Monitor'!$D29)</f>
        <v/>
      </c>
      <c r="E61" s="67" t="str">
        <f aca="false">IF($A61="","",'Stock Monitor'!$J29)</f>
        <v/>
      </c>
      <c r="F61" s="67" t="str">
        <f aca="false">IF($A61="","",$E61*WorkDaysWeek)</f>
        <v/>
      </c>
      <c r="G61" s="67" t="str">
        <f aca="false">IF($A61="","",$E61*WorkDaysMonth)</f>
        <v/>
      </c>
      <c r="H61" s="68" t="str">
        <f aca="false">IF($A61="","",'Stock Monitor'!$E29)</f>
        <v/>
      </c>
      <c r="I61" s="67" t="str">
        <f aca="false">IF($A61="","",'Stock Monitor'!$T29)</f>
        <v/>
      </c>
      <c r="J61" s="67" t="str">
        <f aca="false">IF($A61="","",$E61*B$8)</f>
        <v/>
      </c>
      <c r="K61" s="67" t="str">
        <f aca="false">IF($A61="","",$E61*C$8)</f>
        <v/>
      </c>
      <c r="L61" s="67" t="str">
        <f aca="false">IF($A61="","",$E61*D$8)</f>
        <v/>
      </c>
      <c r="M61" s="67" t="str">
        <f aca="false">IF($A61="","",$E61*E$8)</f>
        <v/>
      </c>
      <c r="N61" s="67" t="str">
        <f aca="false">IF($A61="","",$E61*F$8)</f>
        <v/>
      </c>
      <c r="O61" s="67" t="str">
        <f aca="false">IF($A61="","",$E61*G$8)</f>
        <v/>
      </c>
      <c r="P61" s="74" t="str">
        <f aca="false">IF($A61="","",SUMIFS(Del_Qty,Del_Site,$A61,Del_Mat,$B61,Del_Date,"&gt;="&amp;B$6,Del_Date,"&lt;="&amp;B$7))</f>
        <v/>
      </c>
      <c r="Q61" s="74" t="str">
        <f aca="false">IF($A61="","",SUMIFS(Del_Qty,Del_Site,$A61,Del_Mat,$B61,Del_Date,"&gt;="&amp;C$6,Del_Date,"&lt;="&amp;C$7))</f>
        <v/>
      </c>
      <c r="R61" s="74" t="str">
        <f aca="false">IF($A61="","",SUMIFS(Del_Qty,Del_Site,$A61,Del_Mat,$B61,Del_Date,"&gt;="&amp;D$6,Del_Date,"&lt;="&amp;D$7))</f>
        <v/>
      </c>
      <c r="S61" s="74" t="str">
        <f aca="false">IF($A61="","",SUMIFS(Del_Qty,Del_Site,$A61,Del_Mat,$B61,Del_Date,"&gt;="&amp;E$6,Del_Date,"&lt;="&amp;E$7))</f>
        <v/>
      </c>
      <c r="T61" s="74" t="str">
        <f aca="false">IF($A61="","",SUMIFS(Del_Qty,Del_Site,$A61,Del_Mat,$B61,Del_Date,"&gt;="&amp;F$6,Del_Date,"&lt;="&amp;F$7))</f>
        <v/>
      </c>
      <c r="U61" s="74" t="str">
        <f aca="false">IF($A61="","",SUMIFS(Del_Qty,Del_Site,$A61,Del_Mat,$B61,Del_Date,"&gt;="&amp;G$6,Del_Date,"&lt;="&amp;G$7))</f>
        <v/>
      </c>
      <c r="V61" s="81" t="str">
        <f aca="false">IF($A61="","",MAX(0,J61+$I61-MAX(0,$H61)-P61))</f>
        <v/>
      </c>
      <c r="W61" s="81" t="str">
        <f aca="false">IF($A61="","",MAX(0,K61+$I61-AB61-Q61))</f>
        <v/>
      </c>
      <c r="X61" s="81" t="str">
        <f aca="false">IF($A61="","",MAX(0,L61+$I61-AC61-R61))</f>
        <v/>
      </c>
      <c r="Y61" s="81" t="str">
        <f aca="false">IF($A61="","",MAX(0,M61+$I61-AD61-S61))</f>
        <v/>
      </c>
      <c r="Z61" s="81" t="str">
        <f aca="false">IF($A61="","",MAX(0,N61+$I61-AE61-T61))</f>
        <v/>
      </c>
      <c r="AA61" s="81" t="str">
        <f aca="false">IF($A61="","",MAX(0,O61+$I61-AF61-U61))</f>
        <v/>
      </c>
      <c r="AB61" s="67" t="str">
        <f aca="false">IF($A61="","",MAX($I61,MAX(0,$H61)+P61-J61))</f>
        <v/>
      </c>
      <c r="AC61" s="67" t="str">
        <f aca="false">IF($A61="","",MAX($I61,AB61+Q61-K61))</f>
        <v/>
      </c>
      <c r="AD61" s="67" t="str">
        <f aca="false">IF($A61="","",MAX($I61,AC61+R61-L61))</f>
        <v/>
      </c>
      <c r="AE61" s="67" t="str">
        <f aca="false">IF($A61="","",MAX($I61,AD61+S61-M61))</f>
        <v/>
      </c>
      <c r="AF61" s="67" t="str">
        <f aca="false">IF($A61="","",MAX($I61,AE61+T61-N61))</f>
        <v/>
      </c>
      <c r="AG61" s="67" t="str">
        <f aca="false">IF($A61="","",MAX($I61,AF61+U61-O61))</f>
        <v/>
      </c>
      <c r="AH61" s="76" t="str">
        <f aca="false">IF($A61="","",IF($H61&lt;=0,"Already out",IF($E61&lt;=0,"No usage",IF(MAX(0,$H61)+SUM($P61:P61)-SUM($J61:J61)&lt;=0,$B$9,IF(MAX(0,$H61)+SUM($P61:Q61)-SUM($J61:K61)&lt;=0,$C$9,IF(MAX(0,$H61)+SUM($P61:R61)-SUM($J61:L61)&lt;=0,$D$9,IF(MAX(0,$H61)+SUM($P61:S61)-SUM($J61:M61)&lt;=0,$E$9,IF(MAX(0,$H61)+SUM($P61:T61)-SUM($J61:N61)&lt;=0,$F$9,IF(MAX(0,$H61)+SUM($P61:U61)-SUM($J61:O61)&lt;=0,$G$9,"Beyond 6 periods")))))))))</f>
        <v/>
      </c>
      <c r="AI61" s="67" t="str">
        <f aca="false">IF($A61="","",SUM(J61:O61))</f>
        <v/>
      </c>
      <c r="AJ61" s="68" t="str">
        <f aca="false">IF($A61="","",SUM(V61:AA61))</f>
        <v/>
      </c>
    </row>
    <row r="62" customFormat="false" ht="15" hidden="false" customHeight="false" outlineLevel="0" collapsed="false">
      <c r="A62" s="16" t="str">
        <f aca="false">IF('Stock Monitor'!$A30="","",'Stock Monitor'!$A30)</f>
        <v/>
      </c>
      <c r="B62" s="64" t="str">
        <f aca="false">IF($A62="","",'Stock Monitor'!$B30)</f>
        <v/>
      </c>
      <c r="C62" s="16" t="str">
        <f aca="false">IF($A62="","",'Stock Monitor'!$C30)</f>
        <v/>
      </c>
      <c r="D62" s="64" t="str">
        <f aca="false">IF($A62="","",'Stock Monitor'!$D30)</f>
        <v/>
      </c>
      <c r="E62" s="67" t="str">
        <f aca="false">IF($A62="","",'Stock Monitor'!$J30)</f>
        <v/>
      </c>
      <c r="F62" s="67" t="str">
        <f aca="false">IF($A62="","",$E62*WorkDaysWeek)</f>
        <v/>
      </c>
      <c r="G62" s="67" t="str">
        <f aca="false">IF($A62="","",$E62*WorkDaysMonth)</f>
        <v/>
      </c>
      <c r="H62" s="68" t="str">
        <f aca="false">IF($A62="","",'Stock Monitor'!$E30)</f>
        <v/>
      </c>
      <c r="I62" s="67" t="str">
        <f aca="false">IF($A62="","",'Stock Monitor'!$T30)</f>
        <v/>
      </c>
      <c r="J62" s="67" t="str">
        <f aca="false">IF($A62="","",$E62*B$8)</f>
        <v/>
      </c>
      <c r="K62" s="67" t="str">
        <f aca="false">IF($A62="","",$E62*C$8)</f>
        <v/>
      </c>
      <c r="L62" s="67" t="str">
        <f aca="false">IF($A62="","",$E62*D$8)</f>
        <v/>
      </c>
      <c r="M62" s="67" t="str">
        <f aca="false">IF($A62="","",$E62*E$8)</f>
        <v/>
      </c>
      <c r="N62" s="67" t="str">
        <f aca="false">IF($A62="","",$E62*F$8)</f>
        <v/>
      </c>
      <c r="O62" s="67" t="str">
        <f aca="false">IF($A62="","",$E62*G$8)</f>
        <v/>
      </c>
      <c r="P62" s="74" t="str">
        <f aca="false">IF($A62="","",SUMIFS(Del_Qty,Del_Site,$A62,Del_Mat,$B62,Del_Date,"&gt;="&amp;B$6,Del_Date,"&lt;="&amp;B$7))</f>
        <v/>
      </c>
      <c r="Q62" s="74" t="str">
        <f aca="false">IF($A62="","",SUMIFS(Del_Qty,Del_Site,$A62,Del_Mat,$B62,Del_Date,"&gt;="&amp;C$6,Del_Date,"&lt;="&amp;C$7))</f>
        <v/>
      </c>
      <c r="R62" s="74" t="str">
        <f aca="false">IF($A62="","",SUMIFS(Del_Qty,Del_Site,$A62,Del_Mat,$B62,Del_Date,"&gt;="&amp;D$6,Del_Date,"&lt;="&amp;D$7))</f>
        <v/>
      </c>
      <c r="S62" s="74" t="str">
        <f aca="false">IF($A62="","",SUMIFS(Del_Qty,Del_Site,$A62,Del_Mat,$B62,Del_Date,"&gt;="&amp;E$6,Del_Date,"&lt;="&amp;E$7))</f>
        <v/>
      </c>
      <c r="T62" s="74" t="str">
        <f aca="false">IF($A62="","",SUMIFS(Del_Qty,Del_Site,$A62,Del_Mat,$B62,Del_Date,"&gt;="&amp;F$6,Del_Date,"&lt;="&amp;F$7))</f>
        <v/>
      </c>
      <c r="U62" s="74" t="str">
        <f aca="false">IF($A62="","",SUMIFS(Del_Qty,Del_Site,$A62,Del_Mat,$B62,Del_Date,"&gt;="&amp;G$6,Del_Date,"&lt;="&amp;G$7))</f>
        <v/>
      </c>
      <c r="V62" s="81" t="str">
        <f aca="false">IF($A62="","",MAX(0,J62+$I62-MAX(0,$H62)-P62))</f>
        <v/>
      </c>
      <c r="W62" s="81" t="str">
        <f aca="false">IF($A62="","",MAX(0,K62+$I62-AB62-Q62))</f>
        <v/>
      </c>
      <c r="X62" s="81" t="str">
        <f aca="false">IF($A62="","",MAX(0,L62+$I62-AC62-R62))</f>
        <v/>
      </c>
      <c r="Y62" s="81" t="str">
        <f aca="false">IF($A62="","",MAX(0,M62+$I62-AD62-S62))</f>
        <v/>
      </c>
      <c r="Z62" s="81" t="str">
        <f aca="false">IF($A62="","",MAX(0,N62+$I62-AE62-T62))</f>
        <v/>
      </c>
      <c r="AA62" s="81" t="str">
        <f aca="false">IF($A62="","",MAX(0,O62+$I62-AF62-U62))</f>
        <v/>
      </c>
      <c r="AB62" s="67" t="str">
        <f aca="false">IF($A62="","",MAX($I62,MAX(0,$H62)+P62-J62))</f>
        <v/>
      </c>
      <c r="AC62" s="67" t="str">
        <f aca="false">IF($A62="","",MAX($I62,AB62+Q62-K62))</f>
        <v/>
      </c>
      <c r="AD62" s="67" t="str">
        <f aca="false">IF($A62="","",MAX($I62,AC62+R62-L62))</f>
        <v/>
      </c>
      <c r="AE62" s="67" t="str">
        <f aca="false">IF($A62="","",MAX($I62,AD62+S62-M62))</f>
        <v/>
      </c>
      <c r="AF62" s="67" t="str">
        <f aca="false">IF($A62="","",MAX($I62,AE62+T62-N62))</f>
        <v/>
      </c>
      <c r="AG62" s="67" t="str">
        <f aca="false">IF($A62="","",MAX($I62,AF62+U62-O62))</f>
        <v/>
      </c>
      <c r="AH62" s="76" t="str">
        <f aca="false">IF($A62="","",IF($H62&lt;=0,"Already out",IF($E62&lt;=0,"No usage",IF(MAX(0,$H62)+SUM($P62:P62)-SUM($J62:J62)&lt;=0,$B$9,IF(MAX(0,$H62)+SUM($P62:Q62)-SUM($J62:K62)&lt;=0,$C$9,IF(MAX(0,$H62)+SUM($P62:R62)-SUM($J62:L62)&lt;=0,$D$9,IF(MAX(0,$H62)+SUM($P62:S62)-SUM($J62:M62)&lt;=0,$E$9,IF(MAX(0,$H62)+SUM($P62:T62)-SUM($J62:N62)&lt;=0,$F$9,IF(MAX(0,$H62)+SUM($P62:U62)-SUM($J62:O62)&lt;=0,$G$9,"Beyond 6 periods")))))))))</f>
        <v/>
      </c>
      <c r="AI62" s="67" t="str">
        <f aca="false">IF($A62="","",SUM(J62:O62))</f>
        <v/>
      </c>
      <c r="AJ62" s="68" t="str">
        <f aca="false">IF($A62="","",SUM(V62:AA62))</f>
        <v/>
      </c>
    </row>
    <row r="63" customFormat="false" ht="15" hidden="false" customHeight="false" outlineLevel="0" collapsed="false">
      <c r="A63" s="16" t="str">
        <f aca="false">IF('Stock Monitor'!$A31="","",'Stock Monitor'!$A31)</f>
        <v/>
      </c>
      <c r="B63" s="64" t="str">
        <f aca="false">IF($A63="","",'Stock Monitor'!$B31)</f>
        <v/>
      </c>
      <c r="C63" s="16" t="str">
        <f aca="false">IF($A63="","",'Stock Monitor'!$C31)</f>
        <v/>
      </c>
      <c r="D63" s="64" t="str">
        <f aca="false">IF($A63="","",'Stock Monitor'!$D31)</f>
        <v/>
      </c>
      <c r="E63" s="67" t="str">
        <f aca="false">IF($A63="","",'Stock Monitor'!$J31)</f>
        <v/>
      </c>
      <c r="F63" s="67" t="str">
        <f aca="false">IF($A63="","",$E63*WorkDaysWeek)</f>
        <v/>
      </c>
      <c r="G63" s="67" t="str">
        <f aca="false">IF($A63="","",$E63*WorkDaysMonth)</f>
        <v/>
      </c>
      <c r="H63" s="68" t="str">
        <f aca="false">IF($A63="","",'Stock Monitor'!$E31)</f>
        <v/>
      </c>
      <c r="I63" s="67" t="str">
        <f aca="false">IF($A63="","",'Stock Monitor'!$T31)</f>
        <v/>
      </c>
      <c r="J63" s="67" t="str">
        <f aca="false">IF($A63="","",$E63*B$8)</f>
        <v/>
      </c>
      <c r="K63" s="67" t="str">
        <f aca="false">IF($A63="","",$E63*C$8)</f>
        <v/>
      </c>
      <c r="L63" s="67" t="str">
        <f aca="false">IF($A63="","",$E63*D$8)</f>
        <v/>
      </c>
      <c r="M63" s="67" t="str">
        <f aca="false">IF($A63="","",$E63*E$8)</f>
        <v/>
      </c>
      <c r="N63" s="67" t="str">
        <f aca="false">IF($A63="","",$E63*F$8)</f>
        <v/>
      </c>
      <c r="O63" s="67" t="str">
        <f aca="false">IF($A63="","",$E63*G$8)</f>
        <v/>
      </c>
      <c r="P63" s="74" t="str">
        <f aca="false">IF($A63="","",SUMIFS(Del_Qty,Del_Site,$A63,Del_Mat,$B63,Del_Date,"&gt;="&amp;B$6,Del_Date,"&lt;="&amp;B$7))</f>
        <v/>
      </c>
      <c r="Q63" s="74" t="str">
        <f aca="false">IF($A63="","",SUMIFS(Del_Qty,Del_Site,$A63,Del_Mat,$B63,Del_Date,"&gt;="&amp;C$6,Del_Date,"&lt;="&amp;C$7))</f>
        <v/>
      </c>
      <c r="R63" s="74" t="str">
        <f aca="false">IF($A63="","",SUMIFS(Del_Qty,Del_Site,$A63,Del_Mat,$B63,Del_Date,"&gt;="&amp;D$6,Del_Date,"&lt;="&amp;D$7))</f>
        <v/>
      </c>
      <c r="S63" s="74" t="str">
        <f aca="false">IF($A63="","",SUMIFS(Del_Qty,Del_Site,$A63,Del_Mat,$B63,Del_Date,"&gt;="&amp;E$6,Del_Date,"&lt;="&amp;E$7))</f>
        <v/>
      </c>
      <c r="T63" s="74" t="str">
        <f aca="false">IF($A63="","",SUMIFS(Del_Qty,Del_Site,$A63,Del_Mat,$B63,Del_Date,"&gt;="&amp;F$6,Del_Date,"&lt;="&amp;F$7))</f>
        <v/>
      </c>
      <c r="U63" s="74" t="str">
        <f aca="false">IF($A63="","",SUMIFS(Del_Qty,Del_Site,$A63,Del_Mat,$B63,Del_Date,"&gt;="&amp;G$6,Del_Date,"&lt;="&amp;G$7))</f>
        <v/>
      </c>
      <c r="V63" s="81" t="str">
        <f aca="false">IF($A63="","",MAX(0,J63+$I63-MAX(0,$H63)-P63))</f>
        <v/>
      </c>
      <c r="W63" s="81" t="str">
        <f aca="false">IF($A63="","",MAX(0,K63+$I63-AB63-Q63))</f>
        <v/>
      </c>
      <c r="X63" s="81" t="str">
        <f aca="false">IF($A63="","",MAX(0,L63+$I63-AC63-R63))</f>
        <v/>
      </c>
      <c r="Y63" s="81" t="str">
        <f aca="false">IF($A63="","",MAX(0,M63+$I63-AD63-S63))</f>
        <v/>
      </c>
      <c r="Z63" s="81" t="str">
        <f aca="false">IF($A63="","",MAX(0,N63+$I63-AE63-T63))</f>
        <v/>
      </c>
      <c r="AA63" s="81" t="str">
        <f aca="false">IF($A63="","",MAX(0,O63+$I63-AF63-U63))</f>
        <v/>
      </c>
      <c r="AB63" s="67" t="str">
        <f aca="false">IF($A63="","",MAX($I63,MAX(0,$H63)+P63-J63))</f>
        <v/>
      </c>
      <c r="AC63" s="67" t="str">
        <f aca="false">IF($A63="","",MAX($I63,AB63+Q63-K63))</f>
        <v/>
      </c>
      <c r="AD63" s="67" t="str">
        <f aca="false">IF($A63="","",MAX($I63,AC63+R63-L63))</f>
        <v/>
      </c>
      <c r="AE63" s="67" t="str">
        <f aca="false">IF($A63="","",MAX($I63,AD63+S63-M63))</f>
        <v/>
      </c>
      <c r="AF63" s="67" t="str">
        <f aca="false">IF($A63="","",MAX($I63,AE63+T63-N63))</f>
        <v/>
      </c>
      <c r="AG63" s="67" t="str">
        <f aca="false">IF($A63="","",MAX($I63,AF63+U63-O63))</f>
        <v/>
      </c>
      <c r="AH63" s="76" t="str">
        <f aca="false">IF($A63="","",IF($H63&lt;=0,"Already out",IF($E63&lt;=0,"No usage",IF(MAX(0,$H63)+SUM($P63:P63)-SUM($J63:J63)&lt;=0,$B$9,IF(MAX(0,$H63)+SUM($P63:Q63)-SUM($J63:K63)&lt;=0,$C$9,IF(MAX(0,$H63)+SUM($P63:R63)-SUM($J63:L63)&lt;=0,$D$9,IF(MAX(0,$H63)+SUM($P63:S63)-SUM($J63:M63)&lt;=0,$E$9,IF(MAX(0,$H63)+SUM($P63:T63)-SUM($J63:N63)&lt;=0,$F$9,IF(MAX(0,$H63)+SUM($P63:U63)-SUM($J63:O63)&lt;=0,$G$9,"Beyond 6 periods")))))))))</f>
        <v/>
      </c>
      <c r="AI63" s="67" t="str">
        <f aca="false">IF($A63="","",SUM(J63:O63))</f>
        <v/>
      </c>
      <c r="AJ63" s="68" t="str">
        <f aca="false">IF($A63="","",SUM(V63:AA63))</f>
        <v/>
      </c>
    </row>
    <row r="64" customFormat="false" ht="15" hidden="false" customHeight="false" outlineLevel="0" collapsed="false">
      <c r="A64" s="16" t="str">
        <f aca="false">IF('Stock Monitor'!$A32="","",'Stock Monitor'!$A32)</f>
        <v/>
      </c>
      <c r="B64" s="64" t="str">
        <f aca="false">IF($A64="","",'Stock Monitor'!$B32)</f>
        <v/>
      </c>
      <c r="C64" s="16" t="str">
        <f aca="false">IF($A64="","",'Stock Monitor'!$C32)</f>
        <v/>
      </c>
      <c r="D64" s="64" t="str">
        <f aca="false">IF($A64="","",'Stock Monitor'!$D32)</f>
        <v/>
      </c>
      <c r="E64" s="67" t="str">
        <f aca="false">IF($A64="","",'Stock Monitor'!$J32)</f>
        <v/>
      </c>
      <c r="F64" s="67" t="str">
        <f aca="false">IF($A64="","",$E64*WorkDaysWeek)</f>
        <v/>
      </c>
      <c r="G64" s="67" t="str">
        <f aca="false">IF($A64="","",$E64*WorkDaysMonth)</f>
        <v/>
      </c>
      <c r="H64" s="68" t="str">
        <f aca="false">IF($A64="","",'Stock Monitor'!$E32)</f>
        <v/>
      </c>
      <c r="I64" s="67" t="str">
        <f aca="false">IF($A64="","",'Stock Monitor'!$T32)</f>
        <v/>
      </c>
      <c r="J64" s="67" t="str">
        <f aca="false">IF($A64="","",$E64*B$8)</f>
        <v/>
      </c>
      <c r="K64" s="67" t="str">
        <f aca="false">IF($A64="","",$E64*C$8)</f>
        <v/>
      </c>
      <c r="L64" s="67" t="str">
        <f aca="false">IF($A64="","",$E64*D$8)</f>
        <v/>
      </c>
      <c r="M64" s="67" t="str">
        <f aca="false">IF($A64="","",$E64*E$8)</f>
        <v/>
      </c>
      <c r="N64" s="67" t="str">
        <f aca="false">IF($A64="","",$E64*F$8)</f>
        <v/>
      </c>
      <c r="O64" s="67" t="str">
        <f aca="false">IF($A64="","",$E64*G$8)</f>
        <v/>
      </c>
      <c r="P64" s="74" t="str">
        <f aca="false">IF($A64="","",SUMIFS(Del_Qty,Del_Site,$A64,Del_Mat,$B64,Del_Date,"&gt;="&amp;B$6,Del_Date,"&lt;="&amp;B$7))</f>
        <v/>
      </c>
      <c r="Q64" s="74" t="str">
        <f aca="false">IF($A64="","",SUMIFS(Del_Qty,Del_Site,$A64,Del_Mat,$B64,Del_Date,"&gt;="&amp;C$6,Del_Date,"&lt;="&amp;C$7))</f>
        <v/>
      </c>
      <c r="R64" s="74" t="str">
        <f aca="false">IF($A64="","",SUMIFS(Del_Qty,Del_Site,$A64,Del_Mat,$B64,Del_Date,"&gt;="&amp;D$6,Del_Date,"&lt;="&amp;D$7))</f>
        <v/>
      </c>
      <c r="S64" s="74" t="str">
        <f aca="false">IF($A64="","",SUMIFS(Del_Qty,Del_Site,$A64,Del_Mat,$B64,Del_Date,"&gt;="&amp;E$6,Del_Date,"&lt;="&amp;E$7))</f>
        <v/>
      </c>
      <c r="T64" s="74" t="str">
        <f aca="false">IF($A64="","",SUMIFS(Del_Qty,Del_Site,$A64,Del_Mat,$B64,Del_Date,"&gt;="&amp;F$6,Del_Date,"&lt;="&amp;F$7))</f>
        <v/>
      </c>
      <c r="U64" s="74" t="str">
        <f aca="false">IF($A64="","",SUMIFS(Del_Qty,Del_Site,$A64,Del_Mat,$B64,Del_Date,"&gt;="&amp;G$6,Del_Date,"&lt;="&amp;G$7))</f>
        <v/>
      </c>
      <c r="V64" s="81" t="str">
        <f aca="false">IF($A64="","",MAX(0,J64+$I64-MAX(0,$H64)-P64))</f>
        <v/>
      </c>
      <c r="W64" s="81" t="str">
        <f aca="false">IF($A64="","",MAX(0,K64+$I64-AB64-Q64))</f>
        <v/>
      </c>
      <c r="X64" s="81" t="str">
        <f aca="false">IF($A64="","",MAX(0,L64+$I64-AC64-R64))</f>
        <v/>
      </c>
      <c r="Y64" s="81" t="str">
        <f aca="false">IF($A64="","",MAX(0,M64+$I64-AD64-S64))</f>
        <v/>
      </c>
      <c r="Z64" s="81" t="str">
        <f aca="false">IF($A64="","",MAX(0,N64+$I64-AE64-T64))</f>
        <v/>
      </c>
      <c r="AA64" s="81" t="str">
        <f aca="false">IF($A64="","",MAX(0,O64+$I64-AF64-U64))</f>
        <v/>
      </c>
      <c r="AB64" s="67" t="str">
        <f aca="false">IF($A64="","",MAX($I64,MAX(0,$H64)+P64-J64))</f>
        <v/>
      </c>
      <c r="AC64" s="67" t="str">
        <f aca="false">IF($A64="","",MAX($I64,AB64+Q64-K64))</f>
        <v/>
      </c>
      <c r="AD64" s="67" t="str">
        <f aca="false">IF($A64="","",MAX($I64,AC64+R64-L64))</f>
        <v/>
      </c>
      <c r="AE64" s="67" t="str">
        <f aca="false">IF($A64="","",MAX($I64,AD64+S64-M64))</f>
        <v/>
      </c>
      <c r="AF64" s="67" t="str">
        <f aca="false">IF($A64="","",MAX($I64,AE64+T64-N64))</f>
        <v/>
      </c>
      <c r="AG64" s="67" t="str">
        <f aca="false">IF($A64="","",MAX($I64,AF64+U64-O64))</f>
        <v/>
      </c>
      <c r="AH64" s="76" t="str">
        <f aca="false">IF($A64="","",IF($H64&lt;=0,"Already out",IF($E64&lt;=0,"No usage",IF(MAX(0,$H64)+SUM($P64:P64)-SUM($J64:J64)&lt;=0,$B$9,IF(MAX(0,$H64)+SUM($P64:Q64)-SUM($J64:K64)&lt;=0,$C$9,IF(MAX(0,$H64)+SUM($P64:R64)-SUM($J64:L64)&lt;=0,$D$9,IF(MAX(0,$H64)+SUM($P64:S64)-SUM($J64:M64)&lt;=0,$E$9,IF(MAX(0,$H64)+SUM($P64:T64)-SUM($J64:N64)&lt;=0,$F$9,IF(MAX(0,$H64)+SUM($P64:U64)-SUM($J64:O64)&lt;=0,$G$9,"Beyond 6 periods")))))))))</f>
        <v/>
      </c>
      <c r="AI64" s="67" t="str">
        <f aca="false">IF($A64="","",SUM(J64:O64))</f>
        <v/>
      </c>
      <c r="AJ64" s="68" t="str">
        <f aca="false">IF($A64="","",SUM(V64:AA64))</f>
        <v/>
      </c>
    </row>
    <row r="65" customFormat="false" ht="15" hidden="false" customHeight="false" outlineLevel="0" collapsed="false">
      <c r="A65" s="16" t="str">
        <f aca="false">IF('Stock Monitor'!$A33="","",'Stock Monitor'!$A33)</f>
        <v/>
      </c>
      <c r="B65" s="64" t="str">
        <f aca="false">IF($A65="","",'Stock Monitor'!$B33)</f>
        <v/>
      </c>
      <c r="C65" s="16" t="str">
        <f aca="false">IF($A65="","",'Stock Monitor'!$C33)</f>
        <v/>
      </c>
      <c r="D65" s="64" t="str">
        <f aca="false">IF($A65="","",'Stock Monitor'!$D33)</f>
        <v/>
      </c>
      <c r="E65" s="67" t="str">
        <f aca="false">IF($A65="","",'Stock Monitor'!$J33)</f>
        <v/>
      </c>
      <c r="F65" s="67" t="str">
        <f aca="false">IF($A65="","",$E65*WorkDaysWeek)</f>
        <v/>
      </c>
      <c r="G65" s="67" t="str">
        <f aca="false">IF($A65="","",$E65*WorkDaysMonth)</f>
        <v/>
      </c>
      <c r="H65" s="68" t="str">
        <f aca="false">IF($A65="","",'Stock Monitor'!$E33)</f>
        <v/>
      </c>
      <c r="I65" s="67" t="str">
        <f aca="false">IF($A65="","",'Stock Monitor'!$T33)</f>
        <v/>
      </c>
      <c r="J65" s="67" t="str">
        <f aca="false">IF($A65="","",$E65*B$8)</f>
        <v/>
      </c>
      <c r="K65" s="67" t="str">
        <f aca="false">IF($A65="","",$E65*C$8)</f>
        <v/>
      </c>
      <c r="L65" s="67" t="str">
        <f aca="false">IF($A65="","",$E65*D$8)</f>
        <v/>
      </c>
      <c r="M65" s="67" t="str">
        <f aca="false">IF($A65="","",$E65*E$8)</f>
        <v/>
      </c>
      <c r="N65" s="67" t="str">
        <f aca="false">IF($A65="","",$E65*F$8)</f>
        <v/>
      </c>
      <c r="O65" s="67" t="str">
        <f aca="false">IF($A65="","",$E65*G$8)</f>
        <v/>
      </c>
      <c r="P65" s="74" t="str">
        <f aca="false">IF($A65="","",SUMIFS(Del_Qty,Del_Site,$A65,Del_Mat,$B65,Del_Date,"&gt;="&amp;B$6,Del_Date,"&lt;="&amp;B$7))</f>
        <v/>
      </c>
      <c r="Q65" s="74" t="str">
        <f aca="false">IF($A65="","",SUMIFS(Del_Qty,Del_Site,$A65,Del_Mat,$B65,Del_Date,"&gt;="&amp;C$6,Del_Date,"&lt;="&amp;C$7))</f>
        <v/>
      </c>
      <c r="R65" s="74" t="str">
        <f aca="false">IF($A65="","",SUMIFS(Del_Qty,Del_Site,$A65,Del_Mat,$B65,Del_Date,"&gt;="&amp;D$6,Del_Date,"&lt;="&amp;D$7))</f>
        <v/>
      </c>
      <c r="S65" s="74" t="str">
        <f aca="false">IF($A65="","",SUMIFS(Del_Qty,Del_Site,$A65,Del_Mat,$B65,Del_Date,"&gt;="&amp;E$6,Del_Date,"&lt;="&amp;E$7))</f>
        <v/>
      </c>
      <c r="T65" s="74" t="str">
        <f aca="false">IF($A65="","",SUMIFS(Del_Qty,Del_Site,$A65,Del_Mat,$B65,Del_Date,"&gt;="&amp;F$6,Del_Date,"&lt;="&amp;F$7))</f>
        <v/>
      </c>
      <c r="U65" s="74" t="str">
        <f aca="false">IF($A65="","",SUMIFS(Del_Qty,Del_Site,$A65,Del_Mat,$B65,Del_Date,"&gt;="&amp;G$6,Del_Date,"&lt;="&amp;G$7))</f>
        <v/>
      </c>
      <c r="V65" s="81" t="str">
        <f aca="false">IF($A65="","",MAX(0,J65+$I65-MAX(0,$H65)-P65))</f>
        <v/>
      </c>
      <c r="W65" s="81" t="str">
        <f aca="false">IF($A65="","",MAX(0,K65+$I65-AB65-Q65))</f>
        <v/>
      </c>
      <c r="X65" s="81" t="str">
        <f aca="false">IF($A65="","",MAX(0,L65+$I65-AC65-R65))</f>
        <v/>
      </c>
      <c r="Y65" s="81" t="str">
        <f aca="false">IF($A65="","",MAX(0,M65+$I65-AD65-S65))</f>
        <v/>
      </c>
      <c r="Z65" s="81" t="str">
        <f aca="false">IF($A65="","",MAX(0,N65+$I65-AE65-T65))</f>
        <v/>
      </c>
      <c r="AA65" s="81" t="str">
        <f aca="false">IF($A65="","",MAX(0,O65+$I65-AF65-U65))</f>
        <v/>
      </c>
      <c r="AB65" s="67" t="str">
        <f aca="false">IF($A65="","",MAX($I65,MAX(0,$H65)+P65-J65))</f>
        <v/>
      </c>
      <c r="AC65" s="67" t="str">
        <f aca="false">IF($A65="","",MAX($I65,AB65+Q65-K65))</f>
        <v/>
      </c>
      <c r="AD65" s="67" t="str">
        <f aca="false">IF($A65="","",MAX($I65,AC65+R65-L65))</f>
        <v/>
      </c>
      <c r="AE65" s="67" t="str">
        <f aca="false">IF($A65="","",MAX($I65,AD65+S65-M65))</f>
        <v/>
      </c>
      <c r="AF65" s="67" t="str">
        <f aca="false">IF($A65="","",MAX($I65,AE65+T65-N65))</f>
        <v/>
      </c>
      <c r="AG65" s="67" t="str">
        <f aca="false">IF($A65="","",MAX($I65,AF65+U65-O65))</f>
        <v/>
      </c>
      <c r="AH65" s="76" t="str">
        <f aca="false">IF($A65="","",IF($H65&lt;=0,"Already out",IF($E65&lt;=0,"No usage",IF(MAX(0,$H65)+SUM($P65:P65)-SUM($J65:J65)&lt;=0,$B$9,IF(MAX(0,$H65)+SUM($P65:Q65)-SUM($J65:K65)&lt;=0,$C$9,IF(MAX(0,$H65)+SUM($P65:R65)-SUM($J65:L65)&lt;=0,$D$9,IF(MAX(0,$H65)+SUM($P65:S65)-SUM($J65:M65)&lt;=0,$E$9,IF(MAX(0,$H65)+SUM($P65:T65)-SUM($J65:N65)&lt;=0,$F$9,IF(MAX(0,$H65)+SUM($P65:U65)-SUM($J65:O65)&lt;=0,$G$9,"Beyond 6 periods")))))))))</f>
        <v/>
      </c>
      <c r="AI65" s="67" t="str">
        <f aca="false">IF($A65="","",SUM(J65:O65))</f>
        <v/>
      </c>
      <c r="AJ65" s="68" t="str">
        <f aca="false">IF($A65="","",SUM(V65:AA65))</f>
        <v/>
      </c>
    </row>
    <row r="66" customFormat="false" ht="15" hidden="false" customHeight="false" outlineLevel="0" collapsed="false">
      <c r="A66" s="16" t="str">
        <f aca="false">IF('Stock Monitor'!$A34="","",'Stock Monitor'!$A34)</f>
        <v/>
      </c>
      <c r="B66" s="64" t="str">
        <f aca="false">IF($A66="","",'Stock Monitor'!$B34)</f>
        <v/>
      </c>
      <c r="C66" s="16" t="str">
        <f aca="false">IF($A66="","",'Stock Monitor'!$C34)</f>
        <v/>
      </c>
      <c r="D66" s="64" t="str">
        <f aca="false">IF($A66="","",'Stock Monitor'!$D34)</f>
        <v/>
      </c>
      <c r="E66" s="67" t="str">
        <f aca="false">IF($A66="","",'Stock Monitor'!$J34)</f>
        <v/>
      </c>
      <c r="F66" s="67" t="str">
        <f aca="false">IF($A66="","",$E66*WorkDaysWeek)</f>
        <v/>
      </c>
      <c r="G66" s="67" t="str">
        <f aca="false">IF($A66="","",$E66*WorkDaysMonth)</f>
        <v/>
      </c>
      <c r="H66" s="68" t="str">
        <f aca="false">IF($A66="","",'Stock Monitor'!$E34)</f>
        <v/>
      </c>
      <c r="I66" s="67" t="str">
        <f aca="false">IF($A66="","",'Stock Monitor'!$T34)</f>
        <v/>
      </c>
      <c r="J66" s="67" t="str">
        <f aca="false">IF($A66="","",$E66*B$8)</f>
        <v/>
      </c>
      <c r="K66" s="67" t="str">
        <f aca="false">IF($A66="","",$E66*C$8)</f>
        <v/>
      </c>
      <c r="L66" s="67" t="str">
        <f aca="false">IF($A66="","",$E66*D$8)</f>
        <v/>
      </c>
      <c r="M66" s="67" t="str">
        <f aca="false">IF($A66="","",$E66*E$8)</f>
        <v/>
      </c>
      <c r="N66" s="67" t="str">
        <f aca="false">IF($A66="","",$E66*F$8)</f>
        <v/>
      </c>
      <c r="O66" s="67" t="str">
        <f aca="false">IF($A66="","",$E66*G$8)</f>
        <v/>
      </c>
      <c r="P66" s="74" t="str">
        <f aca="false">IF($A66="","",SUMIFS(Del_Qty,Del_Site,$A66,Del_Mat,$B66,Del_Date,"&gt;="&amp;B$6,Del_Date,"&lt;="&amp;B$7))</f>
        <v/>
      </c>
      <c r="Q66" s="74" t="str">
        <f aca="false">IF($A66="","",SUMIFS(Del_Qty,Del_Site,$A66,Del_Mat,$B66,Del_Date,"&gt;="&amp;C$6,Del_Date,"&lt;="&amp;C$7))</f>
        <v/>
      </c>
      <c r="R66" s="74" t="str">
        <f aca="false">IF($A66="","",SUMIFS(Del_Qty,Del_Site,$A66,Del_Mat,$B66,Del_Date,"&gt;="&amp;D$6,Del_Date,"&lt;="&amp;D$7))</f>
        <v/>
      </c>
      <c r="S66" s="74" t="str">
        <f aca="false">IF($A66="","",SUMIFS(Del_Qty,Del_Site,$A66,Del_Mat,$B66,Del_Date,"&gt;="&amp;E$6,Del_Date,"&lt;="&amp;E$7))</f>
        <v/>
      </c>
      <c r="T66" s="74" t="str">
        <f aca="false">IF($A66="","",SUMIFS(Del_Qty,Del_Site,$A66,Del_Mat,$B66,Del_Date,"&gt;="&amp;F$6,Del_Date,"&lt;="&amp;F$7))</f>
        <v/>
      </c>
      <c r="U66" s="74" t="str">
        <f aca="false">IF($A66="","",SUMIFS(Del_Qty,Del_Site,$A66,Del_Mat,$B66,Del_Date,"&gt;="&amp;G$6,Del_Date,"&lt;="&amp;G$7))</f>
        <v/>
      </c>
      <c r="V66" s="81" t="str">
        <f aca="false">IF($A66="","",MAX(0,J66+$I66-MAX(0,$H66)-P66))</f>
        <v/>
      </c>
      <c r="W66" s="81" t="str">
        <f aca="false">IF($A66="","",MAX(0,K66+$I66-AB66-Q66))</f>
        <v/>
      </c>
      <c r="X66" s="81" t="str">
        <f aca="false">IF($A66="","",MAX(0,L66+$I66-AC66-R66))</f>
        <v/>
      </c>
      <c r="Y66" s="81" t="str">
        <f aca="false">IF($A66="","",MAX(0,M66+$I66-AD66-S66))</f>
        <v/>
      </c>
      <c r="Z66" s="81" t="str">
        <f aca="false">IF($A66="","",MAX(0,N66+$I66-AE66-T66))</f>
        <v/>
      </c>
      <c r="AA66" s="81" t="str">
        <f aca="false">IF($A66="","",MAX(0,O66+$I66-AF66-U66))</f>
        <v/>
      </c>
      <c r="AB66" s="67" t="str">
        <f aca="false">IF($A66="","",MAX($I66,MAX(0,$H66)+P66-J66))</f>
        <v/>
      </c>
      <c r="AC66" s="67" t="str">
        <f aca="false">IF($A66="","",MAX($I66,AB66+Q66-K66))</f>
        <v/>
      </c>
      <c r="AD66" s="67" t="str">
        <f aca="false">IF($A66="","",MAX($I66,AC66+R66-L66))</f>
        <v/>
      </c>
      <c r="AE66" s="67" t="str">
        <f aca="false">IF($A66="","",MAX($I66,AD66+S66-M66))</f>
        <v/>
      </c>
      <c r="AF66" s="67" t="str">
        <f aca="false">IF($A66="","",MAX($I66,AE66+T66-N66))</f>
        <v/>
      </c>
      <c r="AG66" s="67" t="str">
        <f aca="false">IF($A66="","",MAX($I66,AF66+U66-O66))</f>
        <v/>
      </c>
      <c r="AH66" s="76" t="str">
        <f aca="false">IF($A66="","",IF($H66&lt;=0,"Already out",IF($E66&lt;=0,"No usage",IF(MAX(0,$H66)+SUM($P66:P66)-SUM($J66:J66)&lt;=0,$B$9,IF(MAX(0,$H66)+SUM($P66:Q66)-SUM($J66:K66)&lt;=0,$C$9,IF(MAX(0,$H66)+SUM($P66:R66)-SUM($J66:L66)&lt;=0,$D$9,IF(MAX(0,$H66)+SUM($P66:S66)-SUM($J66:M66)&lt;=0,$E$9,IF(MAX(0,$H66)+SUM($P66:T66)-SUM($J66:N66)&lt;=0,$F$9,IF(MAX(0,$H66)+SUM($P66:U66)-SUM($J66:O66)&lt;=0,$G$9,"Beyond 6 periods")))))))))</f>
        <v/>
      </c>
      <c r="AI66" s="67" t="str">
        <f aca="false">IF($A66="","",SUM(J66:O66))</f>
        <v/>
      </c>
      <c r="AJ66" s="68" t="str">
        <f aca="false">IF($A66="","",SUM(V66:AA66))</f>
        <v/>
      </c>
    </row>
    <row r="67" customFormat="false" ht="15" hidden="false" customHeight="false" outlineLevel="0" collapsed="false">
      <c r="A67" s="16" t="str">
        <f aca="false">IF('Stock Monitor'!$A35="","",'Stock Monitor'!$A35)</f>
        <v/>
      </c>
      <c r="B67" s="64" t="str">
        <f aca="false">IF($A67="","",'Stock Monitor'!$B35)</f>
        <v/>
      </c>
      <c r="C67" s="16" t="str">
        <f aca="false">IF($A67="","",'Stock Monitor'!$C35)</f>
        <v/>
      </c>
      <c r="D67" s="64" t="str">
        <f aca="false">IF($A67="","",'Stock Monitor'!$D35)</f>
        <v/>
      </c>
      <c r="E67" s="67" t="str">
        <f aca="false">IF($A67="","",'Stock Monitor'!$J35)</f>
        <v/>
      </c>
      <c r="F67" s="67" t="str">
        <f aca="false">IF($A67="","",$E67*WorkDaysWeek)</f>
        <v/>
      </c>
      <c r="G67" s="67" t="str">
        <f aca="false">IF($A67="","",$E67*WorkDaysMonth)</f>
        <v/>
      </c>
      <c r="H67" s="68" t="str">
        <f aca="false">IF($A67="","",'Stock Monitor'!$E35)</f>
        <v/>
      </c>
      <c r="I67" s="67" t="str">
        <f aca="false">IF($A67="","",'Stock Monitor'!$T35)</f>
        <v/>
      </c>
      <c r="J67" s="67" t="str">
        <f aca="false">IF($A67="","",$E67*B$8)</f>
        <v/>
      </c>
      <c r="K67" s="67" t="str">
        <f aca="false">IF($A67="","",$E67*C$8)</f>
        <v/>
      </c>
      <c r="L67" s="67" t="str">
        <f aca="false">IF($A67="","",$E67*D$8)</f>
        <v/>
      </c>
      <c r="M67" s="67" t="str">
        <f aca="false">IF($A67="","",$E67*E$8)</f>
        <v/>
      </c>
      <c r="N67" s="67" t="str">
        <f aca="false">IF($A67="","",$E67*F$8)</f>
        <v/>
      </c>
      <c r="O67" s="67" t="str">
        <f aca="false">IF($A67="","",$E67*G$8)</f>
        <v/>
      </c>
      <c r="P67" s="74" t="str">
        <f aca="false">IF($A67="","",SUMIFS(Del_Qty,Del_Site,$A67,Del_Mat,$B67,Del_Date,"&gt;="&amp;B$6,Del_Date,"&lt;="&amp;B$7))</f>
        <v/>
      </c>
      <c r="Q67" s="74" t="str">
        <f aca="false">IF($A67="","",SUMIFS(Del_Qty,Del_Site,$A67,Del_Mat,$B67,Del_Date,"&gt;="&amp;C$6,Del_Date,"&lt;="&amp;C$7))</f>
        <v/>
      </c>
      <c r="R67" s="74" t="str">
        <f aca="false">IF($A67="","",SUMIFS(Del_Qty,Del_Site,$A67,Del_Mat,$B67,Del_Date,"&gt;="&amp;D$6,Del_Date,"&lt;="&amp;D$7))</f>
        <v/>
      </c>
      <c r="S67" s="74" t="str">
        <f aca="false">IF($A67="","",SUMIFS(Del_Qty,Del_Site,$A67,Del_Mat,$B67,Del_Date,"&gt;="&amp;E$6,Del_Date,"&lt;="&amp;E$7))</f>
        <v/>
      </c>
      <c r="T67" s="74" t="str">
        <f aca="false">IF($A67="","",SUMIFS(Del_Qty,Del_Site,$A67,Del_Mat,$B67,Del_Date,"&gt;="&amp;F$6,Del_Date,"&lt;="&amp;F$7))</f>
        <v/>
      </c>
      <c r="U67" s="74" t="str">
        <f aca="false">IF($A67="","",SUMIFS(Del_Qty,Del_Site,$A67,Del_Mat,$B67,Del_Date,"&gt;="&amp;G$6,Del_Date,"&lt;="&amp;G$7))</f>
        <v/>
      </c>
      <c r="V67" s="81" t="str">
        <f aca="false">IF($A67="","",MAX(0,J67+$I67-MAX(0,$H67)-P67))</f>
        <v/>
      </c>
      <c r="W67" s="81" t="str">
        <f aca="false">IF($A67="","",MAX(0,K67+$I67-AB67-Q67))</f>
        <v/>
      </c>
      <c r="X67" s="81" t="str">
        <f aca="false">IF($A67="","",MAX(0,L67+$I67-AC67-R67))</f>
        <v/>
      </c>
      <c r="Y67" s="81" t="str">
        <f aca="false">IF($A67="","",MAX(0,M67+$I67-AD67-S67))</f>
        <v/>
      </c>
      <c r="Z67" s="81" t="str">
        <f aca="false">IF($A67="","",MAX(0,N67+$I67-AE67-T67))</f>
        <v/>
      </c>
      <c r="AA67" s="81" t="str">
        <f aca="false">IF($A67="","",MAX(0,O67+$I67-AF67-U67))</f>
        <v/>
      </c>
      <c r="AB67" s="67" t="str">
        <f aca="false">IF($A67="","",MAX($I67,MAX(0,$H67)+P67-J67))</f>
        <v/>
      </c>
      <c r="AC67" s="67" t="str">
        <f aca="false">IF($A67="","",MAX($I67,AB67+Q67-K67))</f>
        <v/>
      </c>
      <c r="AD67" s="67" t="str">
        <f aca="false">IF($A67="","",MAX($I67,AC67+R67-L67))</f>
        <v/>
      </c>
      <c r="AE67" s="67" t="str">
        <f aca="false">IF($A67="","",MAX($I67,AD67+S67-M67))</f>
        <v/>
      </c>
      <c r="AF67" s="67" t="str">
        <f aca="false">IF($A67="","",MAX($I67,AE67+T67-N67))</f>
        <v/>
      </c>
      <c r="AG67" s="67" t="str">
        <f aca="false">IF($A67="","",MAX($I67,AF67+U67-O67))</f>
        <v/>
      </c>
      <c r="AH67" s="76" t="str">
        <f aca="false">IF($A67="","",IF($H67&lt;=0,"Already out",IF($E67&lt;=0,"No usage",IF(MAX(0,$H67)+SUM($P67:P67)-SUM($J67:J67)&lt;=0,$B$9,IF(MAX(0,$H67)+SUM($P67:Q67)-SUM($J67:K67)&lt;=0,$C$9,IF(MAX(0,$H67)+SUM($P67:R67)-SUM($J67:L67)&lt;=0,$D$9,IF(MAX(0,$H67)+SUM($P67:S67)-SUM($J67:M67)&lt;=0,$E$9,IF(MAX(0,$H67)+SUM($P67:T67)-SUM($J67:N67)&lt;=0,$F$9,IF(MAX(0,$H67)+SUM($P67:U67)-SUM($J67:O67)&lt;=0,$G$9,"Beyond 6 periods")))))))))</f>
        <v/>
      </c>
      <c r="AI67" s="67" t="str">
        <f aca="false">IF($A67="","",SUM(J67:O67))</f>
        <v/>
      </c>
      <c r="AJ67" s="68" t="str">
        <f aca="false">IF($A67="","",SUM(V67:AA67))</f>
        <v/>
      </c>
    </row>
    <row r="68" customFormat="false" ht="15" hidden="false" customHeight="false" outlineLevel="0" collapsed="false">
      <c r="A68" s="16" t="str">
        <f aca="false">IF('Stock Monitor'!$A36="","",'Stock Monitor'!$A36)</f>
        <v/>
      </c>
      <c r="B68" s="64" t="str">
        <f aca="false">IF($A68="","",'Stock Monitor'!$B36)</f>
        <v/>
      </c>
      <c r="C68" s="16" t="str">
        <f aca="false">IF($A68="","",'Stock Monitor'!$C36)</f>
        <v/>
      </c>
      <c r="D68" s="64" t="str">
        <f aca="false">IF($A68="","",'Stock Monitor'!$D36)</f>
        <v/>
      </c>
      <c r="E68" s="67" t="str">
        <f aca="false">IF($A68="","",'Stock Monitor'!$J36)</f>
        <v/>
      </c>
      <c r="F68" s="67" t="str">
        <f aca="false">IF($A68="","",$E68*WorkDaysWeek)</f>
        <v/>
      </c>
      <c r="G68" s="67" t="str">
        <f aca="false">IF($A68="","",$E68*WorkDaysMonth)</f>
        <v/>
      </c>
      <c r="H68" s="68" t="str">
        <f aca="false">IF($A68="","",'Stock Monitor'!$E36)</f>
        <v/>
      </c>
      <c r="I68" s="67" t="str">
        <f aca="false">IF($A68="","",'Stock Monitor'!$T36)</f>
        <v/>
      </c>
      <c r="J68" s="67" t="str">
        <f aca="false">IF($A68="","",$E68*B$8)</f>
        <v/>
      </c>
      <c r="K68" s="67" t="str">
        <f aca="false">IF($A68="","",$E68*C$8)</f>
        <v/>
      </c>
      <c r="L68" s="67" t="str">
        <f aca="false">IF($A68="","",$E68*D$8)</f>
        <v/>
      </c>
      <c r="M68" s="67" t="str">
        <f aca="false">IF($A68="","",$E68*E$8)</f>
        <v/>
      </c>
      <c r="N68" s="67" t="str">
        <f aca="false">IF($A68="","",$E68*F$8)</f>
        <v/>
      </c>
      <c r="O68" s="67" t="str">
        <f aca="false">IF($A68="","",$E68*G$8)</f>
        <v/>
      </c>
      <c r="P68" s="74" t="str">
        <f aca="false">IF($A68="","",SUMIFS(Del_Qty,Del_Site,$A68,Del_Mat,$B68,Del_Date,"&gt;="&amp;B$6,Del_Date,"&lt;="&amp;B$7))</f>
        <v/>
      </c>
      <c r="Q68" s="74" t="str">
        <f aca="false">IF($A68="","",SUMIFS(Del_Qty,Del_Site,$A68,Del_Mat,$B68,Del_Date,"&gt;="&amp;C$6,Del_Date,"&lt;="&amp;C$7))</f>
        <v/>
      </c>
      <c r="R68" s="74" t="str">
        <f aca="false">IF($A68="","",SUMIFS(Del_Qty,Del_Site,$A68,Del_Mat,$B68,Del_Date,"&gt;="&amp;D$6,Del_Date,"&lt;="&amp;D$7))</f>
        <v/>
      </c>
      <c r="S68" s="74" t="str">
        <f aca="false">IF($A68="","",SUMIFS(Del_Qty,Del_Site,$A68,Del_Mat,$B68,Del_Date,"&gt;="&amp;E$6,Del_Date,"&lt;="&amp;E$7))</f>
        <v/>
      </c>
      <c r="T68" s="74" t="str">
        <f aca="false">IF($A68="","",SUMIFS(Del_Qty,Del_Site,$A68,Del_Mat,$B68,Del_Date,"&gt;="&amp;F$6,Del_Date,"&lt;="&amp;F$7))</f>
        <v/>
      </c>
      <c r="U68" s="74" t="str">
        <f aca="false">IF($A68="","",SUMIFS(Del_Qty,Del_Site,$A68,Del_Mat,$B68,Del_Date,"&gt;="&amp;G$6,Del_Date,"&lt;="&amp;G$7))</f>
        <v/>
      </c>
      <c r="V68" s="81" t="str">
        <f aca="false">IF($A68="","",MAX(0,J68+$I68-MAX(0,$H68)-P68))</f>
        <v/>
      </c>
      <c r="W68" s="81" t="str">
        <f aca="false">IF($A68="","",MAX(0,K68+$I68-AB68-Q68))</f>
        <v/>
      </c>
      <c r="X68" s="81" t="str">
        <f aca="false">IF($A68="","",MAX(0,L68+$I68-AC68-R68))</f>
        <v/>
      </c>
      <c r="Y68" s="81" t="str">
        <f aca="false">IF($A68="","",MAX(0,M68+$I68-AD68-S68))</f>
        <v/>
      </c>
      <c r="Z68" s="81" t="str">
        <f aca="false">IF($A68="","",MAX(0,N68+$I68-AE68-T68))</f>
        <v/>
      </c>
      <c r="AA68" s="81" t="str">
        <f aca="false">IF($A68="","",MAX(0,O68+$I68-AF68-U68))</f>
        <v/>
      </c>
      <c r="AB68" s="67" t="str">
        <f aca="false">IF($A68="","",MAX($I68,MAX(0,$H68)+P68-J68))</f>
        <v/>
      </c>
      <c r="AC68" s="67" t="str">
        <f aca="false">IF($A68="","",MAX($I68,AB68+Q68-K68))</f>
        <v/>
      </c>
      <c r="AD68" s="67" t="str">
        <f aca="false">IF($A68="","",MAX($I68,AC68+R68-L68))</f>
        <v/>
      </c>
      <c r="AE68" s="67" t="str">
        <f aca="false">IF($A68="","",MAX($I68,AD68+S68-M68))</f>
        <v/>
      </c>
      <c r="AF68" s="67" t="str">
        <f aca="false">IF($A68="","",MAX($I68,AE68+T68-N68))</f>
        <v/>
      </c>
      <c r="AG68" s="67" t="str">
        <f aca="false">IF($A68="","",MAX($I68,AF68+U68-O68))</f>
        <v/>
      </c>
      <c r="AH68" s="76" t="str">
        <f aca="false">IF($A68="","",IF($H68&lt;=0,"Already out",IF($E68&lt;=0,"No usage",IF(MAX(0,$H68)+SUM($P68:P68)-SUM($J68:J68)&lt;=0,$B$9,IF(MAX(0,$H68)+SUM($P68:Q68)-SUM($J68:K68)&lt;=0,$C$9,IF(MAX(0,$H68)+SUM($P68:R68)-SUM($J68:L68)&lt;=0,$D$9,IF(MAX(0,$H68)+SUM($P68:S68)-SUM($J68:M68)&lt;=0,$E$9,IF(MAX(0,$H68)+SUM($P68:T68)-SUM($J68:N68)&lt;=0,$F$9,IF(MAX(0,$H68)+SUM($P68:U68)-SUM($J68:O68)&lt;=0,$G$9,"Beyond 6 periods")))))))))</f>
        <v/>
      </c>
      <c r="AI68" s="67" t="str">
        <f aca="false">IF($A68="","",SUM(J68:O68))</f>
        <v/>
      </c>
      <c r="AJ68" s="68" t="str">
        <f aca="false">IF($A68="","",SUM(V68:AA68))</f>
        <v/>
      </c>
    </row>
    <row r="69" customFormat="false" ht="15" hidden="false" customHeight="false" outlineLevel="0" collapsed="false">
      <c r="A69" s="16" t="str">
        <f aca="false">IF('Stock Monitor'!$A37="","",'Stock Monitor'!$A37)</f>
        <v/>
      </c>
      <c r="B69" s="64" t="str">
        <f aca="false">IF($A69="","",'Stock Monitor'!$B37)</f>
        <v/>
      </c>
      <c r="C69" s="16" t="str">
        <f aca="false">IF($A69="","",'Stock Monitor'!$C37)</f>
        <v/>
      </c>
      <c r="D69" s="64" t="str">
        <f aca="false">IF($A69="","",'Stock Monitor'!$D37)</f>
        <v/>
      </c>
      <c r="E69" s="67" t="str">
        <f aca="false">IF($A69="","",'Stock Monitor'!$J37)</f>
        <v/>
      </c>
      <c r="F69" s="67" t="str">
        <f aca="false">IF($A69="","",$E69*WorkDaysWeek)</f>
        <v/>
      </c>
      <c r="G69" s="67" t="str">
        <f aca="false">IF($A69="","",$E69*WorkDaysMonth)</f>
        <v/>
      </c>
      <c r="H69" s="68" t="str">
        <f aca="false">IF($A69="","",'Stock Monitor'!$E37)</f>
        <v/>
      </c>
      <c r="I69" s="67" t="str">
        <f aca="false">IF($A69="","",'Stock Monitor'!$T37)</f>
        <v/>
      </c>
      <c r="J69" s="67" t="str">
        <f aca="false">IF($A69="","",$E69*B$8)</f>
        <v/>
      </c>
      <c r="K69" s="67" t="str">
        <f aca="false">IF($A69="","",$E69*C$8)</f>
        <v/>
      </c>
      <c r="L69" s="67" t="str">
        <f aca="false">IF($A69="","",$E69*D$8)</f>
        <v/>
      </c>
      <c r="M69" s="67" t="str">
        <f aca="false">IF($A69="","",$E69*E$8)</f>
        <v/>
      </c>
      <c r="N69" s="67" t="str">
        <f aca="false">IF($A69="","",$E69*F$8)</f>
        <v/>
      </c>
      <c r="O69" s="67" t="str">
        <f aca="false">IF($A69="","",$E69*G$8)</f>
        <v/>
      </c>
      <c r="P69" s="74" t="str">
        <f aca="false">IF($A69="","",SUMIFS(Del_Qty,Del_Site,$A69,Del_Mat,$B69,Del_Date,"&gt;="&amp;B$6,Del_Date,"&lt;="&amp;B$7))</f>
        <v/>
      </c>
      <c r="Q69" s="74" t="str">
        <f aca="false">IF($A69="","",SUMIFS(Del_Qty,Del_Site,$A69,Del_Mat,$B69,Del_Date,"&gt;="&amp;C$6,Del_Date,"&lt;="&amp;C$7))</f>
        <v/>
      </c>
      <c r="R69" s="74" t="str">
        <f aca="false">IF($A69="","",SUMIFS(Del_Qty,Del_Site,$A69,Del_Mat,$B69,Del_Date,"&gt;="&amp;D$6,Del_Date,"&lt;="&amp;D$7))</f>
        <v/>
      </c>
      <c r="S69" s="74" t="str">
        <f aca="false">IF($A69="","",SUMIFS(Del_Qty,Del_Site,$A69,Del_Mat,$B69,Del_Date,"&gt;="&amp;E$6,Del_Date,"&lt;="&amp;E$7))</f>
        <v/>
      </c>
      <c r="T69" s="74" t="str">
        <f aca="false">IF($A69="","",SUMIFS(Del_Qty,Del_Site,$A69,Del_Mat,$B69,Del_Date,"&gt;="&amp;F$6,Del_Date,"&lt;="&amp;F$7))</f>
        <v/>
      </c>
      <c r="U69" s="74" t="str">
        <f aca="false">IF($A69="","",SUMIFS(Del_Qty,Del_Site,$A69,Del_Mat,$B69,Del_Date,"&gt;="&amp;G$6,Del_Date,"&lt;="&amp;G$7))</f>
        <v/>
      </c>
      <c r="V69" s="81" t="str">
        <f aca="false">IF($A69="","",MAX(0,J69+$I69-MAX(0,$H69)-P69))</f>
        <v/>
      </c>
      <c r="W69" s="81" t="str">
        <f aca="false">IF($A69="","",MAX(0,K69+$I69-AB69-Q69))</f>
        <v/>
      </c>
      <c r="X69" s="81" t="str">
        <f aca="false">IF($A69="","",MAX(0,L69+$I69-AC69-R69))</f>
        <v/>
      </c>
      <c r="Y69" s="81" t="str">
        <f aca="false">IF($A69="","",MAX(0,M69+$I69-AD69-S69))</f>
        <v/>
      </c>
      <c r="Z69" s="81" t="str">
        <f aca="false">IF($A69="","",MAX(0,N69+$I69-AE69-T69))</f>
        <v/>
      </c>
      <c r="AA69" s="81" t="str">
        <f aca="false">IF($A69="","",MAX(0,O69+$I69-AF69-U69))</f>
        <v/>
      </c>
      <c r="AB69" s="67" t="str">
        <f aca="false">IF($A69="","",MAX($I69,MAX(0,$H69)+P69-J69))</f>
        <v/>
      </c>
      <c r="AC69" s="67" t="str">
        <f aca="false">IF($A69="","",MAX($I69,AB69+Q69-K69))</f>
        <v/>
      </c>
      <c r="AD69" s="67" t="str">
        <f aca="false">IF($A69="","",MAX($I69,AC69+R69-L69))</f>
        <v/>
      </c>
      <c r="AE69" s="67" t="str">
        <f aca="false">IF($A69="","",MAX($I69,AD69+S69-M69))</f>
        <v/>
      </c>
      <c r="AF69" s="67" t="str">
        <f aca="false">IF($A69="","",MAX($I69,AE69+T69-N69))</f>
        <v/>
      </c>
      <c r="AG69" s="67" t="str">
        <f aca="false">IF($A69="","",MAX($I69,AF69+U69-O69))</f>
        <v/>
      </c>
      <c r="AH69" s="76" t="str">
        <f aca="false">IF($A69="","",IF($H69&lt;=0,"Already out",IF($E69&lt;=0,"No usage",IF(MAX(0,$H69)+SUM($P69:P69)-SUM($J69:J69)&lt;=0,$B$9,IF(MAX(0,$H69)+SUM($P69:Q69)-SUM($J69:K69)&lt;=0,$C$9,IF(MAX(0,$H69)+SUM($P69:R69)-SUM($J69:L69)&lt;=0,$D$9,IF(MAX(0,$H69)+SUM($P69:S69)-SUM($J69:M69)&lt;=0,$E$9,IF(MAX(0,$H69)+SUM($P69:T69)-SUM($J69:N69)&lt;=0,$F$9,IF(MAX(0,$H69)+SUM($P69:U69)-SUM($J69:O69)&lt;=0,$G$9,"Beyond 6 periods")))))))))</f>
        <v/>
      </c>
      <c r="AI69" s="67" t="str">
        <f aca="false">IF($A69="","",SUM(J69:O69))</f>
        <v/>
      </c>
      <c r="AJ69" s="68" t="str">
        <f aca="false">IF($A69="","",SUM(V69:AA69))</f>
        <v/>
      </c>
    </row>
    <row r="70" customFormat="false" ht="15" hidden="false" customHeight="false" outlineLevel="0" collapsed="false">
      <c r="A70" s="16" t="str">
        <f aca="false">IF('Stock Monitor'!$A38="","",'Stock Monitor'!$A38)</f>
        <v/>
      </c>
      <c r="B70" s="64" t="str">
        <f aca="false">IF($A70="","",'Stock Monitor'!$B38)</f>
        <v/>
      </c>
      <c r="C70" s="16" t="str">
        <f aca="false">IF($A70="","",'Stock Monitor'!$C38)</f>
        <v/>
      </c>
      <c r="D70" s="64" t="str">
        <f aca="false">IF($A70="","",'Stock Monitor'!$D38)</f>
        <v/>
      </c>
      <c r="E70" s="67" t="str">
        <f aca="false">IF($A70="","",'Stock Monitor'!$J38)</f>
        <v/>
      </c>
      <c r="F70" s="67" t="str">
        <f aca="false">IF($A70="","",$E70*WorkDaysWeek)</f>
        <v/>
      </c>
      <c r="G70" s="67" t="str">
        <f aca="false">IF($A70="","",$E70*WorkDaysMonth)</f>
        <v/>
      </c>
      <c r="H70" s="68" t="str">
        <f aca="false">IF($A70="","",'Stock Monitor'!$E38)</f>
        <v/>
      </c>
      <c r="I70" s="67" t="str">
        <f aca="false">IF($A70="","",'Stock Monitor'!$T38)</f>
        <v/>
      </c>
      <c r="J70" s="67" t="str">
        <f aca="false">IF($A70="","",$E70*B$8)</f>
        <v/>
      </c>
      <c r="K70" s="67" t="str">
        <f aca="false">IF($A70="","",$E70*C$8)</f>
        <v/>
      </c>
      <c r="L70" s="67" t="str">
        <f aca="false">IF($A70="","",$E70*D$8)</f>
        <v/>
      </c>
      <c r="M70" s="67" t="str">
        <f aca="false">IF($A70="","",$E70*E$8)</f>
        <v/>
      </c>
      <c r="N70" s="67" t="str">
        <f aca="false">IF($A70="","",$E70*F$8)</f>
        <v/>
      </c>
      <c r="O70" s="67" t="str">
        <f aca="false">IF($A70="","",$E70*G$8)</f>
        <v/>
      </c>
      <c r="P70" s="74" t="str">
        <f aca="false">IF($A70="","",SUMIFS(Del_Qty,Del_Site,$A70,Del_Mat,$B70,Del_Date,"&gt;="&amp;B$6,Del_Date,"&lt;="&amp;B$7))</f>
        <v/>
      </c>
      <c r="Q70" s="74" t="str">
        <f aca="false">IF($A70="","",SUMIFS(Del_Qty,Del_Site,$A70,Del_Mat,$B70,Del_Date,"&gt;="&amp;C$6,Del_Date,"&lt;="&amp;C$7))</f>
        <v/>
      </c>
      <c r="R70" s="74" t="str">
        <f aca="false">IF($A70="","",SUMIFS(Del_Qty,Del_Site,$A70,Del_Mat,$B70,Del_Date,"&gt;="&amp;D$6,Del_Date,"&lt;="&amp;D$7))</f>
        <v/>
      </c>
      <c r="S70" s="74" t="str">
        <f aca="false">IF($A70="","",SUMIFS(Del_Qty,Del_Site,$A70,Del_Mat,$B70,Del_Date,"&gt;="&amp;E$6,Del_Date,"&lt;="&amp;E$7))</f>
        <v/>
      </c>
      <c r="T70" s="74" t="str">
        <f aca="false">IF($A70="","",SUMIFS(Del_Qty,Del_Site,$A70,Del_Mat,$B70,Del_Date,"&gt;="&amp;F$6,Del_Date,"&lt;="&amp;F$7))</f>
        <v/>
      </c>
      <c r="U70" s="74" t="str">
        <f aca="false">IF($A70="","",SUMIFS(Del_Qty,Del_Site,$A70,Del_Mat,$B70,Del_Date,"&gt;="&amp;G$6,Del_Date,"&lt;="&amp;G$7))</f>
        <v/>
      </c>
      <c r="V70" s="81" t="str">
        <f aca="false">IF($A70="","",MAX(0,J70+$I70-MAX(0,$H70)-P70))</f>
        <v/>
      </c>
      <c r="W70" s="81" t="str">
        <f aca="false">IF($A70="","",MAX(0,K70+$I70-AB70-Q70))</f>
        <v/>
      </c>
      <c r="X70" s="81" t="str">
        <f aca="false">IF($A70="","",MAX(0,L70+$I70-AC70-R70))</f>
        <v/>
      </c>
      <c r="Y70" s="81" t="str">
        <f aca="false">IF($A70="","",MAX(0,M70+$I70-AD70-S70))</f>
        <v/>
      </c>
      <c r="Z70" s="81" t="str">
        <f aca="false">IF($A70="","",MAX(0,N70+$I70-AE70-T70))</f>
        <v/>
      </c>
      <c r="AA70" s="81" t="str">
        <f aca="false">IF($A70="","",MAX(0,O70+$I70-AF70-U70))</f>
        <v/>
      </c>
      <c r="AB70" s="67" t="str">
        <f aca="false">IF($A70="","",MAX($I70,MAX(0,$H70)+P70-J70))</f>
        <v/>
      </c>
      <c r="AC70" s="67" t="str">
        <f aca="false">IF($A70="","",MAX($I70,AB70+Q70-K70))</f>
        <v/>
      </c>
      <c r="AD70" s="67" t="str">
        <f aca="false">IF($A70="","",MAX($I70,AC70+R70-L70))</f>
        <v/>
      </c>
      <c r="AE70" s="67" t="str">
        <f aca="false">IF($A70="","",MAX($I70,AD70+S70-M70))</f>
        <v/>
      </c>
      <c r="AF70" s="67" t="str">
        <f aca="false">IF($A70="","",MAX($I70,AE70+T70-N70))</f>
        <v/>
      </c>
      <c r="AG70" s="67" t="str">
        <f aca="false">IF($A70="","",MAX($I70,AF70+U70-O70))</f>
        <v/>
      </c>
      <c r="AH70" s="76" t="str">
        <f aca="false">IF($A70="","",IF($H70&lt;=0,"Already out",IF($E70&lt;=0,"No usage",IF(MAX(0,$H70)+SUM($P70:P70)-SUM($J70:J70)&lt;=0,$B$9,IF(MAX(0,$H70)+SUM($P70:Q70)-SUM($J70:K70)&lt;=0,$C$9,IF(MAX(0,$H70)+SUM($P70:R70)-SUM($J70:L70)&lt;=0,$D$9,IF(MAX(0,$H70)+SUM($P70:S70)-SUM($J70:M70)&lt;=0,$E$9,IF(MAX(0,$H70)+SUM($P70:T70)-SUM($J70:N70)&lt;=0,$F$9,IF(MAX(0,$H70)+SUM($P70:U70)-SUM($J70:O70)&lt;=0,$G$9,"Beyond 6 periods")))))))))</f>
        <v/>
      </c>
      <c r="AI70" s="67" t="str">
        <f aca="false">IF($A70="","",SUM(J70:O70))</f>
        <v/>
      </c>
      <c r="AJ70" s="68" t="str">
        <f aca="false">IF($A70="","",SUM(V70:AA70))</f>
        <v/>
      </c>
    </row>
    <row r="71" customFormat="false" ht="15" hidden="false" customHeight="false" outlineLevel="0" collapsed="false">
      <c r="A71" s="16" t="str">
        <f aca="false">IF('Stock Monitor'!$A39="","",'Stock Monitor'!$A39)</f>
        <v/>
      </c>
      <c r="B71" s="64" t="str">
        <f aca="false">IF($A71="","",'Stock Monitor'!$B39)</f>
        <v/>
      </c>
      <c r="C71" s="16" t="str">
        <f aca="false">IF($A71="","",'Stock Monitor'!$C39)</f>
        <v/>
      </c>
      <c r="D71" s="64" t="str">
        <f aca="false">IF($A71="","",'Stock Monitor'!$D39)</f>
        <v/>
      </c>
      <c r="E71" s="67" t="str">
        <f aca="false">IF($A71="","",'Stock Monitor'!$J39)</f>
        <v/>
      </c>
      <c r="F71" s="67" t="str">
        <f aca="false">IF($A71="","",$E71*WorkDaysWeek)</f>
        <v/>
      </c>
      <c r="G71" s="67" t="str">
        <f aca="false">IF($A71="","",$E71*WorkDaysMonth)</f>
        <v/>
      </c>
      <c r="H71" s="68" t="str">
        <f aca="false">IF($A71="","",'Stock Monitor'!$E39)</f>
        <v/>
      </c>
      <c r="I71" s="67" t="str">
        <f aca="false">IF($A71="","",'Stock Monitor'!$T39)</f>
        <v/>
      </c>
      <c r="J71" s="67" t="str">
        <f aca="false">IF($A71="","",$E71*B$8)</f>
        <v/>
      </c>
      <c r="K71" s="67" t="str">
        <f aca="false">IF($A71="","",$E71*C$8)</f>
        <v/>
      </c>
      <c r="L71" s="67" t="str">
        <f aca="false">IF($A71="","",$E71*D$8)</f>
        <v/>
      </c>
      <c r="M71" s="67" t="str">
        <f aca="false">IF($A71="","",$E71*E$8)</f>
        <v/>
      </c>
      <c r="N71" s="67" t="str">
        <f aca="false">IF($A71="","",$E71*F$8)</f>
        <v/>
      </c>
      <c r="O71" s="67" t="str">
        <f aca="false">IF($A71="","",$E71*G$8)</f>
        <v/>
      </c>
      <c r="P71" s="74" t="str">
        <f aca="false">IF($A71="","",SUMIFS(Del_Qty,Del_Site,$A71,Del_Mat,$B71,Del_Date,"&gt;="&amp;B$6,Del_Date,"&lt;="&amp;B$7))</f>
        <v/>
      </c>
      <c r="Q71" s="74" t="str">
        <f aca="false">IF($A71="","",SUMIFS(Del_Qty,Del_Site,$A71,Del_Mat,$B71,Del_Date,"&gt;="&amp;C$6,Del_Date,"&lt;="&amp;C$7))</f>
        <v/>
      </c>
      <c r="R71" s="74" t="str">
        <f aca="false">IF($A71="","",SUMIFS(Del_Qty,Del_Site,$A71,Del_Mat,$B71,Del_Date,"&gt;="&amp;D$6,Del_Date,"&lt;="&amp;D$7))</f>
        <v/>
      </c>
      <c r="S71" s="74" t="str">
        <f aca="false">IF($A71="","",SUMIFS(Del_Qty,Del_Site,$A71,Del_Mat,$B71,Del_Date,"&gt;="&amp;E$6,Del_Date,"&lt;="&amp;E$7))</f>
        <v/>
      </c>
      <c r="T71" s="74" t="str">
        <f aca="false">IF($A71="","",SUMIFS(Del_Qty,Del_Site,$A71,Del_Mat,$B71,Del_Date,"&gt;="&amp;F$6,Del_Date,"&lt;="&amp;F$7))</f>
        <v/>
      </c>
      <c r="U71" s="74" t="str">
        <f aca="false">IF($A71="","",SUMIFS(Del_Qty,Del_Site,$A71,Del_Mat,$B71,Del_Date,"&gt;="&amp;G$6,Del_Date,"&lt;="&amp;G$7))</f>
        <v/>
      </c>
      <c r="V71" s="81" t="str">
        <f aca="false">IF($A71="","",MAX(0,J71+$I71-MAX(0,$H71)-P71))</f>
        <v/>
      </c>
      <c r="W71" s="81" t="str">
        <f aca="false">IF($A71="","",MAX(0,K71+$I71-AB71-Q71))</f>
        <v/>
      </c>
      <c r="X71" s="81" t="str">
        <f aca="false">IF($A71="","",MAX(0,L71+$I71-AC71-R71))</f>
        <v/>
      </c>
      <c r="Y71" s="81" t="str">
        <f aca="false">IF($A71="","",MAX(0,M71+$I71-AD71-S71))</f>
        <v/>
      </c>
      <c r="Z71" s="81" t="str">
        <f aca="false">IF($A71="","",MAX(0,N71+$I71-AE71-T71))</f>
        <v/>
      </c>
      <c r="AA71" s="81" t="str">
        <f aca="false">IF($A71="","",MAX(0,O71+$I71-AF71-U71))</f>
        <v/>
      </c>
      <c r="AB71" s="67" t="str">
        <f aca="false">IF($A71="","",MAX($I71,MAX(0,$H71)+P71-J71))</f>
        <v/>
      </c>
      <c r="AC71" s="67" t="str">
        <f aca="false">IF($A71="","",MAX($I71,AB71+Q71-K71))</f>
        <v/>
      </c>
      <c r="AD71" s="67" t="str">
        <f aca="false">IF($A71="","",MAX($I71,AC71+R71-L71))</f>
        <v/>
      </c>
      <c r="AE71" s="67" t="str">
        <f aca="false">IF($A71="","",MAX($I71,AD71+S71-M71))</f>
        <v/>
      </c>
      <c r="AF71" s="67" t="str">
        <f aca="false">IF($A71="","",MAX($I71,AE71+T71-N71))</f>
        <v/>
      </c>
      <c r="AG71" s="67" t="str">
        <f aca="false">IF($A71="","",MAX($I71,AF71+U71-O71))</f>
        <v/>
      </c>
      <c r="AH71" s="76" t="str">
        <f aca="false">IF($A71="","",IF($H71&lt;=0,"Already out",IF($E71&lt;=0,"No usage",IF(MAX(0,$H71)+SUM($P71:P71)-SUM($J71:J71)&lt;=0,$B$9,IF(MAX(0,$H71)+SUM($P71:Q71)-SUM($J71:K71)&lt;=0,$C$9,IF(MAX(0,$H71)+SUM($P71:R71)-SUM($J71:L71)&lt;=0,$D$9,IF(MAX(0,$H71)+SUM($P71:S71)-SUM($J71:M71)&lt;=0,$E$9,IF(MAX(0,$H71)+SUM($P71:T71)-SUM($J71:N71)&lt;=0,$F$9,IF(MAX(0,$H71)+SUM($P71:U71)-SUM($J71:O71)&lt;=0,$G$9,"Beyond 6 periods")))))))))</f>
        <v/>
      </c>
      <c r="AI71" s="67" t="str">
        <f aca="false">IF($A71="","",SUM(J71:O71))</f>
        <v/>
      </c>
      <c r="AJ71" s="68" t="str">
        <f aca="false">IF($A71="","",SUM(V71:AA71))</f>
        <v/>
      </c>
    </row>
    <row r="72" customFormat="false" ht="15" hidden="false" customHeight="false" outlineLevel="0" collapsed="false">
      <c r="A72" s="16" t="str">
        <f aca="false">IF('Stock Monitor'!$A40="","",'Stock Monitor'!$A40)</f>
        <v/>
      </c>
      <c r="B72" s="64" t="str">
        <f aca="false">IF($A72="","",'Stock Monitor'!$B40)</f>
        <v/>
      </c>
      <c r="C72" s="16" t="str">
        <f aca="false">IF($A72="","",'Stock Monitor'!$C40)</f>
        <v/>
      </c>
      <c r="D72" s="64" t="str">
        <f aca="false">IF($A72="","",'Stock Monitor'!$D40)</f>
        <v/>
      </c>
      <c r="E72" s="67" t="str">
        <f aca="false">IF($A72="","",'Stock Monitor'!$J40)</f>
        <v/>
      </c>
      <c r="F72" s="67" t="str">
        <f aca="false">IF($A72="","",$E72*WorkDaysWeek)</f>
        <v/>
      </c>
      <c r="G72" s="67" t="str">
        <f aca="false">IF($A72="","",$E72*WorkDaysMonth)</f>
        <v/>
      </c>
      <c r="H72" s="68" t="str">
        <f aca="false">IF($A72="","",'Stock Monitor'!$E40)</f>
        <v/>
      </c>
      <c r="I72" s="67" t="str">
        <f aca="false">IF($A72="","",'Stock Monitor'!$T40)</f>
        <v/>
      </c>
      <c r="J72" s="67" t="str">
        <f aca="false">IF($A72="","",$E72*B$8)</f>
        <v/>
      </c>
      <c r="K72" s="67" t="str">
        <f aca="false">IF($A72="","",$E72*C$8)</f>
        <v/>
      </c>
      <c r="L72" s="67" t="str">
        <f aca="false">IF($A72="","",$E72*D$8)</f>
        <v/>
      </c>
      <c r="M72" s="67" t="str">
        <f aca="false">IF($A72="","",$E72*E$8)</f>
        <v/>
      </c>
      <c r="N72" s="67" t="str">
        <f aca="false">IF($A72="","",$E72*F$8)</f>
        <v/>
      </c>
      <c r="O72" s="67" t="str">
        <f aca="false">IF($A72="","",$E72*G$8)</f>
        <v/>
      </c>
      <c r="P72" s="74" t="str">
        <f aca="false">IF($A72="","",SUMIFS(Del_Qty,Del_Site,$A72,Del_Mat,$B72,Del_Date,"&gt;="&amp;B$6,Del_Date,"&lt;="&amp;B$7))</f>
        <v/>
      </c>
      <c r="Q72" s="74" t="str">
        <f aca="false">IF($A72="","",SUMIFS(Del_Qty,Del_Site,$A72,Del_Mat,$B72,Del_Date,"&gt;="&amp;C$6,Del_Date,"&lt;="&amp;C$7))</f>
        <v/>
      </c>
      <c r="R72" s="74" t="str">
        <f aca="false">IF($A72="","",SUMIFS(Del_Qty,Del_Site,$A72,Del_Mat,$B72,Del_Date,"&gt;="&amp;D$6,Del_Date,"&lt;="&amp;D$7))</f>
        <v/>
      </c>
      <c r="S72" s="74" t="str">
        <f aca="false">IF($A72="","",SUMIFS(Del_Qty,Del_Site,$A72,Del_Mat,$B72,Del_Date,"&gt;="&amp;E$6,Del_Date,"&lt;="&amp;E$7))</f>
        <v/>
      </c>
      <c r="T72" s="74" t="str">
        <f aca="false">IF($A72="","",SUMIFS(Del_Qty,Del_Site,$A72,Del_Mat,$B72,Del_Date,"&gt;="&amp;F$6,Del_Date,"&lt;="&amp;F$7))</f>
        <v/>
      </c>
      <c r="U72" s="74" t="str">
        <f aca="false">IF($A72="","",SUMIFS(Del_Qty,Del_Site,$A72,Del_Mat,$B72,Del_Date,"&gt;="&amp;G$6,Del_Date,"&lt;="&amp;G$7))</f>
        <v/>
      </c>
      <c r="V72" s="81" t="str">
        <f aca="false">IF($A72="","",MAX(0,J72+$I72-MAX(0,$H72)-P72))</f>
        <v/>
      </c>
      <c r="W72" s="81" t="str">
        <f aca="false">IF($A72="","",MAX(0,K72+$I72-AB72-Q72))</f>
        <v/>
      </c>
      <c r="X72" s="81" t="str">
        <f aca="false">IF($A72="","",MAX(0,L72+$I72-AC72-R72))</f>
        <v/>
      </c>
      <c r="Y72" s="81" t="str">
        <f aca="false">IF($A72="","",MAX(0,M72+$I72-AD72-S72))</f>
        <v/>
      </c>
      <c r="Z72" s="81" t="str">
        <f aca="false">IF($A72="","",MAX(0,N72+$I72-AE72-T72))</f>
        <v/>
      </c>
      <c r="AA72" s="81" t="str">
        <f aca="false">IF($A72="","",MAX(0,O72+$I72-AF72-U72))</f>
        <v/>
      </c>
      <c r="AB72" s="67" t="str">
        <f aca="false">IF($A72="","",MAX($I72,MAX(0,$H72)+P72-J72))</f>
        <v/>
      </c>
      <c r="AC72" s="67" t="str">
        <f aca="false">IF($A72="","",MAX($I72,AB72+Q72-K72))</f>
        <v/>
      </c>
      <c r="AD72" s="67" t="str">
        <f aca="false">IF($A72="","",MAX($I72,AC72+R72-L72))</f>
        <v/>
      </c>
      <c r="AE72" s="67" t="str">
        <f aca="false">IF($A72="","",MAX($I72,AD72+S72-M72))</f>
        <v/>
      </c>
      <c r="AF72" s="67" t="str">
        <f aca="false">IF($A72="","",MAX($I72,AE72+T72-N72))</f>
        <v/>
      </c>
      <c r="AG72" s="67" t="str">
        <f aca="false">IF($A72="","",MAX($I72,AF72+U72-O72))</f>
        <v/>
      </c>
      <c r="AH72" s="76" t="str">
        <f aca="false">IF($A72="","",IF($H72&lt;=0,"Already out",IF($E72&lt;=0,"No usage",IF(MAX(0,$H72)+SUM($P72:P72)-SUM($J72:J72)&lt;=0,$B$9,IF(MAX(0,$H72)+SUM($P72:Q72)-SUM($J72:K72)&lt;=0,$C$9,IF(MAX(0,$H72)+SUM($P72:R72)-SUM($J72:L72)&lt;=0,$D$9,IF(MAX(0,$H72)+SUM($P72:S72)-SUM($J72:M72)&lt;=0,$E$9,IF(MAX(0,$H72)+SUM($P72:T72)-SUM($J72:N72)&lt;=0,$F$9,IF(MAX(0,$H72)+SUM($P72:U72)-SUM($J72:O72)&lt;=0,$G$9,"Beyond 6 periods")))))))))</f>
        <v/>
      </c>
      <c r="AI72" s="67" t="str">
        <f aca="false">IF($A72="","",SUM(J72:O72))</f>
        <v/>
      </c>
      <c r="AJ72" s="68" t="str">
        <f aca="false">IF($A72="","",SUM(V72:AA72))</f>
        <v/>
      </c>
    </row>
    <row r="73" customFormat="false" ht="15" hidden="false" customHeight="false" outlineLevel="0" collapsed="false">
      <c r="A73" s="16" t="str">
        <f aca="false">IF('Stock Monitor'!$A41="","",'Stock Monitor'!$A41)</f>
        <v/>
      </c>
      <c r="B73" s="64" t="str">
        <f aca="false">IF($A73="","",'Stock Monitor'!$B41)</f>
        <v/>
      </c>
      <c r="C73" s="16" t="str">
        <f aca="false">IF($A73="","",'Stock Monitor'!$C41)</f>
        <v/>
      </c>
      <c r="D73" s="64" t="str">
        <f aca="false">IF($A73="","",'Stock Monitor'!$D41)</f>
        <v/>
      </c>
      <c r="E73" s="67" t="str">
        <f aca="false">IF($A73="","",'Stock Monitor'!$J41)</f>
        <v/>
      </c>
      <c r="F73" s="67" t="str">
        <f aca="false">IF($A73="","",$E73*WorkDaysWeek)</f>
        <v/>
      </c>
      <c r="G73" s="67" t="str">
        <f aca="false">IF($A73="","",$E73*WorkDaysMonth)</f>
        <v/>
      </c>
      <c r="H73" s="68" t="str">
        <f aca="false">IF($A73="","",'Stock Monitor'!$E41)</f>
        <v/>
      </c>
      <c r="I73" s="67" t="str">
        <f aca="false">IF($A73="","",'Stock Monitor'!$T41)</f>
        <v/>
      </c>
      <c r="J73" s="67" t="str">
        <f aca="false">IF($A73="","",$E73*B$8)</f>
        <v/>
      </c>
      <c r="K73" s="67" t="str">
        <f aca="false">IF($A73="","",$E73*C$8)</f>
        <v/>
      </c>
      <c r="L73" s="67" t="str">
        <f aca="false">IF($A73="","",$E73*D$8)</f>
        <v/>
      </c>
      <c r="M73" s="67" t="str">
        <f aca="false">IF($A73="","",$E73*E$8)</f>
        <v/>
      </c>
      <c r="N73" s="67" t="str">
        <f aca="false">IF($A73="","",$E73*F$8)</f>
        <v/>
      </c>
      <c r="O73" s="67" t="str">
        <f aca="false">IF($A73="","",$E73*G$8)</f>
        <v/>
      </c>
      <c r="P73" s="74" t="str">
        <f aca="false">IF($A73="","",SUMIFS(Del_Qty,Del_Site,$A73,Del_Mat,$B73,Del_Date,"&gt;="&amp;B$6,Del_Date,"&lt;="&amp;B$7))</f>
        <v/>
      </c>
      <c r="Q73" s="74" t="str">
        <f aca="false">IF($A73="","",SUMIFS(Del_Qty,Del_Site,$A73,Del_Mat,$B73,Del_Date,"&gt;="&amp;C$6,Del_Date,"&lt;="&amp;C$7))</f>
        <v/>
      </c>
      <c r="R73" s="74" t="str">
        <f aca="false">IF($A73="","",SUMIFS(Del_Qty,Del_Site,$A73,Del_Mat,$B73,Del_Date,"&gt;="&amp;D$6,Del_Date,"&lt;="&amp;D$7))</f>
        <v/>
      </c>
      <c r="S73" s="74" t="str">
        <f aca="false">IF($A73="","",SUMIFS(Del_Qty,Del_Site,$A73,Del_Mat,$B73,Del_Date,"&gt;="&amp;E$6,Del_Date,"&lt;="&amp;E$7))</f>
        <v/>
      </c>
      <c r="T73" s="74" t="str">
        <f aca="false">IF($A73="","",SUMIFS(Del_Qty,Del_Site,$A73,Del_Mat,$B73,Del_Date,"&gt;="&amp;F$6,Del_Date,"&lt;="&amp;F$7))</f>
        <v/>
      </c>
      <c r="U73" s="74" t="str">
        <f aca="false">IF($A73="","",SUMIFS(Del_Qty,Del_Site,$A73,Del_Mat,$B73,Del_Date,"&gt;="&amp;G$6,Del_Date,"&lt;="&amp;G$7))</f>
        <v/>
      </c>
      <c r="V73" s="81" t="str">
        <f aca="false">IF($A73="","",MAX(0,J73+$I73-MAX(0,$H73)-P73))</f>
        <v/>
      </c>
      <c r="W73" s="81" t="str">
        <f aca="false">IF($A73="","",MAX(0,K73+$I73-AB73-Q73))</f>
        <v/>
      </c>
      <c r="X73" s="81" t="str">
        <f aca="false">IF($A73="","",MAX(0,L73+$I73-AC73-R73))</f>
        <v/>
      </c>
      <c r="Y73" s="81" t="str">
        <f aca="false">IF($A73="","",MAX(0,M73+$I73-AD73-S73))</f>
        <v/>
      </c>
      <c r="Z73" s="81" t="str">
        <f aca="false">IF($A73="","",MAX(0,N73+$I73-AE73-T73))</f>
        <v/>
      </c>
      <c r="AA73" s="81" t="str">
        <f aca="false">IF($A73="","",MAX(0,O73+$I73-AF73-U73))</f>
        <v/>
      </c>
      <c r="AB73" s="67" t="str">
        <f aca="false">IF($A73="","",MAX($I73,MAX(0,$H73)+P73-J73))</f>
        <v/>
      </c>
      <c r="AC73" s="67" t="str">
        <f aca="false">IF($A73="","",MAX($I73,AB73+Q73-K73))</f>
        <v/>
      </c>
      <c r="AD73" s="67" t="str">
        <f aca="false">IF($A73="","",MAX($I73,AC73+R73-L73))</f>
        <v/>
      </c>
      <c r="AE73" s="67" t="str">
        <f aca="false">IF($A73="","",MAX($I73,AD73+S73-M73))</f>
        <v/>
      </c>
      <c r="AF73" s="67" t="str">
        <f aca="false">IF($A73="","",MAX($I73,AE73+T73-N73))</f>
        <v/>
      </c>
      <c r="AG73" s="67" t="str">
        <f aca="false">IF($A73="","",MAX($I73,AF73+U73-O73))</f>
        <v/>
      </c>
      <c r="AH73" s="76" t="str">
        <f aca="false">IF($A73="","",IF($H73&lt;=0,"Already out",IF($E73&lt;=0,"No usage",IF(MAX(0,$H73)+SUM($P73:P73)-SUM($J73:J73)&lt;=0,$B$9,IF(MAX(0,$H73)+SUM($P73:Q73)-SUM($J73:K73)&lt;=0,$C$9,IF(MAX(0,$H73)+SUM($P73:R73)-SUM($J73:L73)&lt;=0,$D$9,IF(MAX(0,$H73)+SUM($P73:S73)-SUM($J73:M73)&lt;=0,$E$9,IF(MAX(0,$H73)+SUM($P73:T73)-SUM($J73:N73)&lt;=0,$F$9,IF(MAX(0,$H73)+SUM($P73:U73)-SUM($J73:O73)&lt;=0,$G$9,"Beyond 6 periods")))))))))</f>
        <v/>
      </c>
      <c r="AI73" s="67" t="str">
        <f aca="false">IF($A73="","",SUM(J73:O73))</f>
        <v/>
      </c>
      <c r="AJ73" s="68" t="str">
        <f aca="false">IF($A73="","",SUM(V73:AA73))</f>
        <v/>
      </c>
    </row>
    <row r="74" customFormat="false" ht="15" hidden="false" customHeight="false" outlineLevel="0" collapsed="false">
      <c r="A74" s="16" t="str">
        <f aca="false">IF('Stock Monitor'!$A42="","",'Stock Monitor'!$A42)</f>
        <v/>
      </c>
      <c r="B74" s="64" t="str">
        <f aca="false">IF($A74="","",'Stock Monitor'!$B42)</f>
        <v/>
      </c>
      <c r="C74" s="16" t="str">
        <f aca="false">IF($A74="","",'Stock Monitor'!$C42)</f>
        <v/>
      </c>
      <c r="D74" s="64" t="str">
        <f aca="false">IF($A74="","",'Stock Monitor'!$D42)</f>
        <v/>
      </c>
      <c r="E74" s="67" t="str">
        <f aca="false">IF($A74="","",'Stock Monitor'!$J42)</f>
        <v/>
      </c>
      <c r="F74" s="67" t="str">
        <f aca="false">IF($A74="","",$E74*WorkDaysWeek)</f>
        <v/>
      </c>
      <c r="G74" s="67" t="str">
        <f aca="false">IF($A74="","",$E74*WorkDaysMonth)</f>
        <v/>
      </c>
      <c r="H74" s="68" t="str">
        <f aca="false">IF($A74="","",'Stock Monitor'!$E42)</f>
        <v/>
      </c>
      <c r="I74" s="67" t="str">
        <f aca="false">IF($A74="","",'Stock Monitor'!$T42)</f>
        <v/>
      </c>
      <c r="J74" s="67" t="str">
        <f aca="false">IF($A74="","",$E74*B$8)</f>
        <v/>
      </c>
      <c r="K74" s="67" t="str">
        <f aca="false">IF($A74="","",$E74*C$8)</f>
        <v/>
      </c>
      <c r="L74" s="67" t="str">
        <f aca="false">IF($A74="","",$E74*D$8)</f>
        <v/>
      </c>
      <c r="M74" s="67" t="str">
        <f aca="false">IF($A74="","",$E74*E$8)</f>
        <v/>
      </c>
      <c r="N74" s="67" t="str">
        <f aca="false">IF($A74="","",$E74*F$8)</f>
        <v/>
      </c>
      <c r="O74" s="67" t="str">
        <f aca="false">IF($A74="","",$E74*G$8)</f>
        <v/>
      </c>
      <c r="P74" s="74" t="str">
        <f aca="false">IF($A74="","",SUMIFS(Del_Qty,Del_Site,$A74,Del_Mat,$B74,Del_Date,"&gt;="&amp;B$6,Del_Date,"&lt;="&amp;B$7))</f>
        <v/>
      </c>
      <c r="Q74" s="74" t="str">
        <f aca="false">IF($A74="","",SUMIFS(Del_Qty,Del_Site,$A74,Del_Mat,$B74,Del_Date,"&gt;="&amp;C$6,Del_Date,"&lt;="&amp;C$7))</f>
        <v/>
      </c>
      <c r="R74" s="74" t="str">
        <f aca="false">IF($A74="","",SUMIFS(Del_Qty,Del_Site,$A74,Del_Mat,$B74,Del_Date,"&gt;="&amp;D$6,Del_Date,"&lt;="&amp;D$7))</f>
        <v/>
      </c>
      <c r="S74" s="74" t="str">
        <f aca="false">IF($A74="","",SUMIFS(Del_Qty,Del_Site,$A74,Del_Mat,$B74,Del_Date,"&gt;="&amp;E$6,Del_Date,"&lt;="&amp;E$7))</f>
        <v/>
      </c>
      <c r="T74" s="74" t="str">
        <f aca="false">IF($A74="","",SUMIFS(Del_Qty,Del_Site,$A74,Del_Mat,$B74,Del_Date,"&gt;="&amp;F$6,Del_Date,"&lt;="&amp;F$7))</f>
        <v/>
      </c>
      <c r="U74" s="74" t="str">
        <f aca="false">IF($A74="","",SUMIFS(Del_Qty,Del_Site,$A74,Del_Mat,$B74,Del_Date,"&gt;="&amp;G$6,Del_Date,"&lt;="&amp;G$7))</f>
        <v/>
      </c>
      <c r="V74" s="81" t="str">
        <f aca="false">IF($A74="","",MAX(0,J74+$I74-MAX(0,$H74)-P74))</f>
        <v/>
      </c>
      <c r="W74" s="81" t="str">
        <f aca="false">IF($A74="","",MAX(0,K74+$I74-AB74-Q74))</f>
        <v/>
      </c>
      <c r="X74" s="81" t="str">
        <f aca="false">IF($A74="","",MAX(0,L74+$I74-AC74-R74))</f>
        <v/>
      </c>
      <c r="Y74" s="81" t="str">
        <f aca="false">IF($A74="","",MAX(0,M74+$I74-AD74-S74))</f>
        <v/>
      </c>
      <c r="Z74" s="81" t="str">
        <f aca="false">IF($A74="","",MAX(0,N74+$I74-AE74-T74))</f>
        <v/>
      </c>
      <c r="AA74" s="81" t="str">
        <f aca="false">IF($A74="","",MAX(0,O74+$I74-AF74-U74))</f>
        <v/>
      </c>
      <c r="AB74" s="67" t="str">
        <f aca="false">IF($A74="","",MAX($I74,MAX(0,$H74)+P74-J74))</f>
        <v/>
      </c>
      <c r="AC74" s="67" t="str">
        <f aca="false">IF($A74="","",MAX($I74,AB74+Q74-K74))</f>
        <v/>
      </c>
      <c r="AD74" s="67" t="str">
        <f aca="false">IF($A74="","",MAX($I74,AC74+R74-L74))</f>
        <v/>
      </c>
      <c r="AE74" s="67" t="str">
        <f aca="false">IF($A74="","",MAX($I74,AD74+S74-M74))</f>
        <v/>
      </c>
      <c r="AF74" s="67" t="str">
        <f aca="false">IF($A74="","",MAX($I74,AE74+T74-N74))</f>
        <v/>
      </c>
      <c r="AG74" s="67" t="str">
        <f aca="false">IF($A74="","",MAX($I74,AF74+U74-O74))</f>
        <v/>
      </c>
      <c r="AH74" s="76" t="str">
        <f aca="false">IF($A74="","",IF($H74&lt;=0,"Already out",IF($E74&lt;=0,"No usage",IF(MAX(0,$H74)+SUM($P74:P74)-SUM($J74:J74)&lt;=0,$B$9,IF(MAX(0,$H74)+SUM($P74:Q74)-SUM($J74:K74)&lt;=0,$C$9,IF(MAX(0,$H74)+SUM($P74:R74)-SUM($J74:L74)&lt;=0,$D$9,IF(MAX(0,$H74)+SUM($P74:S74)-SUM($J74:M74)&lt;=0,$E$9,IF(MAX(0,$H74)+SUM($P74:T74)-SUM($J74:N74)&lt;=0,$F$9,IF(MAX(0,$H74)+SUM($P74:U74)-SUM($J74:O74)&lt;=0,$G$9,"Beyond 6 periods")))))))))</f>
        <v/>
      </c>
      <c r="AI74" s="67" t="str">
        <f aca="false">IF($A74="","",SUM(J74:O74))</f>
        <v/>
      </c>
      <c r="AJ74" s="68" t="str">
        <f aca="false">IF($A74="","",SUM(V74:AA74))</f>
        <v/>
      </c>
    </row>
    <row r="75" customFormat="false" ht="15" hidden="false" customHeight="false" outlineLevel="0" collapsed="false">
      <c r="A75" s="16" t="str">
        <f aca="false">IF('Stock Monitor'!$A43="","",'Stock Monitor'!$A43)</f>
        <v/>
      </c>
      <c r="B75" s="64" t="str">
        <f aca="false">IF($A75="","",'Stock Monitor'!$B43)</f>
        <v/>
      </c>
      <c r="C75" s="16" t="str">
        <f aca="false">IF($A75="","",'Stock Monitor'!$C43)</f>
        <v/>
      </c>
      <c r="D75" s="64" t="str">
        <f aca="false">IF($A75="","",'Stock Monitor'!$D43)</f>
        <v/>
      </c>
      <c r="E75" s="67" t="str">
        <f aca="false">IF($A75="","",'Stock Monitor'!$J43)</f>
        <v/>
      </c>
      <c r="F75" s="67" t="str">
        <f aca="false">IF($A75="","",$E75*WorkDaysWeek)</f>
        <v/>
      </c>
      <c r="G75" s="67" t="str">
        <f aca="false">IF($A75="","",$E75*WorkDaysMonth)</f>
        <v/>
      </c>
      <c r="H75" s="68" t="str">
        <f aca="false">IF($A75="","",'Stock Monitor'!$E43)</f>
        <v/>
      </c>
      <c r="I75" s="67" t="str">
        <f aca="false">IF($A75="","",'Stock Monitor'!$T43)</f>
        <v/>
      </c>
      <c r="J75" s="67" t="str">
        <f aca="false">IF($A75="","",$E75*B$8)</f>
        <v/>
      </c>
      <c r="K75" s="67" t="str">
        <f aca="false">IF($A75="","",$E75*C$8)</f>
        <v/>
      </c>
      <c r="L75" s="67" t="str">
        <f aca="false">IF($A75="","",$E75*D$8)</f>
        <v/>
      </c>
      <c r="M75" s="67" t="str">
        <f aca="false">IF($A75="","",$E75*E$8)</f>
        <v/>
      </c>
      <c r="N75" s="67" t="str">
        <f aca="false">IF($A75="","",$E75*F$8)</f>
        <v/>
      </c>
      <c r="O75" s="67" t="str">
        <f aca="false">IF($A75="","",$E75*G$8)</f>
        <v/>
      </c>
      <c r="P75" s="74" t="str">
        <f aca="false">IF($A75="","",SUMIFS(Del_Qty,Del_Site,$A75,Del_Mat,$B75,Del_Date,"&gt;="&amp;B$6,Del_Date,"&lt;="&amp;B$7))</f>
        <v/>
      </c>
      <c r="Q75" s="74" t="str">
        <f aca="false">IF($A75="","",SUMIFS(Del_Qty,Del_Site,$A75,Del_Mat,$B75,Del_Date,"&gt;="&amp;C$6,Del_Date,"&lt;="&amp;C$7))</f>
        <v/>
      </c>
      <c r="R75" s="74" t="str">
        <f aca="false">IF($A75="","",SUMIFS(Del_Qty,Del_Site,$A75,Del_Mat,$B75,Del_Date,"&gt;="&amp;D$6,Del_Date,"&lt;="&amp;D$7))</f>
        <v/>
      </c>
      <c r="S75" s="74" t="str">
        <f aca="false">IF($A75="","",SUMIFS(Del_Qty,Del_Site,$A75,Del_Mat,$B75,Del_Date,"&gt;="&amp;E$6,Del_Date,"&lt;="&amp;E$7))</f>
        <v/>
      </c>
      <c r="T75" s="74" t="str">
        <f aca="false">IF($A75="","",SUMIFS(Del_Qty,Del_Site,$A75,Del_Mat,$B75,Del_Date,"&gt;="&amp;F$6,Del_Date,"&lt;="&amp;F$7))</f>
        <v/>
      </c>
      <c r="U75" s="74" t="str">
        <f aca="false">IF($A75="","",SUMIFS(Del_Qty,Del_Site,$A75,Del_Mat,$B75,Del_Date,"&gt;="&amp;G$6,Del_Date,"&lt;="&amp;G$7))</f>
        <v/>
      </c>
      <c r="V75" s="81" t="str">
        <f aca="false">IF($A75="","",MAX(0,J75+$I75-MAX(0,$H75)-P75))</f>
        <v/>
      </c>
      <c r="W75" s="81" t="str">
        <f aca="false">IF($A75="","",MAX(0,K75+$I75-AB75-Q75))</f>
        <v/>
      </c>
      <c r="X75" s="81" t="str">
        <f aca="false">IF($A75="","",MAX(0,L75+$I75-AC75-R75))</f>
        <v/>
      </c>
      <c r="Y75" s="81" t="str">
        <f aca="false">IF($A75="","",MAX(0,M75+$I75-AD75-S75))</f>
        <v/>
      </c>
      <c r="Z75" s="81" t="str">
        <f aca="false">IF($A75="","",MAX(0,N75+$I75-AE75-T75))</f>
        <v/>
      </c>
      <c r="AA75" s="81" t="str">
        <f aca="false">IF($A75="","",MAX(0,O75+$I75-AF75-U75))</f>
        <v/>
      </c>
      <c r="AB75" s="67" t="str">
        <f aca="false">IF($A75="","",MAX($I75,MAX(0,$H75)+P75-J75))</f>
        <v/>
      </c>
      <c r="AC75" s="67" t="str">
        <f aca="false">IF($A75="","",MAX($I75,AB75+Q75-K75))</f>
        <v/>
      </c>
      <c r="AD75" s="67" t="str">
        <f aca="false">IF($A75="","",MAX($I75,AC75+R75-L75))</f>
        <v/>
      </c>
      <c r="AE75" s="67" t="str">
        <f aca="false">IF($A75="","",MAX($I75,AD75+S75-M75))</f>
        <v/>
      </c>
      <c r="AF75" s="67" t="str">
        <f aca="false">IF($A75="","",MAX($I75,AE75+T75-N75))</f>
        <v/>
      </c>
      <c r="AG75" s="67" t="str">
        <f aca="false">IF($A75="","",MAX($I75,AF75+U75-O75))</f>
        <v/>
      </c>
      <c r="AH75" s="76" t="str">
        <f aca="false">IF($A75="","",IF($H75&lt;=0,"Already out",IF($E75&lt;=0,"No usage",IF(MAX(0,$H75)+SUM($P75:P75)-SUM($J75:J75)&lt;=0,$B$9,IF(MAX(0,$H75)+SUM($P75:Q75)-SUM($J75:K75)&lt;=0,$C$9,IF(MAX(0,$H75)+SUM($P75:R75)-SUM($J75:L75)&lt;=0,$D$9,IF(MAX(0,$H75)+SUM($P75:S75)-SUM($J75:M75)&lt;=0,$E$9,IF(MAX(0,$H75)+SUM($P75:T75)-SUM($J75:N75)&lt;=0,$F$9,IF(MAX(0,$H75)+SUM($P75:U75)-SUM($J75:O75)&lt;=0,$G$9,"Beyond 6 periods")))))))))</f>
        <v/>
      </c>
      <c r="AI75" s="67" t="str">
        <f aca="false">IF($A75="","",SUM(J75:O75))</f>
        <v/>
      </c>
      <c r="AJ75" s="68" t="str">
        <f aca="false">IF($A75="","",SUM(V75:AA75))</f>
        <v/>
      </c>
    </row>
    <row r="76" customFormat="false" ht="15" hidden="false" customHeight="false" outlineLevel="0" collapsed="false">
      <c r="A76" s="16" t="str">
        <f aca="false">IF('Stock Monitor'!$A44="","",'Stock Monitor'!$A44)</f>
        <v/>
      </c>
      <c r="B76" s="64" t="str">
        <f aca="false">IF($A76="","",'Stock Monitor'!$B44)</f>
        <v/>
      </c>
      <c r="C76" s="16" t="str">
        <f aca="false">IF($A76="","",'Stock Monitor'!$C44)</f>
        <v/>
      </c>
      <c r="D76" s="64" t="str">
        <f aca="false">IF($A76="","",'Stock Monitor'!$D44)</f>
        <v/>
      </c>
      <c r="E76" s="67" t="str">
        <f aca="false">IF($A76="","",'Stock Monitor'!$J44)</f>
        <v/>
      </c>
      <c r="F76" s="67" t="str">
        <f aca="false">IF($A76="","",$E76*WorkDaysWeek)</f>
        <v/>
      </c>
      <c r="G76" s="67" t="str">
        <f aca="false">IF($A76="","",$E76*WorkDaysMonth)</f>
        <v/>
      </c>
      <c r="H76" s="68" t="str">
        <f aca="false">IF($A76="","",'Stock Monitor'!$E44)</f>
        <v/>
      </c>
      <c r="I76" s="67" t="str">
        <f aca="false">IF($A76="","",'Stock Monitor'!$T44)</f>
        <v/>
      </c>
      <c r="J76" s="67" t="str">
        <f aca="false">IF($A76="","",$E76*B$8)</f>
        <v/>
      </c>
      <c r="K76" s="67" t="str">
        <f aca="false">IF($A76="","",$E76*C$8)</f>
        <v/>
      </c>
      <c r="L76" s="67" t="str">
        <f aca="false">IF($A76="","",$E76*D$8)</f>
        <v/>
      </c>
      <c r="M76" s="67" t="str">
        <f aca="false">IF($A76="","",$E76*E$8)</f>
        <v/>
      </c>
      <c r="N76" s="67" t="str">
        <f aca="false">IF($A76="","",$E76*F$8)</f>
        <v/>
      </c>
      <c r="O76" s="67" t="str">
        <f aca="false">IF($A76="","",$E76*G$8)</f>
        <v/>
      </c>
      <c r="P76" s="74" t="str">
        <f aca="false">IF($A76="","",SUMIFS(Del_Qty,Del_Site,$A76,Del_Mat,$B76,Del_Date,"&gt;="&amp;B$6,Del_Date,"&lt;="&amp;B$7))</f>
        <v/>
      </c>
      <c r="Q76" s="74" t="str">
        <f aca="false">IF($A76="","",SUMIFS(Del_Qty,Del_Site,$A76,Del_Mat,$B76,Del_Date,"&gt;="&amp;C$6,Del_Date,"&lt;="&amp;C$7))</f>
        <v/>
      </c>
      <c r="R76" s="74" t="str">
        <f aca="false">IF($A76="","",SUMIFS(Del_Qty,Del_Site,$A76,Del_Mat,$B76,Del_Date,"&gt;="&amp;D$6,Del_Date,"&lt;="&amp;D$7))</f>
        <v/>
      </c>
      <c r="S76" s="74" t="str">
        <f aca="false">IF($A76="","",SUMIFS(Del_Qty,Del_Site,$A76,Del_Mat,$B76,Del_Date,"&gt;="&amp;E$6,Del_Date,"&lt;="&amp;E$7))</f>
        <v/>
      </c>
      <c r="T76" s="74" t="str">
        <f aca="false">IF($A76="","",SUMIFS(Del_Qty,Del_Site,$A76,Del_Mat,$B76,Del_Date,"&gt;="&amp;F$6,Del_Date,"&lt;="&amp;F$7))</f>
        <v/>
      </c>
      <c r="U76" s="74" t="str">
        <f aca="false">IF($A76="","",SUMIFS(Del_Qty,Del_Site,$A76,Del_Mat,$B76,Del_Date,"&gt;="&amp;G$6,Del_Date,"&lt;="&amp;G$7))</f>
        <v/>
      </c>
      <c r="V76" s="81" t="str">
        <f aca="false">IF($A76="","",MAX(0,J76+$I76-MAX(0,$H76)-P76))</f>
        <v/>
      </c>
      <c r="W76" s="81" t="str">
        <f aca="false">IF($A76="","",MAX(0,K76+$I76-AB76-Q76))</f>
        <v/>
      </c>
      <c r="X76" s="81" t="str">
        <f aca="false">IF($A76="","",MAX(0,L76+$I76-AC76-R76))</f>
        <v/>
      </c>
      <c r="Y76" s="81" t="str">
        <f aca="false">IF($A76="","",MAX(0,M76+$I76-AD76-S76))</f>
        <v/>
      </c>
      <c r="Z76" s="81" t="str">
        <f aca="false">IF($A76="","",MAX(0,N76+$I76-AE76-T76))</f>
        <v/>
      </c>
      <c r="AA76" s="81" t="str">
        <f aca="false">IF($A76="","",MAX(0,O76+$I76-AF76-U76))</f>
        <v/>
      </c>
      <c r="AB76" s="67" t="str">
        <f aca="false">IF($A76="","",MAX($I76,MAX(0,$H76)+P76-J76))</f>
        <v/>
      </c>
      <c r="AC76" s="67" t="str">
        <f aca="false">IF($A76="","",MAX($I76,AB76+Q76-K76))</f>
        <v/>
      </c>
      <c r="AD76" s="67" t="str">
        <f aca="false">IF($A76="","",MAX($I76,AC76+R76-L76))</f>
        <v/>
      </c>
      <c r="AE76" s="67" t="str">
        <f aca="false">IF($A76="","",MAX($I76,AD76+S76-M76))</f>
        <v/>
      </c>
      <c r="AF76" s="67" t="str">
        <f aca="false">IF($A76="","",MAX($I76,AE76+T76-N76))</f>
        <v/>
      </c>
      <c r="AG76" s="67" t="str">
        <f aca="false">IF($A76="","",MAX($I76,AF76+U76-O76))</f>
        <v/>
      </c>
      <c r="AH76" s="76" t="str">
        <f aca="false">IF($A76="","",IF($H76&lt;=0,"Already out",IF($E76&lt;=0,"No usage",IF(MAX(0,$H76)+SUM($P76:P76)-SUM($J76:J76)&lt;=0,$B$9,IF(MAX(0,$H76)+SUM($P76:Q76)-SUM($J76:K76)&lt;=0,$C$9,IF(MAX(0,$H76)+SUM($P76:R76)-SUM($J76:L76)&lt;=0,$D$9,IF(MAX(0,$H76)+SUM($P76:S76)-SUM($J76:M76)&lt;=0,$E$9,IF(MAX(0,$H76)+SUM($P76:T76)-SUM($J76:N76)&lt;=0,$F$9,IF(MAX(0,$H76)+SUM($P76:U76)-SUM($J76:O76)&lt;=0,$G$9,"Beyond 6 periods")))))))))</f>
        <v/>
      </c>
      <c r="AI76" s="67" t="str">
        <f aca="false">IF($A76="","",SUM(J76:O76))</f>
        <v/>
      </c>
      <c r="AJ76" s="68" t="str">
        <f aca="false">IF($A76="","",SUM(V76:AA76))</f>
        <v/>
      </c>
    </row>
    <row r="77" customFormat="false" ht="15" hidden="false" customHeight="false" outlineLevel="0" collapsed="false">
      <c r="A77" s="16" t="str">
        <f aca="false">IF('Stock Monitor'!$A45="","",'Stock Monitor'!$A45)</f>
        <v/>
      </c>
      <c r="B77" s="64" t="str">
        <f aca="false">IF($A77="","",'Stock Monitor'!$B45)</f>
        <v/>
      </c>
      <c r="C77" s="16" t="str">
        <f aca="false">IF($A77="","",'Stock Monitor'!$C45)</f>
        <v/>
      </c>
      <c r="D77" s="64" t="str">
        <f aca="false">IF($A77="","",'Stock Monitor'!$D45)</f>
        <v/>
      </c>
      <c r="E77" s="67" t="str">
        <f aca="false">IF($A77="","",'Stock Monitor'!$J45)</f>
        <v/>
      </c>
      <c r="F77" s="67" t="str">
        <f aca="false">IF($A77="","",$E77*WorkDaysWeek)</f>
        <v/>
      </c>
      <c r="G77" s="67" t="str">
        <f aca="false">IF($A77="","",$E77*WorkDaysMonth)</f>
        <v/>
      </c>
      <c r="H77" s="68" t="str">
        <f aca="false">IF($A77="","",'Stock Monitor'!$E45)</f>
        <v/>
      </c>
      <c r="I77" s="67" t="str">
        <f aca="false">IF($A77="","",'Stock Monitor'!$T45)</f>
        <v/>
      </c>
      <c r="J77" s="67" t="str">
        <f aca="false">IF($A77="","",$E77*B$8)</f>
        <v/>
      </c>
      <c r="K77" s="67" t="str">
        <f aca="false">IF($A77="","",$E77*C$8)</f>
        <v/>
      </c>
      <c r="L77" s="67" t="str">
        <f aca="false">IF($A77="","",$E77*D$8)</f>
        <v/>
      </c>
      <c r="M77" s="67" t="str">
        <f aca="false">IF($A77="","",$E77*E$8)</f>
        <v/>
      </c>
      <c r="N77" s="67" t="str">
        <f aca="false">IF($A77="","",$E77*F$8)</f>
        <v/>
      </c>
      <c r="O77" s="67" t="str">
        <f aca="false">IF($A77="","",$E77*G$8)</f>
        <v/>
      </c>
      <c r="P77" s="74" t="str">
        <f aca="false">IF($A77="","",SUMIFS(Del_Qty,Del_Site,$A77,Del_Mat,$B77,Del_Date,"&gt;="&amp;B$6,Del_Date,"&lt;="&amp;B$7))</f>
        <v/>
      </c>
      <c r="Q77" s="74" t="str">
        <f aca="false">IF($A77="","",SUMIFS(Del_Qty,Del_Site,$A77,Del_Mat,$B77,Del_Date,"&gt;="&amp;C$6,Del_Date,"&lt;="&amp;C$7))</f>
        <v/>
      </c>
      <c r="R77" s="74" t="str">
        <f aca="false">IF($A77="","",SUMIFS(Del_Qty,Del_Site,$A77,Del_Mat,$B77,Del_Date,"&gt;="&amp;D$6,Del_Date,"&lt;="&amp;D$7))</f>
        <v/>
      </c>
      <c r="S77" s="74" t="str">
        <f aca="false">IF($A77="","",SUMIFS(Del_Qty,Del_Site,$A77,Del_Mat,$B77,Del_Date,"&gt;="&amp;E$6,Del_Date,"&lt;="&amp;E$7))</f>
        <v/>
      </c>
      <c r="T77" s="74" t="str">
        <f aca="false">IF($A77="","",SUMIFS(Del_Qty,Del_Site,$A77,Del_Mat,$B77,Del_Date,"&gt;="&amp;F$6,Del_Date,"&lt;="&amp;F$7))</f>
        <v/>
      </c>
      <c r="U77" s="74" t="str">
        <f aca="false">IF($A77="","",SUMIFS(Del_Qty,Del_Site,$A77,Del_Mat,$B77,Del_Date,"&gt;="&amp;G$6,Del_Date,"&lt;="&amp;G$7))</f>
        <v/>
      </c>
      <c r="V77" s="81" t="str">
        <f aca="false">IF($A77="","",MAX(0,J77+$I77-MAX(0,$H77)-P77))</f>
        <v/>
      </c>
      <c r="W77" s="81" t="str">
        <f aca="false">IF($A77="","",MAX(0,K77+$I77-AB77-Q77))</f>
        <v/>
      </c>
      <c r="X77" s="81" t="str">
        <f aca="false">IF($A77="","",MAX(0,L77+$I77-AC77-R77))</f>
        <v/>
      </c>
      <c r="Y77" s="81" t="str">
        <f aca="false">IF($A77="","",MAX(0,M77+$I77-AD77-S77))</f>
        <v/>
      </c>
      <c r="Z77" s="81" t="str">
        <f aca="false">IF($A77="","",MAX(0,N77+$I77-AE77-T77))</f>
        <v/>
      </c>
      <c r="AA77" s="81" t="str">
        <f aca="false">IF($A77="","",MAX(0,O77+$I77-AF77-U77))</f>
        <v/>
      </c>
      <c r="AB77" s="67" t="str">
        <f aca="false">IF($A77="","",MAX($I77,MAX(0,$H77)+P77-J77))</f>
        <v/>
      </c>
      <c r="AC77" s="67" t="str">
        <f aca="false">IF($A77="","",MAX($I77,AB77+Q77-K77))</f>
        <v/>
      </c>
      <c r="AD77" s="67" t="str">
        <f aca="false">IF($A77="","",MAX($I77,AC77+R77-L77))</f>
        <v/>
      </c>
      <c r="AE77" s="67" t="str">
        <f aca="false">IF($A77="","",MAX($I77,AD77+S77-M77))</f>
        <v/>
      </c>
      <c r="AF77" s="67" t="str">
        <f aca="false">IF($A77="","",MAX($I77,AE77+T77-N77))</f>
        <v/>
      </c>
      <c r="AG77" s="67" t="str">
        <f aca="false">IF($A77="","",MAX($I77,AF77+U77-O77))</f>
        <v/>
      </c>
      <c r="AH77" s="76" t="str">
        <f aca="false">IF($A77="","",IF($H77&lt;=0,"Already out",IF($E77&lt;=0,"No usage",IF(MAX(0,$H77)+SUM($P77:P77)-SUM($J77:J77)&lt;=0,$B$9,IF(MAX(0,$H77)+SUM($P77:Q77)-SUM($J77:K77)&lt;=0,$C$9,IF(MAX(0,$H77)+SUM($P77:R77)-SUM($J77:L77)&lt;=0,$D$9,IF(MAX(0,$H77)+SUM($P77:S77)-SUM($J77:M77)&lt;=0,$E$9,IF(MAX(0,$H77)+SUM($P77:T77)-SUM($J77:N77)&lt;=0,$F$9,IF(MAX(0,$H77)+SUM($P77:U77)-SUM($J77:O77)&lt;=0,$G$9,"Beyond 6 periods")))))))))</f>
        <v/>
      </c>
      <c r="AI77" s="67" t="str">
        <f aca="false">IF($A77="","",SUM(J77:O77))</f>
        <v/>
      </c>
      <c r="AJ77" s="68" t="str">
        <f aca="false">IF($A77="","",SUM(V77:AA77))</f>
        <v/>
      </c>
    </row>
    <row r="78" customFormat="false" ht="15" hidden="false" customHeight="false" outlineLevel="0" collapsed="false">
      <c r="A78" s="16" t="str">
        <f aca="false">IF('Stock Monitor'!$A46="","",'Stock Monitor'!$A46)</f>
        <v/>
      </c>
      <c r="B78" s="64" t="str">
        <f aca="false">IF($A78="","",'Stock Monitor'!$B46)</f>
        <v/>
      </c>
      <c r="C78" s="16" t="str">
        <f aca="false">IF($A78="","",'Stock Monitor'!$C46)</f>
        <v/>
      </c>
      <c r="D78" s="64" t="str">
        <f aca="false">IF($A78="","",'Stock Monitor'!$D46)</f>
        <v/>
      </c>
      <c r="E78" s="67" t="str">
        <f aca="false">IF($A78="","",'Stock Monitor'!$J46)</f>
        <v/>
      </c>
      <c r="F78" s="67" t="str">
        <f aca="false">IF($A78="","",$E78*WorkDaysWeek)</f>
        <v/>
      </c>
      <c r="G78" s="67" t="str">
        <f aca="false">IF($A78="","",$E78*WorkDaysMonth)</f>
        <v/>
      </c>
      <c r="H78" s="68" t="str">
        <f aca="false">IF($A78="","",'Stock Monitor'!$E46)</f>
        <v/>
      </c>
      <c r="I78" s="67" t="str">
        <f aca="false">IF($A78="","",'Stock Monitor'!$T46)</f>
        <v/>
      </c>
      <c r="J78" s="67" t="str">
        <f aca="false">IF($A78="","",$E78*B$8)</f>
        <v/>
      </c>
      <c r="K78" s="67" t="str">
        <f aca="false">IF($A78="","",$E78*C$8)</f>
        <v/>
      </c>
      <c r="L78" s="67" t="str">
        <f aca="false">IF($A78="","",$E78*D$8)</f>
        <v/>
      </c>
      <c r="M78" s="67" t="str">
        <f aca="false">IF($A78="","",$E78*E$8)</f>
        <v/>
      </c>
      <c r="N78" s="67" t="str">
        <f aca="false">IF($A78="","",$E78*F$8)</f>
        <v/>
      </c>
      <c r="O78" s="67" t="str">
        <f aca="false">IF($A78="","",$E78*G$8)</f>
        <v/>
      </c>
      <c r="P78" s="74" t="str">
        <f aca="false">IF($A78="","",SUMIFS(Del_Qty,Del_Site,$A78,Del_Mat,$B78,Del_Date,"&gt;="&amp;B$6,Del_Date,"&lt;="&amp;B$7))</f>
        <v/>
      </c>
      <c r="Q78" s="74" t="str">
        <f aca="false">IF($A78="","",SUMIFS(Del_Qty,Del_Site,$A78,Del_Mat,$B78,Del_Date,"&gt;="&amp;C$6,Del_Date,"&lt;="&amp;C$7))</f>
        <v/>
      </c>
      <c r="R78" s="74" t="str">
        <f aca="false">IF($A78="","",SUMIFS(Del_Qty,Del_Site,$A78,Del_Mat,$B78,Del_Date,"&gt;="&amp;D$6,Del_Date,"&lt;="&amp;D$7))</f>
        <v/>
      </c>
      <c r="S78" s="74" t="str">
        <f aca="false">IF($A78="","",SUMIFS(Del_Qty,Del_Site,$A78,Del_Mat,$B78,Del_Date,"&gt;="&amp;E$6,Del_Date,"&lt;="&amp;E$7))</f>
        <v/>
      </c>
      <c r="T78" s="74" t="str">
        <f aca="false">IF($A78="","",SUMIFS(Del_Qty,Del_Site,$A78,Del_Mat,$B78,Del_Date,"&gt;="&amp;F$6,Del_Date,"&lt;="&amp;F$7))</f>
        <v/>
      </c>
      <c r="U78" s="74" t="str">
        <f aca="false">IF($A78="","",SUMIFS(Del_Qty,Del_Site,$A78,Del_Mat,$B78,Del_Date,"&gt;="&amp;G$6,Del_Date,"&lt;="&amp;G$7))</f>
        <v/>
      </c>
      <c r="V78" s="81" t="str">
        <f aca="false">IF($A78="","",MAX(0,J78+$I78-MAX(0,$H78)-P78))</f>
        <v/>
      </c>
      <c r="W78" s="81" t="str">
        <f aca="false">IF($A78="","",MAX(0,K78+$I78-AB78-Q78))</f>
        <v/>
      </c>
      <c r="X78" s="81" t="str">
        <f aca="false">IF($A78="","",MAX(0,L78+$I78-AC78-R78))</f>
        <v/>
      </c>
      <c r="Y78" s="81" t="str">
        <f aca="false">IF($A78="","",MAX(0,M78+$I78-AD78-S78))</f>
        <v/>
      </c>
      <c r="Z78" s="81" t="str">
        <f aca="false">IF($A78="","",MAX(0,N78+$I78-AE78-T78))</f>
        <v/>
      </c>
      <c r="AA78" s="81" t="str">
        <f aca="false">IF($A78="","",MAX(0,O78+$I78-AF78-U78))</f>
        <v/>
      </c>
      <c r="AB78" s="67" t="str">
        <f aca="false">IF($A78="","",MAX($I78,MAX(0,$H78)+P78-J78))</f>
        <v/>
      </c>
      <c r="AC78" s="67" t="str">
        <f aca="false">IF($A78="","",MAX($I78,AB78+Q78-K78))</f>
        <v/>
      </c>
      <c r="AD78" s="67" t="str">
        <f aca="false">IF($A78="","",MAX($I78,AC78+R78-L78))</f>
        <v/>
      </c>
      <c r="AE78" s="67" t="str">
        <f aca="false">IF($A78="","",MAX($I78,AD78+S78-M78))</f>
        <v/>
      </c>
      <c r="AF78" s="67" t="str">
        <f aca="false">IF($A78="","",MAX($I78,AE78+T78-N78))</f>
        <v/>
      </c>
      <c r="AG78" s="67" t="str">
        <f aca="false">IF($A78="","",MAX($I78,AF78+U78-O78))</f>
        <v/>
      </c>
      <c r="AH78" s="76" t="str">
        <f aca="false">IF($A78="","",IF($H78&lt;=0,"Already out",IF($E78&lt;=0,"No usage",IF(MAX(0,$H78)+SUM($P78:P78)-SUM($J78:J78)&lt;=0,$B$9,IF(MAX(0,$H78)+SUM($P78:Q78)-SUM($J78:K78)&lt;=0,$C$9,IF(MAX(0,$H78)+SUM($P78:R78)-SUM($J78:L78)&lt;=0,$D$9,IF(MAX(0,$H78)+SUM($P78:S78)-SUM($J78:M78)&lt;=0,$E$9,IF(MAX(0,$H78)+SUM($P78:T78)-SUM($J78:N78)&lt;=0,$F$9,IF(MAX(0,$H78)+SUM($P78:U78)-SUM($J78:O78)&lt;=0,$G$9,"Beyond 6 periods")))))))))</f>
        <v/>
      </c>
      <c r="AI78" s="67" t="str">
        <f aca="false">IF($A78="","",SUM(J78:O78))</f>
        <v/>
      </c>
      <c r="AJ78" s="68" t="str">
        <f aca="false">IF($A78="","",SUM(V78:AA78))</f>
        <v/>
      </c>
    </row>
    <row r="79" customFormat="false" ht="15" hidden="false" customHeight="false" outlineLevel="0" collapsed="false">
      <c r="A79" s="16" t="str">
        <f aca="false">IF('Stock Monitor'!$A47="","",'Stock Monitor'!$A47)</f>
        <v/>
      </c>
      <c r="B79" s="64" t="str">
        <f aca="false">IF($A79="","",'Stock Monitor'!$B47)</f>
        <v/>
      </c>
      <c r="C79" s="16" t="str">
        <f aca="false">IF($A79="","",'Stock Monitor'!$C47)</f>
        <v/>
      </c>
      <c r="D79" s="64" t="str">
        <f aca="false">IF($A79="","",'Stock Monitor'!$D47)</f>
        <v/>
      </c>
      <c r="E79" s="67" t="str">
        <f aca="false">IF($A79="","",'Stock Monitor'!$J47)</f>
        <v/>
      </c>
      <c r="F79" s="67" t="str">
        <f aca="false">IF($A79="","",$E79*WorkDaysWeek)</f>
        <v/>
      </c>
      <c r="G79" s="67" t="str">
        <f aca="false">IF($A79="","",$E79*WorkDaysMonth)</f>
        <v/>
      </c>
      <c r="H79" s="68" t="str">
        <f aca="false">IF($A79="","",'Stock Monitor'!$E47)</f>
        <v/>
      </c>
      <c r="I79" s="67" t="str">
        <f aca="false">IF($A79="","",'Stock Monitor'!$T47)</f>
        <v/>
      </c>
      <c r="J79" s="67" t="str">
        <f aca="false">IF($A79="","",$E79*B$8)</f>
        <v/>
      </c>
      <c r="K79" s="67" t="str">
        <f aca="false">IF($A79="","",$E79*C$8)</f>
        <v/>
      </c>
      <c r="L79" s="67" t="str">
        <f aca="false">IF($A79="","",$E79*D$8)</f>
        <v/>
      </c>
      <c r="M79" s="67" t="str">
        <f aca="false">IF($A79="","",$E79*E$8)</f>
        <v/>
      </c>
      <c r="N79" s="67" t="str">
        <f aca="false">IF($A79="","",$E79*F$8)</f>
        <v/>
      </c>
      <c r="O79" s="67" t="str">
        <f aca="false">IF($A79="","",$E79*G$8)</f>
        <v/>
      </c>
      <c r="P79" s="74" t="str">
        <f aca="false">IF($A79="","",SUMIFS(Del_Qty,Del_Site,$A79,Del_Mat,$B79,Del_Date,"&gt;="&amp;B$6,Del_Date,"&lt;="&amp;B$7))</f>
        <v/>
      </c>
      <c r="Q79" s="74" t="str">
        <f aca="false">IF($A79="","",SUMIFS(Del_Qty,Del_Site,$A79,Del_Mat,$B79,Del_Date,"&gt;="&amp;C$6,Del_Date,"&lt;="&amp;C$7))</f>
        <v/>
      </c>
      <c r="R79" s="74" t="str">
        <f aca="false">IF($A79="","",SUMIFS(Del_Qty,Del_Site,$A79,Del_Mat,$B79,Del_Date,"&gt;="&amp;D$6,Del_Date,"&lt;="&amp;D$7))</f>
        <v/>
      </c>
      <c r="S79" s="74" t="str">
        <f aca="false">IF($A79="","",SUMIFS(Del_Qty,Del_Site,$A79,Del_Mat,$B79,Del_Date,"&gt;="&amp;E$6,Del_Date,"&lt;="&amp;E$7))</f>
        <v/>
      </c>
      <c r="T79" s="74" t="str">
        <f aca="false">IF($A79="","",SUMIFS(Del_Qty,Del_Site,$A79,Del_Mat,$B79,Del_Date,"&gt;="&amp;F$6,Del_Date,"&lt;="&amp;F$7))</f>
        <v/>
      </c>
      <c r="U79" s="74" t="str">
        <f aca="false">IF($A79="","",SUMIFS(Del_Qty,Del_Site,$A79,Del_Mat,$B79,Del_Date,"&gt;="&amp;G$6,Del_Date,"&lt;="&amp;G$7))</f>
        <v/>
      </c>
      <c r="V79" s="81" t="str">
        <f aca="false">IF($A79="","",MAX(0,J79+$I79-MAX(0,$H79)-P79))</f>
        <v/>
      </c>
      <c r="W79" s="81" t="str">
        <f aca="false">IF($A79="","",MAX(0,K79+$I79-AB79-Q79))</f>
        <v/>
      </c>
      <c r="X79" s="81" t="str">
        <f aca="false">IF($A79="","",MAX(0,L79+$I79-AC79-R79))</f>
        <v/>
      </c>
      <c r="Y79" s="81" t="str">
        <f aca="false">IF($A79="","",MAX(0,M79+$I79-AD79-S79))</f>
        <v/>
      </c>
      <c r="Z79" s="81" t="str">
        <f aca="false">IF($A79="","",MAX(0,N79+$I79-AE79-T79))</f>
        <v/>
      </c>
      <c r="AA79" s="81" t="str">
        <f aca="false">IF($A79="","",MAX(0,O79+$I79-AF79-U79))</f>
        <v/>
      </c>
      <c r="AB79" s="67" t="str">
        <f aca="false">IF($A79="","",MAX($I79,MAX(0,$H79)+P79-J79))</f>
        <v/>
      </c>
      <c r="AC79" s="67" t="str">
        <f aca="false">IF($A79="","",MAX($I79,AB79+Q79-K79))</f>
        <v/>
      </c>
      <c r="AD79" s="67" t="str">
        <f aca="false">IF($A79="","",MAX($I79,AC79+R79-L79))</f>
        <v/>
      </c>
      <c r="AE79" s="67" t="str">
        <f aca="false">IF($A79="","",MAX($I79,AD79+S79-M79))</f>
        <v/>
      </c>
      <c r="AF79" s="67" t="str">
        <f aca="false">IF($A79="","",MAX($I79,AE79+T79-N79))</f>
        <v/>
      </c>
      <c r="AG79" s="67" t="str">
        <f aca="false">IF($A79="","",MAX($I79,AF79+U79-O79))</f>
        <v/>
      </c>
      <c r="AH79" s="76" t="str">
        <f aca="false">IF($A79="","",IF($H79&lt;=0,"Already out",IF($E79&lt;=0,"No usage",IF(MAX(0,$H79)+SUM($P79:P79)-SUM($J79:J79)&lt;=0,$B$9,IF(MAX(0,$H79)+SUM($P79:Q79)-SUM($J79:K79)&lt;=0,$C$9,IF(MAX(0,$H79)+SUM($P79:R79)-SUM($J79:L79)&lt;=0,$D$9,IF(MAX(0,$H79)+SUM($P79:S79)-SUM($J79:M79)&lt;=0,$E$9,IF(MAX(0,$H79)+SUM($P79:T79)-SUM($J79:N79)&lt;=0,$F$9,IF(MAX(0,$H79)+SUM($P79:U79)-SUM($J79:O79)&lt;=0,$G$9,"Beyond 6 periods")))))))))</f>
        <v/>
      </c>
      <c r="AI79" s="67" t="str">
        <f aca="false">IF($A79="","",SUM(J79:O79))</f>
        <v/>
      </c>
      <c r="AJ79" s="68" t="str">
        <f aca="false">IF($A79="","",SUM(V79:AA79))</f>
        <v/>
      </c>
    </row>
    <row r="80" customFormat="false" ht="15" hidden="false" customHeight="false" outlineLevel="0" collapsed="false">
      <c r="A80" s="16" t="str">
        <f aca="false">IF('Stock Monitor'!$A48="","",'Stock Monitor'!$A48)</f>
        <v/>
      </c>
      <c r="B80" s="64" t="str">
        <f aca="false">IF($A80="","",'Stock Monitor'!$B48)</f>
        <v/>
      </c>
      <c r="C80" s="16" t="str">
        <f aca="false">IF($A80="","",'Stock Monitor'!$C48)</f>
        <v/>
      </c>
      <c r="D80" s="64" t="str">
        <f aca="false">IF($A80="","",'Stock Monitor'!$D48)</f>
        <v/>
      </c>
      <c r="E80" s="67" t="str">
        <f aca="false">IF($A80="","",'Stock Monitor'!$J48)</f>
        <v/>
      </c>
      <c r="F80" s="67" t="str">
        <f aca="false">IF($A80="","",$E80*WorkDaysWeek)</f>
        <v/>
      </c>
      <c r="G80" s="67" t="str">
        <f aca="false">IF($A80="","",$E80*WorkDaysMonth)</f>
        <v/>
      </c>
      <c r="H80" s="68" t="str">
        <f aca="false">IF($A80="","",'Stock Monitor'!$E48)</f>
        <v/>
      </c>
      <c r="I80" s="67" t="str">
        <f aca="false">IF($A80="","",'Stock Monitor'!$T48)</f>
        <v/>
      </c>
      <c r="J80" s="67" t="str">
        <f aca="false">IF($A80="","",$E80*B$8)</f>
        <v/>
      </c>
      <c r="K80" s="67" t="str">
        <f aca="false">IF($A80="","",$E80*C$8)</f>
        <v/>
      </c>
      <c r="L80" s="67" t="str">
        <f aca="false">IF($A80="","",$E80*D$8)</f>
        <v/>
      </c>
      <c r="M80" s="67" t="str">
        <f aca="false">IF($A80="","",$E80*E$8)</f>
        <v/>
      </c>
      <c r="N80" s="67" t="str">
        <f aca="false">IF($A80="","",$E80*F$8)</f>
        <v/>
      </c>
      <c r="O80" s="67" t="str">
        <f aca="false">IF($A80="","",$E80*G$8)</f>
        <v/>
      </c>
      <c r="P80" s="74" t="str">
        <f aca="false">IF($A80="","",SUMIFS(Del_Qty,Del_Site,$A80,Del_Mat,$B80,Del_Date,"&gt;="&amp;B$6,Del_Date,"&lt;="&amp;B$7))</f>
        <v/>
      </c>
      <c r="Q80" s="74" t="str">
        <f aca="false">IF($A80="","",SUMIFS(Del_Qty,Del_Site,$A80,Del_Mat,$B80,Del_Date,"&gt;="&amp;C$6,Del_Date,"&lt;="&amp;C$7))</f>
        <v/>
      </c>
      <c r="R80" s="74" t="str">
        <f aca="false">IF($A80="","",SUMIFS(Del_Qty,Del_Site,$A80,Del_Mat,$B80,Del_Date,"&gt;="&amp;D$6,Del_Date,"&lt;="&amp;D$7))</f>
        <v/>
      </c>
      <c r="S80" s="74" t="str">
        <f aca="false">IF($A80="","",SUMIFS(Del_Qty,Del_Site,$A80,Del_Mat,$B80,Del_Date,"&gt;="&amp;E$6,Del_Date,"&lt;="&amp;E$7))</f>
        <v/>
      </c>
      <c r="T80" s="74" t="str">
        <f aca="false">IF($A80="","",SUMIFS(Del_Qty,Del_Site,$A80,Del_Mat,$B80,Del_Date,"&gt;="&amp;F$6,Del_Date,"&lt;="&amp;F$7))</f>
        <v/>
      </c>
      <c r="U80" s="74" t="str">
        <f aca="false">IF($A80="","",SUMIFS(Del_Qty,Del_Site,$A80,Del_Mat,$B80,Del_Date,"&gt;="&amp;G$6,Del_Date,"&lt;="&amp;G$7))</f>
        <v/>
      </c>
      <c r="V80" s="81" t="str">
        <f aca="false">IF($A80="","",MAX(0,J80+$I80-MAX(0,$H80)-P80))</f>
        <v/>
      </c>
      <c r="W80" s="81" t="str">
        <f aca="false">IF($A80="","",MAX(0,K80+$I80-AB80-Q80))</f>
        <v/>
      </c>
      <c r="X80" s="81" t="str">
        <f aca="false">IF($A80="","",MAX(0,L80+$I80-AC80-R80))</f>
        <v/>
      </c>
      <c r="Y80" s="81" t="str">
        <f aca="false">IF($A80="","",MAX(0,M80+$I80-AD80-S80))</f>
        <v/>
      </c>
      <c r="Z80" s="81" t="str">
        <f aca="false">IF($A80="","",MAX(0,N80+$I80-AE80-T80))</f>
        <v/>
      </c>
      <c r="AA80" s="81" t="str">
        <f aca="false">IF($A80="","",MAX(0,O80+$I80-AF80-U80))</f>
        <v/>
      </c>
      <c r="AB80" s="67" t="str">
        <f aca="false">IF($A80="","",MAX($I80,MAX(0,$H80)+P80-J80))</f>
        <v/>
      </c>
      <c r="AC80" s="67" t="str">
        <f aca="false">IF($A80="","",MAX($I80,AB80+Q80-K80))</f>
        <v/>
      </c>
      <c r="AD80" s="67" t="str">
        <f aca="false">IF($A80="","",MAX($I80,AC80+R80-L80))</f>
        <v/>
      </c>
      <c r="AE80" s="67" t="str">
        <f aca="false">IF($A80="","",MAX($I80,AD80+S80-M80))</f>
        <v/>
      </c>
      <c r="AF80" s="67" t="str">
        <f aca="false">IF($A80="","",MAX($I80,AE80+T80-N80))</f>
        <v/>
      </c>
      <c r="AG80" s="67" t="str">
        <f aca="false">IF($A80="","",MAX($I80,AF80+U80-O80))</f>
        <v/>
      </c>
      <c r="AH80" s="76" t="str">
        <f aca="false">IF($A80="","",IF($H80&lt;=0,"Already out",IF($E80&lt;=0,"No usage",IF(MAX(0,$H80)+SUM($P80:P80)-SUM($J80:J80)&lt;=0,$B$9,IF(MAX(0,$H80)+SUM($P80:Q80)-SUM($J80:K80)&lt;=0,$C$9,IF(MAX(0,$H80)+SUM($P80:R80)-SUM($J80:L80)&lt;=0,$D$9,IF(MAX(0,$H80)+SUM($P80:S80)-SUM($J80:M80)&lt;=0,$E$9,IF(MAX(0,$H80)+SUM($P80:T80)-SUM($J80:N80)&lt;=0,$F$9,IF(MAX(0,$H80)+SUM($P80:U80)-SUM($J80:O80)&lt;=0,$G$9,"Beyond 6 periods")))))))))</f>
        <v/>
      </c>
      <c r="AI80" s="67" t="str">
        <f aca="false">IF($A80="","",SUM(J80:O80))</f>
        <v/>
      </c>
      <c r="AJ80" s="68" t="str">
        <f aca="false">IF($A80="","",SUM(V80:AA80))</f>
        <v/>
      </c>
    </row>
    <row r="81" customFormat="false" ht="15" hidden="false" customHeight="false" outlineLevel="0" collapsed="false">
      <c r="A81" s="16" t="str">
        <f aca="false">IF('Stock Monitor'!$A49="","",'Stock Monitor'!$A49)</f>
        <v/>
      </c>
      <c r="B81" s="64" t="str">
        <f aca="false">IF($A81="","",'Stock Monitor'!$B49)</f>
        <v/>
      </c>
      <c r="C81" s="16" t="str">
        <f aca="false">IF($A81="","",'Stock Monitor'!$C49)</f>
        <v/>
      </c>
      <c r="D81" s="64" t="str">
        <f aca="false">IF($A81="","",'Stock Monitor'!$D49)</f>
        <v/>
      </c>
      <c r="E81" s="67" t="str">
        <f aca="false">IF($A81="","",'Stock Monitor'!$J49)</f>
        <v/>
      </c>
      <c r="F81" s="67" t="str">
        <f aca="false">IF($A81="","",$E81*WorkDaysWeek)</f>
        <v/>
      </c>
      <c r="G81" s="67" t="str">
        <f aca="false">IF($A81="","",$E81*WorkDaysMonth)</f>
        <v/>
      </c>
      <c r="H81" s="68" t="str">
        <f aca="false">IF($A81="","",'Stock Monitor'!$E49)</f>
        <v/>
      </c>
      <c r="I81" s="67" t="str">
        <f aca="false">IF($A81="","",'Stock Monitor'!$T49)</f>
        <v/>
      </c>
      <c r="J81" s="67" t="str">
        <f aca="false">IF($A81="","",$E81*B$8)</f>
        <v/>
      </c>
      <c r="K81" s="67" t="str">
        <f aca="false">IF($A81="","",$E81*C$8)</f>
        <v/>
      </c>
      <c r="L81" s="67" t="str">
        <f aca="false">IF($A81="","",$E81*D$8)</f>
        <v/>
      </c>
      <c r="M81" s="67" t="str">
        <f aca="false">IF($A81="","",$E81*E$8)</f>
        <v/>
      </c>
      <c r="N81" s="67" t="str">
        <f aca="false">IF($A81="","",$E81*F$8)</f>
        <v/>
      </c>
      <c r="O81" s="67" t="str">
        <f aca="false">IF($A81="","",$E81*G$8)</f>
        <v/>
      </c>
      <c r="P81" s="74" t="str">
        <f aca="false">IF($A81="","",SUMIFS(Del_Qty,Del_Site,$A81,Del_Mat,$B81,Del_Date,"&gt;="&amp;B$6,Del_Date,"&lt;="&amp;B$7))</f>
        <v/>
      </c>
      <c r="Q81" s="74" t="str">
        <f aca="false">IF($A81="","",SUMIFS(Del_Qty,Del_Site,$A81,Del_Mat,$B81,Del_Date,"&gt;="&amp;C$6,Del_Date,"&lt;="&amp;C$7))</f>
        <v/>
      </c>
      <c r="R81" s="74" t="str">
        <f aca="false">IF($A81="","",SUMIFS(Del_Qty,Del_Site,$A81,Del_Mat,$B81,Del_Date,"&gt;="&amp;D$6,Del_Date,"&lt;="&amp;D$7))</f>
        <v/>
      </c>
      <c r="S81" s="74" t="str">
        <f aca="false">IF($A81="","",SUMIFS(Del_Qty,Del_Site,$A81,Del_Mat,$B81,Del_Date,"&gt;="&amp;E$6,Del_Date,"&lt;="&amp;E$7))</f>
        <v/>
      </c>
      <c r="T81" s="74" t="str">
        <f aca="false">IF($A81="","",SUMIFS(Del_Qty,Del_Site,$A81,Del_Mat,$B81,Del_Date,"&gt;="&amp;F$6,Del_Date,"&lt;="&amp;F$7))</f>
        <v/>
      </c>
      <c r="U81" s="74" t="str">
        <f aca="false">IF($A81="","",SUMIFS(Del_Qty,Del_Site,$A81,Del_Mat,$B81,Del_Date,"&gt;="&amp;G$6,Del_Date,"&lt;="&amp;G$7))</f>
        <v/>
      </c>
      <c r="V81" s="81" t="str">
        <f aca="false">IF($A81="","",MAX(0,J81+$I81-MAX(0,$H81)-P81))</f>
        <v/>
      </c>
      <c r="W81" s="81" t="str">
        <f aca="false">IF($A81="","",MAX(0,K81+$I81-AB81-Q81))</f>
        <v/>
      </c>
      <c r="X81" s="81" t="str">
        <f aca="false">IF($A81="","",MAX(0,L81+$I81-AC81-R81))</f>
        <v/>
      </c>
      <c r="Y81" s="81" t="str">
        <f aca="false">IF($A81="","",MAX(0,M81+$I81-AD81-S81))</f>
        <v/>
      </c>
      <c r="Z81" s="81" t="str">
        <f aca="false">IF($A81="","",MAX(0,N81+$I81-AE81-T81))</f>
        <v/>
      </c>
      <c r="AA81" s="81" t="str">
        <f aca="false">IF($A81="","",MAX(0,O81+$I81-AF81-U81))</f>
        <v/>
      </c>
      <c r="AB81" s="67" t="str">
        <f aca="false">IF($A81="","",MAX($I81,MAX(0,$H81)+P81-J81))</f>
        <v/>
      </c>
      <c r="AC81" s="67" t="str">
        <f aca="false">IF($A81="","",MAX($I81,AB81+Q81-K81))</f>
        <v/>
      </c>
      <c r="AD81" s="67" t="str">
        <f aca="false">IF($A81="","",MAX($I81,AC81+R81-L81))</f>
        <v/>
      </c>
      <c r="AE81" s="67" t="str">
        <f aca="false">IF($A81="","",MAX($I81,AD81+S81-M81))</f>
        <v/>
      </c>
      <c r="AF81" s="67" t="str">
        <f aca="false">IF($A81="","",MAX($I81,AE81+T81-N81))</f>
        <v/>
      </c>
      <c r="AG81" s="67" t="str">
        <f aca="false">IF($A81="","",MAX($I81,AF81+U81-O81))</f>
        <v/>
      </c>
      <c r="AH81" s="76" t="str">
        <f aca="false">IF($A81="","",IF($H81&lt;=0,"Already out",IF($E81&lt;=0,"No usage",IF(MAX(0,$H81)+SUM($P81:P81)-SUM($J81:J81)&lt;=0,$B$9,IF(MAX(0,$H81)+SUM($P81:Q81)-SUM($J81:K81)&lt;=0,$C$9,IF(MAX(0,$H81)+SUM($P81:R81)-SUM($J81:L81)&lt;=0,$D$9,IF(MAX(0,$H81)+SUM($P81:S81)-SUM($J81:M81)&lt;=0,$E$9,IF(MAX(0,$H81)+SUM($P81:T81)-SUM($J81:N81)&lt;=0,$F$9,IF(MAX(0,$H81)+SUM($P81:U81)-SUM($J81:O81)&lt;=0,$G$9,"Beyond 6 periods")))))))))</f>
        <v/>
      </c>
      <c r="AI81" s="67" t="str">
        <f aca="false">IF($A81="","",SUM(J81:O81))</f>
        <v/>
      </c>
      <c r="AJ81" s="68" t="str">
        <f aca="false">IF($A81="","",SUM(V81:AA81))</f>
        <v/>
      </c>
    </row>
    <row r="82" customFormat="false" ht="15" hidden="false" customHeight="false" outlineLevel="0" collapsed="false">
      <c r="A82" s="16" t="str">
        <f aca="false">IF('Stock Monitor'!$A50="","",'Stock Monitor'!$A50)</f>
        <v/>
      </c>
      <c r="B82" s="64" t="str">
        <f aca="false">IF($A82="","",'Stock Monitor'!$B50)</f>
        <v/>
      </c>
      <c r="C82" s="16" t="str">
        <f aca="false">IF($A82="","",'Stock Monitor'!$C50)</f>
        <v/>
      </c>
      <c r="D82" s="64" t="str">
        <f aca="false">IF($A82="","",'Stock Monitor'!$D50)</f>
        <v/>
      </c>
      <c r="E82" s="67" t="str">
        <f aca="false">IF($A82="","",'Stock Monitor'!$J50)</f>
        <v/>
      </c>
      <c r="F82" s="67" t="str">
        <f aca="false">IF($A82="","",$E82*WorkDaysWeek)</f>
        <v/>
      </c>
      <c r="G82" s="67" t="str">
        <f aca="false">IF($A82="","",$E82*WorkDaysMonth)</f>
        <v/>
      </c>
      <c r="H82" s="68" t="str">
        <f aca="false">IF($A82="","",'Stock Monitor'!$E50)</f>
        <v/>
      </c>
      <c r="I82" s="67" t="str">
        <f aca="false">IF($A82="","",'Stock Monitor'!$T50)</f>
        <v/>
      </c>
      <c r="J82" s="67" t="str">
        <f aca="false">IF($A82="","",$E82*B$8)</f>
        <v/>
      </c>
      <c r="K82" s="67" t="str">
        <f aca="false">IF($A82="","",$E82*C$8)</f>
        <v/>
      </c>
      <c r="L82" s="67" t="str">
        <f aca="false">IF($A82="","",$E82*D$8)</f>
        <v/>
      </c>
      <c r="M82" s="67" t="str">
        <f aca="false">IF($A82="","",$E82*E$8)</f>
        <v/>
      </c>
      <c r="N82" s="67" t="str">
        <f aca="false">IF($A82="","",$E82*F$8)</f>
        <v/>
      </c>
      <c r="O82" s="67" t="str">
        <f aca="false">IF($A82="","",$E82*G$8)</f>
        <v/>
      </c>
      <c r="P82" s="74" t="str">
        <f aca="false">IF($A82="","",SUMIFS(Del_Qty,Del_Site,$A82,Del_Mat,$B82,Del_Date,"&gt;="&amp;B$6,Del_Date,"&lt;="&amp;B$7))</f>
        <v/>
      </c>
      <c r="Q82" s="74" t="str">
        <f aca="false">IF($A82="","",SUMIFS(Del_Qty,Del_Site,$A82,Del_Mat,$B82,Del_Date,"&gt;="&amp;C$6,Del_Date,"&lt;="&amp;C$7))</f>
        <v/>
      </c>
      <c r="R82" s="74" t="str">
        <f aca="false">IF($A82="","",SUMIFS(Del_Qty,Del_Site,$A82,Del_Mat,$B82,Del_Date,"&gt;="&amp;D$6,Del_Date,"&lt;="&amp;D$7))</f>
        <v/>
      </c>
      <c r="S82" s="74" t="str">
        <f aca="false">IF($A82="","",SUMIFS(Del_Qty,Del_Site,$A82,Del_Mat,$B82,Del_Date,"&gt;="&amp;E$6,Del_Date,"&lt;="&amp;E$7))</f>
        <v/>
      </c>
      <c r="T82" s="74" t="str">
        <f aca="false">IF($A82="","",SUMIFS(Del_Qty,Del_Site,$A82,Del_Mat,$B82,Del_Date,"&gt;="&amp;F$6,Del_Date,"&lt;="&amp;F$7))</f>
        <v/>
      </c>
      <c r="U82" s="74" t="str">
        <f aca="false">IF($A82="","",SUMIFS(Del_Qty,Del_Site,$A82,Del_Mat,$B82,Del_Date,"&gt;="&amp;G$6,Del_Date,"&lt;="&amp;G$7))</f>
        <v/>
      </c>
      <c r="V82" s="81" t="str">
        <f aca="false">IF($A82="","",MAX(0,J82+$I82-MAX(0,$H82)-P82))</f>
        <v/>
      </c>
      <c r="W82" s="81" t="str">
        <f aca="false">IF($A82="","",MAX(0,K82+$I82-AB82-Q82))</f>
        <v/>
      </c>
      <c r="X82" s="81" t="str">
        <f aca="false">IF($A82="","",MAX(0,L82+$I82-AC82-R82))</f>
        <v/>
      </c>
      <c r="Y82" s="81" t="str">
        <f aca="false">IF($A82="","",MAX(0,M82+$I82-AD82-S82))</f>
        <v/>
      </c>
      <c r="Z82" s="81" t="str">
        <f aca="false">IF($A82="","",MAX(0,N82+$I82-AE82-T82))</f>
        <v/>
      </c>
      <c r="AA82" s="81" t="str">
        <f aca="false">IF($A82="","",MAX(0,O82+$I82-AF82-U82))</f>
        <v/>
      </c>
      <c r="AB82" s="67" t="str">
        <f aca="false">IF($A82="","",MAX($I82,MAX(0,$H82)+P82-J82))</f>
        <v/>
      </c>
      <c r="AC82" s="67" t="str">
        <f aca="false">IF($A82="","",MAX($I82,AB82+Q82-K82))</f>
        <v/>
      </c>
      <c r="AD82" s="67" t="str">
        <f aca="false">IF($A82="","",MAX($I82,AC82+R82-L82))</f>
        <v/>
      </c>
      <c r="AE82" s="67" t="str">
        <f aca="false">IF($A82="","",MAX($I82,AD82+S82-M82))</f>
        <v/>
      </c>
      <c r="AF82" s="67" t="str">
        <f aca="false">IF($A82="","",MAX($I82,AE82+T82-N82))</f>
        <v/>
      </c>
      <c r="AG82" s="67" t="str">
        <f aca="false">IF($A82="","",MAX($I82,AF82+U82-O82))</f>
        <v/>
      </c>
      <c r="AH82" s="76" t="str">
        <f aca="false">IF($A82="","",IF($H82&lt;=0,"Already out",IF($E82&lt;=0,"No usage",IF(MAX(0,$H82)+SUM($P82:P82)-SUM($J82:J82)&lt;=0,$B$9,IF(MAX(0,$H82)+SUM($P82:Q82)-SUM($J82:K82)&lt;=0,$C$9,IF(MAX(0,$H82)+SUM($P82:R82)-SUM($J82:L82)&lt;=0,$D$9,IF(MAX(0,$H82)+SUM($P82:S82)-SUM($J82:M82)&lt;=0,$E$9,IF(MAX(0,$H82)+SUM($P82:T82)-SUM($J82:N82)&lt;=0,$F$9,IF(MAX(0,$H82)+SUM($P82:U82)-SUM($J82:O82)&lt;=0,$G$9,"Beyond 6 periods")))))))))</f>
        <v/>
      </c>
      <c r="AI82" s="67" t="str">
        <f aca="false">IF($A82="","",SUM(J82:O82))</f>
        <v/>
      </c>
      <c r="AJ82" s="68" t="str">
        <f aca="false">IF($A82="","",SUM(V82:AA82))</f>
        <v/>
      </c>
    </row>
    <row r="83" customFormat="false" ht="15" hidden="false" customHeight="false" outlineLevel="0" collapsed="false">
      <c r="A83" s="16" t="str">
        <f aca="false">IF('Stock Monitor'!$A51="","",'Stock Monitor'!$A51)</f>
        <v/>
      </c>
      <c r="B83" s="64" t="str">
        <f aca="false">IF($A83="","",'Stock Monitor'!$B51)</f>
        <v/>
      </c>
      <c r="C83" s="16" t="str">
        <f aca="false">IF($A83="","",'Stock Monitor'!$C51)</f>
        <v/>
      </c>
      <c r="D83" s="64" t="str">
        <f aca="false">IF($A83="","",'Stock Monitor'!$D51)</f>
        <v/>
      </c>
      <c r="E83" s="67" t="str">
        <f aca="false">IF($A83="","",'Stock Monitor'!$J51)</f>
        <v/>
      </c>
      <c r="F83" s="67" t="str">
        <f aca="false">IF($A83="","",$E83*WorkDaysWeek)</f>
        <v/>
      </c>
      <c r="G83" s="67" t="str">
        <f aca="false">IF($A83="","",$E83*WorkDaysMonth)</f>
        <v/>
      </c>
      <c r="H83" s="68" t="str">
        <f aca="false">IF($A83="","",'Stock Monitor'!$E51)</f>
        <v/>
      </c>
      <c r="I83" s="67" t="str">
        <f aca="false">IF($A83="","",'Stock Monitor'!$T51)</f>
        <v/>
      </c>
      <c r="J83" s="67" t="str">
        <f aca="false">IF($A83="","",$E83*B$8)</f>
        <v/>
      </c>
      <c r="K83" s="67" t="str">
        <f aca="false">IF($A83="","",$E83*C$8)</f>
        <v/>
      </c>
      <c r="L83" s="67" t="str">
        <f aca="false">IF($A83="","",$E83*D$8)</f>
        <v/>
      </c>
      <c r="M83" s="67" t="str">
        <f aca="false">IF($A83="","",$E83*E$8)</f>
        <v/>
      </c>
      <c r="N83" s="67" t="str">
        <f aca="false">IF($A83="","",$E83*F$8)</f>
        <v/>
      </c>
      <c r="O83" s="67" t="str">
        <f aca="false">IF($A83="","",$E83*G$8)</f>
        <v/>
      </c>
      <c r="P83" s="74" t="str">
        <f aca="false">IF($A83="","",SUMIFS(Del_Qty,Del_Site,$A83,Del_Mat,$B83,Del_Date,"&gt;="&amp;B$6,Del_Date,"&lt;="&amp;B$7))</f>
        <v/>
      </c>
      <c r="Q83" s="74" t="str">
        <f aca="false">IF($A83="","",SUMIFS(Del_Qty,Del_Site,$A83,Del_Mat,$B83,Del_Date,"&gt;="&amp;C$6,Del_Date,"&lt;="&amp;C$7))</f>
        <v/>
      </c>
      <c r="R83" s="74" t="str">
        <f aca="false">IF($A83="","",SUMIFS(Del_Qty,Del_Site,$A83,Del_Mat,$B83,Del_Date,"&gt;="&amp;D$6,Del_Date,"&lt;="&amp;D$7))</f>
        <v/>
      </c>
      <c r="S83" s="74" t="str">
        <f aca="false">IF($A83="","",SUMIFS(Del_Qty,Del_Site,$A83,Del_Mat,$B83,Del_Date,"&gt;="&amp;E$6,Del_Date,"&lt;="&amp;E$7))</f>
        <v/>
      </c>
      <c r="T83" s="74" t="str">
        <f aca="false">IF($A83="","",SUMIFS(Del_Qty,Del_Site,$A83,Del_Mat,$B83,Del_Date,"&gt;="&amp;F$6,Del_Date,"&lt;="&amp;F$7))</f>
        <v/>
      </c>
      <c r="U83" s="74" t="str">
        <f aca="false">IF($A83="","",SUMIFS(Del_Qty,Del_Site,$A83,Del_Mat,$B83,Del_Date,"&gt;="&amp;G$6,Del_Date,"&lt;="&amp;G$7))</f>
        <v/>
      </c>
      <c r="V83" s="81" t="str">
        <f aca="false">IF($A83="","",MAX(0,J83+$I83-MAX(0,$H83)-P83))</f>
        <v/>
      </c>
      <c r="W83" s="81" t="str">
        <f aca="false">IF($A83="","",MAX(0,K83+$I83-AB83-Q83))</f>
        <v/>
      </c>
      <c r="X83" s="81" t="str">
        <f aca="false">IF($A83="","",MAX(0,L83+$I83-AC83-R83))</f>
        <v/>
      </c>
      <c r="Y83" s="81" t="str">
        <f aca="false">IF($A83="","",MAX(0,M83+$I83-AD83-S83))</f>
        <v/>
      </c>
      <c r="Z83" s="81" t="str">
        <f aca="false">IF($A83="","",MAX(0,N83+$I83-AE83-T83))</f>
        <v/>
      </c>
      <c r="AA83" s="81" t="str">
        <f aca="false">IF($A83="","",MAX(0,O83+$I83-AF83-U83))</f>
        <v/>
      </c>
      <c r="AB83" s="67" t="str">
        <f aca="false">IF($A83="","",MAX($I83,MAX(0,$H83)+P83-J83))</f>
        <v/>
      </c>
      <c r="AC83" s="67" t="str">
        <f aca="false">IF($A83="","",MAX($I83,AB83+Q83-K83))</f>
        <v/>
      </c>
      <c r="AD83" s="67" t="str">
        <f aca="false">IF($A83="","",MAX($I83,AC83+R83-L83))</f>
        <v/>
      </c>
      <c r="AE83" s="67" t="str">
        <f aca="false">IF($A83="","",MAX($I83,AD83+S83-M83))</f>
        <v/>
      </c>
      <c r="AF83" s="67" t="str">
        <f aca="false">IF($A83="","",MAX($I83,AE83+T83-N83))</f>
        <v/>
      </c>
      <c r="AG83" s="67" t="str">
        <f aca="false">IF($A83="","",MAX($I83,AF83+U83-O83))</f>
        <v/>
      </c>
      <c r="AH83" s="76" t="str">
        <f aca="false">IF($A83="","",IF($H83&lt;=0,"Already out",IF($E83&lt;=0,"No usage",IF(MAX(0,$H83)+SUM($P83:P83)-SUM($J83:J83)&lt;=0,$B$9,IF(MAX(0,$H83)+SUM($P83:Q83)-SUM($J83:K83)&lt;=0,$C$9,IF(MAX(0,$H83)+SUM($P83:R83)-SUM($J83:L83)&lt;=0,$D$9,IF(MAX(0,$H83)+SUM($P83:S83)-SUM($J83:M83)&lt;=0,$E$9,IF(MAX(0,$H83)+SUM($P83:T83)-SUM($J83:N83)&lt;=0,$F$9,IF(MAX(0,$H83)+SUM($P83:U83)-SUM($J83:O83)&lt;=0,$G$9,"Beyond 6 periods")))))))))</f>
        <v/>
      </c>
      <c r="AI83" s="67" t="str">
        <f aca="false">IF($A83="","",SUM(J83:O83))</f>
        <v/>
      </c>
      <c r="AJ83" s="68" t="str">
        <f aca="false">IF($A83="","",SUM(V83:AA83))</f>
        <v/>
      </c>
    </row>
    <row r="84" customFormat="false" ht="15" hidden="false" customHeight="false" outlineLevel="0" collapsed="false">
      <c r="A84" s="16" t="str">
        <f aca="false">IF('Stock Monitor'!$A52="","",'Stock Monitor'!$A52)</f>
        <v/>
      </c>
      <c r="B84" s="64" t="str">
        <f aca="false">IF($A84="","",'Stock Monitor'!$B52)</f>
        <v/>
      </c>
      <c r="C84" s="16" t="str">
        <f aca="false">IF($A84="","",'Stock Monitor'!$C52)</f>
        <v/>
      </c>
      <c r="D84" s="64" t="str">
        <f aca="false">IF($A84="","",'Stock Monitor'!$D52)</f>
        <v/>
      </c>
      <c r="E84" s="67" t="str">
        <f aca="false">IF($A84="","",'Stock Monitor'!$J52)</f>
        <v/>
      </c>
      <c r="F84" s="67" t="str">
        <f aca="false">IF($A84="","",$E84*WorkDaysWeek)</f>
        <v/>
      </c>
      <c r="G84" s="67" t="str">
        <f aca="false">IF($A84="","",$E84*WorkDaysMonth)</f>
        <v/>
      </c>
      <c r="H84" s="68" t="str">
        <f aca="false">IF($A84="","",'Stock Monitor'!$E52)</f>
        <v/>
      </c>
      <c r="I84" s="67" t="str">
        <f aca="false">IF($A84="","",'Stock Monitor'!$T52)</f>
        <v/>
      </c>
      <c r="J84" s="67" t="str">
        <f aca="false">IF($A84="","",$E84*B$8)</f>
        <v/>
      </c>
      <c r="K84" s="67" t="str">
        <f aca="false">IF($A84="","",$E84*C$8)</f>
        <v/>
      </c>
      <c r="L84" s="67" t="str">
        <f aca="false">IF($A84="","",$E84*D$8)</f>
        <v/>
      </c>
      <c r="M84" s="67" t="str">
        <f aca="false">IF($A84="","",$E84*E$8)</f>
        <v/>
      </c>
      <c r="N84" s="67" t="str">
        <f aca="false">IF($A84="","",$E84*F$8)</f>
        <v/>
      </c>
      <c r="O84" s="67" t="str">
        <f aca="false">IF($A84="","",$E84*G$8)</f>
        <v/>
      </c>
      <c r="P84" s="74" t="str">
        <f aca="false">IF($A84="","",SUMIFS(Del_Qty,Del_Site,$A84,Del_Mat,$B84,Del_Date,"&gt;="&amp;B$6,Del_Date,"&lt;="&amp;B$7))</f>
        <v/>
      </c>
      <c r="Q84" s="74" t="str">
        <f aca="false">IF($A84="","",SUMIFS(Del_Qty,Del_Site,$A84,Del_Mat,$B84,Del_Date,"&gt;="&amp;C$6,Del_Date,"&lt;="&amp;C$7))</f>
        <v/>
      </c>
      <c r="R84" s="74" t="str">
        <f aca="false">IF($A84="","",SUMIFS(Del_Qty,Del_Site,$A84,Del_Mat,$B84,Del_Date,"&gt;="&amp;D$6,Del_Date,"&lt;="&amp;D$7))</f>
        <v/>
      </c>
      <c r="S84" s="74" t="str">
        <f aca="false">IF($A84="","",SUMIFS(Del_Qty,Del_Site,$A84,Del_Mat,$B84,Del_Date,"&gt;="&amp;E$6,Del_Date,"&lt;="&amp;E$7))</f>
        <v/>
      </c>
      <c r="T84" s="74" t="str">
        <f aca="false">IF($A84="","",SUMIFS(Del_Qty,Del_Site,$A84,Del_Mat,$B84,Del_Date,"&gt;="&amp;F$6,Del_Date,"&lt;="&amp;F$7))</f>
        <v/>
      </c>
      <c r="U84" s="74" t="str">
        <f aca="false">IF($A84="","",SUMIFS(Del_Qty,Del_Site,$A84,Del_Mat,$B84,Del_Date,"&gt;="&amp;G$6,Del_Date,"&lt;="&amp;G$7))</f>
        <v/>
      </c>
      <c r="V84" s="81" t="str">
        <f aca="false">IF($A84="","",MAX(0,J84+$I84-MAX(0,$H84)-P84))</f>
        <v/>
      </c>
      <c r="W84" s="81" t="str">
        <f aca="false">IF($A84="","",MAX(0,K84+$I84-AB84-Q84))</f>
        <v/>
      </c>
      <c r="X84" s="81" t="str">
        <f aca="false">IF($A84="","",MAX(0,L84+$I84-AC84-R84))</f>
        <v/>
      </c>
      <c r="Y84" s="81" t="str">
        <f aca="false">IF($A84="","",MAX(0,M84+$I84-AD84-S84))</f>
        <v/>
      </c>
      <c r="Z84" s="81" t="str">
        <f aca="false">IF($A84="","",MAX(0,N84+$I84-AE84-T84))</f>
        <v/>
      </c>
      <c r="AA84" s="81" t="str">
        <f aca="false">IF($A84="","",MAX(0,O84+$I84-AF84-U84))</f>
        <v/>
      </c>
      <c r="AB84" s="67" t="str">
        <f aca="false">IF($A84="","",MAX($I84,MAX(0,$H84)+P84-J84))</f>
        <v/>
      </c>
      <c r="AC84" s="67" t="str">
        <f aca="false">IF($A84="","",MAX($I84,AB84+Q84-K84))</f>
        <v/>
      </c>
      <c r="AD84" s="67" t="str">
        <f aca="false">IF($A84="","",MAX($I84,AC84+R84-L84))</f>
        <v/>
      </c>
      <c r="AE84" s="67" t="str">
        <f aca="false">IF($A84="","",MAX($I84,AD84+S84-M84))</f>
        <v/>
      </c>
      <c r="AF84" s="67" t="str">
        <f aca="false">IF($A84="","",MAX($I84,AE84+T84-N84))</f>
        <v/>
      </c>
      <c r="AG84" s="67" t="str">
        <f aca="false">IF($A84="","",MAX($I84,AF84+U84-O84))</f>
        <v/>
      </c>
      <c r="AH84" s="76" t="str">
        <f aca="false">IF($A84="","",IF($H84&lt;=0,"Already out",IF($E84&lt;=0,"No usage",IF(MAX(0,$H84)+SUM($P84:P84)-SUM($J84:J84)&lt;=0,$B$9,IF(MAX(0,$H84)+SUM($P84:Q84)-SUM($J84:K84)&lt;=0,$C$9,IF(MAX(0,$H84)+SUM($P84:R84)-SUM($J84:L84)&lt;=0,$D$9,IF(MAX(0,$H84)+SUM($P84:S84)-SUM($J84:M84)&lt;=0,$E$9,IF(MAX(0,$H84)+SUM($P84:T84)-SUM($J84:N84)&lt;=0,$F$9,IF(MAX(0,$H84)+SUM($P84:U84)-SUM($J84:O84)&lt;=0,$G$9,"Beyond 6 periods")))))))))</f>
        <v/>
      </c>
      <c r="AI84" s="67" t="str">
        <f aca="false">IF($A84="","",SUM(J84:O84))</f>
        <v/>
      </c>
      <c r="AJ84" s="68" t="str">
        <f aca="false">IF($A84="","",SUM(V84:AA84))</f>
        <v/>
      </c>
    </row>
    <row r="85" customFormat="false" ht="15" hidden="false" customHeight="false" outlineLevel="0" collapsed="false">
      <c r="A85" s="16" t="str">
        <f aca="false">IF('Stock Monitor'!$A53="","",'Stock Monitor'!$A53)</f>
        <v/>
      </c>
      <c r="B85" s="64" t="str">
        <f aca="false">IF($A85="","",'Stock Monitor'!$B53)</f>
        <v/>
      </c>
      <c r="C85" s="16" t="str">
        <f aca="false">IF($A85="","",'Stock Monitor'!$C53)</f>
        <v/>
      </c>
      <c r="D85" s="64" t="str">
        <f aca="false">IF($A85="","",'Stock Monitor'!$D53)</f>
        <v/>
      </c>
      <c r="E85" s="67" t="str">
        <f aca="false">IF($A85="","",'Stock Monitor'!$J53)</f>
        <v/>
      </c>
      <c r="F85" s="67" t="str">
        <f aca="false">IF($A85="","",$E85*WorkDaysWeek)</f>
        <v/>
      </c>
      <c r="G85" s="67" t="str">
        <f aca="false">IF($A85="","",$E85*WorkDaysMonth)</f>
        <v/>
      </c>
      <c r="H85" s="68" t="str">
        <f aca="false">IF($A85="","",'Stock Monitor'!$E53)</f>
        <v/>
      </c>
      <c r="I85" s="67" t="str">
        <f aca="false">IF($A85="","",'Stock Monitor'!$T53)</f>
        <v/>
      </c>
      <c r="J85" s="67" t="str">
        <f aca="false">IF($A85="","",$E85*B$8)</f>
        <v/>
      </c>
      <c r="K85" s="67" t="str">
        <f aca="false">IF($A85="","",$E85*C$8)</f>
        <v/>
      </c>
      <c r="L85" s="67" t="str">
        <f aca="false">IF($A85="","",$E85*D$8)</f>
        <v/>
      </c>
      <c r="M85" s="67" t="str">
        <f aca="false">IF($A85="","",$E85*E$8)</f>
        <v/>
      </c>
      <c r="N85" s="67" t="str">
        <f aca="false">IF($A85="","",$E85*F$8)</f>
        <v/>
      </c>
      <c r="O85" s="67" t="str">
        <f aca="false">IF($A85="","",$E85*G$8)</f>
        <v/>
      </c>
      <c r="P85" s="74" t="str">
        <f aca="false">IF($A85="","",SUMIFS(Del_Qty,Del_Site,$A85,Del_Mat,$B85,Del_Date,"&gt;="&amp;B$6,Del_Date,"&lt;="&amp;B$7))</f>
        <v/>
      </c>
      <c r="Q85" s="74" t="str">
        <f aca="false">IF($A85="","",SUMIFS(Del_Qty,Del_Site,$A85,Del_Mat,$B85,Del_Date,"&gt;="&amp;C$6,Del_Date,"&lt;="&amp;C$7))</f>
        <v/>
      </c>
      <c r="R85" s="74" t="str">
        <f aca="false">IF($A85="","",SUMIFS(Del_Qty,Del_Site,$A85,Del_Mat,$B85,Del_Date,"&gt;="&amp;D$6,Del_Date,"&lt;="&amp;D$7))</f>
        <v/>
      </c>
      <c r="S85" s="74" t="str">
        <f aca="false">IF($A85="","",SUMIFS(Del_Qty,Del_Site,$A85,Del_Mat,$B85,Del_Date,"&gt;="&amp;E$6,Del_Date,"&lt;="&amp;E$7))</f>
        <v/>
      </c>
      <c r="T85" s="74" t="str">
        <f aca="false">IF($A85="","",SUMIFS(Del_Qty,Del_Site,$A85,Del_Mat,$B85,Del_Date,"&gt;="&amp;F$6,Del_Date,"&lt;="&amp;F$7))</f>
        <v/>
      </c>
      <c r="U85" s="74" t="str">
        <f aca="false">IF($A85="","",SUMIFS(Del_Qty,Del_Site,$A85,Del_Mat,$B85,Del_Date,"&gt;="&amp;G$6,Del_Date,"&lt;="&amp;G$7))</f>
        <v/>
      </c>
      <c r="V85" s="81" t="str">
        <f aca="false">IF($A85="","",MAX(0,J85+$I85-MAX(0,$H85)-P85))</f>
        <v/>
      </c>
      <c r="W85" s="81" t="str">
        <f aca="false">IF($A85="","",MAX(0,K85+$I85-AB85-Q85))</f>
        <v/>
      </c>
      <c r="X85" s="81" t="str">
        <f aca="false">IF($A85="","",MAX(0,L85+$I85-AC85-R85))</f>
        <v/>
      </c>
      <c r="Y85" s="81" t="str">
        <f aca="false">IF($A85="","",MAX(0,M85+$I85-AD85-S85))</f>
        <v/>
      </c>
      <c r="Z85" s="81" t="str">
        <f aca="false">IF($A85="","",MAX(0,N85+$I85-AE85-T85))</f>
        <v/>
      </c>
      <c r="AA85" s="81" t="str">
        <f aca="false">IF($A85="","",MAX(0,O85+$I85-AF85-U85))</f>
        <v/>
      </c>
      <c r="AB85" s="67" t="str">
        <f aca="false">IF($A85="","",MAX($I85,MAX(0,$H85)+P85-J85))</f>
        <v/>
      </c>
      <c r="AC85" s="67" t="str">
        <f aca="false">IF($A85="","",MAX($I85,AB85+Q85-K85))</f>
        <v/>
      </c>
      <c r="AD85" s="67" t="str">
        <f aca="false">IF($A85="","",MAX($I85,AC85+R85-L85))</f>
        <v/>
      </c>
      <c r="AE85" s="67" t="str">
        <f aca="false">IF($A85="","",MAX($I85,AD85+S85-M85))</f>
        <v/>
      </c>
      <c r="AF85" s="67" t="str">
        <f aca="false">IF($A85="","",MAX($I85,AE85+T85-N85))</f>
        <v/>
      </c>
      <c r="AG85" s="67" t="str">
        <f aca="false">IF($A85="","",MAX($I85,AF85+U85-O85))</f>
        <v/>
      </c>
      <c r="AH85" s="76" t="str">
        <f aca="false">IF($A85="","",IF($H85&lt;=0,"Already out",IF($E85&lt;=0,"No usage",IF(MAX(0,$H85)+SUM($P85:P85)-SUM($J85:J85)&lt;=0,$B$9,IF(MAX(0,$H85)+SUM($P85:Q85)-SUM($J85:K85)&lt;=0,$C$9,IF(MAX(0,$H85)+SUM($P85:R85)-SUM($J85:L85)&lt;=0,$D$9,IF(MAX(0,$H85)+SUM($P85:S85)-SUM($J85:M85)&lt;=0,$E$9,IF(MAX(0,$H85)+SUM($P85:T85)-SUM($J85:N85)&lt;=0,$F$9,IF(MAX(0,$H85)+SUM($P85:U85)-SUM($J85:O85)&lt;=0,$G$9,"Beyond 6 periods")))))))))</f>
        <v/>
      </c>
      <c r="AI85" s="67" t="str">
        <f aca="false">IF($A85="","",SUM(J85:O85))</f>
        <v/>
      </c>
      <c r="AJ85" s="68" t="str">
        <f aca="false">IF($A85="","",SUM(V85:AA85))</f>
        <v/>
      </c>
    </row>
    <row r="86" customFormat="false" ht="15" hidden="false" customHeight="false" outlineLevel="0" collapsed="false">
      <c r="A86" s="16" t="str">
        <f aca="false">IF('Stock Monitor'!$A54="","",'Stock Monitor'!$A54)</f>
        <v/>
      </c>
      <c r="B86" s="64" t="str">
        <f aca="false">IF($A86="","",'Stock Monitor'!$B54)</f>
        <v/>
      </c>
      <c r="C86" s="16" t="str">
        <f aca="false">IF($A86="","",'Stock Monitor'!$C54)</f>
        <v/>
      </c>
      <c r="D86" s="64" t="str">
        <f aca="false">IF($A86="","",'Stock Monitor'!$D54)</f>
        <v/>
      </c>
      <c r="E86" s="67" t="str">
        <f aca="false">IF($A86="","",'Stock Monitor'!$J54)</f>
        <v/>
      </c>
      <c r="F86" s="67" t="str">
        <f aca="false">IF($A86="","",$E86*WorkDaysWeek)</f>
        <v/>
      </c>
      <c r="G86" s="67" t="str">
        <f aca="false">IF($A86="","",$E86*WorkDaysMonth)</f>
        <v/>
      </c>
      <c r="H86" s="68" t="str">
        <f aca="false">IF($A86="","",'Stock Monitor'!$E54)</f>
        <v/>
      </c>
      <c r="I86" s="67" t="str">
        <f aca="false">IF($A86="","",'Stock Monitor'!$T54)</f>
        <v/>
      </c>
      <c r="J86" s="67" t="str">
        <f aca="false">IF($A86="","",$E86*B$8)</f>
        <v/>
      </c>
      <c r="K86" s="67" t="str">
        <f aca="false">IF($A86="","",$E86*C$8)</f>
        <v/>
      </c>
      <c r="L86" s="67" t="str">
        <f aca="false">IF($A86="","",$E86*D$8)</f>
        <v/>
      </c>
      <c r="M86" s="67" t="str">
        <f aca="false">IF($A86="","",$E86*E$8)</f>
        <v/>
      </c>
      <c r="N86" s="67" t="str">
        <f aca="false">IF($A86="","",$E86*F$8)</f>
        <v/>
      </c>
      <c r="O86" s="67" t="str">
        <f aca="false">IF($A86="","",$E86*G$8)</f>
        <v/>
      </c>
      <c r="P86" s="74" t="str">
        <f aca="false">IF($A86="","",SUMIFS(Del_Qty,Del_Site,$A86,Del_Mat,$B86,Del_Date,"&gt;="&amp;B$6,Del_Date,"&lt;="&amp;B$7))</f>
        <v/>
      </c>
      <c r="Q86" s="74" t="str">
        <f aca="false">IF($A86="","",SUMIFS(Del_Qty,Del_Site,$A86,Del_Mat,$B86,Del_Date,"&gt;="&amp;C$6,Del_Date,"&lt;="&amp;C$7))</f>
        <v/>
      </c>
      <c r="R86" s="74" t="str">
        <f aca="false">IF($A86="","",SUMIFS(Del_Qty,Del_Site,$A86,Del_Mat,$B86,Del_Date,"&gt;="&amp;D$6,Del_Date,"&lt;="&amp;D$7))</f>
        <v/>
      </c>
      <c r="S86" s="74" t="str">
        <f aca="false">IF($A86="","",SUMIFS(Del_Qty,Del_Site,$A86,Del_Mat,$B86,Del_Date,"&gt;="&amp;E$6,Del_Date,"&lt;="&amp;E$7))</f>
        <v/>
      </c>
      <c r="T86" s="74" t="str">
        <f aca="false">IF($A86="","",SUMIFS(Del_Qty,Del_Site,$A86,Del_Mat,$B86,Del_Date,"&gt;="&amp;F$6,Del_Date,"&lt;="&amp;F$7))</f>
        <v/>
      </c>
      <c r="U86" s="74" t="str">
        <f aca="false">IF($A86="","",SUMIFS(Del_Qty,Del_Site,$A86,Del_Mat,$B86,Del_Date,"&gt;="&amp;G$6,Del_Date,"&lt;="&amp;G$7))</f>
        <v/>
      </c>
      <c r="V86" s="81" t="str">
        <f aca="false">IF($A86="","",MAX(0,J86+$I86-MAX(0,$H86)-P86))</f>
        <v/>
      </c>
      <c r="W86" s="81" t="str">
        <f aca="false">IF($A86="","",MAX(0,K86+$I86-AB86-Q86))</f>
        <v/>
      </c>
      <c r="X86" s="81" t="str">
        <f aca="false">IF($A86="","",MAX(0,L86+$I86-AC86-R86))</f>
        <v/>
      </c>
      <c r="Y86" s="81" t="str">
        <f aca="false">IF($A86="","",MAX(0,M86+$I86-AD86-S86))</f>
        <v/>
      </c>
      <c r="Z86" s="81" t="str">
        <f aca="false">IF($A86="","",MAX(0,N86+$I86-AE86-T86))</f>
        <v/>
      </c>
      <c r="AA86" s="81" t="str">
        <f aca="false">IF($A86="","",MAX(0,O86+$I86-AF86-U86))</f>
        <v/>
      </c>
      <c r="AB86" s="67" t="str">
        <f aca="false">IF($A86="","",MAX($I86,MAX(0,$H86)+P86-J86))</f>
        <v/>
      </c>
      <c r="AC86" s="67" t="str">
        <f aca="false">IF($A86="","",MAX($I86,AB86+Q86-K86))</f>
        <v/>
      </c>
      <c r="AD86" s="67" t="str">
        <f aca="false">IF($A86="","",MAX($I86,AC86+R86-L86))</f>
        <v/>
      </c>
      <c r="AE86" s="67" t="str">
        <f aca="false">IF($A86="","",MAX($I86,AD86+S86-M86))</f>
        <v/>
      </c>
      <c r="AF86" s="67" t="str">
        <f aca="false">IF($A86="","",MAX($I86,AE86+T86-N86))</f>
        <v/>
      </c>
      <c r="AG86" s="67" t="str">
        <f aca="false">IF($A86="","",MAX($I86,AF86+U86-O86))</f>
        <v/>
      </c>
      <c r="AH86" s="76" t="str">
        <f aca="false">IF($A86="","",IF($H86&lt;=0,"Already out",IF($E86&lt;=0,"No usage",IF(MAX(0,$H86)+SUM($P86:P86)-SUM($J86:J86)&lt;=0,$B$9,IF(MAX(0,$H86)+SUM($P86:Q86)-SUM($J86:K86)&lt;=0,$C$9,IF(MAX(0,$H86)+SUM($P86:R86)-SUM($J86:L86)&lt;=0,$D$9,IF(MAX(0,$H86)+SUM($P86:S86)-SUM($J86:M86)&lt;=0,$E$9,IF(MAX(0,$H86)+SUM($P86:T86)-SUM($J86:N86)&lt;=0,$F$9,IF(MAX(0,$H86)+SUM($P86:U86)-SUM($J86:O86)&lt;=0,$G$9,"Beyond 6 periods")))))))))</f>
        <v/>
      </c>
      <c r="AI86" s="67" t="str">
        <f aca="false">IF($A86="","",SUM(J86:O86))</f>
        <v/>
      </c>
      <c r="AJ86" s="68" t="str">
        <f aca="false">IF($A86="","",SUM(V86:AA86))</f>
        <v/>
      </c>
    </row>
    <row r="87" customFormat="false" ht="15" hidden="false" customHeight="false" outlineLevel="0" collapsed="false">
      <c r="A87" s="16" t="str">
        <f aca="false">IF('Stock Monitor'!$A55="","",'Stock Monitor'!$A55)</f>
        <v/>
      </c>
      <c r="B87" s="64" t="str">
        <f aca="false">IF($A87="","",'Stock Monitor'!$B55)</f>
        <v/>
      </c>
      <c r="C87" s="16" t="str">
        <f aca="false">IF($A87="","",'Stock Monitor'!$C55)</f>
        <v/>
      </c>
      <c r="D87" s="64" t="str">
        <f aca="false">IF($A87="","",'Stock Monitor'!$D55)</f>
        <v/>
      </c>
      <c r="E87" s="67" t="str">
        <f aca="false">IF($A87="","",'Stock Monitor'!$J55)</f>
        <v/>
      </c>
      <c r="F87" s="67" t="str">
        <f aca="false">IF($A87="","",$E87*WorkDaysWeek)</f>
        <v/>
      </c>
      <c r="G87" s="67" t="str">
        <f aca="false">IF($A87="","",$E87*WorkDaysMonth)</f>
        <v/>
      </c>
      <c r="H87" s="68" t="str">
        <f aca="false">IF($A87="","",'Stock Monitor'!$E55)</f>
        <v/>
      </c>
      <c r="I87" s="67" t="str">
        <f aca="false">IF($A87="","",'Stock Monitor'!$T55)</f>
        <v/>
      </c>
      <c r="J87" s="67" t="str">
        <f aca="false">IF($A87="","",$E87*B$8)</f>
        <v/>
      </c>
      <c r="K87" s="67" t="str">
        <f aca="false">IF($A87="","",$E87*C$8)</f>
        <v/>
      </c>
      <c r="L87" s="67" t="str">
        <f aca="false">IF($A87="","",$E87*D$8)</f>
        <v/>
      </c>
      <c r="M87" s="67" t="str">
        <f aca="false">IF($A87="","",$E87*E$8)</f>
        <v/>
      </c>
      <c r="N87" s="67" t="str">
        <f aca="false">IF($A87="","",$E87*F$8)</f>
        <v/>
      </c>
      <c r="O87" s="67" t="str">
        <f aca="false">IF($A87="","",$E87*G$8)</f>
        <v/>
      </c>
      <c r="P87" s="74" t="str">
        <f aca="false">IF($A87="","",SUMIFS(Del_Qty,Del_Site,$A87,Del_Mat,$B87,Del_Date,"&gt;="&amp;B$6,Del_Date,"&lt;="&amp;B$7))</f>
        <v/>
      </c>
      <c r="Q87" s="74" t="str">
        <f aca="false">IF($A87="","",SUMIFS(Del_Qty,Del_Site,$A87,Del_Mat,$B87,Del_Date,"&gt;="&amp;C$6,Del_Date,"&lt;="&amp;C$7))</f>
        <v/>
      </c>
      <c r="R87" s="74" t="str">
        <f aca="false">IF($A87="","",SUMIFS(Del_Qty,Del_Site,$A87,Del_Mat,$B87,Del_Date,"&gt;="&amp;D$6,Del_Date,"&lt;="&amp;D$7))</f>
        <v/>
      </c>
      <c r="S87" s="74" t="str">
        <f aca="false">IF($A87="","",SUMIFS(Del_Qty,Del_Site,$A87,Del_Mat,$B87,Del_Date,"&gt;="&amp;E$6,Del_Date,"&lt;="&amp;E$7))</f>
        <v/>
      </c>
      <c r="T87" s="74" t="str">
        <f aca="false">IF($A87="","",SUMIFS(Del_Qty,Del_Site,$A87,Del_Mat,$B87,Del_Date,"&gt;="&amp;F$6,Del_Date,"&lt;="&amp;F$7))</f>
        <v/>
      </c>
      <c r="U87" s="74" t="str">
        <f aca="false">IF($A87="","",SUMIFS(Del_Qty,Del_Site,$A87,Del_Mat,$B87,Del_Date,"&gt;="&amp;G$6,Del_Date,"&lt;="&amp;G$7))</f>
        <v/>
      </c>
      <c r="V87" s="81" t="str">
        <f aca="false">IF($A87="","",MAX(0,J87+$I87-MAX(0,$H87)-P87))</f>
        <v/>
      </c>
      <c r="W87" s="81" t="str">
        <f aca="false">IF($A87="","",MAX(0,K87+$I87-AB87-Q87))</f>
        <v/>
      </c>
      <c r="X87" s="81" t="str">
        <f aca="false">IF($A87="","",MAX(0,L87+$I87-AC87-R87))</f>
        <v/>
      </c>
      <c r="Y87" s="81" t="str">
        <f aca="false">IF($A87="","",MAX(0,M87+$I87-AD87-S87))</f>
        <v/>
      </c>
      <c r="Z87" s="81" t="str">
        <f aca="false">IF($A87="","",MAX(0,N87+$I87-AE87-T87))</f>
        <v/>
      </c>
      <c r="AA87" s="81" t="str">
        <f aca="false">IF($A87="","",MAX(0,O87+$I87-AF87-U87))</f>
        <v/>
      </c>
      <c r="AB87" s="67" t="str">
        <f aca="false">IF($A87="","",MAX($I87,MAX(0,$H87)+P87-J87))</f>
        <v/>
      </c>
      <c r="AC87" s="67" t="str">
        <f aca="false">IF($A87="","",MAX($I87,AB87+Q87-K87))</f>
        <v/>
      </c>
      <c r="AD87" s="67" t="str">
        <f aca="false">IF($A87="","",MAX($I87,AC87+R87-L87))</f>
        <v/>
      </c>
      <c r="AE87" s="67" t="str">
        <f aca="false">IF($A87="","",MAX($I87,AD87+S87-M87))</f>
        <v/>
      </c>
      <c r="AF87" s="67" t="str">
        <f aca="false">IF($A87="","",MAX($I87,AE87+T87-N87))</f>
        <v/>
      </c>
      <c r="AG87" s="67" t="str">
        <f aca="false">IF($A87="","",MAX($I87,AF87+U87-O87))</f>
        <v/>
      </c>
      <c r="AH87" s="76" t="str">
        <f aca="false">IF($A87="","",IF($H87&lt;=0,"Already out",IF($E87&lt;=0,"No usage",IF(MAX(0,$H87)+SUM($P87:P87)-SUM($J87:J87)&lt;=0,$B$9,IF(MAX(0,$H87)+SUM($P87:Q87)-SUM($J87:K87)&lt;=0,$C$9,IF(MAX(0,$H87)+SUM($P87:R87)-SUM($J87:L87)&lt;=0,$D$9,IF(MAX(0,$H87)+SUM($P87:S87)-SUM($J87:M87)&lt;=0,$E$9,IF(MAX(0,$H87)+SUM($P87:T87)-SUM($J87:N87)&lt;=0,$F$9,IF(MAX(0,$H87)+SUM($P87:U87)-SUM($J87:O87)&lt;=0,$G$9,"Beyond 6 periods")))))))))</f>
        <v/>
      </c>
      <c r="AI87" s="67" t="str">
        <f aca="false">IF($A87="","",SUM(J87:O87))</f>
        <v/>
      </c>
      <c r="AJ87" s="68" t="str">
        <f aca="false">IF($A87="","",SUM(V87:AA87))</f>
        <v/>
      </c>
    </row>
    <row r="88" customFormat="false" ht="15" hidden="false" customHeight="false" outlineLevel="0" collapsed="false">
      <c r="A88" s="16" t="str">
        <f aca="false">IF('Stock Monitor'!$A56="","",'Stock Monitor'!$A56)</f>
        <v/>
      </c>
      <c r="B88" s="64" t="str">
        <f aca="false">IF($A88="","",'Stock Monitor'!$B56)</f>
        <v/>
      </c>
      <c r="C88" s="16" t="str">
        <f aca="false">IF($A88="","",'Stock Monitor'!$C56)</f>
        <v/>
      </c>
      <c r="D88" s="64" t="str">
        <f aca="false">IF($A88="","",'Stock Monitor'!$D56)</f>
        <v/>
      </c>
      <c r="E88" s="67" t="str">
        <f aca="false">IF($A88="","",'Stock Monitor'!$J56)</f>
        <v/>
      </c>
      <c r="F88" s="67" t="str">
        <f aca="false">IF($A88="","",$E88*WorkDaysWeek)</f>
        <v/>
      </c>
      <c r="G88" s="67" t="str">
        <f aca="false">IF($A88="","",$E88*WorkDaysMonth)</f>
        <v/>
      </c>
      <c r="H88" s="68" t="str">
        <f aca="false">IF($A88="","",'Stock Monitor'!$E56)</f>
        <v/>
      </c>
      <c r="I88" s="67" t="str">
        <f aca="false">IF($A88="","",'Stock Monitor'!$T56)</f>
        <v/>
      </c>
      <c r="J88" s="67" t="str">
        <f aca="false">IF($A88="","",$E88*B$8)</f>
        <v/>
      </c>
      <c r="K88" s="67" t="str">
        <f aca="false">IF($A88="","",$E88*C$8)</f>
        <v/>
      </c>
      <c r="L88" s="67" t="str">
        <f aca="false">IF($A88="","",$E88*D$8)</f>
        <v/>
      </c>
      <c r="M88" s="67" t="str">
        <f aca="false">IF($A88="","",$E88*E$8)</f>
        <v/>
      </c>
      <c r="N88" s="67" t="str">
        <f aca="false">IF($A88="","",$E88*F$8)</f>
        <v/>
      </c>
      <c r="O88" s="67" t="str">
        <f aca="false">IF($A88="","",$E88*G$8)</f>
        <v/>
      </c>
      <c r="P88" s="74" t="str">
        <f aca="false">IF($A88="","",SUMIFS(Del_Qty,Del_Site,$A88,Del_Mat,$B88,Del_Date,"&gt;="&amp;B$6,Del_Date,"&lt;="&amp;B$7))</f>
        <v/>
      </c>
      <c r="Q88" s="74" t="str">
        <f aca="false">IF($A88="","",SUMIFS(Del_Qty,Del_Site,$A88,Del_Mat,$B88,Del_Date,"&gt;="&amp;C$6,Del_Date,"&lt;="&amp;C$7))</f>
        <v/>
      </c>
      <c r="R88" s="74" t="str">
        <f aca="false">IF($A88="","",SUMIFS(Del_Qty,Del_Site,$A88,Del_Mat,$B88,Del_Date,"&gt;="&amp;D$6,Del_Date,"&lt;="&amp;D$7))</f>
        <v/>
      </c>
      <c r="S88" s="74" t="str">
        <f aca="false">IF($A88="","",SUMIFS(Del_Qty,Del_Site,$A88,Del_Mat,$B88,Del_Date,"&gt;="&amp;E$6,Del_Date,"&lt;="&amp;E$7))</f>
        <v/>
      </c>
      <c r="T88" s="74" t="str">
        <f aca="false">IF($A88="","",SUMIFS(Del_Qty,Del_Site,$A88,Del_Mat,$B88,Del_Date,"&gt;="&amp;F$6,Del_Date,"&lt;="&amp;F$7))</f>
        <v/>
      </c>
      <c r="U88" s="74" t="str">
        <f aca="false">IF($A88="","",SUMIFS(Del_Qty,Del_Site,$A88,Del_Mat,$B88,Del_Date,"&gt;="&amp;G$6,Del_Date,"&lt;="&amp;G$7))</f>
        <v/>
      </c>
      <c r="V88" s="81" t="str">
        <f aca="false">IF($A88="","",MAX(0,J88+$I88-MAX(0,$H88)-P88))</f>
        <v/>
      </c>
      <c r="W88" s="81" t="str">
        <f aca="false">IF($A88="","",MAX(0,K88+$I88-AB88-Q88))</f>
        <v/>
      </c>
      <c r="X88" s="81" t="str">
        <f aca="false">IF($A88="","",MAX(0,L88+$I88-AC88-R88))</f>
        <v/>
      </c>
      <c r="Y88" s="81" t="str">
        <f aca="false">IF($A88="","",MAX(0,M88+$I88-AD88-S88))</f>
        <v/>
      </c>
      <c r="Z88" s="81" t="str">
        <f aca="false">IF($A88="","",MAX(0,N88+$I88-AE88-T88))</f>
        <v/>
      </c>
      <c r="AA88" s="81" t="str">
        <f aca="false">IF($A88="","",MAX(0,O88+$I88-AF88-U88))</f>
        <v/>
      </c>
      <c r="AB88" s="67" t="str">
        <f aca="false">IF($A88="","",MAX($I88,MAX(0,$H88)+P88-J88))</f>
        <v/>
      </c>
      <c r="AC88" s="67" t="str">
        <f aca="false">IF($A88="","",MAX($I88,AB88+Q88-K88))</f>
        <v/>
      </c>
      <c r="AD88" s="67" t="str">
        <f aca="false">IF($A88="","",MAX($I88,AC88+R88-L88))</f>
        <v/>
      </c>
      <c r="AE88" s="67" t="str">
        <f aca="false">IF($A88="","",MAX($I88,AD88+S88-M88))</f>
        <v/>
      </c>
      <c r="AF88" s="67" t="str">
        <f aca="false">IF($A88="","",MAX($I88,AE88+T88-N88))</f>
        <v/>
      </c>
      <c r="AG88" s="67" t="str">
        <f aca="false">IF($A88="","",MAX($I88,AF88+U88-O88))</f>
        <v/>
      </c>
      <c r="AH88" s="76" t="str">
        <f aca="false">IF($A88="","",IF($H88&lt;=0,"Already out",IF($E88&lt;=0,"No usage",IF(MAX(0,$H88)+SUM($P88:P88)-SUM($J88:J88)&lt;=0,$B$9,IF(MAX(0,$H88)+SUM($P88:Q88)-SUM($J88:K88)&lt;=0,$C$9,IF(MAX(0,$H88)+SUM($P88:R88)-SUM($J88:L88)&lt;=0,$D$9,IF(MAX(0,$H88)+SUM($P88:S88)-SUM($J88:M88)&lt;=0,$E$9,IF(MAX(0,$H88)+SUM($P88:T88)-SUM($J88:N88)&lt;=0,$F$9,IF(MAX(0,$H88)+SUM($P88:U88)-SUM($J88:O88)&lt;=0,$G$9,"Beyond 6 periods")))))))))</f>
        <v/>
      </c>
      <c r="AI88" s="67" t="str">
        <f aca="false">IF($A88="","",SUM(J88:O88))</f>
        <v/>
      </c>
      <c r="AJ88" s="68" t="str">
        <f aca="false">IF($A88="","",SUM(V88:AA88))</f>
        <v/>
      </c>
    </row>
    <row r="89" customFormat="false" ht="15" hidden="false" customHeight="false" outlineLevel="0" collapsed="false">
      <c r="A89" s="16" t="str">
        <f aca="false">IF('Stock Monitor'!$A57="","",'Stock Monitor'!$A57)</f>
        <v/>
      </c>
      <c r="B89" s="64" t="str">
        <f aca="false">IF($A89="","",'Stock Monitor'!$B57)</f>
        <v/>
      </c>
      <c r="C89" s="16" t="str">
        <f aca="false">IF($A89="","",'Stock Monitor'!$C57)</f>
        <v/>
      </c>
      <c r="D89" s="64" t="str">
        <f aca="false">IF($A89="","",'Stock Monitor'!$D57)</f>
        <v/>
      </c>
      <c r="E89" s="67" t="str">
        <f aca="false">IF($A89="","",'Stock Monitor'!$J57)</f>
        <v/>
      </c>
      <c r="F89" s="67" t="str">
        <f aca="false">IF($A89="","",$E89*WorkDaysWeek)</f>
        <v/>
      </c>
      <c r="G89" s="67" t="str">
        <f aca="false">IF($A89="","",$E89*WorkDaysMonth)</f>
        <v/>
      </c>
      <c r="H89" s="68" t="str">
        <f aca="false">IF($A89="","",'Stock Monitor'!$E57)</f>
        <v/>
      </c>
      <c r="I89" s="67" t="str">
        <f aca="false">IF($A89="","",'Stock Monitor'!$T57)</f>
        <v/>
      </c>
      <c r="J89" s="67" t="str">
        <f aca="false">IF($A89="","",$E89*B$8)</f>
        <v/>
      </c>
      <c r="K89" s="67" t="str">
        <f aca="false">IF($A89="","",$E89*C$8)</f>
        <v/>
      </c>
      <c r="L89" s="67" t="str">
        <f aca="false">IF($A89="","",$E89*D$8)</f>
        <v/>
      </c>
      <c r="M89" s="67" t="str">
        <f aca="false">IF($A89="","",$E89*E$8)</f>
        <v/>
      </c>
      <c r="N89" s="67" t="str">
        <f aca="false">IF($A89="","",$E89*F$8)</f>
        <v/>
      </c>
      <c r="O89" s="67" t="str">
        <f aca="false">IF($A89="","",$E89*G$8)</f>
        <v/>
      </c>
      <c r="P89" s="74" t="str">
        <f aca="false">IF($A89="","",SUMIFS(Del_Qty,Del_Site,$A89,Del_Mat,$B89,Del_Date,"&gt;="&amp;B$6,Del_Date,"&lt;="&amp;B$7))</f>
        <v/>
      </c>
      <c r="Q89" s="74" t="str">
        <f aca="false">IF($A89="","",SUMIFS(Del_Qty,Del_Site,$A89,Del_Mat,$B89,Del_Date,"&gt;="&amp;C$6,Del_Date,"&lt;="&amp;C$7))</f>
        <v/>
      </c>
      <c r="R89" s="74" t="str">
        <f aca="false">IF($A89="","",SUMIFS(Del_Qty,Del_Site,$A89,Del_Mat,$B89,Del_Date,"&gt;="&amp;D$6,Del_Date,"&lt;="&amp;D$7))</f>
        <v/>
      </c>
      <c r="S89" s="74" t="str">
        <f aca="false">IF($A89="","",SUMIFS(Del_Qty,Del_Site,$A89,Del_Mat,$B89,Del_Date,"&gt;="&amp;E$6,Del_Date,"&lt;="&amp;E$7))</f>
        <v/>
      </c>
      <c r="T89" s="74" t="str">
        <f aca="false">IF($A89="","",SUMIFS(Del_Qty,Del_Site,$A89,Del_Mat,$B89,Del_Date,"&gt;="&amp;F$6,Del_Date,"&lt;="&amp;F$7))</f>
        <v/>
      </c>
      <c r="U89" s="74" t="str">
        <f aca="false">IF($A89="","",SUMIFS(Del_Qty,Del_Site,$A89,Del_Mat,$B89,Del_Date,"&gt;="&amp;G$6,Del_Date,"&lt;="&amp;G$7))</f>
        <v/>
      </c>
      <c r="V89" s="81" t="str">
        <f aca="false">IF($A89="","",MAX(0,J89+$I89-MAX(0,$H89)-P89))</f>
        <v/>
      </c>
      <c r="W89" s="81" t="str">
        <f aca="false">IF($A89="","",MAX(0,K89+$I89-AB89-Q89))</f>
        <v/>
      </c>
      <c r="X89" s="81" t="str">
        <f aca="false">IF($A89="","",MAX(0,L89+$I89-AC89-R89))</f>
        <v/>
      </c>
      <c r="Y89" s="81" t="str">
        <f aca="false">IF($A89="","",MAX(0,M89+$I89-AD89-S89))</f>
        <v/>
      </c>
      <c r="Z89" s="81" t="str">
        <f aca="false">IF($A89="","",MAX(0,N89+$I89-AE89-T89))</f>
        <v/>
      </c>
      <c r="AA89" s="81" t="str">
        <f aca="false">IF($A89="","",MAX(0,O89+$I89-AF89-U89))</f>
        <v/>
      </c>
      <c r="AB89" s="67" t="str">
        <f aca="false">IF($A89="","",MAX($I89,MAX(0,$H89)+P89-J89))</f>
        <v/>
      </c>
      <c r="AC89" s="67" t="str">
        <f aca="false">IF($A89="","",MAX($I89,AB89+Q89-K89))</f>
        <v/>
      </c>
      <c r="AD89" s="67" t="str">
        <f aca="false">IF($A89="","",MAX($I89,AC89+R89-L89))</f>
        <v/>
      </c>
      <c r="AE89" s="67" t="str">
        <f aca="false">IF($A89="","",MAX($I89,AD89+S89-M89))</f>
        <v/>
      </c>
      <c r="AF89" s="67" t="str">
        <f aca="false">IF($A89="","",MAX($I89,AE89+T89-N89))</f>
        <v/>
      </c>
      <c r="AG89" s="67" t="str">
        <f aca="false">IF($A89="","",MAX($I89,AF89+U89-O89))</f>
        <v/>
      </c>
      <c r="AH89" s="76" t="str">
        <f aca="false">IF($A89="","",IF($H89&lt;=0,"Already out",IF($E89&lt;=0,"No usage",IF(MAX(0,$H89)+SUM($P89:P89)-SUM($J89:J89)&lt;=0,$B$9,IF(MAX(0,$H89)+SUM($P89:Q89)-SUM($J89:K89)&lt;=0,$C$9,IF(MAX(0,$H89)+SUM($P89:R89)-SUM($J89:L89)&lt;=0,$D$9,IF(MAX(0,$H89)+SUM($P89:S89)-SUM($J89:M89)&lt;=0,$E$9,IF(MAX(0,$H89)+SUM($P89:T89)-SUM($J89:N89)&lt;=0,$F$9,IF(MAX(0,$H89)+SUM($P89:U89)-SUM($J89:O89)&lt;=0,$G$9,"Beyond 6 periods")))))))))</f>
        <v/>
      </c>
      <c r="AI89" s="67" t="str">
        <f aca="false">IF($A89="","",SUM(J89:O89))</f>
        <v/>
      </c>
      <c r="AJ89" s="68" t="str">
        <f aca="false">IF($A89="","",SUM(V89:AA89))</f>
        <v/>
      </c>
    </row>
    <row r="90" customFormat="false" ht="15" hidden="false" customHeight="false" outlineLevel="0" collapsed="false">
      <c r="A90" s="16" t="str">
        <f aca="false">IF('Stock Monitor'!$A58="","",'Stock Monitor'!$A58)</f>
        <v/>
      </c>
      <c r="B90" s="64" t="str">
        <f aca="false">IF($A90="","",'Stock Monitor'!$B58)</f>
        <v/>
      </c>
      <c r="C90" s="16" t="str">
        <f aca="false">IF($A90="","",'Stock Monitor'!$C58)</f>
        <v/>
      </c>
      <c r="D90" s="64" t="str">
        <f aca="false">IF($A90="","",'Stock Monitor'!$D58)</f>
        <v/>
      </c>
      <c r="E90" s="67" t="str">
        <f aca="false">IF($A90="","",'Stock Monitor'!$J58)</f>
        <v/>
      </c>
      <c r="F90" s="67" t="str">
        <f aca="false">IF($A90="","",$E90*WorkDaysWeek)</f>
        <v/>
      </c>
      <c r="G90" s="67" t="str">
        <f aca="false">IF($A90="","",$E90*WorkDaysMonth)</f>
        <v/>
      </c>
      <c r="H90" s="68" t="str">
        <f aca="false">IF($A90="","",'Stock Monitor'!$E58)</f>
        <v/>
      </c>
      <c r="I90" s="67" t="str">
        <f aca="false">IF($A90="","",'Stock Monitor'!$T58)</f>
        <v/>
      </c>
      <c r="J90" s="67" t="str">
        <f aca="false">IF($A90="","",$E90*B$8)</f>
        <v/>
      </c>
      <c r="K90" s="67" t="str">
        <f aca="false">IF($A90="","",$E90*C$8)</f>
        <v/>
      </c>
      <c r="L90" s="67" t="str">
        <f aca="false">IF($A90="","",$E90*D$8)</f>
        <v/>
      </c>
      <c r="M90" s="67" t="str">
        <f aca="false">IF($A90="","",$E90*E$8)</f>
        <v/>
      </c>
      <c r="N90" s="67" t="str">
        <f aca="false">IF($A90="","",$E90*F$8)</f>
        <v/>
      </c>
      <c r="O90" s="67" t="str">
        <f aca="false">IF($A90="","",$E90*G$8)</f>
        <v/>
      </c>
      <c r="P90" s="74" t="str">
        <f aca="false">IF($A90="","",SUMIFS(Del_Qty,Del_Site,$A90,Del_Mat,$B90,Del_Date,"&gt;="&amp;B$6,Del_Date,"&lt;="&amp;B$7))</f>
        <v/>
      </c>
      <c r="Q90" s="74" t="str">
        <f aca="false">IF($A90="","",SUMIFS(Del_Qty,Del_Site,$A90,Del_Mat,$B90,Del_Date,"&gt;="&amp;C$6,Del_Date,"&lt;="&amp;C$7))</f>
        <v/>
      </c>
      <c r="R90" s="74" t="str">
        <f aca="false">IF($A90="","",SUMIFS(Del_Qty,Del_Site,$A90,Del_Mat,$B90,Del_Date,"&gt;="&amp;D$6,Del_Date,"&lt;="&amp;D$7))</f>
        <v/>
      </c>
      <c r="S90" s="74" t="str">
        <f aca="false">IF($A90="","",SUMIFS(Del_Qty,Del_Site,$A90,Del_Mat,$B90,Del_Date,"&gt;="&amp;E$6,Del_Date,"&lt;="&amp;E$7))</f>
        <v/>
      </c>
      <c r="T90" s="74" t="str">
        <f aca="false">IF($A90="","",SUMIFS(Del_Qty,Del_Site,$A90,Del_Mat,$B90,Del_Date,"&gt;="&amp;F$6,Del_Date,"&lt;="&amp;F$7))</f>
        <v/>
      </c>
      <c r="U90" s="74" t="str">
        <f aca="false">IF($A90="","",SUMIFS(Del_Qty,Del_Site,$A90,Del_Mat,$B90,Del_Date,"&gt;="&amp;G$6,Del_Date,"&lt;="&amp;G$7))</f>
        <v/>
      </c>
      <c r="V90" s="81" t="str">
        <f aca="false">IF($A90="","",MAX(0,J90+$I90-MAX(0,$H90)-P90))</f>
        <v/>
      </c>
      <c r="W90" s="81" t="str">
        <f aca="false">IF($A90="","",MAX(0,K90+$I90-AB90-Q90))</f>
        <v/>
      </c>
      <c r="X90" s="81" t="str">
        <f aca="false">IF($A90="","",MAX(0,L90+$I90-AC90-R90))</f>
        <v/>
      </c>
      <c r="Y90" s="81" t="str">
        <f aca="false">IF($A90="","",MAX(0,M90+$I90-AD90-S90))</f>
        <v/>
      </c>
      <c r="Z90" s="81" t="str">
        <f aca="false">IF($A90="","",MAX(0,N90+$I90-AE90-T90))</f>
        <v/>
      </c>
      <c r="AA90" s="81" t="str">
        <f aca="false">IF($A90="","",MAX(0,O90+$I90-AF90-U90))</f>
        <v/>
      </c>
      <c r="AB90" s="67" t="str">
        <f aca="false">IF($A90="","",MAX($I90,MAX(0,$H90)+P90-J90))</f>
        <v/>
      </c>
      <c r="AC90" s="67" t="str">
        <f aca="false">IF($A90="","",MAX($I90,AB90+Q90-K90))</f>
        <v/>
      </c>
      <c r="AD90" s="67" t="str">
        <f aca="false">IF($A90="","",MAX($I90,AC90+R90-L90))</f>
        <v/>
      </c>
      <c r="AE90" s="67" t="str">
        <f aca="false">IF($A90="","",MAX($I90,AD90+S90-M90))</f>
        <v/>
      </c>
      <c r="AF90" s="67" t="str">
        <f aca="false">IF($A90="","",MAX($I90,AE90+T90-N90))</f>
        <v/>
      </c>
      <c r="AG90" s="67" t="str">
        <f aca="false">IF($A90="","",MAX($I90,AF90+U90-O90))</f>
        <v/>
      </c>
      <c r="AH90" s="76" t="str">
        <f aca="false">IF($A90="","",IF($H90&lt;=0,"Already out",IF($E90&lt;=0,"No usage",IF(MAX(0,$H90)+SUM($P90:P90)-SUM($J90:J90)&lt;=0,$B$9,IF(MAX(0,$H90)+SUM($P90:Q90)-SUM($J90:K90)&lt;=0,$C$9,IF(MAX(0,$H90)+SUM($P90:R90)-SUM($J90:L90)&lt;=0,$D$9,IF(MAX(0,$H90)+SUM($P90:S90)-SUM($J90:M90)&lt;=0,$E$9,IF(MAX(0,$H90)+SUM($P90:T90)-SUM($J90:N90)&lt;=0,$F$9,IF(MAX(0,$H90)+SUM($P90:U90)-SUM($J90:O90)&lt;=0,$G$9,"Beyond 6 periods")))))))))</f>
        <v/>
      </c>
      <c r="AI90" s="67" t="str">
        <f aca="false">IF($A90="","",SUM(J90:O90))</f>
        <v/>
      </c>
      <c r="AJ90" s="68" t="str">
        <f aca="false">IF($A90="","",SUM(V90:AA90))</f>
        <v/>
      </c>
    </row>
    <row r="91" customFormat="false" ht="15" hidden="false" customHeight="false" outlineLevel="0" collapsed="false">
      <c r="A91" s="16" t="str">
        <f aca="false">IF('Stock Monitor'!$A59="","",'Stock Monitor'!$A59)</f>
        <v/>
      </c>
      <c r="B91" s="64" t="str">
        <f aca="false">IF($A91="","",'Stock Monitor'!$B59)</f>
        <v/>
      </c>
      <c r="C91" s="16" t="str">
        <f aca="false">IF($A91="","",'Stock Monitor'!$C59)</f>
        <v/>
      </c>
      <c r="D91" s="64" t="str">
        <f aca="false">IF($A91="","",'Stock Monitor'!$D59)</f>
        <v/>
      </c>
      <c r="E91" s="67" t="str">
        <f aca="false">IF($A91="","",'Stock Monitor'!$J59)</f>
        <v/>
      </c>
      <c r="F91" s="67" t="str">
        <f aca="false">IF($A91="","",$E91*WorkDaysWeek)</f>
        <v/>
      </c>
      <c r="G91" s="67" t="str">
        <f aca="false">IF($A91="","",$E91*WorkDaysMonth)</f>
        <v/>
      </c>
      <c r="H91" s="68" t="str">
        <f aca="false">IF($A91="","",'Stock Monitor'!$E59)</f>
        <v/>
      </c>
      <c r="I91" s="67" t="str">
        <f aca="false">IF($A91="","",'Stock Monitor'!$T59)</f>
        <v/>
      </c>
      <c r="J91" s="67" t="str">
        <f aca="false">IF($A91="","",$E91*B$8)</f>
        <v/>
      </c>
      <c r="K91" s="67" t="str">
        <f aca="false">IF($A91="","",$E91*C$8)</f>
        <v/>
      </c>
      <c r="L91" s="67" t="str">
        <f aca="false">IF($A91="","",$E91*D$8)</f>
        <v/>
      </c>
      <c r="M91" s="67" t="str">
        <f aca="false">IF($A91="","",$E91*E$8)</f>
        <v/>
      </c>
      <c r="N91" s="67" t="str">
        <f aca="false">IF($A91="","",$E91*F$8)</f>
        <v/>
      </c>
      <c r="O91" s="67" t="str">
        <f aca="false">IF($A91="","",$E91*G$8)</f>
        <v/>
      </c>
      <c r="P91" s="74" t="str">
        <f aca="false">IF($A91="","",SUMIFS(Del_Qty,Del_Site,$A91,Del_Mat,$B91,Del_Date,"&gt;="&amp;B$6,Del_Date,"&lt;="&amp;B$7))</f>
        <v/>
      </c>
      <c r="Q91" s="74" t="str">
        <f aca="false">IF($A91="","",SUMIFS(Del_Qty,Del_Site,$A91,Del_Mat,$B91,Del_Date,"&gt;="&amp;C$6,Del_Date,"&lt;="&amp;C$7))</f>
        <v/>
      </c>
      <c r="R91" s="74" t="str">
        <f aca="false">IF($A91="","",SUMIFS(Del_Qty,Del_Site,$A91,Del_Mat,$B91,Del_Date,"&gt;="&amp;D$6,Del_Date,"&lt;="&amp;D$7))</f>
        <v/>
      </c>
      <c r="S91" s="74" t="str">
        <f aca="false">IF($A91="","",SUMIFS(Del_Qty,Del_Site,$A91,Del_Mat,$B91,Del_Date,"&gt;="&amp;E$6,Del_Date,"&lt;="&amp;E$7))</f>
        <v/>
      </c>
      <c r="T91" s="74" t="str">
        <f aca="false">IF($A91="","",SUMIFS(Del_Qty,Del_Site,$A91,Del_Mat,$B91,Del_Date,"&gt;="&amp;F$6,Del_Date,"&lt;="&amp;F$7))</f>
        <v/>
      </c>
      <c r="U91" s="74" t="str">
        <f aca="false">IF($A91="","",SUMIFS(Del_Qty,Del_Site,$A91,Del_Mat,$B91,Del_Date,"&gt;="&amp;G$6,Del_Date,"&lt;="&amp;G$7))</f>
        <v/>
      </c>
      <c r="V91" s="81" t="str">
        <f aca="false">IF($A91="","",MAX(0,J91+$I91-MAX(0,$H91)-P91))</f>
        <v/>
      </c>
      <c r="W91" s="81" t="str">
        <f aca="false">IF($A91="","",MAX(0,K91+$I91-AB91-Q91))</f>
        <v/>
      </c>
      <c r="X91" s="81" t="str">
        <f aca="false">IF($A91="","",MAX(0,L91+$I91-AC91-R91))</f>
        <v/>
      </c>
      <c r="Y91" s="81" t="str">
        <f aca="false">IF($A91="","",MAX(0,M91+$I91-AD91-S91))</f>
        <v/>
      </c>
      <c r="Z91" s="81" t="str">
        <f aca="false">IF($A91="","",MAX(0,N91+$I91-AE91-T91))</f>
        <v/>
      </c>
      <c r="AA91" s="81" t="str">
        <f aca="false">IF($A91="","",MAX(0,O91+$I91-AF91-U91))</f>
        <v/>
      </c>
      <c r="AB91" s="67" t="str">
        <f aca="false">IF($A91="","",MAX($I91,MAX(0,$H91)+P91-J91))</f>
        <v/>
      </c>
      <c r="AC91" s="67" t="str">
        <f aca="false">IF($A91="","",MAX($I91,AB91+Q91-K91))</f>
        <v/>
      </c>
      <c r="AD91" s="67" t="str">
        <f aca="false">IF($A91="","",MAX($I91,AC91+R91-L91))</f>
        <v/>
      </c>
      <c r="AE91" s="67" t="str">
        <f aca="false">IF($A91="","",MAX($I91,AD91+S91-M91))</f>
        <v/>
      </c>
      <c r="AF91" s="67" t="str">
        <f aca="false">IF($A91="","",MAX($I91,AE91+T91-N91))</f>
        <v/>
      </c>
      <c r="AG91" s="67" t="str">
        <f aca="false">IF($A91="","",MAX($I91,AF91+U91-O91))</f>
        <v/>
      </c>
      <c r="AH91" s="76" t="str">
        <f aca="false">IF($A91="","",IF($H91&lt;=0,"Already out",IF($E91&lt;=0,"No usage",IF(MAX(0,$H91)+SUM($P91:P91)-SUM($J91:J91)&lt;=0,$B$9,IF(MAX(0,$H91)+SUM($P91:Q91)-SUM($J91:K91)&lt;=0,$C$9,IF(MAX(0,$H91)+SUM($P91:R91)-SUM($J91:L91)&lt;=0,$D$9,IF(MAX(0,$H91)+SUM($P91:S91)-SUM($J91:M91)&lt;=0,$E$9,IF(MAX(0,$H91)+SUM($P91:T91)-SUM($J91:N91)&lt;=0,$F$9,IF(MAX(0,$H91)+SUM($P91:U91)-SUM($J91:O91)&lt;=0,$G$9,"Beyond 6 periods")))))))))</f>
        <v/>
      </c>
      <c r="AI91" s="67" t="str">
        <f aca="false">IF($A91="","",SUM(J91:O91))</f>
        <v/>
      </c>
      <c r="AJ91" s="68" t="str">
        <f aca="false">IF($A91="","",SUM(V91:AA91))</f>
        <v/>
      </c>
    </row>
    <row r="92" customFormat="false" ht="15" hidden="false" customHeight="false" outlineLevel="0" collapsed="false">
      <c r="A92" s="16" t="str">
        <f aca="false">IF('Stock Monitor'!$A60="","",'Stock Monitor'!$A60)</f>
        <v/>
      </c>
      <c r="B92" s="64" t="str">
        <f aca="false">IF($A92="","",'Stock Monitor'!$B60)</f>
        <v/>
      </c>
      <c r="C92" s="16" t="str">
        <f aca="false">IF($A92="","",'Stock Monitor'!$C60)</f>
        <v/>
      </c>
      <c r="D92" s="64" t="str">
        <f aca="false">IF($A92="","",'Stock Monitor'!$D60)</f>
        <v/>
      </c>
      <c r="E92" s="67" t="str">
        <f aca="false">IF($A92="","",'Stock Monitor'!$J60)</f>
        <v/>
      </c>
      <c r="F92" s="67" t="str">
        <f aca="false">IF($A92="","",$E92*WorkDaysWeek)</f>
        <v/>
      </c>
      <c r="G92" s="67" t="str">
        <f aca="false">IF($A92="","",$E92*WorkDaysMonth)</f>
        <v/>
      </c>
      <c r="H92" s="68" t="str">
        <f aca="false">IF($A92="","",'Stock Monitor'!$E60)</f>
        <v/>
      </c>
      <c r="I92" s="67" t="str">
        <f aca="false">IF($A92="","",'Stock Monitor'!$T60)</f>
        <v/>
      </c>
      <c r="J92" s="67" t="str">
        <f aca="false">IF($A92="","",$E92*B$8)</f>
        <v/>
      </c>
      <c r="K92" s="67" t="str">
        <f aca="false">IF($A92="","",$E92*C$8)</f>
        <v/>
      </c>
      <c r="L92" s="67" t="str">
        <f aca="false">IF($A92="","",$E92*D$8)</f>
        <v/>
      </c>
      <c r="M92" s="67" t="str">
        <f aca="false">IF($A92="","",$E92*E$8)</f>
        <v/>
      </c>
      <c r="N92" s="67" t="str">
        <f aca="false">IF($A92="","",$E92*F$8)</f>
        <v/>
      </c>
      <c r="O92" s="67" t="str">
        <f aca="false">IF($A92="","",$E92*G$8)</f>
        <v/>
      </c>
      <c r="P92" s="74" t="str">
        <f aca="false">IF($A92="","",SUMIFS(Del_Qty,Del_Site,$A92,Del_Mat,$B92,Del_Date,"&gt;="&amp;B$6,Del_Date,"&lt;="&amp;B$7))</f>
        <v/>
      </c>
      <c r="Q92" s="74" t="str">
        <f aca="false">IF($A92="","",SUMIFS(Del_Qty,Del_Site,$A92,Del_Mat,$B92,Del_Date,"&gt;="&amp;C$6,Del_Date,"&lt;="&amp;C$7))</f>
        <v/>
      </c>
      <c r="R92" s="74" t="str">
        <f aca="false">IF($A92="","",SUMIFS(Del_Qty,Del_Site,$A92,Del_Mat,$B92,Del_Date,"&gt;="&amp;D$6,Del_Date,"&lt;="&amp;D$7))</f>
        <v/>
      </c>
      <c r="S92" s="74" t="str">
        <f aca="false">IF($A92="","",SUMIFS(Del_Qty,Del_Site,$A92,Del_Mat,$B92,Del_Date,"&gt;="&amp;E$6,Del_Date,"&lt;="&amp;E$7))</f>
        <v/>
      </c>
      <c r="T92" s="74" t="str">
        <f aca="false">IF($A92="","",SUMIFS(Del_Qty,Del_Site,$A92,Del_Mat,$B92,Del_Date,"&gt;="&amp;F$6,Del_Date,"&lt;="&amp;F$7))</f>
        <v/>
      </c>
      <c r="U92" s="74" t="str">
        <f aca="false">IF($A92="","",SUMIFS(Del_Qty,Del_Site,$A92,Del_Mat,$B92,Del_Date,"&gt;="&amp;G$6,Del_Date,"&lt;="&amp;G$7))</f>
        <v/>
      </c>
      <c r="V92" s="81" t="str">
        <f aca="false">IF($A92="","",MAX(0,J92+$I92-MAX(0,$H92)-P92))</f>
        <v/>
      </c>
      <c r="W92" s="81" t="str">
        <f aca="false">IF($A92="","",MAX(0,K92+$I92-AB92-Q92))</f>
        <v/>
      </c>
      <c r="X92" s="81" t="str">
        <f aca="false">IF($A92="","",MAX(0,L92+$I92-AC92-R92))</f>
        <v/>
      </c>
      <c r="Y92" s="81" t="str">
        <f aca="false">IF($A92="","",MAX(0,M92+$I92-AD92-S92))</f>
        <v/>
      </c>
      <c r="Z92" s="81" t="str">
        <f aca="false">IF($A92="","",MAX(0,N92+$I92-AE92-T92))</f>
        <v/>
      </c>
      <c r="AA92" s="81" t="str">
        <f aca="false">IF($A92="","",MAX(0,O92+$I92-AF92-U92))</f>
        <v/>
      </c>
      <c r="AB92" s="67" t="str">
        <f aca="false">IF($A92="","",MAX($I92,MAX(0,$H92)+P92-J92))</f>
        <v/>
      </c>
      <c r="AC92" s="67" t="str">
        <f aca="false">IF($A92="","",MAX($I92,AB92+Q92-K92))</f>
        <v/>
      </c>
      <c r="AD92" s="67" t="str">
        <f aca="false">IF($A92="","",MAX($I92,AC92+R92-L92))</f>
        <v/>
      </c>
      <c r="AE92" s="67" t="str">
        <f aca="false">IF($A92="","",MAX($I92,AD92+S92-M92))</f>
        <v/>
      </c>
      <c r="AF92" s="67" t="str">
        <f aca="false">IF($A92="","",MAX($I92,AE92+T92-N92))</f>
        <v/>
      </c>
      <c r="AG92" s="67" t="str">
        <f aca="false">IF($A92="","",MAX($I92,AF92+U92-O92))</f>
        <v/>
      </c>
      <c r="AH92" s="76" t="str">
        <f aca="false">IF($A92="","",IF($H92&lt;=0,"Already out",IF($E92&lt;=0,"No usage",IF(MAX(0,$H92)+SUM($P92:P92)-SUM($J92:J92)&lt;=0,$B$9,IF(MAX(0,$H92)+SUM($P92:Q92)-SUM($J92:K92)&lt;=0,$C$9,IF(MAX(0,$H92)+SUM($P92:R92)-SUM($J92:L92)&lt;=0,$D$9,IF(MAX(0,$H92)+SUM($P92:S92)-SUM($J92:M92)&lt;=0,$E$9,IF(MAX(0,$H92)+SUM($P92:T92)-SUM($J92:N92)&lt;=0,$F$9,IF(MAX(0,$H92)+SUM($P92:U92)-SUM($J92:O92)&lt;=0,$G$9,"Beyond 6 periods")))))))))</f>
        <v/>
      </c>
      <c r="AI92" s="67" t="str">
        <f aca="false">IF($A92="","",SUM(J92:O92))</f>
        <v/>
      </c>
      <c r="AJ92" s="68" t="str">
        <f aca="false">IF($A92="","",SUM(V92:AA92))</f>
        <v/>
      </c>
    </row>
    <row r="93" customFormat="false" ht="15" hidden="false" customHeight="false" outlineLevel="0" collapsed="false">
      <c r="A93" s="16" t="str">
        <f aca="false">IF('Stock Monitor'!$A61="","",'Stock Monitor'!$A61)</f>
        <v/>
      </c>
      <c r="B93" s="64" t="str">
        <f aca="false">IF($A93="","",'Stock Monitor'!$B61)</f>
        <v/>
      </c>
      <c r="C93" s="16" t="str">
        <f aca="false">IF($A93="","",'Stock Monitor'!$C61)</f>
        <v/>
      </c>
      <c r="D93" s="64" t="str">
        <f aca="false">IF($A93="","",'Stock Monitor'!$D61)</f>
        <v/>
      </c>
      <c r="E93" s="67" t="str">
        <f aca="false">IF($A93="","",'Stock Monitor'!$J61)</f>
        <v/>
      </c>
      <c r="F93" s="67" t="str">
        <f aca="false">IF($A93="","",$E93*WorkDaysWeek)</f>
        <v/>
      </c>
      <c r="G93" s="67" t="str">
        <f aca="false">IF($A93="","",$E93*WorkDaysMonth)</f>
        <v/>
      </c>
      <c r="H93" s="68" t="str">
        <f aca="false">IF($A93="","",'Stock Monitor'!$E61)</f>
        <v/>
      </c>
      <c r="I93" s="67" t="str">
        <f aca="false">IF($A93="","",'Stock Monitor'!$T61)</f>
        <v/>
      </c>
      <c r="J93" s="67" t="str">
        <f aca="false">IF($A93="","",$E93*B$8)</f>
        <v/>
      </c>
      <c r="K93" s="67" t="str">
        <f aca="false">IF($A93="","",$E93*C$8)</f>
        <v/>
      </c>
      <c r="L93" s="67" t="str">
        <f aca="false">IF($A93="","",$E93*D$8)</f>
        <v/>
      </c>
      <c r="M93" s="67" t="str">
        <f aca="false">IF($A93="","",$E93*E$8)</f>
        <v/>
      </c>
      <c r="N93" s="67" t="str">
        <f aca="false">IF($A93="","",$E93*F$8)</f>
        <v/>
      </c>
      <c r="O93" s="67" t="str">
        <f aca="false">IF($A93="","",$E93*G$8)</f>
        <v/>
      </c>
      <c r="P93" s="74" t="str">
        <f aca="false">IF($A93="","",SUMIFS(Del_Qty,Del_Site,$A93,Del_Mat,$B93,Del_Date,"&gt;="&amp;B$6,Del_Date,"&lt;="&amp;B$7))</f>
        <v/>
      </c>
      <c r="Q93" s="74" t="str">
        <f aca="false">IF($A93="","",SUMIFS(Del_Qty,Del_Site,$A93,Del_Mat,$B93,Del_Date,"&gt;="&amp;C$6,Del_Date,"&lt;="&amp;C$7))</f>
        <v/>
      </c>
      <c r="R93" s="74" t="str">
        <f aca="false">IF($A93="","",SUMIFS(Del_Qty,Del_Site,$A93,Del_Mat,$B93,Del_Date,"&gt;="&amp;D$6,Del_Date,"&lt;="&amp;D$7))</f>
        <v/>
      </c>
      <c r="S93" s="74" t="str">
        <f aca="false">IF($A93="","",SUMIFS(Del_Qty,Del_Site,$A93,Del_Mat,$B93,Del_Date,"&gt;="&amp;E$6,Del_Date,"&lt;="&amp;E$7))</f>
        <v/>
      </c>
      <c r="T93" s="74" t="str">
        <f aca="false">IF($A93="","",SUMIFS(Del_Qty,Del_Site,$A93,Del_Mat,$B93,Del_Date,"&gt;="&amp;F$6,Del_Date,"&lt;="&amp;F$7))</f>
        <v/>
      </c>
      <c r="U93" s="74" t="str">
        <f aca="false">IF($A93="","",SUMIFS(Del_Qty,Del_Site,$A93,Del_Mat,$B93,Del_Date,"&gt;="&amp;G$6,Del_Date,"&lt;="&amp;G$7))</f>
        <v/>
      </c>
      <c r="V93" s="81" t="str">
        <f aca="false">IF($A93="","",MAX(0,J93+$I93-MAX(0,$H93)-P93))</f>
        <v/>
      </c>
      <c r="W93" s="81" t="str">
        <f aca="false">IF($A93="","",MAX(0,K93+$I93-AB93-Q93))</f>
        <v/>
      </c>
      <c r="X93" s="81" t="str">
        <f aca="false">IF($A93="","",MAX(0,L93+$I93-AC93-R93))</f>
        <v/>
      </c>
      <c r="Y93" s="81" t="str">
        <f aca="false">IF($A93="","",MAX(0,M93+$I93-AD93-S93))</f>
        <v/>
      </c>
      <c r="Z93" s="81" t="str">
        <f aca="false">IF($A93="","",MAX(0,N93+$I93-AE93-T93))</f>
        <v/>
      </c>
      <c r="AA93" s="81" t="str">
        <f aca="false">IF($A93="","",MAX(0,O93+$I93-AF93-U93))</f>
        <v/>
      </c>
      <c r="AB93" s="67" t="str">
        <f aca="false">IF($A93="","",MAX($I93,MAX(0,$H93)+P93-J93))</f>
        <v/>
      </c>
      <c r="AC93" s="67" t="str">
        <f aca="false">IF($A93="","",MAX($I93,AB93+Q93-K93))</f>
        <v/>
      </c>
      <c r="AD93" s="67" t="str">
        <f aca="false">IF($A93="","",MAX($I93,AC93+R93-L93))</f>
        <v/>
      </c>
      <c r="AE93" s="67" t="str">
        <f aca="false">IF($A93="","",MAX($I93,AD93+S93-M93))</f>
        <v/>
      </c>
      <c r="AF93" s="67" t="str">
        <f aca="false">IF($A93="","",MAX($I93,AE93+T93-N93))</f>
        <v/>
      </c>
      <c r="AG93" s="67" t="str">
        <f aca="false">IF($A93="","",MAX($I93,AF93+U93-O93))</f>
        <v/>
      </c>
      <c r="AH93" s="76" t="str">
        <f aca="false">IF($A93="","",IF($H93&lt;=0,"Already out",IF($E93&lt;=0,"No usage",IF(MAX(0,$H93)+SUM($P93:P93)-SUM($J93:J93)&lt;=0,$B$9,IF(MAX(0,$H93)+SUM($P93:Q93)-SUM($J93:K93)&lt;=0,$C$9,IF(MAX(0,$H93)+SUM($P93:R93)-SUM($J93:L93)&lt;=0,$D$9,IF(MAX(0,$H93)+SUM($P93:S93)-SUM($J93:M93)&lt;=0,$E$9,IF(MAX(0,$H93)+SUM($P93:T93)-SUM($J93:N93)&lt;=0,$F$9,IF(MAX(0,$H93)+SUM($P93:U93)-SUM($J93:O93)&lt;=0,$G$9,"Beyond 6 periods")))))))))</f>
        <v/>
      </c>
      <c r="AI93" s="67" t="str">
        <f aca="false">IF($A93="","",SUM(J93:O93))</f>
        <v/>
      </c>
      <c r="AJ93" s="68" t="str">
        <f aca="false">IF($A93="","",SUM(V93:AA93))</f>
        <v/>
      </c>
    </row>
    <row r="94" customFormat="false" ht="15" hidden="false" customHeight="false" outlineLevel="0" collapsed="false">
      <c r="A94" s="16" t="str">
        <f aca="false">IF('Stock Monitor'!$A62="","",'Stock Monitor'!$A62)</f>
        <v/>
      </c>
      <c r="B94" s="64" t="str">
        <f aca="false">IF($A94="","",'Stock Monitor'!$B62)</f>
        <v/>
      </c>
      <c r="C94" s="16" t="str">
        <f aca="false">IF($A94="","",'Stock Monitor'!$C62)</f>
        <v/>
      </c>
      <c r="D94" s="64" t="str">
        <f aca="false">IF($A94="","",'Stock Monitor'!$D62)</f>
        <v/>
      </c>
      <c r="E94" s="67" t="str">
        <f aca="false">IF($A94="","",'Stock Monitor'!$J62)</f>
        <v/>
      </c>
      <c r="F94" s="67" t="str">
        <f aca="false">IF($A94="","",$E94*WorkDaysWeek)</f>
        <v/>
      </c>
      <c r="G94" s="67" t="str">
        <f aca="false">IF($A94="","",$E94*WorkDaysMonth)</f>
        <v/>
      </c>
      <c r="H94" s="68" t="str">
        <f aca="false">IF($A94="","",'Stock Monitor'!$E62)</f>
        <v/>
      </c>
      <c r="I94" s="67" t="str">
        <f aca="false">IF($A94="","",'Stock Monitor'!$T62)</f>
        <v/>
      </c>
      <c r="J94" s="67" t="str">
        <f aca="false">IF($A94="","",$E94*B$8)</f>
        <v/>
      </c>
      <c r="K94" s="67" t="str">
        <f aca="false">IF($A94="","",$E94*C$8)</f>
        <v/>
      </c>
      <c r="L94" s="67" t="str">
        <f aca="false">IF($A94="","",$E94*D$8)</f>
        <v/>
      </c>
      <c r="M94" s="67" t="str">
        <f aca="false">IF($A94="","",$E94*E$8)</f>
        <v/>
      </c>
      <c r="N94" s="67" t="str">
        <f aca="false">IF($A94="","",$E94*F$8)</f>
        <v/>
      </c>
      <c r="O94" s="67" t="str">
        <f aca="false">IF($A94="","",$E94*G$8)</f>
        <v/>
      </c>
      <c r="P94" s="74" t="str">
        <f aca="false">IF($A94="","",SUMIFS(Del_Qty,Del_Site,$A94,Del_Mat,$B94,Del_Date,"&gt;="&amp;B$6,Del_Date,"&lt;="&amp;B$7))</f>
        <v/>
      </c>
      <c r="Q94" s="74" t="str">
        <f aca="false">IF($A94="","",SUMIFS(Del_Qty,Del_Site,$A94,Del_Mat,$B94,Del_Date,"&gt;="&amp;C$6,Del_Date,"&lt;="&amp;C$7))</f>
        <v/>
      </c>
      <c r="R94" s="74" t="str">
        <f aca="false">IF($A94="","",SUMIFS(Del_Qty,Del_Site,$A94,Del_Mat,$B94,Del_Date,"&gt;="&amp;D$6,Del_Date,"&lt;="&amp;D$7))</f>
        <v/>
      </c>
      <c r="S94" s="74" t="str">
        <f aca="false">IF($A94="","",SUMIFS(Del_Qty,Del_Site,$A94,Del_Mat,$B94,Del_Date,"&gt;="&amp;E$6,Del_Date,"&lt;="&amp;E$7))</f>
        <v/>
      </c>
      <c r="T94" s="74" t="str">
        <f aca="false">IF($A94="","",SUMIFS(Del_Qty,Del_Site,$A94,Del_Mat,$B94,Del_Date,"&gt;="&amp;F$6,Del_Date,"&lt;="&amp;F$7))</f>
        <v/>
      </c>
      <c r="U94" s="74" t="str">
        <f aca="false">IF($A94="","",SUMIFS(Del_Qty,Del_Site,$A94,Del_Mat,$B94,Del_Date,"&gt;="&amp;G$6,Del_Date,"&lt;="&amp;G$7))</f>
        <v/>
      </c>
      <c r="V94" s="81" t="str">
        <f aca="false">IF($A94="","",MAX(0,J94+$I94-MAX(0,$H94)-P94))</f>
        <v/>
      </c>
      <c r="W94" s="81" t="str">
        <f aca="false">IF($A94="","",MAX(0,K94+$I94-AB94-Q94))</f>
        <v/>
      </c>
      <c r="X94" s="81" t="str">
        <f aca="false">IF($A94="","",MAX(0,L94+$I94-AC94-R94))</f>
        <v/>
      </c>
      <c r="Y94" s="81" t="str">
        <f aca="false">IF($A94="","",MAX(0,M94+$I94-AD94-S94))</f>
        <v/>
      </c>
      <c r="Z94" s="81" t="str">
        <f aca="false">IF($A94="","",MAX(0,N94+$I94-AE94-T94))</f>
        <v/>
      </c>
      <c r="AA94" s="81" t="str">
        <f aca="false">IF($A94="","",MAX(0,O94+$I94-AF94-U94))</f>
        <v/>
      </c>
      <c r="AB94" s="67" t="str">
        <f aca="false">IF($A94="","",MAX($I94,MAX(0,$H94)+P94-J94))</f>
        <v/>
      </c>
      <c r="AC94" s="67" t="str">
        <f aca="false">IF($A94="","",MAX($I94,AB94+Q94-K94))</f>
        <v/>
      </c>
      <c r="AD94" s="67" t="str">
        <f aca="false">IF($A94="","",MAX($I94,AC94+R94-L94))</f>
        <v/>
      </c>
      <c r="AE94" s="67" t="str">
        <f aca="false">IF($A94="","",MAX($I94,AD94+S94-M94))</f>
        <v/>
      </c>
      <c r="AF94" s="67" t="str">
        <f aca="false">IF($A94="","",MAX($I94,AE94+T94-N94))</f>
        <v/>
      </c>
      <c r="AG94" s="67" t="str">
        <f aca="false">IF($A94="","",MAX($I94,AF94+U94-O94))</f>
        <v/>
      </c>
      <c r="AH94" s="76" t="str">
        <f aca="false">IF($A94="","",IF($H94&lt;=0,"Already out",IF($E94&lt;=0,"No usage",IF(MAX(0,$H94)+SUM($P94:P94)-SUM($J94:J94)&lt;=0,$B$9,IF(MAX(0,$H94)+SUM($P94:Q94)-SUM($J94:K94)&lt;=0,$C$9,IF(MAX(0,$H94)+SUM($P94:R94)-SUM($J94:L94)&lt;=0,$D$9,IF(MAX(0,$H94)+SUM($P94:S94)-SUM($J94:M94)&lt;=0,$E$9,IF(MAX(0,$H94)+SUM($P94:T94)-SUM($J94:N94)&lt;=0,$F$9,IF(MAX(0,$H94)+SUM($P94:U94)-SUM($J94:O94)&lt;=0,$G$9,"Beyond 6 periods")))))))))</f>
        <v/>
      </c>
      <c r="AI94" s="67" t="str">
        <f aca="false">IF($A94="","",SUM(J94:O94))</f>
        <v/>
      </c>
      <c r="AJ94" s="68" t="str">
        <f aca="false">IF($A94="","",SUM(V94:AA94))</f>
        <v/>
      </c>
    </row>
    <row r="95" customFormat="false" ht="15" hidden="false" customHeight="false" outlineLevel="0" collapsed="false">
      <c r="A95" s="16" t="str">
        <f aca="false">IF('Stock Monitor'!$A63="","",'Stock Monitor'!$A63)</f>
        <v/>
      </c>
      <c r="B95" s="64" t="str">
        <f aca="false">IF($A95="","",'Stock Monitor'!$B63)</f>
        <v/>
      </c>
      <c r="C95" s="16" t="str">
        <f aca="false">IF($A95="","",'Stock Monitor'!$C63)</f>
        <v/>
      </c>
      <c r="D95" s="64" t="str">
        <f aca="false">IF($A95="","",'Stock Monitor'!$D63)</f>
        <v/>
      </c>
      <c r="E95" s="67" t="str">
        <f aca="false">IF($A95="","",'Stock Monitor'!$J63)</f>
        <v/>
      </c>
      <c r="F95" s="67" t="str">
        <f aca="false">IF($A95="","",$E95*WorkDaysWeek)</f>
        <v/>
      </c>
      <c r="G95" s="67" t="str">
        <f aca="false">IF($A95="","",$E95*WorkDaysMonth)</f>
        <v/>
      </c>
      <c r="H95" s="68" t="str">
        <f aca="false">IF($A95="","",'Stock Monitor'!$E63)</f>
        <v/>
      </c>
      <c r="I95" s="67" t="str">
        <f aca="false">IF($A95="","",'Stock Monitor'!$T63)</f>
        <v/>
      </c>
      <c r="J95" s="67" t="str">
        <f aca="false">IF($A95="","",$E95*B$8)</f>
        <v/>
      </c>
      <c r="K95" s="67" t="str">
        <f aca="false">IF($A95="","",$E95*C$8)</f>
        <v/>
      </c>
      <c r="L95" s="67" t="str">
        <f aca="false">IF($A95="","",$E95*D$8)</f>
        <v/>
      </c>
      <c r="M95" s="67" t="str">
        <f aca="false">IF($A95="","",$E95*E$8)</f>
        <v/>
      </c>
      <c r="N95" s="67" t="str">
        <f aca="false">IF($A95="","",$E95*F$8)</f>
        <v/>
      </c>
      <c r="O95" s="67" t="str">
        <f aca="false">IF($A95="","",$E95*G$8)</f>
        <v/>
      </c>
      <c r="P95" s="74" t="str">
        <f aca="false">IF($A95="","",SUMIFS(Del_Qty,Del_Site,$A95,Del_Mat,$B95,Del_Date,"&gt;="&amp;B$6,Del_Date,"&lt;="&amp;B$7))</f>
        <v/>
      </c>
      <c r="Q95" s="74" t="str">
        <f aca="false">IF($A95="","",SUMIFS(Del_Qty,Del_Site,$A95,Del_Mat,$B95,Del_Date,"&gt;="&amp;C$6,Del_Date,"&lt;="&amp;C$7))</f>
        <v/>
      </c>
      <c r="R95" s="74" t="str">
        <f aca="false">IF($A95="","",SUMIFS(Del_Qty,Del_Site,$A95,Del_Mat,$B95,Del_Date,"&gt;="&amp;D$6,Del_Date,"&lt;="&amp;D$7))</f>
        <v/>
      </c>
      <c r="S95" s="74" t="str">
        <f aca="false">IF($A95="","",SUMIFS(Del_Qty,Del_Site,$A95,Del_Mat,$B95,Del_Date,"&gt;="&amp;E$6,Del_Date,"&lt;="&amp;E$7))</f>
        <v/>
      </c>
      <c r="T95" s="74" t="str">
        <f aca="false">IF($A95="","",SUMIFS(Del_Qty,Del_Site,$A95,Del_Mat,$B95,Del_Date,"&gt;="&amp;F$6,Del_Date,"&lt;="&amp;F$7))</f>
        <v/>
      </c>
      <c r="U95" s="74" t="str">
        <f aca="false">IF($A95="","",SUMIFS(Del_Qty,Del_Site,$A95,Del_Mat,$B95,Del_Date,"&gt;="&amp;G$6,Del_Date,"&lt;="&amp;G$7))</f>
        <v/>
      </c>
      <c r="V95" s="81" t="str">
        <f aca="false">IF($A95="","",MAX(0,J95+$I95-MAX(0,$H95)-P95))</f>
        <v/>
      </c>
      <c r="W95" s="81" t="str">
        <f aca="false">IF($A95="","",MAX(0,K95+$I95-AB95-Q95))</f>
        <v/>
      </c>
      <c r="X95" s="81" t="str">
        <f aca="false">IF($A95="","",MAX(0,L95+$I95-AC95-R95))</f>
        <v/>
      </c>
      <c r="Y95" s="81" t="str">
        <f aca="false">IF($A95="","",MAX(0,M95+$I95-AD95-S95))</f>
        <v/>
      </c>
      <c r="Z95" s="81" t="str">
        <f aca="false">IF($A95="","",MAX(0,N95+$I95-AE95-T95))</f>
        <v/>
      </c>
      <c r="AA95" s="81" t="str">
        <f aca="false">IF($A95="","",MAX(0,O95+$I95-AF95-U95))</f>
        <v/>
      </c>
      <c r="AB95" s="67" t="str">
        <f aca="false">IF($A95="","",MAX($I95,MAX(0,$H95)+P95-J95))</f>
        <v/>
      </c>
      <c r="AC95" s="67" t="str">
        <f aca="false">IF($A95="","",MAX($I95,AB95+Q95-K95))</f>
        <v/>
      </c>
      <c r="AD95" s="67" t="str">
        <f aca="false">IF($A95="","",MAX($I95,AC95+R95-L95))</f>
        <v/>
      </c>
      <c r="AE95" s="67" t="str">
        <f aca="false">IF($A95="","",MAX($I95,AD95+S95-M95))</f>
        <v/>
      </c>
      <c r="AF95" s="67" t="str">
        <f aca="false">IF($A95="","",MAX($I95,AE95+T95-N95))</f>
        <v/>
      </c>
      <c r="AG95" s="67" t="str">
        <f aca="false">IF($A95="","",MAX($I95,AF95+U95-O95))</f>
        <v/>
      </c>
      <c r="AH95" s="76" t="str">
        <f aca="false">IF($A95="","",IF($H95&lt;=0,"Already out",IF($E95&lt;=0,"No usage",IF(MAX(0,$H95)+SUM($P95:P95)-SUM($J95:J95)&lt;=0,$B$9,IF(MAX(0,$H95)+SUM($P95:Q95)-SUM($J95:K95)&lt;=0,$C$9,IF(MAX(0,$H95)+SUM($P95:R95)-SUM($J95:L95)&lt;=0,$D$9,IF(MAX(0,$H95)+SUM($P95:S95)-SUM($J95:M95)&lt;=0,$E$9,IF(MAX(0,$H95)+SUM($P95:T95)-SUM($J95:N95)&lt;=0,$F$9,IF(MAX(0,$H95)+SUM($P95:U95)-SUM($J95:O95)&lt;=0,$G$9,"Beyond 6 periods")))))))))</f>
        <v/>
      </c>
      <c r="AI95" s="67" t="str">
        <f aca="false">IF($A95="","",SUM(J95:O95))</f>
        <v/>
      </c>
      <c r="AJ95" s="68" t="str">
        <f aca="false">IF($A95="","",SUM(V95:AA95))</f>
        <v/>
      </c>
    </row>
    <row r="96" customFormat="false" ht="15" hidden="false" customHeight="false" outlineLevel="0" collapsed="false">
      <c r="A96" s="16" t="str">
        <f aca="false">IF('Stock Monitor'!$A64="","",'Stock Monitor'!$A64)</f>
        <v/>
      </c>
      <c r="B96" s="64" t="str">
        <f aca="false">IF($A96="","",'Stock Monitor'!$B64)</f>
        <v/>
      </c>
      <c r="C96" s="16" t="str">
        <f aca="false">IF($A96="","",'Stock Monitor'!$C64)</f>
        <v/>
      </c>
      <c r="D96" s="64" t="str">
        <f aca="false">IF($A96="","",'Stock Monitor'!$D64)</f>
        <v/>
      </c>
      <c r="E96" s="67" t="str">
        <f aca="false">IF($A96="","",'Stock Monitor'!$J64)</f>
        <v/>
      </c>
      <c r="F96" s="67" t="str">
        <f aca="false">IF($A96="","",$E96*WorkDaysWeek)</f>
        <v/>
      </c>
      <c r="G96" s="67" t="str">
        <f aca="false">IF($A96="","",$E96*WorkDaysMonth)</f>
        <v/>
      </c>
      <c r="H96" s="68" t="str">
        <f aca="false">IF($A96="","",'Stock Monitor'!$E64)</f>
        <v/>
      </c>
      <c r="I96" s="67" t="str">
        <f aca="false">IF($A96="","",'Stock Monitor'!$T64)</f>
        <v/>
      </c>
      <c r="J96" s="67" t="str">
        <f aca="false">IF($A96="","",$E96*B$8)</f>
        <v/>
      </c>
      <c r="K96" s="67" t="str">
        <f aca="false">IF($A96="","",$E96*C$8)</f>
        <v/>
      </c>
      <c r="L96" s="67" t="str">
        <f aca="false">IF($A96="","",$E96*D$8)</f>
        <v/>
      </c>
      <c r="M96" s="67" t="str">
        <f aca="false">IF($A96="","",$E96*E$8)</f>
        <v/>
      </c>
      <c r="N96" s="67" t="str">
        <f aca="false">IF($A96="","",$E96*F$8)</f>
        <v/>
      </c>
      <c r="O96" s="67" t="str">
        <f aca="false">IF($A96="","",$E96*G$8)</f>
        <v/>
      </c>
      <c r="P96" s="74" t="str">
        <f aca="false">IF($A96="","",SUMIFS(Del_Qty,Del_Site,$A96,Del_Mat,$B96,Del_Date,"&gt;="&amp;B$6,Del_Date,"&lt;="&amp;B$7))</f>
        <v/>
      </c>
      <c r="Q96" s="74" t="str">
        <f aca="false">IF($A96="","",SUMIFS(Del_Qty,Del_Site,$A96,Del_Mat,$B96,Del_Date,"&gt;="&amp;C$6,Del_Date,"&lt;="&amp;C$7))</f>
        <v/>
      </c>
      <c r="R96" s="74" t="str">
        <f aca="false">IF($A96="","",SUMIFS(Del_Qty,Del_Site,$A96,Del_Mat,$B96,Del_Date,"&gt;="&amp;D$6,Del_Date,"&lt;="&amp;D$7))</f>
        <v/>
      </c>
      <c r="S96" s="74" t="str">
        <f aca="false">IF($A96="","",SUMIFS(Del_Qty,Del_Site,$A96,Del_Mat,$B96,Del_Date,"&gt;="&amp;E$6,Del_Date,"&lt;="&amp;E$7))</f>
        <v/>
      </c>
      <c r="T96" s="74" t="str">
        <f aca="false">IF($A96="","",SUMIFS(Del_Qty,Del_Site,$A96,Del_Mat,$B96,Del_Date,"&gt;="&amp;F$6,Del_Date,"&lt;="&amp;F$7))</f>
        <v/>
      </c>
      <c r="U96" s="74" t="str">
        <f aca="false">IF($A96="","",SUMIFS(Del_Qty,Del_Site,$A96,Del_Mat,$B96,Del_Date,"&gt;="&amp;G$6,Del_Date,"&lt;="&amp;G$7))</f>
        <v/>
      </c>
      <c r="V96" s="81" t="str">
        <f aca="false">IF($A96="","",MAX(0,J96+$I96-MAX(0,$H96)-P96))</f>
        <v/>
      </c>
      <c r="W96" s="81" t="str">
        <f aca="false">IF($A96="","",MAX(0,K96+$I96-AB96-Q96))</f>
        <v/>
      </c>
      <c r="X96" s="81" t="str">
        <f aca="false">IF($A96="","",MAX(0,L96+$I96-AC96-R96))</f>
        <v/>
      </c>
      <c r="Y96" s="81" t="str">
        <f aca="false">IF($A96="","",MAX(0,M96+$I96-AD96-S96))</f>
        <v/>
      </c>
      <c r="Z96" s="81" t="str">
        <f aca="false">IF($A96="","",MAX(0,N96+$I96-AE96-T96))</f>
        <v/>
      </c>
      <c r="AA96" s="81" t="str">
        <f aca="false">IF($A96="","",MAX(0,O96+$I96-AF96-U96))</f>
        <v/>
      </c>
      <c r="AB96" s="67" t="str">
        <f aca="false">IF($A96="","",MAX($I96,MAX(0,$H96)+P96-J96))</f>
        <v/>
      </c>
      <c r="AC96" s="67" t="str">
        <f aca="false">IF($A96="","",MAX($I96,AB96+Q96-K96))</f>
        <v/>
      </c>
      <c r="AD96" s="67" t="str">
        <f aca="false">IF($A96="","",MAX($I96,AC96+R96-L96))</f>
        <v/>
      </c>
      <c r="AE96" s="67" t="str">
        <f aca="false">IF($A96="","",MAX($I96,AD96+S96-M96))</f>
        <v/>
      </c>
      <c r="AF96" s="67" t="str">
        <f aca="false">IF($A96="","",MAX($I96,AE96+T96-N96))</f>
        <v/>
      </c>
      <c r="AG96" s="67" t="str">
        <f aca="false">IF($A96="","",MAX($I96,AF96+U96-O96))</f>
        <v/>
      </c>
      <c r="AH96" s="76" t="str">
        <f aca="false">IF($A96="","",IF($H96&lt;=0,"Already out",IF($E96&lt;=0,"No usage",IF(MAX(0,$H96)+SUM($P96:P96)-SUM($J96:J96)&lt;=0,$B$9,IF(MAX(0,$H96)+SUM($P96:Q96)-SUM($J96:K96)&lt;=0,$C$9,IF(MAX(0,$H96)+SUM($P96:R96)-SUM($J96:L96)&lt;=0,$D$9,IF(MAX(0,$H96)+SUM($P96:S96)-SUM($J96:M96)&lt;=0,$E$9,IF(MAX(0,$H96)+SUM($P96:T96)-SUM($J96:N96)&lt;=0,$F$9,IF(MAX(0,$H96)+SUM($P96:U96)-SUM($J96:O96)&lt;=0,$G$9,"Beyond 6 periods")))))))))</f>
        <v/>
      </c>
      <c r="AI96" s="67" t="str">
        <f aca="false">IF($A96="","",SUM(J96:O96))</f>
        <v/>
      </c>
      <c r="AJ96" s="68" t="str">
        <f aca="false">IF($A96="","",SUM(V96:AA96))</f>
        <v/>
      </c>
    </row>
    <row r="97" customFormat="false" ht="15" hidden="false" customHeight="false" outlineLevel="0" collapsed="false">
      <c r="A97" s="16" t="str">
        <f aca="false">IF('Stock Monitor'!$A65="","",'Stock Monitor'!$A65)</f>
        <v/>
      </c>
      <c r="B97" s="64" t="str">
        <f aca="false">IF($A97="","",'Stock Monitor'!$B65)</f>
        <v/>
      </c>
      <c r="C97" s="16" t="str">
        <f aca="false">IF($A97="","",'Stock Monitor'!$C65)</f>
        <v/>
      </c>
      <c r="D97" s="64" t="str">
        <f aca="false">IF($A97="","",'Stock Monitor'!$D65)</f>
        <v/>
      </c>
      <c r="E97" s="67" t="str">
        <f aca="false">IF($A97="","",'Stock Monitor'!$J65)</f>
        <v/>
      </c>
      <c r="F97" s="67" t="str">
        <f aca="false">IF($A97="","",$E97*WorkDaysWeek)</f>
        <v/>
      </c>
      <c r="G97" s="67" t="str">
        <f aca="false">IF($A97="","",$E97*WorkDaysMonth)</f>
        <v/>
      </c>
      <c r="H97" s="68" t="str">
        <f aca="false">IF($A97="","",'Stock Monitor'!$E65)</f>
        <v/>
      </c>
      <c r="I97" s="67" t="str">
        <f aca="false">IF($A97="","",'Stock Monitor'!$T65)</f>
        <v/>
      </c>
      <c r="J97" s="67" t="str">
        <f aca="false">IF($A97="","",$E97*B$8)</f>
        <v/>
      </c>
      <c r="K97" s="67" t="str">
        <f aca="false">IF($A97="","",$E97*C$8)</f>
        <v/>
      </c>
      <c r="L97" s="67" t="str">
        <f aca="false">IF($A97="","",$E97*D$8)</f>
        <v/>
      </c>
      <c r="M97" s="67" t="str">
        <f aca="false">IF($A97="","",$E97*E$8)</f>
        <v/>
      </c>
      <c r="N97" s="67" t="str">
        <f aca="false">IF($A97="","",$E97*F$8)</f>
        <v/>
      </c>
      <c r="O97" s="67" t="str">
        <f aca="false">IF($A97="","",$E97*G$8)</f>
        <v/>
      </c>
      <c r="P97" s="74" t="str">
        <f aca="false">IF($A97="","",SUMIFS(Del_Qty,Del_Site,$A97,Del_Mat,$B97,Del_Date,"&gt;="&amp;B$6,Del_Date,"&lt;="&amp;B$7))</f>
        <v/>
      </c>
      <c r="Q97" s="74" t="str">
        <f aca="false">IF($A97="","",SUMIFS(Del_Qty,Del_Site,$A97,Del_Mat,$B97,Del_Date,"&gt;="&amp;C$6,Del_Date,"&lt;="&amp;C$7))</f>
        <v/>
      </c>
      <c r="R97" s="74" t="str">
        <f aca="false">IF($A97="","",SUMIFS(Del_Qty,Del_Site,$A97,Del_Mat,$B97,Del_Date,"&gt;="&amp;D$6,Del_Date,"&lt;="&amp;D$7))</f>
        <v/>
      </c>
      <c r="S97" s="74" t="str">
        <f aca="false">IF($A97="","",SUMIFS(Del_Qty,Del_Site,$A97,Del_Mat,$B97,Del_Date,"&gt;="&amp;E$6,Del_Date,"&lt;="&amp;E$7))</f>
        <v/>
      </c>
      <c r="T97" s="74" t="str">
        <f aca="false">IF($A97="","",SUMIFS(Del_Qty,Del_Site,$A97,Del_Mat,$B97,Del_Date,"&gt;="&amp;F$6,Del_Date,"&lt;="&amp;F$7))</f>
        <v/>
      </c>
      <c r="U97" s="74" t="str">
        <f aca="false">IF($A97="","",SUMIFS(Del_Qty,Del_Site,$A97,Del_Mat,$B97,Del_Date,"&gt;="&amp;G$6,Del_Date,"&lt;="&amp;G$7))</f>
        <v/>
      </c>
      <c r="V97" s="81" t="str">
        <f aca="false">IF($A97="","",MAX(0,J97+$I97-MAX(0,$H97)-P97))</f>
        <v/>
      </c>
      <c r="W97" s="81" t="str">
        <f aca="false">IF($A97="","",MAX(0,K97+$I97-AB97-Q97))</f>
        <v/>
      </c>
      <c r="X97" s="81" t="str">
        <f aca="false">IF($A97="","",MAX(0,L97+$I97-AC97-R97))</f>
        <v/>
      </c>
      <c r="Y97" s="81" t="str">
        <f aca="false">IF($A97="","",MAX(0,M97+$I97-AD97-S97))</f>
        <v/>
      </c>
      <c r="Z97" s="81" t="str">
        <f aca="false">IF($A97="","",MAX(0,N97+$I97-AE97-T97))</f>
        <v/>
      </c>
      <c r="AA97" s="81" t="str">
        <f aca="false">IF($A97="","",MAX(0,O97+$I97-AF97-U97))</f>
        <v/>
      </c>
      <c r="AB97" s="67" t="str">
        <f aca="false">IF($A97="","",MAX($I97,MAX(0,$H97)+P97-J97))</f>
        <v/>
      </c>
      <c r="AC97" s="67" t="str">
        <f aca="false">IF($A97="","",MAX($I97,AB97+Q97-K97))</f>
        <v/>
      </c>
      <c r="AD97" s="67" t="str">
        <f aca="false">IF($A97="","",MAX($I97,AC97+R97-L97))</f>
        <v/>
      </c>
      <c r="AE97" s="67" t="str">
        <f aca="false">IF($A97="","",MAX($I97,AD97+S97-M97))</f>
        <v/>
      </c>
      <c r="AF97" s="67" t="str">
        <f aca="false">IF($A97="","",MAX($I97,AE97+T97-N97))</f>
        <v/>
      </c>
      <c r="AG97" s="67" t="str">
        <f aca="false">IF($A97="","",MAX($I97,AF97+U97-O97))</f>
        <v/>
      </c>
      <c r="AH97" s="76" t="str">
        <f aca="false">IF($A97="","",IF($H97&lt;=0,"Already out",IF($E97&lt;=0,"No usage",IF(MAX(0,$H97)+SUM($P97:P97)-SUM($J97:J97)&lt;=0,$B$9,IF(MAX(0,$H97)+SUM($P97:Q97)-SUM($J97:K97)&lt;=0,$C$9,IF(MAX(0,$H97)+SUM($P97:R97)-SUM($J97:L97)&lt;=0,$D$9,IF(MAX(0,$H97)+SUM($P97:S97)-SUM($J97:M97)&lt;=0,$E$9,IF(MAX(0,$H97)+SUM($P97:T97)-SUM($J97:N97)&lt;=0,$F$9,IF(MAX(0,$H97)+SUM($P97:U97)-SUM($J97:O97)&lt;=0,$G$9,"Beyond 6 periods")))))))))</f>
        <v/>
      </c>
      <c r="AI97" s="67" t="str">
        <f aca="false">IF($A97="","",SUM(J97:O97))</f>
        <v/>
      </c>
      <c r="AJ97" s="68" t="str">
        <f aca="false">IF($A97="","",SUM(V97:AA97))</f>
        <v/>
      </c>
    </row>
    <row r="98" customFormat="false" ht="15" hidden="false" customHeight="false" outlineLevel="0" collapsed="false">
      <c r="A98" s="16" t="str">
        <f aca="false">IF('Stock Monitor'!$A66="","",'Stock Monitor'!$A66)</f>
        <v/>
      </c>
      <c r="B98" s="64" t="str">
        <f aca="false">IF($A98="","",'Stock Monitor'!$B66)</f>
        <v/>
      </c>
      <c r="C98" s="16" t="str">
        <f aca="false">IF($A98="","",'Stock Monitor'!$C66)</f>
        <v/>
      </c>
      <c r="D98" s="64" t="str">
        <f aca="false">IF($A98="","",'Stock Monitor'!$D66)</f>
        <v/>
      </c>
      <c r="E98" s="67" t="str">
        <f aca="false">IF($A98="","",'Stock Monitor'!$J66)</f>
        <v/>
      </c>
      <c r="F98" s="67" t="str">
        <f aca="false">IF($A98="","",$E98*WorkDaysWeek)</f>
        <v/>
      </c>
      <c r="G98" s="67" t="str">
        <f aca="false">IF($A98="","",$E98*WorkDaysMonth)</f>
        <v/>
      </c>
      <c r="H98" s="68" t="str">
        <f aca="false">IF($A98="","",'Stock Monitor'!$E66)</f>
        <v/>
      </c>
      <c r="I98" s="67" t="str">
        <f aca="false">IF($A98="","",'Stock Monitor'!$T66)</f>
        <v/>
      </c>
      <c r="J98" s="67" t="str">
        <f aca="false">IF($A98="","",$E98*B$8)</f>
        <v/>
      </c>
      <c r="K98" s="67" t="str">
        <f aca="false">IF($A98="","",$E98*C$8)</f>
        <v/>
      </c>
      <c r="L98" s="67" t="str">
        <f aca="false">IF($A98="","",$E98*D$8)</f>
        <v/>
      </c>
      <c r="M98" s="67" t="str">
        <f aca="false">IF($A98="","",$E98*E$8)</f>
        <v/>
      </c>
      <c r="N98" s="67" t="str">
        <f aca="false">IF($A98="","",$E98*F$8)</f>
        <v/>
      </c>
      <c r="O98" s="67" t="str">
        <f aca="false">IF($A98="","",$E98*G$8)</f>
        <v/>
      </c>
      <c r="P98" s="74" t="str">
        <f aca="false">IF($A98="","",SUMIFS(Del_Qty,Del_Site,$A98,Del_Mat,$B98,Del_Date,"&gt;="&amp;B$6,Del_Date,"&lt;="&amp;B$7))</f>
        <v/>
      </c>
      <c r="Q98" s="74" t="str">
        <f aca="false">IF($A98="","",SUMIFS(Del_Qty,Del_Site,$A98,Del_Mat,$B98,Del_Date,"&gt;="&amp;C$6,Del_Date,"&lt;="&amp;C$7))</f>
        <v/>
      </c>
      <c r="R98" s="74" t="str">
        <f aca="false">IF($A98="","",SUMIFS(Del_Qty,Del_Site,$A98,Del_Mat,$B98,Del_Date,"&gt;="&amp;D$6,Del_Date,"&lt;="&amp;D$7))</f>
        <v/>
      </c>
      <c r="S98" s="74" t="str">
        <f aca="false">IF($A98="","",SUMIFS(Del_Qty,Del_Site,$A98,Del_Mat,$B98,Del_Date,"&gt;="&amp;E$6,Del_Date,"&lt;="&amp;E$7))</f>
        <v/>
      </c>
      <c r="T98" s="74" t="str">
        <f aca="false">IF($A98="","",SUMIFS(Del_Qty,Del_Site,$A98,Del_Mat,$B98,Del_Date,"&gt;="&amp;F$6,Del_Date,"&lt;="&amp;F$7))</f>
        <v/>
      </c>
      <c r="U98" s="74" t="str">
        <f aca="false">IF($A98="","",SUMIFS(Del_Qty,Del_Site,$A98,Del_Mat,$B98,Del_Date,"&gt;="&amp;G$6,Del_Date,"&lt;="&amp;G$7))</f>
        <v/>
      </c>
      <c r="V98" s="81" t="str">
        <f aca="false">IF($A98="","",MAX(0,J98+$I98-MAX(0,$H98)-P98))</f>
        <v/>
      </c>
      <c r="W98" s="81" t="str">
        <f aca="false">IF($A98="","",MAX(0,K98+$I98-AB98-Q98))</f>
        <v/>
      </c>
      <c r="X98" s="81" t="str">
        <f aca="false">IF($A98="","",MAX(0,L98+$I98-AC98-R98))</f>
        <v/>
      </c>
      <c r="Y98" s="81" t="str">
        <f aca="false">IF($A98="","",MAX(0,M98+$I98-AD98-S98))</f>
        <v/>
      </c>
      <c r="Z98" s="81" t="str">
        <f aca="false">IF($A98="","",MAX(0,N98+$I98-AE98-T98))</f>
        <v/>
      </c>
      <c r="AA98" s="81" t="str">
        <f aca="false">IF($A98="","",MAX(0,O98+$I98-AF98-U98))</f>
        <v/>
      </c>
      <c r="AB98" s="67" t="str">
        <f aca="false">IF($A98="","",MAX($I98,MAX(0,$H98)+P98-J98))</f>
        <v/>
      </c>
      <c r="AC98" s="67" t="str">
        <f aca="false">IF($A98="","",MAX($I98,AB98+Q98-K98))</f>
        <v/>
      </c>
      <c r="AD98" s="67" t="str">
        <f aca="false">IF($A98="","",MAX($I98,AC98+R98-L98))</f>
        <v/>
      </c>
      <c r="AE98" s="67" t="str">
        <f aca="false">IF($A98="","",MAX($I98,AD98+S98-M98))</f>
        <v/>
      </c>
      <c r="AF98" s="67" t="str">
        <f aca="false">IF($A98="","",MAX($I98,AE98+T98-N98))</f>
        <v/>
      </c>
      <c r="AG98" s="67" t="str">
        <f aca="false">IF($A98="","",MAX($I98,AF98+U98-O98))</f>
        <v/>
      </c>
      <c r="AH98" s="76" t="str">
        <f aca="false">IF($A98="","",IF($H98&lt;=0,"Already out",IF($E98&lt;=0,"No usage",IF(MAX(0,$H98)+SUM($P98:P98)-SUM($J98:J98)&lt;=0,$B$9,IF(MAX(0,$H98)+SUM($P98:Q98)-SUM($J98:K98)&lt;=0,$C$9,IF(MAX(0,$H98)+SUM($P98:R98)-SUM($J98:L98)&lt;=0,$D$9,IF(MAX(0,$H98)+SUM($P98:S98)-SUM($J98:M98)&lt;=0,$E$9,IF(MAX(0,$H98)+SUM($P98:T98)-SUM($J98:N98)&lt;=0,$F$9,IF(MAX(0,$H98)+SUM($P98:U98)-SUM($J98:O98)&lt;=0,$G$9,"Beyond 6 periods")))))))))</f>
        <v/>
      </c>
      <c r="AI98" s="67" t="str">
        <f aca="false">IF($A98="","",SUM(J98:O98))</f>
        <v/>
      </c>
      <c r="AJ98" s="68" t="str">
        <f aca="false">IF($A98="","",SUM(V98:AA98))</f>
        <v/>
      </c>
    </row>
    <row r="99" customFormat="false" ht="15" hidden="false" customHeight="false" outlineLevel="0" collapsed="false">
      <c r="A99" s="16" t="str">
        <f aca="false">IF('Stock Monitor'!$A67="","",'Stock Monitor'!$A67)</f>
        <v/>
      </c>
      <c r="B99" s="64" t="str">
        <f aca="false">IF($A99="","",'Stock Monitor'!$B67)</f>
        <v/>
      </c>
      <c r="C99" s="16" t="str">
        <f aca="false">IF($A99="","",'Stock Monitor'!$C67)</f>
        <v/>
      </c>
      <c r="D99" s="64" t="str">
        <f aca="false">IF($A99="","",'Stock Monitor'!$D67)</f>
        <v/>
      </c>
      <c r="E99" s="67" t="str">
        <f aca="false">IF($A99="","",'Stock Monitor'!$J67)</f>
        <v/>
      </c>
      <c r="F99" s="67" t="str">
        <f aca="false">IF($A99="","",$E99*WorkDaysWeek)</f>
        <v/>
      </c>
      <c r="G99" s="67" t="str">
        <f aca="false">IF($A99="","",$E99*WorkDaysMonth)</f>
        <v/>
      </c>
      <c r="H99" s="68" t="str">
        <f aca="false">IF($A99="","",'Stock Monitor'!$E67)</f>
        <v/>
      </c>
      <c r="I99" s="67" t="str">
        <f aca="false">IF($A99="","",'Stock Monitor'!$T67)</f>
        <v/>
      </c>
      <c r="J99" s="67" t="str">
        <f aca="false">IF($A99="","",$E99*B$8)</f>
        <v/>
      </c>
      <c r="K99" s="67" t="str">
        <f aca="false">IF($A99="","",$E99*C$8)</f>
        <v/>
      </c>
      <c r="L99" s="67" t="str">
        <f aca="false">IF($A99="","",$E99*D$8)</f>
        <v/>
      </c>
      <c r="M99" s="67" t="str">
        <f aca="false">IF($A99="","",$E99*E$8)</f>
        <v/>
      </c>
      <c r="N99" s="67" t="str">
        <f aca="false">IF($A99="","",$E99*F$8)</f>
        <v/>
      </c>
      <c r="O99" s="67" t="str">
        <f aca="false">IF($A99="","",$E99*G$8)</f>
        <v/>
      </c>
      <c r="P99" s="74" t="str">
        <f aca="false">IF($A99="","",SUMIFS(Del_Qty,Del_Site,$A99,Del_Mat,$B99,Del_Date,"&gt;="&amp;B$6,Del_Date,"&lt;="&amp;B$7))</f>
        <v/>
      </c>
      <c r="Q99" s="74" t="str">
        <f aca="false">IF($A99="","",SUMIFS(Del_Qty,Del_Site,$A99,Del_Mat,$B99,Del_Date,"&gt;="&amp;C$6,Del_Date,"&lt;="&amp;C$7))</f>
        <v/>
      </c>
      <c r="R99" s="74" t="str">
        <f aca="false">IF($A99="","",SUMIFS(Del_Qty,Del_Site,$A99,Del_Mat,$B99,Del_Date,"&gt;="&amp;D$6,Del_Date,"&lt;="&amp;D$7))</f>
        <v/>
      </c>
      <c r="S99" s="74" t="str">
        <f aca="false">IF($A99="","",SUMIFS(Del_Qty,Del_Site,$A99,Del_Mat,$B99,Del_Date,"&gt;="&amp;E$6,Del_Date,"&lt;="&amp;E$7))</f>
        <v/>
      </c>
      <c r="T99" s="74" t="str">
        <f aca="false">IF($A99="","",SUMIFS(Del_Qty,Del_Site,$A99,Del_Mat,$B99,Del_Date,"&gt;="&amp;F$6,Del_Date,"&lt;="&amp;F$7))</f>
        <v/>
      </c>
      <c r="U99" s="74" t="str">
        <f aca="false">IF($A99="","",SUMIFS(Del_Qty,Del_Site,$A99,Del_Mat,$B99,Del_Date,"&gt;="&amp;G$6,Del_Date,"&lt;="&amp;G$7))</f>
        <v/>
      </c>
      <c r="V99" s="81" t="str">
        <f aca="false">IF($A99="","",MAX(0,J99+$I99-MAX(0,$H99)-P99))</f>
        <v/>
      </c>
      <c r="W99" s="81" t="str">
        <f aca="false">IF($A99="","",MAX(0,K99+$I99-AB99-Q99))</f>
        <v/>
      </c>
      <c r="X99" s="81" t="str">
        <f aca="false">IF($A99="","",MAX(0,L99+$I99-AC99-R99))</f>
        <v/>
      </c>
      <c r="Y99" s="81" t="str">
        <f aca="false">IF($A99="","",MAX(0,M99+$I99-AD99-S99))</f>
        <v/>
      </c>
      <c r="Z99" s="81" t="str">
        <f aca="false">IF($A99="","",MAX(0,N99+$I99-AE99-T99))</f>
        <v/>
      </c>
      <c r="AA99" s="81" t="str">
        <f aca="false">IF($A99="","",MAX(0,O99+$I99-AF99-U99))</f>
        <v/>
      </c>
      <c r="AB99" s="67" t="str">
        <f aca="false">IF($A99="","",MAX($I99,MAX(0,$H99)+P99-J99))</f>
        <v/>
      </c>
      <c r="AC99" s="67" t="str">
        <f aca="false">IF($A99="","",MAX($I99,AB99+Q99-K99))</f>
        <v/>
      </c>
      <c r="AD99" s="67" t="str">
        <f aca="false">IF($A99="","",MAX($I99,AC99+R99-L99))</f>
        <v/>
      </c>
      <c r="AE99" s="67" t="str">
        <f aca="false">IF($A99="","",MAX($I99,AD99+S99-M99))</f>
        <v/>
      </c>
      <c r="AF99" s="67" t="str">
        <f aca="false">IF($A99="","",MAX($I99,AE99+T99-N99))</f>
        <v/>
      </c>
      <c r="AG99" s="67" t="str">
        <f aca="false">IF($A99="","",MAX($I99,AF99+U99-O99))</f>
        <v/>
      </c>
      <c r="AH99" s="76" t="str">
        <f aca="false">IF($A99="","",IF($H99&lt;=0,"Already out",IF($E99&lt;=0,"No usage",IF(MAX(0,$H99)+SUM($P99:P99)-SUM($J99:J99)&lt;=0,$B$9,IF(MAX(0,$H99)+SUM($P99:Q99)-SUM($J99:K99)&lt;=0,$C$9,IF(MAX(0,$H99)+SUM($P99:R99)-SUM($J99:L99)&lt;=0,$D$9,IF(MAX(0,$H99)+SUM($P99:S99)-SUM($J99:M99)&lt;=0,$E$9,IF(MAX(0,$H99)+SUM($P99:T99)-SUM($J99:N99)&lt;=0,$F$9,IF(MAX(0,$H99)+SUM($P99:U99)-SUM($J99:O99)&lt;=0,$G$9,"Beyond 6 periods")))))))))</f>
        <v/>
      </c>
      <c r="AI99" s="67" t="str">
        <f aca="false">IF($A99="","",SUM(J99:O99))</f>
        <v/>
      </c>
      <c r="AJ99" s="68" t="str">
        <f aca="false">IF($A99="","",SUM(V99:AA99))</f>
        <v/>
      </c>
    </row>
    <row r="100" customFormat="false" ht="15" hidden="false" customHeight="false" outlineLevel="0" collapsed="false">
      <c r="A100" s="16" t="str">
        <f aca="false">IF('Stock Monitor'!$A68="","",'Stock Monitor'!$A68)</f>
        <v/>
      </c>
      <c r="B100" s="64" t="str">
        <f aca="false">IF($A100="","",'Stock Monitor'!$B68)</f>
        <v/>
      </c>
      <c r="C100" s="16" t="str">
        <f aca="false">IF($A100="","",'Stock Monitor'!$C68)</f>
        <v/>
      </c>
      <c r="D100" s="64" t="str">
        <f aca="false">IF($A100="","",'Stock Monitor'!$D68)</f>
        <v/>
      </c>
      <c r="E100" s="67" t="str">
        <f aca="false">IF($A100="","",'Stock Monitor'!$J68)</f>
        <v/>
      </c>
      <c r="F100" s="67" t="str">
        <f aca="false">IF($A100="","",$E100*WorkDaysWeek)</f>
        <v/>
      </c>
      <c r="G100" s="67" t="str">
        <f aca="false">IF($A100="","",$E100*WorkDaysMonth)</f>
        <v/>
      </c>
      <c r="H100" s="68" t="str">
        <f aca="false">IF($A100="","",'Stock Monitor'!$E68)</f>
        <v/>
      </c>
      <c r="I100" s="67" t="str">
        <f aca="false">IF($A100="","",'Stock Monitor'!$T68)</f>
        <v/>
      </c>
      <c r="J100" s="67" t="str">
        <f aca="false">IF($A100="","",$E100*B$8)</f>
        <v/>
      </c>
      <c r="K100" s="67" t="str">
        <f aca="false">IF($A100="","",$E100*C$8)</f>
        <v/>
      </c>
      <c r="L100" s="67" t="str">
        <f aca="false">IF($A100="","",$E100*D$8)</f>
        <v/>
      </c>
      <c r="M100" s="67" t="str">
        <f aca="false">IF($A100="","",$E100*E$8)</f>
        <v/>
      </c>
      <c r="N100" s="67" t="str">
        <f aca="false">IF($A100="","",$E100*F$8)</f>
        <v/>
      </c>
      <c r="O100" s="67" t="str">
        <f aca="false">IF($A100="","",$E100*G$8)</f>
        <v/>
      </c>
      <c r="P100" s="74" t="str">
        <f aca="false">IF($A100="","",SUMIFS(Del_Qty,Del_Site,$A100,Del_Mat,$B100,Del_Date,"&gt;="&amp;B$6,Del_Date,"&lt;="&amp;B$7))</f>
        <v/>
      </c>
      <c r="Q100" s="74" t="str">
        <f aca="false">IF($A100="","",SUMIFS(Del_Qty,Del_Site,$A100,Del_Mat,$B100,Del_Date,"&gt;="&amp;C$6,Del_Date,"&lt;="&amp;C$7))</f>
        <v/>
      </c>
      <c r="R100" s="74" t="str">
        <f aca="false">IF($A100="","",SUMIFS(Del_Qty,Del_Site,$A100,Del_Mat,$B100,Del_Date,"&gt;="&amp;D$6,Del_Date,"&lt;="&amp;D$7))</f>
        <v/>
      </c>
      <c r="S100" s="74" t="str">
        <f aca="false">IF($A100="","",SUMIFS(Del_Qty,Del_Site,$A100,Del_Mat,$B100,Del_Date,"&gt;="&amp;E$6,Del_Date,"&lt;="&amp;E$7))</f>
        <v/>
      </c>
      <c r="T100" s="74" t="str">
        <f aca="false">IF($A100="","",SUMIFS(Del_Qty,Del_Site,$A100,Del_Mat,$B100,Del_Date,"&gt;="&amp;F$6,Del_Date,"&lt;="&amp;F$7))</f>
        <v/>
      </c>
      <c r="U100" s="74" t="str">
        <f aca="false">IF($A100="","",SUMIFS(Del_Qty,Del_Site,$A100,Del_Mat,$B100,Del_Date,"&gt;="&amp;G$6,Del_Date,"&lt;="&amp;G$7))</f>
        <v/>
      </c>
      <c r="V100" s="81" t="str">
        <f aca="false">IF($A100="","",MAX(0,J100+$I100-MAX(0,$H100)-P100))</f>
        <v/>
      </c>
      <c r="W100" s="81" t="str">
        <f aca="false">IF($A100="","",MAX(0,K100+$I100-AB100-Q100))</f>
        <v/>
      </c>
      <c r="X100" s="81" t="str">
        <f aca="false">IF($A100="","",MAX(0,L100+$I100-AC100-R100))</f>
        <v/>
      </c>
      <c r="Y100" s="81" t="str">
        <f aca="false">IF($A100="","",MAX(0,M100+$I100-AD100-S100))</f>
        <v/>
      </c>
      <c r="Z100" s="81" t="str">
        <f aca="false">IF($A100="","",MAX(0,N100+$I100-AE100-T100))</f>
        <v/>
      </c>
      <c r="AA100" s="81" t="str">
        <f aca="false">IF($A100="","",MAX(0,O100+$I100-AF100-U100))</f>
        <v/>
      </c>
      <c r="AB100" s="67" t="str">
        <f aca="false">IF($A100="","",MAX($I100,MAX(0,$H100)+P100-J100))</f>
        <v/>
      </c>
      <c r="AC100" s="67" t="str">
        <f aca="false">IF($A100="","",MAX($I100,AB100+Q100-K100))</f>
        <v/>
      </c>
      <c r="AD100" s="67" t="str">
        <f aca="false">IF($A100="","",MAX($I100,AC100+R100-L100))</f>
        <v/>
      </c>
      <c r="AE100" s="67" t="str">
        <f aca="false">IF($A100="","",MAX($I100,AD100+S100-M100))</f>
        <v/>
      </c>
      <c r="AF100" s="67" t="str">
        <f aca="false">IF($A100="","",MAX($I100,AE100+T100-N100))</f>
        <v/>
      </c>
      <c r="AG100" s="67" t="str">
        <f aca="false">IF($A100="","",MAX($I100,AF100+U100-O100))</f>
        <v/>
      </c>
      <c r="AH100" s="76" t="str">
        <f aca="false">IF($A100="","",IF($H100&lt;=0,"Already out",IF($E100&lt;=0,"No usage",IF(MAX(0,$H100)+SUM($P100:P100)-SUM($J100:J100)&lt;=0,$B$9,IF(MAX(0,$H100)+SUM($P100:Q100)-SUM($J100:K100)&lt;=0,$C$9,IF(MAX(0,$H100)+SUM($P100:R100)-SUM($J100:L100)&lt;=0,$D$9,IF(MAX(0,$H100)+SUM($P100:S100)-SUM($J100:M100)&lt;=0,$E$9,IF(MAX(0,$H100)+SUM($P100:T100)-SUM($J100:N100)&lt;=0,$F$9,IF(MAX(0,$H100)+SUM($P100:U100)-SUM($J100:O100)&lt;=0,$G$9,"Beyond 6 periods")))))))))</f>
        <v/>
      </c>
      <c r="AI100" s="67" t="str">
        <f aca="false">IF($A100="","",SUM(J100:O100))</f>
        <v/>
      </c>
      <c r="AJ100" s="68" t="str">
        <f aca="false">IF($A100="","",SUM(V100:AA100))</f>
        <v/>
      </c>
    </row>
    <row r="101" customFormat="false" ht="15" hidden="false" customHeight="false" outlineLevel="0" collapsed="false">
      <c r="A101" s="16" t="str">
        <f aca="false">IF('Stock Monitor'!$A69="","",'Stock Monitor'!$A69)</f>
        <v/>
      </c>
      <c r="B101" s="64" t="str">
        <f aca="false">IF($A101="","",'Stock Monitor'!$B69)</f>
        <v/>
      </c>
      <c r="C101" s="16" t="str">
        <f aca="false">IF($A101="","",'Stock Monitor'!$C69)</f>
        <v/>
      </c>
      <c r="D101" s="64" t="str">
        <f aca="false">IF($A101="","",'Stock Monitor'!$D69)</f>
        <v/>
      </c>
      <c r="E101" s="67" t="str">
        <f aca="false">IF($A101="","",'Stock Monitor'!$J69)</f>
        <v/>
      </c>
      <c r="F101" s="67" t="str">
        <f aca="false">IF($A101="","",$E101*WorkDaysWeek)</f>
        <v/>
      </c>
      <c r="G101" s="67" t="str">
        <f aca="false">IF($A101="","",$E101*WorkDaysMonth)</f>
        <v/>
      </c>
      <c r="H101" s="68" t="str">
        <f aca="false">IF($A101="","",'Stock Monitor'!$E69)</f>
        <v/>
      </c>
      <c r="I101" s="67" t="str">
        <f aca="false">IF($A101="","",'Stock Monitor'!$T69)</f>
        <v/>
      </c>
      <c r="J101" s="67" t="str">
        <f aca="false">IF($A101="","",$E101*B$8)</f>
        <v/>
      </c>
      <c r="K101" s="67" t="str">
        <f aca="false">IF($A101="","",$E101*C$8)</f>
        <v/>
      </c>
      <c r="L101" s="67" t="str">
        <f aca="false">IF($A101="","",$E101*D$8)</f>
        <v/>
      </c>
      <c r="M101" s="67" t="str">
        <f aca="false">IF($A101="","",$E101*E$8)</f>
        <v/>
      </c>
      <c r="N101" s="67" t="str">
        <f aca="false">IF($A101="","",$E101*F$8)</f>
        <v/>
      </c>
      <c r="O101" s="67" t="str">
        <f aca="false">IF($A101="","",$E101*G$8)</f>
        <v/>
      </c>
      <c r="P101" s="74" t="str">
        <f aca="false">IF($A101="","",SUMIFS(Del_Qty,Del_Site,$A101,Del_Mat,$B101,Del_Date,"&gt;="&amp;B$6,Del_Date,"&lt;="&amp;B$7))</f>
        <v/>
      </c>
      <c r="Q101" s="74" t="str">
        <f aca="false">IF($A101="","",SUMIFS(Del_Qty,Del_Site,$A101,Del_Mat,$B101,Del_Date,"&gt;="&amp;C$6,Del_Date,"&lt;="&amp;C$7))</f>
        <v/>
      </c>
      <c r="R101" s="74" t="str">
        <f aca="false">IF($A101="","",SUMIFS(Del_Qty,Del_Site,$A101,Del_Mat,$B101,Del_Date,"&gt;="&amp;D$6,Del_Date,"&lt;="&amp;D$7))</f>
        <v/>
      </c>
      <c r="S101" s="74" t="str">
        <f aca="false">IF($A101="","",SUMIFS(Del_Qty,Del_Site,$A101,Del_Mat,$B101,Del_Date,"&gt;="&amp;E$6,Del_Date,"&lt;="&amp;E$7))</f>
        <v/>
      </c>
      <c r="T101" s="74" t="str">
        <f aca="false">IF($A101="","",SUMIFS(Del_Qty,Del_Site,$A101,Del_Mat,$B101,Del_Date,"&gt;="&amp;F$6,Del_Date,"&lt;="&amp;F$7))</f>
        <v/>
      </c>
      <c r="U101" s="74" t="str">
        <f aca="false">IF($A101="","",SUMIFS(Del_Qty,Del_Site,$A101,Del_Mat,$B101,Del_Date,"&gt;="&amp;G$6,Del_Date,"&lt;="&amp;G$7))</f>
        <v/>
      </c>
      <c r="V101" s="81" t="str">
        <f aca="false">IF($A101="","",MAX(0,J101+$I101-MAX(0,$H101)-P101))</f>
        <v/>
      </c>
      <c r="W101" s="81" t="str">
        <f aca="false">IF($A101="","",MAX(0,K101+$I101-AB101-Q101))</f>
        <v/>
      </c>
      <c r="X101" s="81" t="str">
        <f aca="false">IF($A101="","",MAX(0,L101+$I101-AC101-R101))</f>
        <v/>
      </c>
      <c r="Y101" s="81" t="str">
        <f aca="false">IF($A101="","",MAX(0,M101+$I101-AD101-S101))</f>
        <v/>
      </c>
      <c r="Z101" s="81" t="str">
        <f aca="false">IF($A101="","",MAX(0,N101+$I101-AE101-T101))</f>
        <v/>
      </c>
      <c r="AA101" s="81" t="str">
        <f aca="false">IF($A101="","",MAX(0,O101+$I101-AF101-U101))</f>
        <v/>
      </c>
      <c r="AB101" s="67" t="str">
        <f aca="false">IF($A101="","",MAX($I101,MAX(0,$H101)+P101-J101))</f>
        <v/>
      </c>
      <c r="AC101" s="67" t="str">
        <f aca="false">IF($A101="","",MAX($I101,AB101+Q101-K101))</f>
        <v/>
      </c>
      <c r="AD101" s="67" t="str">
        <f aca="false">IF($A101="","",MAX($I101,AC101+R101-L101))</f>
        <v/>
      </c>
      <c r="AE101" s="67" t="str">
        <f aca="false">IF($A101="","",MAX($I101,AD101+S101-M101))</f>
        <v/>
      </c>
      <c r="AF101" s="67" t="str">
        <f aca="false">IF($A101="","",MAX($I101,AE101+T101-N101))</f>
        <v/>
      </c>
      <c r="AG101" s="67" t="str">
        <f aca="false">IF($A101="","",MAX($I101,AF101+U101-O101))</f>
        <v/>
      </c>
      <c r="AH101" s="76" t="str">
        <f aca="false">IF($A101="","",IF($H101&lt;=0,"Already out",IF($E101&lt;=0,"No usage",IF(MAX(0,$H101)+SUM($P101:P101)-SUM($J101:J101)&lt;=0,$B$9,IF(MAX(0,$H101)+SUM($P101:Q101)-SUM($J101:K101)&lt;=0,$C$9,IF(MAX(0,$H101)+SUM($P101:R101)-SUM($J101:L101)&lt;=0,$D$9,IF(MAX(0,$H101)+SUM($P101:S101)-SUM($J101:M101)&lt;=0,$E$9,IF(MAX(0,$H101)+SUM($P101:T101)-SUM($J101:N101)&lt;=0,$F$9,IF(MAX(0,$H101)+SUM($P101:U101)-SUM($J101:O101)&lt;=0,$G$9,"Beyond 6 periods")))))))))</f>
        <v/>
      </c>
      <c r="AI101" s="67" t="str">
        <f aca="false">IF($A101="","",SUM(J101:O101))</f>
        <v/>
      </c>
      <c r="AJ101" s="68" t="str">
        <f aca="false">IF($A101="","",SUM(V101:AA101))</f>
        <v/>
      </c>
    </row>
    <row r="102" customFormat="false" ht="15" hidden="false" customHeight="false" outlineLevel="0" collapsed="false">
      <c r="A102" s="16" t="str">
        <f aca="false">IF('Stock Monitor'!$A70="","",'Stock Monitor'!$A70)</f>
        <v/>
      </c>
      <c r="B102" s="64" t="str">
        <f aca="false">IF($A102="","",'Stock Monitor'!$B70)</f>
        <v/>
      </c>
      <c r="C102" s="16" t="str">
        <f aca="false">IF($A102="","",'Stock Monitor'!$C70)</f>
        <v/>
      </c>
      <c r="D102" s="64" t="str">
        <f aca="false">IF($A102="","",'Stock Monitor'!$D70)</f>
        <v/>
      </c>
      <c r="E102" s="67" t="str">
        <f aca="false">IF($A102="","",'Stock Monitor'!$J70)</f>
        <v/>
      </c>
      <c r="F102" s="67" t="str">
        <f aca="false">IF($A102="","",$E102*WorkDaysWeek)</f>
        <v/>
      </c>
      <c r="G102" s="67" t="str">
        <f aca="false">IF($A102="","",$E102*WorkDaysMonth)</f>
        <v/>
      </c>
      <c r="H102" s="68" t="str">
        <f aca="false">IF($A102="","",'Stock Monitor'!$E70)</f>
        <v/>
      </c>
      <c r="I102" s="67" t="str">
        <f aca="false">IF($A102="","",'Stock Monitor'!$T70)</f>
        <v/>
      </c>
      <c r="J102" s="67" t="str">
        <f aca="false">IF($A102="","",$E102*B$8)</f>
        <v/>
      </c>
      <c r="K102" s="67" t="str">
        <f aca="false">IF($A102="","",$E102*C$8)</f>
        <v/>
      </c>
      <c r="L102" s="67" t="str">
        <f aca="false">IF($A102="","",$E102*D$8)</f>
        <v/>
      </c>
      <c r="M102" s="67" t="str">
        <f aca="false">IF($A102="","",$E102*E$8)</f>
        <v/>
      </c>
      <c r="N102" s="67" t="str">
        <f aca="false">IF($A102="","",$E102*F$8)</f>
        <v/>
      </c>
      <c r="O102" s="67" t="str">
        <f aca="false">IF($A102="","",$E102*G$8)</f>
        <v/>
      </c>
      <c r="P102" s="74" t="str">
        <f aca="false">IF($A102="","",SUMIFS(Del_Qty,Del_Site,$A102,Del_Mat,$B102,Del_Date,"&gt;="&amp;B$6,Del_Date,"&lt;="&amp;B$7))</f>
        <v/>
      </c>
      <c r="Q102" s="74" t="str">
        <f aca="false">IF($A102="","",SUMIFS(Del_Qty,Del_Site,$A102,Del_Mat,$B102,Del_Date,"&gt;="&amp;C$6,Del_Date,"&lt;="&amp;C$7))</f>
        <v/>
      </c>
      <c r="R102" s="74" t="str">
        <f aca="false">IF($A102="","",SUMIFS(Del_Qty,Del_Site,$A102,Del_Mat,$B102,Del_Date,"&gt;="&amp;D$6,Del_Date,"&lt;="&amp;D$7))</f>
        <v/>
      </c>
      <c r="S102" s="74" t="str">
        <f aca="false">IF($A102="","",SUMIFS(Del_Qty,Del_Site,$A102,Del_Mat,$B102,Del_Date,"&gt;="&amp;E$6,Del_Date,"&lt;="&amp;E$7))</f>
        <v/>
      </c>
      <c r="T102" s="74" t="str">
        <f aca="false">IF($A102="","",SUMIFS(Del_Qty,Del_Site,$A102,Del_Mat,$B102,Del_Date,"&gt;="&amp;F$6,Del_Date,"&lt;="&amp;F$7))</f>
        <v/>
      </c>
      <c r="U102" s="74" t="str">
        <f aca="false">IF($A102="","",SUMIFS(Del_Qty,Del_Site,$A102,Del_Mat,$B102,Del_Date,"&gt;="&amp;G$6,Del_Date,"&lt;="&amp;G$7))</f>
        <v/>
      </c>
      <c r="V102" s="81" t="str">
        <f aca="false">IF($A102="","",MAX(0,J102+$I102-MAX(0,$H102)-P102))</f>
        <v/>
      </c>
      <c r="W102" s="81" t="str">
        <f aca="false">IF($A102="","",MAX(0,K102+$I102-AB102-Q102))</f>
        <v/>
      </c>
      <c r="X102" s="81" t="str">
        <f aca="false">IF($A102="","",MAX(0,L102+$I102-AC102-R102))</f>
        <v/>
      </c>
      <c r="Y102" s="81" t="str">
        <f aca="false">IF($A102="","",MAX(0,M102+$I102-AD102-S102))</f>
        <v/>
      </c>
      <c r="Z102" s="81" t="str">
        <f aca="false">IF($A102="","",MAX(0,N102+$I102-AE102-T102))</f>
        <v/>
      </c>
      <c r="AA102" s="81" t="str">
        <f aca="false">IF($A102="","",MAX(0,O102+$I102-AF102-U102))</f>
        <v/>
      </c>
      <c r="AB102" s="67" t="str">
        <f aca="false">IF($A102="","",MAX($I102,MAX(0,$H102)+P102-J102))</f>
        <v/>
      </c>
      <c r="AC102" s="67" t="str">
        <f aca="false">IF($A102="","",MAX($I102,AB102+Q102-K102))</f>
        <v/>
      </c>
      <c r="AD102" s="67" t="str">
        <f aca="false">IF($A102="","",MAX($I102,AC102+R102-L102))</f>
        <v/>
      </c>
      <c r="AE102" s="67" t="str">
        <f aca="false">IF($A102="","",MAX($I102,AD102+S102-M102))</f>
        <v/>
      </c>
      <c r="AF102" s="67" t="str">
        <f aca="false">IF($A102="","",MAX($I102,AE102+T102-N102))</f>
        <v/>
      </c>
      <c r="AG102" s="67" t="str">
        <f aca="false">IF($A102="","",MAX($I102,AF102+U102-O102))</f>
        <v/>
      </c>
      <c r="AH102" s="76" t="str">
        <f aca="false">IF($A102="","",IF($H102&lt;=0,"Already out",IF($E102&lt;=0,"No usage",IF(MAX(0,$H102)+SUM($P102:P102)-SUM($J102:J102)&lt;=0,$B$9,IF(MAX(0,$H102)+SUM($P102:Q102)-SUM($J102:K102)&lt;=0,$C$9,IF(MAX(0,$H102)+SUM($P102:R102)-SUM($J102:L102)&lt;=0,$D$9,IF(MAX(0,$H102)+SUM($P102:S102)-SUM($J102:M102)&lt;=0,$E$9,IF(MAX(0,$H102)+SUM($P102:T102)-SUM($J102:N102)&lt;=0,$F$9,IF(MAX(0,$H102)+SUM($P102:U102)-SUM($J102:O102)&lt;=0,$G$9,"Beyond 6 periods")))))))))</f>
        <v/>
      </c>
      <c r="AI102" s="67" t="str">
        <f aca="false">IF($A102="","",SUM(J102:O102))</f>
        <v/>
      </c>
      <c r="AJ102" s="68" t="str">
        <f aca="false">IF($A102="","",SUM(V102:AA102))</f>
        <v/>
      </c>
    </row>
    <row r="103" customFormat="false" ht="15" hidden="false" customHeight="false" outlineLevel="0" collapsed="false">
      <c r="A103" s="16" t="str">
        <f aca="false">IF('Stock Monitor'!$A71="","",'Stock Monitor'!$A71)</f>
        <v/>
      </c>
      <c r="B103" s="64" t="str">
        <f aca="false">IF($A103="","",'Stock Monitor'!$B71)</f>
        <v/>
      </c>
      <c r="C103" s="16" t="str">
        <f aca="false">IF($A103="","",'Stock Monitor'!$C71)</f>
        <v/>
      </c>
      <c r="D103" s="64" t="str">
        <f aca="false">IF($A103="","",'Stock Monitor'!$D71)</f>
        <v/>
      </c>
      <c r="E103" s="67" t="str">
        <f aca="false">IF($A103="","",'Stock Monitor'!$J71)</f>
        <v/>
      </c>
      <c r="F103" s="67" t="str">
        <f aca="false">IF($A103="","",$E103*WorkDaysWeek)</f>
        <v/>
      </c>
      <c r="G103" s="67" t="str">
        <f aca="false">IF($A103="","",$E103*WorkDaysMonth)</f>
        <v/>
      </c>
      <c r="H103" s="68" t="str">
        <f aca="false">IF($A103="","",'Stock Monitor'!$E71)</f>
        <v/>
      </c>
      <c r="I103" s="67" t="str">
        <f aca="false">IF($A103="","",'Stock Monitor'!$T71)</f>
        <v/>
      </c>
      <c r="J103" s="67" t="str">
        <f aca="false">IF($A103="","",$E103*B$8)</f>
        <v/>
      </c>
      <c r="K103" s="67" t="str">
        <f aca="false">IF($A103="","",$E103*C$8)</f>
        <v/>
      </c>
      <c r="L103" s="67" t="str">
        <f aca="false">IF($A103="","",$E103*D$8)</f>
        <v/>
      </c>
      <c r="M103" s="67" t="str">
        <f aca="false">IF($A103="","",$E103*E$8)</f>
        <v/>
      </c>
      <c r="N103" s="67" t="str">
        <f aca="false">IF($A103="","",$E103*F$8)</f>
        <v/>
      </c>
      <c r="O103" s="67" t="str">
        <f aca="false">IF($A103="","",$E103*G$8)</f>
        <v/>
      </c>
      <c r="P103" s="74" t="str">
        <f aca="false">IF($A103="","",SUMIFS(Del_Qty,Del_Site,$A103,Del_Mat,$B103,Del_Date,"&gt;="&amp;B$6,Del_Date,"&lt;="&amp;B$7))</f>
        <v/>
      </c>
      <c r="Q103" s="74" t="str">
        <f aca="false">IF($A103="","",SUMIFS(Del_Qty,Del_Site,$A103,Del_Mat,$B103,Del_Date,"&gt;="&amp;C$6,Del_Date,"&lt;="&amp;C$7))</f>
        <v/>
      </c>
      <c r="R103" s="74" t="str">
        <f aca="false">IF($A103="","",SUMIFS(Del_Qty,Del_Site,$A103,Del_Mat,$B103,Del_Date,"&gt;="&amp;D$6,Del_Date,"&lt;="&amp;D$7))</f>
        <v/>
      </c>
      <c r="S103" s="74" t="str">
        <f aca="false">IF($A103="","",SUMIFS(Del_Qty,Del_Site,$A103,Del_Mat,$B103,Del_Date,"&gt;="&amp;E$6,Del_Date,"&lt;="&amp;E$7))</f>
        <v/>
      </c>
      <c r="T103" s="74" t="str">
        <f aca="false">IF($A103="","",SUMIFS(Del_Qty,Del_Site,$A103,Del_Mat,$B103,Del_Date,"&gt;="&amp;F$6,Del_Date,"&lt;="&amp;F$7))</f>
        <v/>
      </c>
      <c r="U103" s="74" t="str">
        <f aca="false">IF($A103="","",SUMIFS(Del_Qty,Del_Site,$A103,Del_Mat,$B103,Del_Date,"&gt;="&amp;G$6,Del_Date,"&lt;="&amp;G$7))</f>
        <v/>
      </c>
      <c r="V103" s="81" t="str">
        <f aca="false">IF($A103="","",MAX(0,J103+$I103-MAX(0,$H103)-P103))</f>
        <v/>
      </c>
      <c r="W103" s="81" t="str">
        <f aca="false">IF($A103="","",MAX(0,K103+$I103-AB103-Q103))</f>
        <v/>
      </c>
      <c r="X103" s="81" t="str">
        <f aca="false">IF($A103="","",MAX(0,L103+$I103-AC103-R103))</f>
        <v/>
      </c>
      <c r="Y103" s="81" t="str">
        <f aca="false">IF($A103="","",MAX(0,M103+$I103-AD103-S103))</f>
        <v/>
      </c>
      <c r="Z103" s="81" t="str">
        <f aca="false">IF($A103="","",MAX(0,N103+$I103-AE103-T103))</f>
        <v/>
      </c>
      <c r="AA103" s="81" t="str">
        <f aca="false">IF($A103="","",MAX(0,O103+$I103-AF103-U103))</f>
        <v/>
      </c>
      <c r="AB103" s="67" t="str">
        <f aca="false">IF($A103="","",MAX($I103,MAX(0,$H103)+P103-J103))</f>
        <v/>
      </c>
      <c r="AC103" s="67" t="str">
        <f aca="false">IF($A103="","",MAX($I103,AB103+Q103-K103))</f>
        <v/>
      </c>
      <c r="AD103" s="67" t="str">
        <f aca="false">IF($A103="","",MAX($I103,AC103+R103-L103))</f>
        <v/>
      </c>
      <c r="AE103" s="67" t="str">
        <f aca="false">IF($A103="","",MAX($I103,AD103+S103-M103))</f>
        <v/>
      </c>
      <c r="AF103" s="67" t="str">
        <f aca="false">IF($A103="","",MAX($I103,AE103+T103-N103))</f>
        <v/>
      </c>
      <c r="AG103" s="67" t="str">
        <f aca="false">IF($A103="","",MAX($I103,AF103+U103-O103))</f>
        <v/>
      </c>
      <c r="AH103" s="76" t="str">
        <f aca="false">IF($A103="","",IF($H103&lt;=0,"Already out",IF($E103&lt;=0,"No usage",IF(MAX(0,$H103)+SUM($P103:P103)-SUM($J103:J103)&lt;=0,$B$9,IF(MAX(0,$H103)+SUM($P103:Q103)-SUM($J103:K103)&lt;=0,$C$9,IF(MAX(0,$H103)+SUM($P103:R103)-SUM($J103:L103)&lt;=0,$D$9,IF(MAX(0,$H103)+SUM($P103:S103)-SUM($J103:M103)&lt;=0,$E$9,IF(MAX(0,$H103)+SUM($P103:T103)-SUM($J103:N103)&lt;=0,$F$9,IF(MAX(0,$H103)+SUM($P103:U103)-SUM($J103:O103)&lt;=0,$G$9,"Beyond 6 periods")))))))))</f>
        <v/>
      </c>
      <c r="AI103" s="67" t="str">
        <f aca="false">IF($A103="","",SUM(J103:O103))</f>
        <v/>
      </c>
      <c r="AJ103" s="68" t="str">
        <f aca="false">IF($A103="","",SUM(V103:AA103))</f>
        <v/>
      </c>
    </row>
    <row r="104" customFormat="false" ht="15" hidden="false" customHeight="false" outlineLevel="0" collapsed="false">
      <c r="A104" s="16" t="str">
        <f aca="false">IF('Stock Monitor'!$A72="","",'Stock Monitor'!$A72)</f>
        <v/>
      </c>
      <c r="B104" s="64" t="str">
        <f aca="false">IF($A104="","",'Stock Monitor'!$B72)</f>
        <v/>
      </c>
      <c r="C104" s="16" t="str">
        <f aca="false">IF($A104="","",'Stock Monitor'!$C72)</f>
        <v/>
      </c>
      <c r="D104" s="64" t="str">
        <f aca="false">IF($A104="","",'Stock Monitor'!$D72)</f>
        <v/>
      </c>
      <c r="E104" s="67" t="str">
        <f aca="false">IF($A104="","",'Stock Monitor'!$J72)</f>
        <v/>
      </c>
      <c r="F104" s="67" t="str">
        <f aca="false">IF($A104="","",$E104*WorkDaysWeek)</f>
        <v/>
      </c>
      <c r="G104" s="67" t="str">
        <f aca="false">IF($A104="","",$E104*WorkDaysMonth)</f>
        <v/>
      </c>
      <c r="H104" s="68" t="str">
        <f aca="false">IF($A104="","",'Stock Monitor'!$E72)</f>
        <v/>
      </c>
      <c r="I104" s="67" t="str">
        <f aca="false">IF($A104="","",'Stock Monitor'!$T72)</f>
        <v/>
      </c>
      <c r="J104" s="67" t="str">
        <f aca="false">IF($A104="","",$E104*B$8)</f>
        <v/>
      </c>
      <c r="K104" s="67" t="str">
        <f aca="false">IF($A104="","",$E104*C$8)</f>
        <v/>
      </c>
      <c r="L104" s="67" t="str">
        <f aca="false">IF($A104="","",$E104*D$8)</f>
        <v/>
      </c>
      <c r="M104" s="67" t="str">
        <f aca="false">IF($A104="","",$E104*E$8)</f>
        <v/>
      </c>
      <c r="N104" s="67" t="str">
        <f aca="false">IF($A104="","",$E104*F$8)</f>
        <v/>
      </c>
      <c r="O104" s="67" t="str">
        <f aca="false">IF($A104="","",$E104*G$8)</f>
        <v/>
      </c>
      <c r="P104" s="74" t="str">
        <f aca="false">IF($A104="","",SUMIFS(Del_Qty,Del_Site,$A104,Del_Mat,$B104,Del_Date,"&gt;="&amp;B$6,Del_Date,"&lt;="&amp;B$7))</f>
        <v/>
      </c>
      <c r="Q104" s="74" t="str">
        <f aca="false">IF($A104="","",SUMIFS(Del_Qty,Del_Site,$A104,Del_Mat,$B104,Del_Date,"&gt;="&amp;C$6,Del_Date,"&lt;="&amp;C$7))</f>
        <v/>
      </c>
      <c r="R104" s="74" t="str">
        <f aca="false">IF($A104="","",SUMIFS(Del_Qty,Del_Site,$A104,Del_Mat,$B104,Del_Date,"&gt;="&amp;D$6,Del_Date,"&lt;="&amp;D$7))</f>
        <v/>
      </c>
      <c r="S104" s="74" t="str">
        <f aca="false">IF($A104="","",SUMIFS(Del_Qty,Del_Site,$A104,Del_Mat,$B104,Del_Date,"&gt;="&amp;E$6,Del_Date,"&lt;="&amp;E$7))</f>
        <v/>
      </c>
      <c r="T104" s="74" t="str">
        <f aca="false">IF($A104="","",SUMIFS(Del_Qty,Del_Site,$A104,Del_Mat,$B104,Del_Date,"&gt;="&amp;F$6,Del_Date,"&lt;="&amp;F$7))</f>
        <v/>
      </c>
      <c r="U104" s="74" t="str">
        <f aca="false">IF($A104="","",SUMIFS(Del_Qty,Del_Site,$A104,Del_Mat,$B104,Del_Date,"&gt;="&amp;G$6,Del_Date,"&lt;="&amp;G$7))</f>
        <v/>
      </c>
      <c r="V104" s="81" t="str">
        <f aca="false">IF($A104="","",MAX(0,J104+$I104-MAX(0,$H104)-P104))</f>
        <v/>
      </c>
      <c r="W104" s="81" t="str">
        <f aca="false">IF($A104="","",MAX(0,K104+$I104-AB104-Q104))</f>
        <v/>
      </c>
      <c r="X104" s="81" t="str">
        <f aca="false">IF($A104="","",MAX(0,L104+$I104-AC104-R104))</f>
        <v/>
      </c>
      <c r="Y104" s="81" t="str">
        <f aca="false">IF($A104="","",MAX(0,M104+$I104-AD104-S104))</f>
        <v/>
      </c>
      <c r="Z104" s="81" t="str">
        <f aca="false">IF($A104="","",MAX(0,N104+$I104-AE104-T104))</f>
        <v/>
      </c>
      <c r="AA104" s="81" t="str">
        <f aca="false">IF($A104="","",MAX(0,O104+$I104-AF104-U104))</f>
        <v/>
      </c>
      <c r="AB104" s="67" t="str">
        <f aca="false">IF($A104="","",MAX($I104,MAX(0,$H104)+P104-J104))</f>
        <v/>
      </c>
      <c r="AC104" s="67" t="str">
        <f aca="false">IF($A104="","",MAX($I104,AB104+Q104-K104))</f>
        <v/>
      </c>
      <c r="AD104" s="67" t="str">
        <f aca="false">IF($A104="","",MAX($I104,AC104+R104-L104))</f>
        <v/>
      </c>
      <c r="AE104" s="67" t="str">
        <f aca="false">IF($A104="","",MAX($I104,AD104+S104-M104))</f>
        <v/>
      </c>
      <c r="AF104" s="67" t="str">
        <f aca="false">IF($A104="","",MAX($I104,AE104+T104-N104))</f>
        <v/>
      </c>
      <c r="AG104" s="67" t="str">
        <f aca="false">IF($A104="","",MAX($I104,AF104+U104-O104))</f>
        <v/>
      </c>
      <c r="AH104" s="76" t="str">
        <f aca="false">IF($A104="","",IF($H104&lt;=0,"Already out",IF($E104&lt;=0,"No usage",IF(MAX(0,$H104)+SUM($P104:P104)-SUM($J104:J104)&lt;=0,$B$9,IF(MAX(0,$H104)+SUM($P104:Q104)-SUM($J104:K104)&lt;=0,$C$9,IF(MAX(0,$H104)+SUM($P104:R104)-SUM($J104:L104)&lt;=0,$D$9,IF(MAX(0,$H104)+SUM($P104:S104)-SUM($J104:M104)&lt;=0,$E$9,IF(MAX(0,$H104)+SUM($P104:T104)-SUM($J104:N104)&lt;=0,$F$9,IF(MAX(0,$H104)+SUM($P104:U104)-SUM($J104:O104)&lt;=0,$G$9,"Beyond 6 periods")))))))))</f>
        <v/>
      </c>
      <c r="AI104" s="67" t="str">
        <f aca="false">IF($A104="","",SUM(J104:O104))</f>
        <v/>
      </c>
      <c r="AJ104" s="68" t="str">
        <f aca="false">IF($A104="","",SUM(V104:AA104))</f>
        <v/>
      </c>
    </row>
    <row r="105" customFormat="false" ht="15" hidden="false" customHeight="false" outlineLevel="0" collapsed="false">
      <c r="A105" s="16" t="str">
        <f aca="false">IF('Stock Monitor'!$A73="","",'Stock Monitor'!$A73)</f>
        <v/>
      </c>
      <c r="B105" s="64" t="str">
        <f aca="false">IF($A105="","",'Stock Monitor'!$B73)</f>
        <v/>
      </c>
      <c r="C105" s="16" t="str">
        <f aca="false">IF($A105="","",'Stock Monitor'!$C73)</f>
        <v/>
      </c>
      <c r="D105" s="64" t="str">
        <f aca="false">IF($A105="","",'Stock Monitor'!$D73)</f>
        <v/>
      </c>
      <c r="E105" s="67" t="str">
        <f aca="false">IF($A105="","",'Stock Monitor'!$J73)</f>
        <v/>
      </c>
      <c r="F105" s="67" t="str">
        <f aca="false">IF($A105="","",$E105*WorkDaysWeek)</f>
        <v/>
      </c>
      <c r="G105" s="67" t="str">
        <f aca="false">IF($A105="","",$E105*WorkDaysMonth)</f>
        <v/>
      </c>
      <c r="H105" s="68" t="str">
        <f aca="false">IF($A105="","",'Stock Monitor'!$E73)</f>
        <v/>
      </c>
      <c r="I105" s="67" t="str">
        <f aca="false">IF($A105="","",'Stock Monitor'!$T73)</f>
        <v/>
      </c>
      <c r="J105" s="67" t="str">
        <f aca="false">IF($A105="","",$E105*B$8)</f>
        <v/>
      </c>
      <c r="K105" s="67" t="str">
        <f aca="false">IF($A105="","",$E105*C$8)</f>
        <v/>
      </c>
      <c r="L105" s="67" t="str">
        <f aca="false">IF($A105="","",$E105*D$8)</f>
        <v/>
      </c>
      <c r="M105" s="67" t="str">
        <f aca="false">IF($A105="","",$E105*E$8)</f>
        <v/>
      </c>
      <c r="N105" s="67" t="str">
        <f aca="false">IF($A105="","",$E105*F$8)</f>
        <v/>
      </c>
      <c r="O105" s="67" t="str">
        <f aca="false">IF($A105="","",$E105*G$8)</f>
        <v/>
      </c>
      <c r="P105" s="74" t="str">
        <f aca="false">IF($A105="","",SUMIFS(Del_Qty,Del_Site,$A105,Del_Mat,$B105,Del_Date,"&gt;="&amp;B$6,Del_Date,"&lt;="&amp;B$7))</f>
        <v/>
      </c>
      <c r="Q105" s="74" t="str">
        <f aca="false">IF($A105="","",SUMIFS(Del_Qty,Del_Site,$A105,Del_Mat,$B105,Del_Date,"&gt;="&amp;C$6,Del_Date,"&lt;="&amp;C$7))</f>
        <v/>
      </c>
      <c r="R105" s="74" t="str">
        <f aca="false">IF($A105="","",SUMIFS(Del_Qty,Del_Site,$A105,Del_Mat,$B105,Del_Date,"&gt;="&amp;D$6,Del_Date,"&lt;="&amp;D$7))</f>
        <v/>
      </c>
      <c r="S105" s="74" t="str">
        <f aca="false">IF($A105="","",SUMIFS(Del_Qty,Del_Site,$A105,Del_Mat,$B105,Del_Date,"&gt;="&amp;E$6,Del_Date,"&lt;="&amp;E$7))</f>
        <v/>
      </c>
      <c r="T105" s="74" t="str">
        <f aca="false">IF($A105="","",SUMIFS(Del_Qty,Del_Site,$A105,Del_Mat,$B105,Del_Date,"&gt;="&amp;F$6,Del_Date,"&lt;="&amp;F$7))</f>
        <v/>
      </c>
      <c r="U105" s="74" t="str">
        <f aca="false">IF($A105="","",SUMIFS(Del_Qty,Del_Site,$A105,Del_Mat,$B105,Del_Date,"&gt;="&amp;G$6,Del_Date,"&lt;="&amp;G$7))</f>
        <v/>
      </c>
      <c r="V105" s="81" t="str">
        <f aca="false">IF($A105="","",MAX(0,J105+$I105-MAX(0,$H105)-P105))</f>
        <v/>
      </c>
      <c r="W105" s="81" t="str">
        <f aca="false">IF($A105="","",MAX(0,K105+$I105-AB105-Q105))</f>
        <v/>
      </c>
      <c r="X105" s="81" t="str">
        <f aca="false">IF($A105="","",MAX(0,L105+$I105-AC105-R105))</f>
        <v/>
      </c>
      <c r="Y105" s="81" t="str">
        <f aca="false">IF($A105="","",MAX(0,M105+$I105-AD105-S105))</f>
        <v/>
      </c>
      <c r="Z105" s="81" t="str">
        <f aca="false">IF($A105="","",MAX(0,N105+$I105-AE105-T105))</f>
        <v/>
      </c>
      <c r="AA105" s="81" t="str">
        <f aca="false">IF($A105="","",MAX(0,O105+$I105-AF105-U105))</f>
        <v/>
      </c>
      <c r="AB105" s="67" t="str">
        <f aca="false">IF($A105="","",MAX($I105,MAX(0,$H105)+P105-J105))</f>
        <v/>
      </c>
      <c r="AC105" s="67" t="str">
        <f aca="false">IF($A105="","",MAX($I105,AB105+Q105-K105))</f>
        <v/>
      </c>
      <c r="AD105" s="67" t="str">
        <f aca="false">IF($A105="","",MAX($I105,AC105+R105-L105))</f>
        <v/>
      </c>
      <c r="AE105" s="67" t="str">
        <f aca="false">IF($A105="","",MAX($I105,AD105+S105-M105))</f>
        <v/>
      </c>
      <c r="AF105" s="67" t="str">
        <f aca="false">IF($A105="","",MAX($I105,AE105+T105-N105))</f>
        <v/>
      </c>
      <c r="AG105" s="67" t="str">
        <f aca="false">IF($A105="","",MAX($I105,AF105+U105-O105))</f>
        <v/>
      </c>
      <c r="AH105" s="76" t="str">
        <f aca="false">IF($A105="","",IF($H105&lt;=0,"Already out",IF($E105&lt;=0,"No usage",IF(MAX(0,$H105)+SUM($P105:P105)-SUM($J105:J105)&lt;=0,$B$9,IF(MAX(0,$H105)+SUM($P105:Q105)-SUM($J105:K105)&lt;=0,$C$9,IF(MAX(0,$H105)+SUM($P105:R105)-SUM($J105:L105)&lt;=0,$D$9,IF(MAX(0,$H105)+SUM($P105:S105)-SUM($J105:M105)&lt;=0,$E$9,IF(MAX(0,$H105)+SUM($P105:T105)-SUM($J105:N105)&lt;=0,$F$9,IF(MAX(0,$H105)+SUM($P105:U105)-SUM($J105:O105)&lt;=0,$G$9,"Beyond 6 periods")))))))))</f>
        <v/>
      </c>
      <c r="AI105" s="67" t="str">
        <f aca="false">IF($A105="","",SUM(J105:O105))</f>
        <v/>
      </c>
      <c r="AJ105" s="68" t="str">
        <f aca="false">IF($A105="","",SUM(V105:AA105))</f>
        <v/>
      </c>
    </row>
    <row r="106" customFormat="false" ht="15" hidden="false" customHeight="false" outlineLevel="0" collapsed="false">
      <c r="A106" s="16" t="str">
        <f aca="false">IF('Stock Monitor'!$A74="","",'Stock Monitor'!$A74)</f>
        <v/>
      </c>
      <c r="B106" s="64" t="str">
        <f aca="false">IF($A106="","",'Stock Monitor'!$B74)</f>
        <v/>
      </c>
      <c r="C106" s="16" t="str">
        <f aca="false">IF($A106="","",'Stock Monitor'!$C74)</f>
        <v/>
      </c>
      <c r="D106" s="64" t="str">
        <f aca="false">IF($A106="","",'Stock Monitor'!$D74)</f>
        <v/>
      </c>
      <c r="E106" s="67" t="str">
        <f aca="false">IF($A106="","",'Stock Monitor'!$J74)</f>
        <v/>
      </c>
      <c r="F106" s="67" t="str">
        <f aca="false">IF($A106="","",$E106*WorkDaysWeek)</f>
        <v/>
      </c>
      <c r="G106" s="67" t="str">
        <f aca="false">IF($A106="","",$E106*WorkDaysMonth)</f>
        <v/>
      </c>
      <c r="H106" s="68" t="str">
        <f aca="false">IF($A106="","",'Stock Monitor'!$E74)</f>
        <v/>
      </c>
      <c r="I106" s="67" t="str">
        <f aca="false">IF($A106="","",'Stock Monitor'!$T74)</f>
        <v/>
      </c>
      <c r="J106" s="67" t="str">
        <f aca="false">IF($A106="","",$E106*B$8)</f>
        <v/>
      </c>
      <c r="K106" s="67" t="str">
        <f aca="false">IF($A106="","",$E106*C$8)</f>
        <v/>
      </c>
      <c r="L106" s="67" t="str">
        <f aca="false">IF($A106="","",$E106*D$8)</f>
        <v/>
      </c>
      <c r="M106" s="67" t="str">
        <f aca="false">IF($A106="","",$E106*E$8)</f>
        <v/>
      </c>
      <c r="N106" s="67" t="str">
        <f aca="false">IF($A106="","",$E106*F$8)</f>
        <v/>
      </c>
      <c r="O106" s="67" t="str">
        <f aca="false">IF($A106="","",$E106*G$8)</f>
        <v/>
      </c>
      <c r="P106" s="74" t="str">
        <f aca="false">IF($A106="","",SUMIFS(Del_Qty,Del_Site,$A106,Del_Mat,$B106,Del_Date,"&gt;="&amp;B$6,Del_Date,"&lt;="&amp;B$7))</f>
        <v/>
      </c>
      <c r="Q106" s="74" t="str">
        <f aca="false">IF($A106="","",SUMIFS(Del_Qty,Del_Site,$A106,Del_Mat,$B106,Del_Date,"&gt;="&amp;C$6,Del_Date,"&lt;="&amp;C$7))</f>
        <v/>
      </c>
      <c r="R106" s="74" t="str">
        <f aca="false">IF($A106="","",SUMIFS(Del_Qty,Del_Site,$A106,Del_Mat,$B106,Del_Date,"&gt;="&amp;D$6,Del_Date,"&lt;="&amp;D$7))</f>
        <v/>
      </c>
      <c r="S106" s="74" t="str">
        <f aca="false">IF($A106="","",SUMIFS(Del_Qty,Del_Site,$A106,Del_Mat,$B106,Del_Date,"&gt;="&amp;E$6,Del_Date,"&lt;="&amp;E$7))</f>
        <v/>
      </c>
      <c r="T106" s="74" t="str">
        <f aca="false">IF($A106="","",SUMIFS(Del_Qty,Del_Site,$A106,Del_Mat,$B106,Del_Date,"&gt;="&amp;F$6,Del_Date,"&lt;="&amp;F$7))</f>
        <v/>
      </c>
      <c r="U106" s="74" t="str">
        <f aca="false">IF($A106="","",SUMIFS(Del_Qty,Del_Site,$A106,Del_Mat,$B106,Del_Date,"&gt;="&amp;G$6,Del_Date,"&lt;="&amp;G$7))</f>
        <v/>
      </c>
      <c r="V106" s="81" t="str">
        <f aca="false">IF($A106="","",MAX(0,J106+$I106-MAX(0,$H106)-P106))</f>
        <v/>
      </c>
      <c r="W106" s="81" t="str">
        <f aca="false">IF($A106="","",MAX(0,K106+$I106-AB106-Q106))</f>
        <v/>
      </c>
      <c r="X106" s="81" t="str">
        <f aca="false">IF($A106="","",MAX(0,L106+$I106-AC106-R106))</f>
        <v/>
      </c>
      <c r="Y106" s="81" t="str">
        <f aca="false">IF($A106="","",MAX(0,M106+$I106-AD106-S106))</f>
        <v/>
      </c>
      <c r="Z106" s="81" t="str">
        <f aca="false">IF($A106="","",MAX(0,N106+$I106-AE106-T106))</f>
        <v/>
      </c>
      <c r="AA106" s="81" t="str">
        <f aca="false">IF($A106="","",MAX(0,O106+$I106-AF106-U106))</f>
        <v/>
      </c>
      <c r="AB106" s="67" t="str">
        <f aca="false">IF($A106="","",MAX($I106,MAX(0,$H106)+P106-J106))</f>
        <v/>
      </c>
      <c r="AC106" s="67" t="str">
        <f aca="false">IF($A106="","",MAX($I106,AB106+Q106-K106))</f>
        <v/>
      </c>
      <c r="AD106" s="67" t="str">
        <f aca="false">IF($A106="","",MAX($I106,AC106+R106-L106))</f>
        <v/>
      </c>
      <c r="AE106" s="67" t="str">
        <f aca="false">IF($A106="","",MAX($I106,AD106+S106-M106))</f>
        <v/>
      </c>
      <c r="AF106" s="67" t="str">
        <f aca="false">IF($A106="","",MAX($I106,AE106+T106-N106))</f>
        <v/>
      </c>
      <c r="AG106" s="67" t="str">
        <f aca="false">IF($A106="","",MAX($I106,AF106+U106-O106))</f>
        <v/>
      </c>
      <c r="AH106" s="76" t="str">
        <f aca="false">IF($A106="","",IF($H106&lt;=0,"Already out",IF($E106&lt;=0,"No usage",IF(MAX(0,$H106)+SUM($P106:P106)-SUM($J106:J106)&lt;=0,$B$9,IF(MAX(0,$H106)+SUM($P106:Q106)-SUM($J106:K106)&lt;=0,$C$9,IF(MAX(0,$H106)+SUM($P106:R106)-SUM($J106:L106)&lt;=0,$D$9,IF(MAX(0,$H106)+SUM($P106:S106)-SUM($J106:M106)&lt;=0,$E$9,IF(MAX(0,$H106)+SUM($P106:T106)-SUM($J106:N106)&lt;=0,$F$9,IF(MAX(0,$H106)+SUM($P106:U106)-SUM($J106:O106)&lt;=0,$G$9,"Beyond 6 periods")))))))))</f>
        <v/>
      </c>
      <c r="AI106" s="67" t="str">
        <f aca="false">IF($A106="","",SUM(J106:O106))</f>
        <v/>
      </c>
      <c r="AJ106" s="68" t="str">
        <f aca="false">IF($A106="","",SUM(V106:AA106))</f>
        <v/>
      </c>
    </row>
    <row r="107" customFormat="false" ht="15" hidden="false" customHeight="false" outlineLevel="0" collapsed="false">
      <c r="A107" s="16" t="str">
        <f aca="false">IF('Stock Monitor'!$A75="","",'Stock Monitor'!$A75)</f>
        <v/>
      </c>
      <c r="B107" s="64" t="str">
        <f aca="false">IF($A107="","",'Stock Monitor'!$B75)</f>
        <v/>
      </c>
      <c r="C107" s="16" t="str">
        <f aca="false">IF($A107="","",'Stock Monitor'!$C75)</f>
        <v/>
      </c>
      <c r="D107" s="64" t="str">
        <f aca="false">IF($A107="","",'Stock Monitor'!$D75)</f>
        <v/>
      </c>
      <c r="E107" s="67" t="str">
        <f aca="false">IF($A107="","",'Stock Monitor'!$J75)</f>
        <v/>
      </c>
      <c r="F107" s="67" t="str">
        <f aca="false">IF($A107="","",$E107*WorkDaysWeek)</f>
        <v/>
      </c>
      <c r="G107" s="67" t="str">
        <f aca="false">IF($A107="","",$E107*WorkDaysMonth)</f>
        <v/>
      </c>
      <c r="H107" s="68" t="str">
        <f aca="false">IF($A107="","",'Stock Monitor'!$E75)</f>
        <v/>
      </c>
      <c r="I107" s="67" t="str">
        <f aca="false">IF($A107="","",'Stock Monitor'!$T75)</f>
        <v/>
      </c>
      <c r="J107" s="67" t="str">
        <f aca="false">IF($A107="","",$E107*B$8)</f>
        <v/>
      </c>
      <c r="K107" s="67" t="str">
        <f aca="false">IF($A107="","",$E107*C$8)</f>
        <v/>
      </c>
      <c r="L107" s="67" t="str">
        <f aca="false">IF($A107="","",$E107*D$8)</f>
        <v/>
      </c>
      <c r="M107" s="67" t="str">
        <f aca="false">IF($A107="","",$E107*E$8)</f>
        <v/>
      </c>
      <c r="N107" s="67" t="str">
        <f aca="false">IF($A107="","",$E107*F$8)</f>
        <v/>
      </c>
      <c r="O107" s="67" t="str">
        <f aca="false">IF($A107="","",$E107*G$8)</f>
        <v/>
      </c>
      <c r="P107" s="74" t="str">
        <f aca="false">IF($A107="","",SUMIFS(Del_Qty,Del_Site,$A107,Del_Mat,$B107,Del_Date,"&gt;="&amp;B$6,Del_Date,"&lt;="&amp;B$7))</f>
        <v/>
      </c>
      <c r="Q107" s="74" t="str">
        <f aca="false">IF($A107="","",SUMIFS(Del_Qty,Del_Site,$A107,Del_Mat,$B107,Del_Date,"&gt;="&amp;C$6,Del_Date,"&lt;="&amp;C$7))</f>
        <v/>
      </c>
      <c r="R107" s="74" t="str">
        <f aca="false">IF($A107="","",SUMIFS(Del_Qty,Del_Site,$A107,Del_Mat,$B107,Del_Date,"&gt;="&amp;D$6,Del_Date,"&lt;="&amp;D$7))</f>
        <v/>
      </c>
      <c r="S107" s="74" t="str">
        <f aca="false">IF($A107="","",SUMIFS(Del_Qty,Del_Site,$A107,Del_Mat,$B107,Del_Date,"&gt;="&amp;E$6,Del_Date,"&lt;="&amp;E$7))</f>
        <v/>
      </c>
      <c r="T107" s="74" t="str">
        <f aca="false">IF($A107="","",SUMIFS(Del_Qty,Del_Site,$A107,Del_Mat,$B107,Del_Date,"&gt;="&amp;F$6,Del_Date,"&lt;="&amp;F$7))</f>
        <v/>
      </c>
      <c r="U107" s="74" t="str">
        <f aca="false">IF($A107="","",SUMIFS(Del_Qty,Del_Site,$A107,Del_Mat,$B107,Del_Date,"&gt;="&amp;G$6,Del_Date,"&lt;="&amp;G$7))</f>
        <v/>
      </c>
      <c r="V107" s="81" t="str">
        <f aca="false">IF($A107="","",MAX(0,J107+$I107-MAX(0,$H107)-P107))</f>
        <v/>
      </c>
      <c r="W107" s="81" t="str">
        <f aca="false">IF($A107="","",MAX(0,K107+$I107-AB107-Q107))</f>
        <v/>
      </c>
      <c r="X107" s="81" t="str">
        <f aca="false">IF($A107="","",MAX(0,L107+$I107-AC107-R107))</f>
        <v/>
      </c>
      <c r="Y107" s="81" t="str">
        <f aca="false">IF($A107="","",MAX(0,M107+$I107-AD107-S107))</f>
        <v/>
      </c>
      <c r="Z107" s="81" t="str">
        <f aca="false">IF($A107="","",MAX(0,N107+$I107-AE107-T107))</f>
        <v/>
      </c>
      <c r="AA107" s="81" t="str">
        <f aca="false">IF($A107="","",MAX(0,O107+$I107-AF107-U107))</f>
        <v/>
      </c>
      <c r="AB107" s="67" t="str">
        <f aca="false">IF($A107="","",MAX($I107,MAX(0,$H107)+P107-J107))</f>
        <v/>
      </c>
      <c r="AC107" s="67" t="str">
        <f aca="false">IF($A107="","",MAX($I107,AB107+Q107-K107))</f>
        <v/>
      </c>
      <c r="AD107" s="67" t="str">
        <f aca="false">IF($A107="","",MAX($I107,AC107+R107-L107))</f>
        <v/>
      </c>
      <c r="AE107" s="67" t="str">
        <f aca="false">IF($A107="","",MAX($I107,AD107+S107-M107))</f>
        <v/>
      </c>
      <c r="AF107" s="67" t="str">
        <f aca="false">IF($A107="","",MAX($I107,AE107+T107-N107))</f>
        <v/>
      </c>
      <c r="AG107" s="67" t="str">
        <f aca="false">IF($A107="","",MAX($I107,AF107+U107-O107))</f>
        <v/>
      </c>
      <c r="AH107" s="76" t="str">
        <f aca="false">IF($A107="","",IF($H107&lt;=0,"Already out",IF($E107&lt;=0,"No usage",IF(MAX(0,$H107)+SUM($P107:P107)-SUM($J107:J107)&lt;=0,$B$9,IF(MAX(0,$H107)+SUM($P107:Q107)-SUM($J107:K107)&lt;=0,$C$9,IF(MAX(0,$H107)+SUM($P107:R107)-SUM($J107:L107)&lt;=0,$D$9,IF(MAX(0,$H107)+SUM($P107:S107)-SUM($J107:M107)&lt;=0,$E$9,IF(MAX(0,$H107)+SUM($P107:T107)-SUM($J107:N107)&lt;=0,$F$9,IF(MAX(0,$H107)+SUM($P107:U107)-SUM($J107:O107)&lt;=0,$G$9,"Beyond 6 periods")))))))))</f>
        <v/>
      </c>
      <c r="AI107" s="67" t="str">
        <f aca="false">IF($A107="","",SUM(J107:O107))</f>
        <v/>
      </c>
      <c r="AJ107" s="68" t="str">
        <f aca="false">IF($A107="","",SUM(V107:AA107))</f>
        <v/>
      </c>
    </row>
    <row r="108" customFormat="false" ht="15" hidden="false" customHeight="false" outlineLevel="0" collapsed="false">
      <c r="A108" s="16" t="str">
        <f aca="false">IF('Stock Monitor'!$A76="","",'Stock Monitor'!$A76)</f>
        <v/>
      </c>
      <c r="B108" s="64" t="str">
        <f aca="false">IF($A108="","",'Stock Monitor'!$B76)</f>
        <v/>
      </c>
      <c r="C108" s="16" t="str">
        <f aca="false">IF($A108="","",'Stock Monitor'!$C76)</f>
        <v/>
      </c>
      <c r="D108" s="64" t="str">
        <f aca="false">IF($A108="","",'Stock Monitor'!$D76)</f>
        <v/>
      </c>
      <c r="E108" s="67" t="str">
        <f aca="false">IF($A108="","",'Stock Monitor'!$J76)</f>
        <v/>
      </c>
      <c r="F108" s="67" t="str">
        <f aca="false">IF($A108="","",$E108*WorkDaysWeek)</f>
        <v/>
      </c>
      <c r="G108" s="67" t="str">
        <f aca="false">IF($A108="","",$E108*WorkDaysMonth)</f>
        <v/>
      </c>
      <c r="H108" s="68" t="str">
        <f aca="false">IF($A108="","",'Stock Monitor'!$E76)</f>
        <v/>
      </c>
      <c r="I108" s="67" t="str">
        <f aca="false">IF($A108="","",'Stock Monitor'!$T76)</f>
        <v/>
      </c>
      <c r="J108" s="67" t="str">
        <f aca="false">IF($A108="","",$E108*B$8)</f>
        <v/>
      </c>
      <c r="K108" s="67" t="str">
        <f aca="false">IF($A108="","",$E108*C$8)</f>
        <v/>
      </c>
      <c r="L108" s="67" t="str">
        <f aca="false">IF($A108="","",$E108*D$8)</f>
        <v/>
      </c>
      <c r="M108" s="67" t="str">
        <f aca="false">IF($A108="","",$E108*E$8)</f>
        <v/>
      </c>
      <c r="N108" s="67" t="str">
        <f aca="false">IF($A108="","",$E108*F$8)</f>
        <v/>
      </c>
      <c r="O108" s="67" t="str">
        <f aca="false">IF($A108="","",$E108*G$8)</f>
        <v/>
      </c>
      <c r="P108" s="74" t="str">
        <f aca="false">IF($A108="","",SUMIFS(Del_Qty,Del_Site,$A108,Del_Mat,$B108,Del_Date,"&gt;="&amp;B$6,Del_Date,"&lt;="&amp;B$7))</f>
        <v/>
      </c>
      <c r="Q108" s="74" t="str">
        <f aca="false">IF($A108="","",SUMIFS(Del_Qty,Del_Site,$A108,Del_Mat,$B108,Del_Date,"&gt;="&amp;C$6,Del_Date,"&lt;="&amp;C$7))</f>
        <v/>
      </c>
      <c r="R108" s="74" t="str">
        <f aca="false">IF($A108="","",SUMIFS(Del_Qty,Del_Site,$A108,Del_Mat,$B108,Del_Date,"&gt;="&amp;D$6,Del_Date,"&lt;="&amp;D$7))</f>
        <v/>
      </c>
      <c r="S108" s="74" t="str">
        <f aca="false">IF($A108="","",SUMIFS(Del_Qty,Del_Site,$A108,Del_Mat,$B108,Del_Date,"&gt;="&amp;E$6,Del_Date,"&lt;="&amp;E$7))</f>
        <v/>
      </c>
      <c r="T108" s="74" t="str">
        <f aca="false">IF($A108="","",SUMIFS(Del_Qty,Del_Site,$A108,Del_Mat,$B108,Del_Date,"&gt;="&amp;F$6,Del_Date,"&lt;="&amp;F$7))</f>
        <v/>
      </c>
      <c r="U108" s="74" t="str">
        <f aca="false">IF($A108="","",SUMIFS(Del_Qty,Del_Site,$A108,Del_Mat,$B108,Del_Date,"&gt;="&amp;G$6,Del_Date,"&lt;="&amp;G$7))</f>
        <v/>
      </c>
      <c r="V108" s="81" t="str">
        <f aca="false">IF($A108="","",MAX(0,J108+$I108-MAX(0,$H108)-P108))</f>
        <v/>
      </c>
      <c r="W108" s="81" t="str">
        <f aca="false">IF($A108="","",MAX(0,K108+$I108-AB108-Q108))</f>
        <v/>
      </c>
      <c r="X108" s="81" t="str">
        <f aca="false">IF($A108="","",MAX(0,L108+$I108-AC108-R108))</f>
        <v/>
      </c>
      <c r="Y108" s="81" t="str">
        <f aca="false">IF($A108="","",MAX(0,M108+$I108-AD108-S108))</f>
        <v/>
      </c>
      <c r="Z108" s="81" t="str">
        <f aca="false">IF($A108="","",MAX(0,N108+$I108-AE108-T108))</f>
        <v/>
      </c>
      <c r="AA108" s="81" t="str">
        <f aca="false">IF($A108="","",MAX(0,O108+$I108-AF108-U108))</f>
        <v/>
      </c>
      <c r="AB108" s="67" t="str">
        <f aca="false">IF($A108="","",MAX($I108,MAX(0,$H108)+P108-J108))</f>
        <v/>
      </c>
      <c r="AC108" s="67" t="str">
        <f aca="false">IF($A108="","",MAX($I108,AB108+Q108-K108))</f>
        <v/>
      </c>
      <c r="AD108" s="67" t="str">
        <f aca="false">IF($A108="","",MAX($I108,AC108+R108-L108))</f>
        <v/>
      </c>
      <c r="AE108" s="67" t="str">
        <f aca="false">IF($A108="","",MAX($I108,AD108+S108-M108))</f>
        <v/>
      </c>
      <c r="AF108" s="67" t="str">
        <f aca="false">IF($A108="","",MAX($I108,AE108+T108-N108))</f>
        <v/>
      </c>
      <c r="AG108" s="67" t="str">
        <f aca="false">IF($A108="","",MAX($I108,AF108+U108-O108))</f>
        <v/>
      </c>
      <c r="AH108" s="76" t="str">
        <f aca="false">IF($A108="","",IF($H108&lt;=0,"Already out",IF($E108&lt;=0,"No usage",IF(MAX(0,$H108)+SUM($P108:P108)-SUM($J108:J108)&lt;=0,$B$9,IF(MAX(0,$H108)+SUM($P108:Q108)-SUM($J108:K108)&lt;=0,$C$9,IF(MAX(0,$H108)+SUM($P108:R108)-SUM($J108:L108)&lt;=0,$D$9,IF(MAX(0,$H108)+SUM($P108:S108)-SUM($J108:M108)&lt;=0,$E$9,IF(MAX(0,$H108)+SUM($P108:T108)-SUM($J108:N108)&lt;=0,$F$9,IF(MAX(0,$H108)+SUM($P108:U108)-SUM($J108:O108)&lt;=0,$G$9,"Beyond 6 periods")))))))))</f>
        <v/>
      </c>
      <c r="AI108" s="67" t="str">
        <f aca="false">IF($A108="","",SUM(J108:O108))</f>
        <v/>
      </c>
      <c r="AJ108" s="68" t="str">
        <f aca="false">IF($A108="","",SUM(V108:AA108))</f>
        <v/>
      </c>
    </row>
    <row r="109" customFormat="false" ht="15" hidden="false" customHeight="false" outlineLevel="0" collapsed="false">
      <c r="A109" s="16" t="str">
        <f aca="false">IF('Stock Monitor'!$A77="","",'Stock Monitor'!$A77)</f>
        <v/>
      </c>
      <c r="B109" s="64" t="str">
        <f aca="false">IF($A109="","",'Stock Monitor'!$B77)</f>
        <v/>
      </c>
      <c r="C109" s="16" t="str">
        <f aca="false">IF($A109="","",'Stock Monitor'!$C77)</f>
        <v/>
      </c>
      <c r="D109" s="64" t="str">
        <f aca="false">IF($A109="","",'Stock Monitor'!$D77)</f>
        <v/>
      </c>
      <c r="E109" s="67" t="str">
        <f aca="false">IF($A109="","",'Stock Monitor'!$J77)</f>
        <v/>
      </c>
      <c r="F109" s="67" t="str">
        <f aca="false">IF($A109="","",$E109*WorkDaysWeek)</f>
        <v/>
      </c>
      <c r="G109" s="67" t="str">
        <f aca="false">IF($A109="","",$E109*WorkDaysMonth)</f>
        <v/>
      </c>
      <c r="H109" s="68" t="str">
        <f aca="false">IF($A109="","",'Stock Monitor'!$E77)</f>
        <v/>
      </c>
      <c r="I109" s="67" t="str">
        <f aca="false">IF($A109="","",'Stock Monitor'!$T77)</f>
        <v/>
      </c>
      <c r="J109" s="67" t="str">
        <f aca="false">IF($A109="","",$E109*B$8)</f>
        <v/>
      </c>
      <c r="K109" s="67" t="str">
        <f aca="false">IF($A109="","",$E109*C$8)</f>
        <v/>
      </c>
      <c r="L109" s="67" t="str">
        <f aca="false">IF($A109="","",$E109*D$8)</f>
        <v/>
      </c>
      <c r="M109" s="67" t="str">
        <f aca="false">IF($A109="","",$E109*E$8)</f>
        <v/>
      </c>
      <c r="N109" s="67" t="str">
        <f aca="false">IF($A109="","",$E109*F$8)</f>
        <v/>
      </c>
      <c r="O109" s="67" t="str">
        <f aca="false">IF($A109="","",$E109*G$8)</f>
        <v/>
      </c>
      <c r="P109" s="74" t="str">
        <f aca="false">IF($A109="","",SUMIFS(Del_Qty,Del_Site,$A109,Del_Mat,$B109,Del_Date,"&gt;="&amp;B$6,Del_Date,"&lt;="&amp;B$7))</f>
        <v/>
      </c>
      <c r="Q109" s="74" t="str">
        <f aca="false">IF($A109="","",SUMIFS(Del_Qty,Del_Site,$A109,Del_Mat,$B109,Del_Date,"&gt;="&amp;C$6,Del_Date,"&lt;="&amp;C$7))</f>
        <v/>
      </c>
      <c r="R109" s="74" t="str">
        <f aca="false">IF($A109="","",SUMIFS(Del_Qty,Del_Site,$A109,Del_Mat,$B109,Del_Date,"&gt;="&amp;D$6,Del_Date,"&lt;="&amp;D$7))</f>
        <v/>
      </c>
      <c r="S109" s="74" t="str">
        <f aca="false">IF($A109="","",SUMIFS(Del_Qty,Del_Site,$A109,Del_Mat,$B109,Del_Date,"&gt;="&amp;E$6,Del_Date,"&lt;="&amp;E$7))</f>
        <v/>
      </c>
      <c r="T109" s="74" t="str">
        <f aca="false">IF($A109="","",SUMIFS(Del_Qty,Del_Site,$A109,Del_Mat,$B109,Del_Date,"&gt;="&amp;F$6,Del_Date,"&lt;="&amp;F$7))</f>
        <v/>
      </c>
      <c r="U109" s="74" t="str">
        <f aca="false">IF($A109="","",SUMIFS(Del_Qty,Del_Site,$A109,Del_Mat,$B109,Del_Date,"&gt;="&amp;G$6,Del_Date,"&lt;="&amp;G$7))</f>
        <v/>
      </c>
      <c r="V109" s="81" t="str">
        <f aca="false">IF($A109="","",MAX(0,J109+$I109-MAX(0,$H109)-P109))</f>
        <v/>
      </c>
      <c r="W109" s="81" t="str">
        <f aca="false">IF($A109="","",MAX(0,K109+$I109-AB109-Q109))</f>
        <v/>
      </c>
      <c r="X109" s="81" t="str">
        <f aca="false">IF($A109="","",MAX(0,L109+$I109-AC109-R109))</f>
        <v/>
      </c>
      <c r="Y109" s="81" t="str">
        <f aca="false">IF($A109="","",MAX(0,M109+$I109-AD109-S109))</f>
        <v/>
      </c>
      <c r="Z109" s="81" t="str">
        <f aca="false">IF($A109="","",MAX(0,N109+$I109-AE109-T109))</f>
        <v/>
      </c>
      <c r="AA109" s="81" t="str">
        <f aca="false">IF($A109="","",MAX(0,O109+$I109-AF109-U109))</f>
        <v/>
      </c>
      <c r="AB109" s="67" t="str">
        <f aca="false">IF($A109="","",MAX($I109,MAX(0,$H109)+P109-J109))</f>
        <v/>
      </c>
      <c r="AC109" s="67" t="str">
        <f aca="false">IF($A109="","",MAX($I109,AB109+Q109-K109))</f>
        <v/>
      </c>
      <c r="AD109" s="67" t="str">
        <f aca="false">IF($A109="","",MAX($I109,AC109+R109-L109))</f>
        <v/>
      </c>
      <c r="AE109" s="67" t="str">
        <f aca="false">IF($A109="","",MAX($I109,AD109+S109-M109))</f>
        <v/>
      </c>
      <c r="AF109" s="67" t="str">
        <f aca="false">IF($A109="","",MAX($I109,AE109+T109-N109))</f>
        <v/>
      </c>
      <c r="AG109" s="67" t="str">
        <f aca="false">IF($A109="","",MAX($I109,AF109+U109-O109))</f>
        <v/>
      </c>
      <c r="AH109" s="76" t="str">
        <f aca="false">IF($A109="","",IF($H109&lt;=0,"Already out",IF($E109&lt;=0,"No usage",IF(MAX(0,$H109)+SUM($P109:P109)-SUM($J109:J109)&lt;=0,$B$9,IF(MAX(0,$H109)+SUM($P109:Q109)-SUM($J109:K109)&lt;=0,$C$9,IF(MAX(0,$H109)+SUM($P109:R109)-SUM($J109:L109)&lt;=0,$D$9,IF(MAX(0,$H109)+SUM($P109:S109)-SUM($J109:M109)&lt;=0,$E$9,IF(MAX(0,$H109)+SUM($P109:T109)-SUM($J109:N109)&lt;=0,$F$9,IF(MAX(0,$H109)+SUM($P109:U109)-SUM($J109:O109)&lt;=0,$G$9,"Beyond 6 periods")))))))))</f>
        <v/>
      </c>
      <c r="AI109" s="67" t="str">
        <f aca="false">IF($A109="","",SUM(J109:O109))</f>
        <v/>
      </c>
      <c r="AJ109" s="68" t="str">
        <f aca="false">IF($A109="","",SUM(V109:AA109))</f>
        <v/>
      </c>
    </row>
    <row r="110" customFormat="false" ht="15" hidden="false" customHeight="false" outlineLevel="0" collapsed="false">
      <c r="A110" s="16" t="str">
        <f aca="false">IF('Stock Monitor'!$A78="","",'Stock Monitor'!$A78)</f>
        <v/>
      </c>
      <c r="B110" s="64" t="str">
        <f aca="false">IF($A110="","",'Stock Monitor'!$B78)</f>
        <v/>
      </c>
      <c r="C110" s="16" t="str">
        <f aca="false">IF($A110="","",'Stock Monitor'!$C78)</f>
        <v/>
      </c>
      <c r="D110" s="64" t="str">
        <f aca="false">IF($A110="","",'Stock Monitor'!$D78)</f>
        <v/>
      </c>
      <c r="E110" s="67" t="str">
        <f aca="false">IF($A110="","",'Stock Monitor'!$J78)</f>
        <v/>
      </c>
      <c r="F110" s="67" t="str">
        <f aca="false">IF($A110="","",$E110*WorkDaysWeek)</f>
        <v/>
      </c>
      <c r="G110" s="67" t="str">
        <f aca="false">IF($A110="","",$E110*WorkDaysMonth)</f>
        <v/>
      </c>
      <c r="H110" s="68" t="str">
        <f aca="false">IF($A110="","",'Stock Monitor'!$E78)</f>
        <v/>
      </c>
      <c r="I110" s="67" t="str">
        <f aca="false">IF($A110="","",'Stock Monitor'!$T78)</f>
        <v/>
      </c>
      <c r="J110" s="67" t="str">
        <f aca="false">IF($A110="","",$E110*B$8)</f>
        <v/>
      </c>
      <c r="K110" s="67" t="str">
        <f aca="false">IF($A110="","",$E110*C$8)</f>
        <v/>
      </c>
      <c r="L110" s="67" t="str">
        <f aca="false">IF($A110="","",$E110*D$8)</f>
        <v/>
      </c>
      <c r="M110" s="67" t="str">
        <f aca="false">IF($A110="","",$E110*E$8)</f>
        <v/>
      </c>
      <c r="N110" s="67" t="str">
        <f aca="false">IF($A110="","",$E110*F$8)</f>
        <v/>
      </c>
      <c r="O110" s="67" t="str">
        <f aca="false">IF($A110="","",$E110*G$8)</f>
        <v/>
      </c>
      <c r="P110" s="74" t="str">
        <f aca="false">IF($A110="","",SUMIFS(Del_Qty,Del_Site,$A110,Del_Mat,$B110,Del_Date,"&gt;="&amp;B$6,Del_Date,"&lt;="&amp;B$7))</f>
        <v/>
      </c>
      <c r="Q110" s="74" t="str">
        <f aca="false">IF($A110="","",SUMIFS(Del_Qty,Del_Site,$A110,Del_Mat,$B110,Del_Date,"&gt;="&amp;C$6,Del_Date,"&lt;="&amp;C$7))</f>
        <v/>
      </c>
      <c r="R110" s="74" t="str">
        <f aca="false">IF($A110="","",SUMIFS(Del_Qty,Del_Site,$A110,Del_Mat,$B110,Del_Date,"&gt;="&amp;D$6,Del_Date,"&lt;="&amp;D$7))</f>
        <v/>
      </c>
      <c r="S110" s="74" t="str">
        <f aca="false">IF($A110="","",SUMIFS(Del_Qty,Del_Site,$A110,Del_Mat,$B110,Del_Date,"&gt;="&amp;E$6,Del_Date,"&lt;="&amp;E$7))</f>
        <v/>
      </c>
      <c r="T110" s="74" t="str">
        <f aca="false">IF($A110="","",SUMIFS(Del_Qty,Del_Site,$A110,Del_Mat,$B110,Del_Date,"&gt;="&amp;F$6,Del_Date,"&lt;="&amp;F$7))</f>
        <v/>
      </c>
      <c r="U110" s="74" t="str">
        <f aca="false">IF($A110="","",SUMIFS(Del_Qty,Del_Site,$A110,Del_Mat,$B110,Del_Date,"&gt;="&amp;G$6,Del_Date,"&lt;="&amp;G$7))</f>
        <v/>
      </c>
      <c r="V110" s="81" t="str">
        <f aca="false">IF($A110="","",MAX(0,J110+$I110-MAX(0,$H110)-P110))</f>
        <v/>
      </c>
      <c r="W110" s="81" t="str">
        <f aca="false">IF($A110="","",MAX(0,K110+$I110-AB110-Q110))</f>
        <v/>
      </c>
      <c r="X110" s="81" t="str">
        <f aca="false">IF($A110="","",MAX(0,L110+$I110-AC110-R110))</f>
        <v/>
      </c>
      <c r="Y110" s="81" t="str">
        <f aca="false">IF($A110="","",MAX(0,M110+$I110-AD110-S110))</f>
        <v/>
      </c>
      <c r="Z110" s="81" t="str">
        <f aca="false">IF($A110="","",MAX(0,N110+$I110-AE110-T110))</f>
        <v/>
      </c>
      <c r="AA110" s="81" t="str">
        <f aca="false">IF($A110="","",MAX(0,O110+$I110-AF110-U110))</f>
        <v/>
      </c>
      <c r="AB110" s="67" t="str">
        <f aca="false">IF($A110="","",MAX($I110,MAX(0,$H110)+P110-J110))</f>
        <v/>
      </c>
      <c r="AC110" s="67" t="str">
        <f aca="false">IF($A110="","",MAX($I110,AB110+Q110-K110))</f>
        <v/>
      </c>
      <c r="AD110" s="67" t="str">
        <f aca="false">IF($A110="","",MAX($I110,AC110+R110-L110))</f>
        <v/>
      </c>
      <c r="AE110" s="67" t="str">
        <f aca="false">IF($A110="","",MAX($I110,AD110+S110-M110))</f>
        <v/>
      </c>
      <c r="AF110" s="67" t="str">
        <f aca="false">IF($A110="","",MAX($I110,AE110+T110-N110))</f>
        <v/>
      </c>
      <c r="AG110" s="67" t="str">
        <f aca="false">IF($A110="","",MAX($I110,AF110+U110-O110))</f>
        <v/>
      </c>
      <c r="AH110" s="76" t="str">
        <f aca="false">IF($A110="","",IF($H110&lt;=0,"Already out",IF($E110&lt;=0,"No usage",IF(MAX(0,$H110)+SUM($P110:P110)-SUM($J110:J110)&lt;=0,$B$9,IF(MAX(0,$H110)+SUM($P110:Q110)-SUM($J110:K110)&lt;=0,$C$9,IF(MAX(0,$H110)+SUM($P110:R110)-SUM($J110:L110)&lt;=0,$D$9,IF(MAX(0,$H110)+SUM($P110:S110)-SUM($J110:M110)&lt;=0,$E$9,IF(MAX(0,$H110)+SUM($P110:T110)-SUM($J110:N110)&lt;=0,$F$9,IF(MAX(0,$H110)+SUM($P110:U110)-SUM($J110:O110)&lt;=0,$G$9,"Beyond 6 periods")))))))))</f>
        <v/>
      </c>
      <c r="AI110" s="67" t="str">
        <f aca="false">IF($A110="","",SUM(J110:O110))</f>
        <v/>
      </c>
      <c r="AJ110" s="68" t="str">
        <f aca="false">IF($A110="","",SUM(V110:AA110))</f>
        <v/>
      </c>
    </row>
    <row r="111" customFormat="false" ht="15" hidden="false" customHeight="false" outlineLevel="0" collapsed="false">
      <c r="A111" s="16" t="str">
        <f aca="false">IF('Stock Monitor'!$A79="","",'Stock Monitor'!$A79)</f>
        <v/>
      </c>
      <c r="B111" s="64" t="str">
        <f aca="false">IF($A111="","",'Stock Monitor'!$B79)</f>
        <v/>
      </c>
      <c r="C111" s="16" t="str">
        <f aca="false">IF($A111="","",'Stock Monitor'!$C79)</f>
        <v/>
      </c>
      <c r="D111" s="64" t="str">
        <f aca="false">IF($A111="","",'Stock Monitor'!$D79)</f>
        <v/>
      </c>
      <c r="E111" s="67" t="str">
        <f aca="false">IF($A111="","",'Stock Monitor'!$J79)</f>
        <v/>
      </c>
      <c r="F111" s="67" t="str">
        <f aca="false">IF($A111="","",$E111*WorkDaysWeek)</f>
        <v/>
      </c>
      <c r="G111" s="67" t="str">
        <f aca="false">IF($A111="","",$E111*WorkDaysMonth)</f>
        <v/>
      </c>
      <c r="H111" s="68" t="str">
        <f aca="false">IF($A111="","",'Stock Monitor'!$E79)</f>
        <v/>
      </c>
      <c r="I111" s="67" t="str">
        <f aca="false">IF($A111="","",'Stock Monitor'!$T79)</f>
        <v/>
      </c>
      <c r="J111" s="67" t="str">
        <f aca="false">IF($A111="","",$E111*B$8)</f>
        <v/>
      </c>
      <c r="K111" s="67" t="str">
        <f aca="false">IF($A111="","",$E111*C$8)</f>
        <v/>
      </c>
      <c r="L111" s="67" t="str">
        <f aca="false">IF($A111="","",$E111*D$8)</f>
        <v/>
      </c>
      <c r="M111" s="67" t="str">
        <f aca="false">IF($A111="","",$E111*E$8)</f>
        <v/>
      </c>
      <c r="N111" s="67" t="str">
        <f aca="false">IF($A111="","",$E111*F$8)</f>
        <v/>
      </c>
      <c r="O111" s="67" t="str">
        <f aca="false">IF($A111="","",$E111*G$8)</f>
        <v/>
      </c>
      <c r="P111" s="74" t="str">
        <f aca="false">IF($A111="","",SUMIFS(Del_Qty,Del_Site,$A111,Del_Mat,$B111,Del_Date,"&gt;="&amp;B$6,Del_Date,"&lt;="&amp;B$7))</f>
        <v/>
      </c>
      <c r="Q111" s="74" t="str">
        <f aca="false">IF($A111="","",SUMIFS(Del_Qty,Del_Site,$A111,Del_Mat,$B111,Del_Date,"&gt;="&amp;C$6,Del_Date,"&lt;="&amp;C$7))</f>
        <v/>
      </c>
      <c r="R111" s="74" t="str">
        <f aca="false">IF($A111="","",SUMIFS(Del_Qty,Del_Site,$A111,Del_Mat,$B111,Del_Date,"&gt;="&amp;D$6,Del_Date,"&lt;="&amp;D$7))</f>
        <v/>
      </c>
      <c r="S111" s="74" t="str">
        <f aca="false">IF($A111="","",SUMIFS(Del_Qty,Del_Site,$A111,Del_Mat,$B111,Del_Date,"&gt;="&amp;E$6,Del_Date,"&lt;="&amp;E$7))</f>
        <v/>
      </c>
      <c r="T111" s="74" t="str">
        <f aca="false">IF($A111="","",SUMIFS(Del_Qty,Del_Site,$A111,Del_Mat,$B111,Del_Date,"&gt;="&amp;F$6,Del_Date,"&lt;="&amp;F$7))</f>
        <v/>
      </c>
      <c r="U111" s="74" t="str">
        <f aca="false">IF($A111="","",SUMIFS(Del_Qty,Del_Site,$A111,Del_Mat,$B111,Del_Date,"&gt;="&amp;G$6,Del_Date,"&lt;="&amp;G$7))</f>
        <v/>
      </c>
      <c r="V111" s="81" t="str">
        <f aca="false">IF($A111="","",MAX(0,J111+$I111-MAX(0,$H111)-P111))</f>
        <v/>
      </c>
      <c r="W111" s="81" t="str">
        <f aca="false">IF($A111="","",MAX(0,K111+$I111-AB111-Q111))</f>
        <v/>
      </c>
      <c r="X111" s="81" t="str">
        <f aca="false">IF($A111="","",MAX(0,L111+$I111-AC111-R111))</f>
        <v/>
      </c>
      <c r="Y111" s="81" t="str">
        <f aca="false">IF($A111="","",MAX(0,M111+$I111-AD111-S111))</f>
        <v/>
      </c>
      <c r="Z111" s="81" t="str">
        <f aca="false">IF($A111="","",MAX(0,N111+$I111-AE111-T111))</f>
        <v/>
      </c>
      <c r="AA111" s="81" t="str">
        <f aca="false">IF($A111="","",MAX(0,O111+$I111-AF111-U111))</f>
        <v/>
      </c>
      <c r="AB111" s="67" t="str">
        <f aca="false">IF($A111="","",MAX($I111,MAX(0,$H111)+P111-J111))</f>
        <v/>
      </c>
      <c r="AC111" s="67" t="str">
        <f aca="false">IF($A111="","",MAX($I111,AB111+Q111-K111))</f>
        <v/>
      </c>
      <c r="AD111" s="67" t="str">
        <f aca="false">IF($A111="","",MAX($I111,AC111+R111-L111))</f>
        <v/>
      </c>
      <c r="AE111" s="67" t="str">
        <f aca="false">IF($A111="","",MAX($I111,AD111+S111-M111))</f>
        <v/>
      </c>
      <c r="AF111" s="67" t="str">
        <f aca="false">IF($A111="","",MAX($I111,AE111+T111-N111))</f>
        <v/>
      </c>
      <c r="AG111" s="67" t="str">
        <f aca="false">IF($A111="","",MAX($I111,AF111+U111-O111))</f>
        <v/>
      </c>
      <c r="AH111" s="76" t="str">
        <f aca="false">IF($A111="","",IF($H111&lt;=0,"Already out",IF($E111&lt;=0,"No usage",IF(MAX(0,$H111)+SUM($P111:P111)-SUM($J111:J111)&lt;=0,$B$9,IF(MAX(0,$H111)+SUM($P111:Q111)-SUM($J111:K111)&lt;=0,$C$9,IF(MAX(0,$H111)+SUM($P111:R111)-SUM($J111:L111)&lt;=0,$D$9,IF(MAX(0,$H111)+SUM($P111:S111)-SUM($J111:M111)&lt;=0,$E$9,IF(MAX(0,$H111)+SUM($P111:T111)-SUM($J111:N111)&lt;=0,$F$9,IF(MAX(0,$H111)+SUM($P111:U111)-SUM($J111:O111)&lt;=0,$G$9,"Beyond 6 periods")))))))))</f>
        <v/>
      </c>
      <c r="AI111" s="67" t="str">
        <f aca="false">IF($A111="","",SUM(J111:O111))</f>
        <v/>
      </c>
      <c r="AJ111" s="68" t="str">
        <f aca="false">IF($A111="","",SUM(V111:AA111))</f>
        <v/>
      </c>
    </row>
    <row r="112" customFormat="false" ht="15" hidden="false" customHeight="false" outlineLevel="0" collapsed="false">
      <c r="A112" s="16" t="str">
        <f aca="false">IF('Stock Monitor'!$A80="","",'Stock Monitor'!$A80)</f>
        <v/>
      </c>
      <c r="B112" s="64" t="str">
        <f aca="false">IF($A112="","",'Stock Monitor'!$B80)</f>
        <v/>
      </c>
      <c r="C112" s="16" t="str">
        <f aca="false">IF($A112="","",'Stock Monitor'!$C80)</f>
        <v/>
      </c>
      <c r="D112" s="64" t="str">
        <f aca="false">IF($A112="","",'Stock Monitor'!$D80)</f>
        <v/>
      </c>
      <c r="E112" s="67" t="str">
        <f aca="false">IF($A112="","",'Stock Monitor'!$J80)</f>
        <v/>
      </c>
      <c r="F112" s="67" t="str">
        <f aca="false">IF($A112="","",$E112*WorkDaysWeek)</f>
        <v/>
      </c>
      <c r="G112" s="67" t="str">
        <f aca="false">IF($A112="","",$E112*WorkDaysMonth)</f>
        <v/>
      </c>
      <c r="H112" s="68" t="str">
        <f aca="false">IF($A112="","",'Stock Monitor'!$E80)</f>
        <v/>
      </c>
      <c r="I112" s="67" t="str">
        <f aca="false">IF($A112="","",'Stock Monitor'!$T80)</f>
        <v/>
      </c>
      <c r="J112" s="67" t="str">
        <f aca="false">IF($A112="","",$E112*B$8)</f>
        <v/>
      </c>
      <c r="K112" s="67" t="str">
        <f aca="false">IF($A112="","",$E112*C$8)</f>
        <v/>
      </c>
      <c r="L112" s="67" t="str">
        <f aca="false">IF($A112="","",$E112*D$8)</f>
        <v/>
      </c>
      <c r="M112" s="67" t="str">
        <f aca="false">IF($A112="","",$E112*E$8)</f>
        <v/>
      </c>
      <c r="N112" s="67" t="str">
        <f aca="false">IF($A112="","",$E112*F$8)</f>
        <v/>
      </c>
      <c r="O112" s="67" t="str">
        <f aca="false">IF($A112="","",$E112*G$8)</f>
        <v/>
      </c>
      <c r="P112" s="74" t="str">
        <f aca="false">IF($A112="","",SUMIFS(Del_Qty,Del_Site,$A112,Del_Mat,$B112,Del_Date,"&gt;="&amp;B$6,Del_Date,"&lt;="&amp;B$7))</f>
        <v/>
      </c>
      <c r="Q112" s="74" t="str">
        <f aca="false">IF($A112="","",SUMIFS(Del_Qty,Del_Site,$A112,Del_Mat,$B112,Del_Date,"&gt;="&amp;C$6,Del_Date,"&lt;="&amp;C$7))</f>
        <v/>
      </c>
      <c r="R112" s="74" t="str">
        <f aca="false">IF($A112="","",SUMIFS(Del_Qty,Del_Site,$A112,Del_Mat,$B112,Del_Date,"&gt;="&amp;D$6,Del_Date,"&lt;="&amp;D$7))</f>
        <v/>
      </c>
      <c r="S112" s="74" t="str">
        <f aca="false">IF($A112="","",SUMIFS(Del_Qty,Del_Site,$A112,Del_Mat,$B112,Del_Date,"&gt;="&amp;E$6,Del_Date,"&lt;="&amp;E$7))</f>
        <v/>
      </c>
      <c r="T112" s="74" t="str">
        <f aca="false">IF($A112="","",SUMIFS(Del_Qty,Del_Site,$A112,Del_Mat,$B112,Del_Date,"&gt;="&amp;F$6,Del_Date,"&lt;="&amp;F$7))</f>
        <v/>
      </c>
      <c r="U112" s="74" t="str">
        <f aca="false">IF($A112="","",SUMIFS(Del_Qty,Del_Site,$A112,Del_Mat,$B112,Del_Date,"&gt;="&amp;G$6,Del_Date,"&lt;="&amp;G$7))</f>
        <v/>
      </c>
      <c r="V112" s="81" t="str">
        <f aca="false">IF($A112="","",MAX(0,J112+$I112-MAX(0,$H112)-P112))</f>
        <v/>
      </c>
      <c r="W112" s="81" t="str">
        <f aca="false">IF($A112="","",MAX(0,K112+$I112-AB112-Q112))</f>
        <v/>
      </c>
      <c r="X112" s="81" t="str">
        <f aca="false">IF($A112="","",MAX(0,L112+$I112-AC112-R112))</f>
        <v/>
      </c>
      <c r="Y112" s="81" t="str">
        <f aca="false">IF($A112="","",MAX(0,M112+$I112-AD112-S112))</f>
        <v/>
      </c>
      <c r="Z112" s="81" t="str">
        <f aca="false">IF($A112="","",MAX(0,N112+$I112-AE112-T112))</f>
        <v/>
      </c>
      <c r="AA112" s="81" t="str">
        <f aca="false">IF($A112="","",MAX(0,O112+$I112-AF112-U112))</f>
        <v/>
      </c>
      <c r="AB112" s="67" t="str">
        <f aca="false">IF($A112="","",MAX($I112,MAX(0,$H112)+P112-J112))</f>
        <v/>
      </c>
      <c r="AC112" s="67" t="str">
        <f aca="false">IF($A112="","",MAX($I112,AB112+Q112-K112))</f>
        <v/>
      </c>
      <c r="AD112" s="67" t="str">
        <f aca="false">IF($A112="","",MAX($I112,AC112+R112-L112))</f>
        <v/>
      </c>
      <c r="AE112" s="67" t="str">
        <f aca="false">IF($A112="","",MAX($I112,AD112+S112-M112))</f>
        <v/>
      </c>
      <c r="AF112" s="67" t="str">
        <f aca="false">IF($A112="","",MAX($I112,AE112+T112-N112))</f>
        <v/>
      </c>
      <c r="AG112" s="67" t="str">
        <f aca="false">IF($A112="","",MAX($I112,AF112+U112-O112))</f>
        <v/>
      </c>
      <c r="AH112" s="76" t="str">
        <f aca="false">IF($A112="","",IF($H112&lt;=0,"Already out",IF($E112&lt;=0,"No usage",IF(MAX(0,$H112)+SUM($P112:P112)-SUM($J112:J112)&lt;=0,$B$9,IF(MAX(0,$H112)+SUM($P112:Q112)-SUM($J112:K112)&lt;=0,$C$9,IF(MAX(0,$H112)+SUM($P112:R112)-SUM($J112:L112)&lt;=0,$D$9,IF(MAX(0,$H112)+SUM($P112:S112)-SUM($J112:M112)&lt;=0,$E$9,IF(MAX(0,$H112)+SUM($P112:T112)-SUM($J112:N112)&lt;=0,$F$9,IF(MAX(0,$H112)+SUM($P112:U112)-SUM($J112:O112)&lt;=0,$G$9,"Beyond 6 periods")))))))))</f>
        <v/>
      </c>
      <c r="AI112" s="67" t="str">
        <f aca="false">IF($A112="","",SUM(J112:O112))</f>
        <v/>
      </c>
      <c r="AJ112" s="68" t="str">
        <f aca="false">IF($A112="","",SUM(V112:AA112))</f>
        <v/>
      </c>
    </row>
    <row r="113" customFormat="false" ht="15" hidden="false" customHeight="false" outlineLevel="0" collapsed="false">
      <c r="A113" s="16" t="str">
        <f aca="false">IF('Stock Monitor'!$A81="","",'Stock Monitor'!$A81)</f>
        <v/>
      </c>
      <c r="B113" s="64" t="str">
        <f aca="false">IF($A113="","",'Stock Monitor'!$B81)</f>
        <v/>
      </c>
      <c r="C113" s="16" t="str">
        <f aca="false">IF($A113="","",'Stock Monitor'!$C81)</f>
        <v/>
      </c>
      <c r="D113" s="64" t="str">
        <f aca="false">IF($A113="","",'Stock Monitor'!$D81)</f>
        <v/>
      </c>
      <c r="E113" s="67" t="str">
        <f aca="false">IF($A113="","",'Stock Monitor'!$J81)</f>
        <v/>
      </c>
      <c r="F113" s="67" t="str">
        <f aca="false">IF($A113="","",$E113*WorkDaysWeek)</f>
        <v/>
      </c>
      <c r="G113" s="67" t="str">
        <f aca="false">IF($A113="","",$E113*WorkDaysMonth)</f>
        <v/>
      </c>
      <c r="H113" s="68" t="str">
        <f aca="false">IF($A113="","",'Stock Monitor'!$E81)</f>
        <v/>
      </c>
      <c r="I113" s="67" t="str">
        <f aca="false">IF($A113="","",'Stock Monitor'!$T81)</f>
        <v/>
      </c>
      <c r="J113" s="67" t="str">
        <f aca="false">IF($A113="","",$E113*B$8)</f>
        <v/>
      </c>
      <c r="K113" s="67" t="str">
        <f aca="false">IF($A113="","",$E113*C$8)</f>
        <v/>
      </c>
      <c r="L113" s="67" t="str">
        <f aca="false">IF($A113="","",$E113*D$8)</f>
        <v/>
      </c>
      <c r="M113" s="67" t="str">
        <f aca="false">IF($A113="","",$E113*E$8)</f>
        <v/>
      </c>
      <c r="N113" s="67" t="str">
        <f aca="false">IF($A113="","",$E113*F$8)</f>
        <v/>
      </c>
      <c r="O113" s="67" t="str">
        <f aca="false">IF($A113="","",$E113*G$8)</f>
        <v/>
      </c>
      <c r="P113" s="74" t="str">
        <f aca="false">IF($A113="","",SUMIFS(Del_Qty,Del_Site,$A113,Del_Mat,$B113,Del_Date,"&gt;="&amp;B$6,Del_Date,"&lt;="&amp;B$7))</f>
        <v/>
      </c>
      <c r="Q113" s="74" t="str">
        <f aca="false">IF($A113="","",SUMIFS(Del_Qty,Del_Site,$A113,Del_Mat,$B113,Del_Date,"&gt;="&amp;C$6,Del_Date,"&lt;="&amp;C$7))</f>
        <v/>
      </c>
      <c r="R113" s="74" t="str">
        <f aca="false">IF($A113="","",SUMIFS(Del_Qty,Del_Site,$A113,Del_Mat,$B113,Del_Date,"&gt;="&amp;D$6,Del_Date,"&lt;="&amp;D$7))</f>
        <v/>
      </c>
      <c r="S113" s="74" t="str">
        <f aca="false">IF($A113="","",SUMIFS(Del_Qty,Del_Site,$A113,Del_Mat,$B113,Del_Date,"&gt;="&amp;E$6,Del_Date,"&lt;="&amp;E$7))</f>
        <v/>
      </c>
      <c r="T113" s="74" t="str">
        <f aca="false">IF($A113="","",SUMIFS(Del_Qty,Del_Site,$A113,Del_Mat,$B113,Del_Date,"&gt;="&amp;F$6,Del_Date,"&lt;="&amp;F$7))</f>
        <v/>
      </c>
      <c r="U113" s="74" t="str">
        <f aca="false">IF($A113="","",SUMIFS(Del_Qty,Del_Site,$A113,Del_Mat,$B113,Del_Date,"&gt;="&amp;G$6,Del_Date,"&lt;="&amp;G$7))</f>
        <v/>
      </c>
      <c r="V113" s="81" t="str">
        <f aca="false">IF($A113="","",MAX(0,J113+$I113-MAX(0,$H113)-P113))</f>
        <v/>
      </c>
      <c r="W113" s="81" t="str">
        <f aca="false">IF($A113="","",MAX(0,K113+$I113-AB113-Q113))</f>
        <v/>
      </c>
      <c r="X113" s="81" t="str">
        <f aca="false">IF($A113="","",MAX(0,L113+$I113-AC113-R113))</f>
        <v/>
      </c>
      <c r="Y113" s="81" t="str">
        <f aca="false">IF($A113="","",MAX(0,M113+$I113-AD113-S113))</f>
        <v/>
      </c>
      <c r="Z113" s="81" t="str">
        <f aca="false">IF($A113="","",MAX(0,N113+$I113-AE113-T113))</f>
        <v/>
      </c>
      <c r="AA113" s="81" t="str">
        <f aca="false">IF($A113="","",MAX(0,O113+$I113-AF113-U113))</f>
        <v/>
      </c>
      <c r="AB113" s="67" t="str">
        <f aca="false">IF($A113="","",MAX($I113,MAX(0,$H113)+P113-J113))</f>
        <v/>
      </c>
      <c r="AC113" s="67" t="str">
        <f aca="false">IF($A113="","",MAX($I113,AB113+Q113-K113))</f>
        <v/>
      </c>
      <c r="AD113" s="67" t="str">
        <f aca="false">IF($A113="","",MAX($I113,AC113+R113-L113))</f>
        <v/>
      </c>
      <c r="AE113" s="67" t="str">
        <f aca="false">IF($A113="","",MAX($I113,AD113+S113-M113))</f>
        <v/>
      </c>
      <c r="AF113" s="67" t="str">
        <f aca="false">IF($A113="","",MAX($I113,AE113+T113-N113))</f>
        <v/>
      </c>
      <c r="AG113" s="67" t="str">
        <f aca="false">IF($A113="","",MAX($I113,AF113+U113-O113))</f>
        <v/>
      </c>
      <c r="AH113" s="76" t="str">
        <f aca="false">IF($A113="","",IF($H113&lt;=0,"Already out",IF($E113&lt;=0,"No usage",IF(MAX(0,$H113)+SUM($P113:P113)-SUM($J113:J113)&lt;=0,$B$9,IF(MAX(0,$H113)+SUM($P113:Q113)-SUM($J113:K113)&lt;=0,$C$9,IF(MAX(0,$H113)+SUM($P113:R113)-SUM($J113:L113)&lt;=0,$D$9,IF(MAX(0,$H113)+SUM($P113:S113)-SUM($J113:M113)&lt;=0,$E$9,IF(MAX(0,$H113)+SUM($P113:T113)-SUM($J113:N113)&lt;=0,$F$9,IF(MAX(0,$H113)+SUM($P113:U113)-SUM($J113:O113)&lt;=0,$G$9,"Beyond 6 periods")))))))))</f>
        <v/>
      </c>
      <c r="AI113" s="67" t="str">
        <f aca="false">IF($A113="","",SUM(J113:O113))</f>
        <v/>
      </c>
      <c r="AJ113" s="68" t="str">
        <f aca="false">IF($A113="","",SUM(V113:AA113))</f>
        <v/>
      </c>
    </row>
    <row r="114" customFormat="false" ht="15" hidden="false" customHeight="false" outlineLevel="0" collapsed="false">
      <c r="A114" s="16" t="str">
        <f aca="false">IF('Stock Monitor'!$A82="","",'Stock Monitor'!$A82)</f>
        <v/>
      </c>
      <c r="B114" s="64" t="str">
        <f aca="false">IF($A114="","",'Stock Monitor'!$B82)</f>
        <v/>
      </c>
      <c r="C114" s="16" t="str">
        <f aca="false">IF($A114="","",'Stock Monitor'!$C82)</f>
        <v/>
      </c>
      <c r="D114" s="64" t="str">
        <f aca="false">IF($A114="","",'Stock Monitor'!$D82)</f>
        <v/>
      </c>
      <c r="E114" s="67" t="str">
        <f aca="false">IF($A114="","",'Stock Monitor'!$J82)</f>
        <v/>
      </c>
      <c r="F114" s="67" t="str">
        <f aca="false">IF($A114="","",$E114*WorkDaysWeek)</f>
        <v/>
      </c>
      <c r="G114" s="67" t="str">
        <f aca="false">IF($A114="","",$E114*WorkDaysMonth)</f>
        <v/>
      </c>
      <c r="H114" s="68" t="str">
        <f aca="false">IF($A114="","",'Stock Monitor'!$E82)</f>
        <v/>
      </c>
      <c r="I114" s="67" t="str">
        <f aca="false">IF($A114="","",'Stock Monitor'!$T82)</f>
        <v/>
      </c>
      <c r="J114" s="67" t="str">
        <f aca="false">IF($A114="","",$E114*B$8)</f>
        <v/>
      </c>
      <c r="K114" s="67" t="str">
        <f aca="false">IF($A114="","",$E114*C$8)</f>
        <v/>
      </c>
      <c r="L114" s="67" t="str">
        <f aca="false">IF($A114="","",$E114*D$8)</f>
        <v/>
      </c>
      <c r="M114" s="67" t="str">
        <f aca="false">IF($A114="","",$E114*E$8)</f>
        <v/>
      </c>
      <c r="N114" s="67" t="str">
        <f aca="false">IF($A114="","",$E114*F$8)</f>
        <v/>
      </c>
      <c r="O114" s="67" t="str">
        <f aca="false">IF($A114="","",$E114*G$8)</f>
        <v/>
      </c>
      <c r="P114" s="74" t="str">
        <f aca="false">IF($A114="","",SUMIFS(Del_Qty,Del_Site,$A114,Del_Mat,$B114,Del_Date,"&gt;="&amp;B$6,Del_Date,"&lt;="&amp;B$7))</f>
        <v/>
      </c>
      <c r="Q114" s="74" t="str">
        <f aca="false">IF($A114="","",SUMIFS(Del_Qty,Del_Site,$A114,Del_Mat,$B114,Del_Date,"&gt;="&amp;C$6,Del_Date,"&lt;="&amp;C$7))</f>
        <v/>
      </c>
      <c r="R114" s="74" t="str">
        <f aca="false">IF($A114="","",SUMIFS(Del_Qty,Del_Site,$A114,Del_Mat,$B114,Del_Date,"&gt;="&amp;D$6,Del_Date,"&lt;="&amp;D$7))</f>
        <v/>
      </c>
      <c r="S114" s="74" t="str">
        <f aca="false">IF($A114="","",SUMIFS(Del_Qty,Del_Site,$A114,Del_Mat,$B114,Del_Date,"&gt;="&amp;E$6,Del_Date,"&lt;="&amp;E$7))</f>
        <v/>
      </c>
      <c r="T114" s="74" t="str">
        <f aca="false">IF($A114="","",SUMIFS(Del_Qty,Del_Site,$A114,Del_Mat,$B114,Del_Date,"&gt;="&amp;F$6,Del_Date,"&lt;="&amp;F$7))</f>
        <v/>
      </c>
      <c r="U114" s="74" t="str">
        <f aca="false">IF($A114="","",SUMIFS(Del_Qty,Del_Site,$A114,Del_Mat,$B114,Del_Date,"&gt;="&amp;G$6,Del_Date,"&lt;="&amp;G$7))</f>
        <v/>
      </c>
      <c r="V114" s="81" t="str">
        <f aca="false">IF($A114="","",MAX(0,J114+$I114-MAX(0,$H114)-P114))</f>
        <v/>
      </c>
      <c r="W114" s="81" t="str">
        <f aca="false">IF($A114="","",MAX(0,K114+$I114-AB114-Q114))</f>
        <v/>
      </c>
      <c r="X114" s="81" t="str">
        <f aca="false">IF($A114="","",MAX(0,L114+$I114-AC114-R114))</f>
        <v/>
      </c>
      <c r="Y114" s="81" t="str">
        <f aca="false">IF($A114="","",MAX(0,M114+$I114-AD114-S114))</f>
        <v/>
      </c>
      <c r="Z114" s="81" t="str">
        <f aca="false">IF($A114="","",MAX(0,N114+$I114-AE114-T114))</f>
        <v/>
      </c>
      <c r="AA114" s="81" t="str">
        <f aca="false">IF($A114="","",MAX(0,O114+$I114-AF114-U114))</f>
        <v/>
      </c>
      <c r="AB114" s="67" t="str">
        <f aca="false">IF($A114="","",MAX($I114,MAX(0,$H114)+P114-J114))</f>
        <v/>
      </c>
      <c r="AC114" s="67" t="str">
        <f aca="false">IF($A114="","",MAX($I114,AB114+Q114-K114))</f>
        <v/>
      </c>
      <c r="AD114" s="67" t="str">
        <f aca="false">IF($A114="","",MAX($I114,AC114+R114-L114))</f>
        <v/>
      </c>
      <c r="AE114" s="67" t="str">
        <f aca="false">IF($A114="","",MAX($I114,AD114+S114-M114))</f>
        <v/>
      </c>
      <c r="AF114" s="67" t="str">
        <f aca="false">IF($A114="","",MAX($I114,AE114+T114-N114))</f>
        <v/>
      </c>
      <c r="AG114" s="67" t="str">
        <f aca="false">IF($A114="","",MAX($I114,AF114+U114-O114))</f>
        <v/>
      </c>
      <c r="AH114" s="76" t="str">
        <f aca="false">IF($A114="","",IF($H114&lt;=0,"Already out",IF($E114&lt;=0,"No usage",IF(MAX(0,$H114)+SUM($P114:P114)-SUM($J114:J114)&lt;=0,$B$9,IF(MAX(0,$H114)+SUM($P114:Q114)-SUM($J114:K114)&lt;=0,$C$9,IF(MAX(0,$H114)+SUM($P114:R114)-SUM($J114:L114)&lt;=0,$D$9,IF(MAX(0,$H114)+SUM($P114:S114)-SUM($J114:M114)&lt;=0,$E$9,IF(MAX(0,$H114)+SUM($P114:T114)-SUM($J114:N114)&lt;=0,$F$9,IF(MAX(0,$H114)+SUM($P114:U114)-SUM($J114:O114)&lt;=0,$G$9,"Beyond 6 periods")))))))))</f>
        <v/>
      </c>
      <c r="AI114" s="67" t="str">
        <f aca="false">IF($A114="","",SUM(J114:O114))</f>
        <v/>
      </c>
      <c r="AJ114" s="68" t="str">
        <f aca="false">IF($A114="","",SUM(V114:AA114))</f>
        <v/>
      </c>
    </row>
    <row r="115" customFormat="false" ht="15" hidden="false" customHeight="false" outlineLevel="0" collapsed="false">
      <c r="A115" s="16" t="str">
        <f aca="false">IF('Stock Monitor'!$A83="","",'Stock Monitor'!$A83)</f>
        <v/>
      </c>
      <c r="B115" s="64" t="str">
        <f aca="false">IF($A115="","",'Stock Monitor'!$B83)</f>
        <v/>
      </c>
      <c r="C115" s="16" t="str">
        <f aca="false">IF($A115="","",'Stock Monitor'!$C83)</f>
        <v/>
      </c>
      <c r="D115" s="64" t="str">
        <f aca="false">IF($A115="","",'Stock Monitor'!$D83)</f>
        <v/>
      </c>
      <c r="E115" s="67" t="str">
        <f aca="false">IF($A115="","",'Stock Monitor'!$J83)</f>
        <v/>
      </c>
      <c r="F115" s="67" t="str">
        <f aca="false">IF($A115="","",$E115*WorkDaysWeek)</f>
        <v/>
      </c>
      <c r="G115" s="67" t="str">
        <f aca="false">IF($A115="","",$E115*WorkDaysMonth)</f>
        <v/>
      </c>
      <c r="H115" s="68" t="str">
        <f aca="false">IF($A115="","",'Stock Monitor'!$E83)</f>
        <v/>
      </c>
      <c r="I115" s="67" t="str">
        <f aca="false">IF($A115="","",'Stock Monitor'!$T83)</f>
        <v/>
      </c>
      <c r="J115" s="67" t="str">
        <f aca="false">IF($A115="","",$E115*B$8)</f>
        <v/>
      </c>
      <c r="K115" s="67" t="str">
        <f aca="false">IF($A115="","",$E115*C$8)</f>
        <v/>
      </c>
      <c r="L115" s="67" t="str">
        <f aca="false">IF($A115="","",$E115*D$8)</f>
        <v/>
      </c>
      <c r="M115" s="67" t="str">
        <f aca="false">IF($A115="","",$E115*E$8)</f>
        <v/>
      </c>
      <c r="N115" s="67" t="str">
        <f aca="false">IF($A115="","",$E115*F$8)</f>
        <v/>
      </c>
      <c r="O115" s="67" t="str">
        <f aca="false">IF($A115="","",$E115*G$8)</f>
        <v/>
      </c>
      <c r="P115" s="74" t="str">
        <f aca="false">IF($A115="","",SUMIFS(Del_Qty,Del_Site,$A115,Del_Mat,$B115,Del_Date,"&gt;="&amp;B$6,Del_Date,"&lt;="&amp;B$7))</f>
        <v/>
      </c>
      <c r="Q115" s="74" t="str">
        <f aca="false">IF($A115="","",SUMIFS(Del_Qty,Del_Site,$A115,Del_Mat,$B115,Del_Date,"&gt;="&amp;C$6,Del_Date,"&lt;="&amp;C$7))</f>
        <v/>
      </c>
      <c r="R115" s="74" t="str">
        <f aca="false">IF($A115="","",SUMIFS(Del_Qty,Del_Site,$A115,Del_Mat,$B115,Del_Date,"&gt;="&amp;D$6,Del_Date,"&lt;="&amp;D$7))</f>
        <v/>
      </c>
      <c r="S115" s="74" t="str">
        <f aca="false">IF($A115="","",SUMIFS(Del_Qty,Del_Site,$A115,Del_Mat,$B115,Del_Date,"&gt;="&amp;E$6,Del_Date,"&lt;="&amp;E$7))</f>
        <v/>
      </c>
      <c r="T115" s="74" t="str">
        <f aca="false">IF($A115="","",SUMIFS(Del_Qty,Del_Site,$A115,Del_Mat,$B115,Del_Date,"&gt;="&amp;F$6,Del_Date,"&lt;="&amp;F$7))</f>
        <v/>
      </c>
      <c r="U115" s="74" t="str">
        <f aca="false">IF($A115="","",SUMIFS(Del_Qty,Del_Site,$A115,Del_Mat,$B115,Del_Date,"&gt;="&amp;G$6,Del_Date,"&lt;="&amp;G$7))</f>
        <v/>
      </c>
      <c r="V115" s="81" t="str">
        <f aca="false">IF($A115="","",MAX(0,J115+$I115-MAX(0,$H115)-P115))</f>
        <v/>
      </c>
      <c r="W115" s="81" t="str">
        <f aca="false">IF($A115="","",MAX(0,K115+$I115-AB115-Q115))</f>
        <v/>
      </c>
      <c r="X115" s="81" t="str">
        <f aca="false">IF($A115="","",MAX(0,L115+$I115-AC115-R115))</f>
        <v/>
      </c>
      <c r="Y115" s="81" t="str">
        <f aca="false">IF($A115="","",MAX(0,M115+$I115-AD115-S115))</f>
        <v/>
      </c>
      <c r="Z115" s="81" t="str">
        <f aca="false">IF($A115="","",MAX(0,N115+$I115-AE115-T115))</f>
        <v/>
      </c>
      <c r="AA115" s="81" t="str">
        <f aca="false">IF($A115="","",MAX(0,O115+$I115-AF115-U115))</f>
        <v/>
      </c>
      <c r="AB115" s="67" t="str">
        <f aca="false">IF($A115="","",MAX($I115,MAX(0,$H115)+P115-J115))</f>
        <v/>
      </c>
      <c r="AC115" s="67" t="str">
        <f aca="false">IF($A115="","",MAX($I115,AB115+Q115-K115))</f>
        <v/>
      </c>
      <c r="AD115" s="67" t="str">
        <f aca="false">IF($A115="","",MAX($I115,AC115+R115-L115))</f>
        <v/>
      </c>
      <c r="AE115" s="67" t="str">
        <f aca="false">IF($A115="","",MAX($I115,AD115+S115-M115))</f>
        <v/>
      </c>
      <c r="AF115" s="67" t="str">
        <f aca="false">IF($A115="","",MAX($I115,AE115+T115-N115))</f>
        <v/>
      </c>
      <c r="AG115" s="67" t="str">
        <f aca="false">IF($A115="","",MAX($I115,AF115+U115-O115))</f>
        <v/>
      </c>
      <c r="AH115" s="76" t="str">
        <f aca="false">IF($A115="","",IF($H115&lt;=0,"Already out",IF($E115&lt;=0,"No usage",IF(MAX(0,$H115)+SUM($P115:P115)-SUM($J115:J115)&lt;=0,$B$9,IF(MAX(0,$H115)+SUM($P115:Q115)-SUM($J115:K115)&lt;=0,$C$9,IF(MAX(0,$H115)+SUM($P115:R115)-SUM($J115:L115)&lt;=0,$D$9,IF(MAX(0,$H115)+SUM($P115:S115)-SUM($J115:M115)&lt;=0,$E$9,IF(MAX(0,$H115)+SUM($P115:T115)-SUM($J115:N115)&lt;=0,$F$9,IF(MAX(0,$H115)+SUM($P115:U115)-SUM($J115:O115)&lt;=0,$G$9,"Beyond 6 periods")))))))))</f>
        <v/>
      </c>
      <c r="AI115" s="67" t="str">
        <f aca="false">IF($A115="","",SUM(J115:O115))</f>
        <v/>
      </c>
      <c r="AJ115" s="68" t="str">
        <f aca="false">IF($A115="","",SUM(V115:AA115))</f>
        <v/>
      </c>
    </row>
    <row r="116" customFormat="false" ht="15" hidden="false" customHeight="false" outlineLevel="0" collapsed="false">
      <c r="A116" s="16" t="str">
        <f aca="false">IF('Stock Monitor'!$A84="","",'Stock Monitor'!$A84)</f>
        <v/>
      </c>
      <c r="B116" s="64" t="str">
        <f aca="false">IF($A116="","",'Stock Monitor'!$B84)</f>
        <v/>
      </c>
      <c r="C116" s="16" t="str">
        <f aca="false">IF($A116="","",'Stock Monitor'!$C84)</f>
        <v/>
      </c>
      <c r="D116" s="64" t="str">
        <f aca="false">IF($A116="","",'Stock Monitor'!$D84)</f>
        <v/>
      </c>
      <c r="E116" s="67" t="str">
        <f aca="false">IF($A116="","",'Stock Monitor'!$J84)</f>
        <v/>
      </c>
      <c r="F116" s="67" t="str">
        <f aca="false">IF($A116="","",$E116*WorkDaysWeek)</f>
        <v/>
      </c>
      <c r="G116" s="67" t="str">
        <f aca="false">IF($A116="","",$E116*WorkDaysMonth)</f>
        <v/>
      </c>
      <c r="H116" s="68" t="str">
        <f aca="false">IF($A116="","",'Stock Monitor'!$E84)</f>
        <v/>
      </c>
      <c r="I116" s="67" t="str">
        <f aca="false">IF($A116="","",'Stock Monitor'!$T84)</f>
        <v/>
      </c>
      <c r="J116" s="67" t="str">
        <f aca="false">IF($A116="","",$E116*B$8)</f>
        <v/>
      </c>
      <c r="K116" s="67" t="str">
        <f aca="false">IF($A116="","",$E116*C$8)</f>
        <v/>
      </c>
      <c r="L116" s="67" t="str">
        <f aca="false">IF($A116="","",$E116*D$8)</f>
        <v/>
      </c>
      <c r="M116" s="67" t="str">
        <f aca="false">IF($A116="","",$E116*E$8)</f>
        <v/>
      </c>
      <c r="N116" s="67" t="str">
        <f aca="false">IF($A116="","",$E116*F$8)</f>
        <v/>
      </c>
      <c r="O116" s="67" t="str">
        <f aca="false">IF($A116="","",$E116*G$8)</f>
        <v/>
      </c>
      <c r="P116" s="74" t="str">
        <f aca="false">IF($A116="","",SUMIFS(Del_Qty,Del_Site,$A116,Del_Mat,$B116,Del_Date,"&gt;="&amp;B$6,Del_Date,"&lt;="&amp;B$7))</f>
        <v/>
      </c>
      <c r="Q116" s="74" t="str">
        <f aca="false">IF($A116="","",SUMIFS(Del_Qty,Del_Site,$A116,Del_Mat,$B116,Del_Date,"&gt;="&amp;C$6,Del_Date,"&lt;="&amp;C$7))</f>
        <v/>
      </c>
      <c r="R116" s="74" t="str">
        <f aca="false">IF($A116="","",SUMIFS(Del_Qty,Del_Site,$A116,Del_Mat,$B116,Del_Date,"&gt;="&amp;D$6,Del_Date,"&lt;="&amp;D$7))</f>
        <v/>
      </c>
      <c r="S116" s="74" t="str">
        <f aca="false">IF($A116="","",SUMIFS(Del_Qty,Del_Site,$A116,Del_Mat,$B116,Del_Date,"&gt;="&amp;E$6,Del_Date,"&lt;="&amp;E$7))</f>
        <v/>
      </c>
      <c r="T116" s="74" t="str">
        <f aca="false">IF($A116="","",SUMIFS(Del_Qty,Del_Site,$A116,Del_Mat,$B116,Del_Date,"&gt;="&amp;F$6,Del_Date,"&lt;="&amp;F$7))</f>
        <v/>
      </c>
      <c r="U116" s="74" t="str">
        <f aca="false">IF($A116="","",SUMIFS(Del_Qty,Del_Site,$A116,Del_Mat,$B116,Del_Date,"&gt;="&amp;G$6,Del_Date,"&lt;="&amp;G$7))</f>
        <v/>
      </c>
      <c r="V116" s="81" t="str">
        <f aca="false">IF($A116="","",MAX(0,J116+$I116-MAX(0,$H116)-P116))</f>
        <v/>
      </c>
      <c r="W116" s="81" t="str">
        <f aca="false">IF($A116="","",MAX(0,K116+$I116-AB116-Q116))</f>
        <v/>
      </c>
      <c r="X116" s="81" t="str">
        <f aca="false">IF($A116="","",MAX(0,L116+$I116-AC116-R116))</f>
        <v/>
      </c>
      <c r="Y116" s="81" t="str">
        <f aca="false">IF($A116="","",MAX(0,M116+$I116-AD116-S116))</f>
        <v/>
      </c>
      <c r="Z116" s="81" t="str">
        <f aca="false">IF($A116="","",MAX(0,N116+$I116-AE116-T116))</f>
        <v/>
      </c>
      <c r="AA116" s="81" t="str">
        <f aca="false">IF($A116="","",MAX(0,O116+$I116-AF116-U116))</f>
        <v/>
      </c>
      <c r="AB116" s="67" t="str">
        <f aca="false">IF($A116="","",MAX($I116,MAX(0,$H116)+P116-J116))</f>
        <v/>
      </c>
      <c r="AC116" s="67" t="str">
        <f aca="false">IF($A116="","",MAX($I116,AB116+Q116-K116))</f>
        <v/>
      </c>
      <c r="AD116" s="67" t="str">
        <f aca="false">IF($A116="","",MAX($I116,AC116+R116-L116))</f>
        <v/>
      </c>
      <c r="AE116" s="67" t="str">
        <f aca="false">IF($A116="","",MAX($I116,AD116+S116-M116))</f>
        <v/>
      </c>
      <c r="AF116" s="67" t="str">
        <f aca="false">IF($A116="","",MAX($I116,AE116+T116-N116))</f>
        <v/>
      </c>
      <c r="AG116" s="67" t="str">
        <f aca="false">IF($A116="","",MAX($I116,AF116+U116-O116))</f>
        <v/>
      </c>
      <c r="AH116" s="76" t="str">
        <f aca="false">IF($A116="","",IF($H116&lt;=0,"Already out",IF($E116&lt;=0,"No usage",IF(MAX(0,$H116)+SUM($P116:P116)-SUM($J116:J116)&lt;=0,$B$9,IF(MAX(0,$H116)+SUM($P116:Q116)-SUM($J116:K116)&lt;=0,$C$9,IF(MAX(0,$H116)+SUM($P116:R116)-SUM($J116:L116)&lt;=0,$D$9,IF(MAX(0,$H116)+SUM($P116:S116)-SUM($J116:M116)&lt;=0,$E$9,IF(MAX(0,$H116)+SUM($P116:T116)-SUM($J116:N116)&lt;=0,$F$9,IF(MAX(0,$H116)+SUM($P116:U116)-SUM($J116:O116)&lt;=0,$G$9,"Beyond 6 periods")))))))))</f>
        <v/>
      </c>
      <c r="AI116" s="67" t="str">
        <f aca="false">IF($A116="","",SUM(J116:O116))</f>
        <v/>
      </c>
      <c r="AJ116" s="68" t="str">
        <f aca="false">IF($A116="","",SUM(V116:AA116))</f>
        <v/>
      </c>
    </row>
    <row r="117" customFormat="false" ht="15" hidden="false" customHeight="false" outlineLevel="0" collapsed="false">
      <c r="A117" s="16" t="str">
        <f aca="false">IF('Stock Monitor'!$A85="","",'Stock Monitor'!$A85)</f>
        <v/>
      </c>
      <c r="B117" s="64" t="str">
        <f aca="false">IF($A117="","",'Stock Monitor'!$B85)</f>
        <v/>
      </c>
      <c r="C117" s="16" t="str">
        <f aca="false">IF($A117="","",'Stock Monitor'!$C85)</f>
        <v/>
      </c>
      <c r="D117" s="64" t="str">
        <f aca="false">IF($A117="","",'Stock Monitor'!$D85)</f>
        <v/>
      </c>
      <c r="E117" s="67" t="str">
        <f aca="false">IF($A117="","",'Stock Monitor'!$J85)</f>
        <v/>
      </c>
      <c r="F117" s="67" t="str">
        <f aca="false">IF($A117="","",$E117*WorkDaysWeek)</f>
        <v/>
      </c>
      <c r="G117" s="67" t="str">
        <f aca="false">IF($A117="","",$E117*WorkDaysMonth)</f>
        <v/>
      </c>
      <c r="H117" s="68" t="str">
        <f aca="false">IF($A117="","",'Stock Monitor'!$E85)</f>
        <v/>
      </c>
      <c r="I117" s="67" t="str">
        <f aca="false">IF($A117="","",'Stock Monitor'!$T85)</f>
        <v/>
      </c>
      <c r="J117" s="67" t="str">
        <f aca="false">IF($A117="","",$E117*B$8)</f>
        <v/>
      </c>
      <c r="K117" s="67" t="str">
        <f aca="false">IF($A117="","",$E117*C$8)</f>
        <v/>
      </c>
      <c r="L117" s="67" t="str">
        <f aca="false">IF($A117="","",$E117*D$8)</f>
        <v/>
      </c>
      <c r="M117" s="67" t="str">
        <f aca="false">IF($A117="","",$E117*E$8)</f>
        <v/>
      </c>
      <c r="N117" s="67" t="str">
        <f aca="false">IF($A117="","",$E117*F$8)</f>
        <v/>
      </c>
      <c r="O117" s="67" t="str">
        <f aca="false">IF($A117="","",$E117*G$8)</f>
        <v/>
      </c>
      <c r="P117" s="74" t="str">
        <f aca="false">IF($A117="","",SUMIFS(Del_Qty,Del_Site,$A117,Del_Mat,$B117,Del_Date,"&gt;="&amp;B$6,Del_Date,"&lt;="&amp;B$7))</f>
        <v/>
      </c>
      <c r="Q117" s="74" t="str">
        <f aca="false">IF($A117="","",SUMIFS(Del_Qty,Del_Site,$A117,Del_Mat,$B117,Del_Date,"&gt;="&amp;C$6,Del_Date,"&lt;="&amp;C$7))</f>
        <v/>
      </c>
      <c r="R117" s="74" t="str">
        <f aca="false">IF($A117="","",SUMIFS(Del_Qty,Del_Site,$A117,Del_Mat,$B117,Del_Date,"&gt;="&amp;D$6,Del_Date,"&lt;="&amp;D$7))</f>
        <v/>
      </c>
      <c r="S117" s="74" t="str">
        <f aca="false">IF($A117="","",SUMIFS(Del_Qty,Del_Site,$A117,Del_Mat,$B117,Del_Date,"&gt;="&amp;E$6,Del_Date,"&lt;="&amp;E$7))</f>
        <v/>
      </c>
      <c r="T117" s="74" t="str">
        <f aca="false">IF($A117="","",SUMIFS(Del_Qty,Del_Site,$A117,Del_Mat,$B117,Del_Date,"&gt;="&amp;F$6,Del_Date,"&lt;="&amp;F$7))</f>
        <v/>
      </c>
      <c r="U117" s="74" t="str">
        <f aca="false">IF($A117="","",SUMIFS(Del_Qty,Del_Site,$A117,Del_Mat,$B117,Del_Date,"&gt;="&amp;G$6,Del_Date,"&lt;="&amp;G$7))</f>
        <v/>
      </c>
      <c r="V117" s="81" t="str">
        <f aca="false">IF($A117="","",MAX(0,J117+$I117-MAX(0,$H117)-P117))</f>
        <v/>
      </c>
      <c r="W117" s="81" t="str">
        <f aca="false">IF($A117="","",MAX(0,K117+$I117-AB117-Q117))</f>
        <v/>
      </c>
      <c r="X117" s="81" t="str">
        <f aca="false">IF($A117="","",MAX(0,L117+$I117-AC117-R117))</f>
        <v/>
      </c>
      <c r="Y117" s="81" t="str">
        <f aca="false">IF($A117="","",MAX(0,M117+$I117-AD117-S117))</f>
        <v/>
      </c>
      <c r="Z117" s="81" t="str">
        <f aca="false">IF($A117="","",MAX(0,N117+$I117-AE117-T117))</f>
        <v/>
      </c>
      <c r="AA117" s="81" t="str">
        <f aca="false">IF($A117="","",MAX(0,O117+$I117-AF117-U117))</f>
        <v/>
      </c>
      <c r="AB117" s="67" t="str">
        <f aca="false">IF($A117="","",MAX($I117,MAX(0,$H117)+P117-J117))</f>
        <v/>
      </c>
      <c r="AC117" s="67" t="str">
        <f aca="false">IF($A117="","",MAX($I117,AB117+Q117-K117))</f>
        <v/>
      </c>
      <c r="AD117" s="67" t="str">
        <f aca="false">IF($A117="","",MAX($I117,AC117+R117-L117))</f>
        <v/>
      </c>
      <c r="AE117" s="67" t="str">
        <f aca="false">IF($A117="","",MAX($I117,AD117+S117-M117))</f>
        <v/>
      </c>
      <c r="AF117" s="67" t="str">
        <f aca="false">IF($A117="","",MAX($I117,AE117+T117-N117))</f>
        <v/>
      </c>
      <c r="AG117" s="67" t="str">
        <f aca="false">IF($A117="","",MAX($I117,AF117+U117-O117))</f>
        <v/>
      </c>
      <c r="AH117" s="76" t="str">
        <f aca="false">IF($A117="","",IF($H117&lt;=0,"Already out",IF($E117&lt;=0,"No usage",IF(MAX(0,$H117)+SUM($P117:P117)-SUM($J117:J117)&lt;=0,$B$9,IF(MAX(0,$H117)+SUM($P117:Q117)-SUM($J117:K117)&lt;=0,$C$9,IF(MAX(0,$H117)+SUM($P117:R117)-SUM($J117:L117)&lt;=0,$D$9,IF(MAX(0,$H117)+SUM($P117:S117)-SUM($J117:M117)&lt;=0,$E$9,IF(MAX(0,$H117)+SUM($P117:T117)-SUM($J117:N117)&lt;=0,$F$9,IF(MAX(0,$H117)+SUM($P117:U117)-SUM($J117:O117)&lt;=0,$G$9,"Beyond 6 periods")))))))))</f>
        <v/>
      </c>
      <c r="AI117" s="67" t="str">
        <f aca="false">IF($A117="","",SUM(J117:O117))</f>
        <v/>
      </c>
      <c r="AJ117" s="68" t="str">
        <f aca="false">IF($A117="","",SUM(V117:AA117))</f>
        <v/>
      </c>
    </row>
    <row r="118" customFormat="false" ht="15" hidden="false" customHeight="false" outlineLevel="0" collapsed="false">
      <c r="A118" s="16" t="str">
        <f aca="false">IF('Stock Monitor'!$A86="","",'Stock Monitor'!$A86)</f>
        <v/>
      </c>
      <c r="B118" s="64" t="str">
        <f aca="false">IF($A118="","",'Stock Monitor'!$B86)</f>
        <v/>
      </c>
      <c r="C118" s="16" t="str">
        <f aca="false">IF($A118="","",'Stock Monitor'!$C86)</f>
        <v/>
      </c>
      <c r="D118" s="64" t="str">
        <f aca="false">IF($A118="","",'Stock Monitor'!$D86)</f>
        <v/>
      </c>
      <c r="E118" s="67" t="str">
        <f aca="false">IF($A118="","",'Stock Monitor'!$J86)</f>
        <v/>
      </c>
      <c r="F118" s="67" t="str">
        <f aca="false">IF($A118="","",$E118*WorkDaysWeek)</f>
        <v/>
      </c>
      <c r="G118" s="67" t="str">
        <f aca="false">IF($A118="","",$E118*WorkDaysMonth)</f>
        <v/>
      </c>
      <c r="H118" s="68" t="str">
        <f aca="false">IF($A118="","",'Stock Monitor'!$E86)</f>
        <v/>
      </c>
      <c r="I118" s="67" t="str">
        <f aca="false">IF($A118="","",'Stock Monitor'!$T86)</f>
        <v/>
      </c>
      <c r="J118" s="67" t="str">
        <f aca="false">IF($A118="","",$E118*B$8)</f>
        <v/>
      </c>
      <c r="K118" s="67" t="str">
        <f aca="false">IF($A118="","",$E118*C$8)</f>
        <v/>
      </c>
      <c r="L118" s="67" t="str">
        <f aca="false">IF($A118="","",$E118*D$8)</f>
        <v/>
      </c>
      <c r="M118" s="67" t="str">
        <f aca="false">IF($A118="","",$E118*E$8)</f>
        <v/>
      </c>
      <c r="N118" s="67" t="str">
        <f aca="false">IF($A118="","",$E118*F$8)</f>
        <v/>
      </c>
      <c r="O118" s="67" t="str">
        <f aca="false">IF($A118="","",$E118*G$8)</f>
        <v/>
      </c>
      <c r="P118" s="74" t="str">
        <f aca="false">IF($A118="","",SUMIFS(Del_Qty,Del_Site,$A118,Del_Mat,$B118,Del_Date,"&gt;="&amp;B$6,Del_Date,"&lt;="&amp;B$7))</f>
        <v/>
      </c>
      <c r="Q118" s="74" t="str">
        <f aca="false">IF($A118="","",SUMIFS(Del_Qty,Del_Site,$A118,Del_Mat,$B118,Del_Date,"&gt;="&amp;C$6,Del_Date,"&lt;="&amp;C$7))</f>
        <v/>
      </c>
      <c r="R118" s="74" t="str">
        <f aca="false">IF($A118="","",SUMIFS(Del_Qty,Del_Site,$A118,Del_Mat,$B118,Del_Date,"&gt;="&amp;D$6,Del_Date,"&lt;="&amp;D$7))</f>
        <v/>
      </c>
      <c r="S118" s="74" t="str">
        <f aca="false">IF($A118="","",SUMIFS(Del_Qty,Del_Site,$A118,Del_Mat,$B118,Del_Date,"&gt;="&amp;E$6,Del_Date,"&lt;="&amp;E$7))</f>
        <v/>
      </c>
      <c r="T118" s="74" t="str">
        <f aca="false">IF($A118="","",SUMIFS(Del_Qty,Del_Site,$A118,Del_Mat,$B118,Del_Date,"&gt;="&amp;F$6,Del_Date,"&lt;="&amp;F$7))</f>
        <v/>
      </c>
      <c r="U118" s="74" t="str">
        <f aca="false">IF($A118="","",SUMIFS(Del_Qty,Del_Site,$A118,Del_Mat,$B118,Del_Date,"&gt;="&amp;G$6,Del_Date,"&lt;="&amp;G$7))</f>
        <v/>
      </c>
      <c r="V118" s="81" t="str">
        <f aca="false">IF($A118="","",MAX(0,J118+$I118-MAX(0,$H118)-P118))</f>
        <v/>
      </c>
      <c r="W118" s="81" t="str">
        <f aca="false">IF($A118="","",MAX(0,K118+$I118-AB118-Q118))</f>
        <v/>
      </c>
      <c r="X118" s="81" t="str">
        <f aca="false">IF($A118="","",MAX(0,L118+$I118-AC118-R118))</f>
        <v/>
      </c>
      <c r="Y118" s="81" t="str">
        <f aca="false">IF($A118="","",MAX(0,M118+$I118-AD118-S118))</f>
        <v/>
      </c>
      <c r="Z118" s="81" t="str">
        <f aca="false">IF($A118="","",MAX(0,N118+$I118-AE118-T118))</f>
        <v/>
      </c>
      <c r="AA118" s="81" t="str">
        <f aca="false">IF($A118="","",MAX(0,O118+$I118-AF118-U118))</f>
        <v/>
      </c>
      <c r="AB118" s="67" t="str">
        <f aca="false">IF($A118="","",MAX($I118,MAX(0,$H118)+P118-J118))</f>
        <v/>
      </c>
      <c r="AC118" s="67" t="str">
        <f aca="false">IF($A118="","",MAX($I118,AB118+Q118-K118))</f>
        <v/>
      </c>
      <c r="AD118" s="67" t="str">
        <f aca="false">IF($A118="","",MAX($I118,AC118+R118-L118))</f>
        <v/>
      </c>
      <c r="AE118" s="67" t="str">
        <f aca="false">IF($A118="","",MAX($I118,AD118+S118-M118))</f>
        <v/>
      </c>
      <c r="AF118" s="67" t="str">
        <f aca="false">IF($A118="","",MAX($I118,AE118+T118-N118))</f>
        <v/>
      </c>
      <c r="AG118" s="67" t="str">
        <f aca="false">IF($A118="","",MAX($I118,AF118+U118-O118))</f>
        <v/>
      </c>
      <c r="AH118" s="76" t="str">
        <f aca="false">IF($A118="","",IF($H118&lt;=0,"Already out",IF($E118&lt;=0,"No usage",IF(MAX(0,$H118)+SUM($P118:P118)-SUM($J118:J118)&lt;=0,$B$9,IF(MAX(0,$H118)+SUM($P118:Q118)-SUM($J118:K118)&lt;=0,$C$9,IF(MAX(0,$H118)+SUM($P118:R118)-SUM($J118:L118)&lt;=0,$D$9,IF(MAX(0,$H118)+SUM($P118:S118)-SUM($J118:M118)&lt;=0,$E$9,IF(MAX(0,$H118)+SUM($P118:T118)-SUM($J118:N118)&lt;=0,$F$9,IF(MAX(0,$H118)+SUM($P118:U118)-SUM($J118:O118)&lt;=0,$G$9,"Beyond 6 periods")))))))))</f>
        <v/>
      </c>
      <c r="AI118" s="67" t="str">
        <f aca="false">IF($A118="","",SUM(J118:O118))</f>
        <v/>
      </c>
      <c r="AJ118" s="68" t="str">
        <f aca="false">IF($A118="","",SUM(V118:AA118))</f>
        <v/>
      </c>
    </row>
    <row r="119" customFormat="false" ht="15" hidden="false" customHeight="false" outlineLevel="0" collapsed="false">
      <c r="A119" s="16" t="str">
        <f aca="false">IF('Stock Monitor'!$A87="","",'Stock Monitor'!$A87)</f>
        <v/>
      </c>
      <c r="B119" s="64" t="str">
        <f aca="false">IF($A119="","",'Stock Monitor'!$B87)</f>
        <v/>
      </c>
      <c r="C119" s="16" t="str">
        <f aca="false">IF($A119="","",'Stock Monitor'!$C87)</f>
        <v/>
      </c>
      <c r="D119" s="64" t="str">
        <f aca="false">IF($A119="","",'Stock Monitor'!$D87)</f>
        <v/>
      </c>
      <c r="E119" s="67" t="str">
        <f aca="false">IF($A119="","",'Stock Monitor'!$J87)</f>
        <v/>
      </c>
      <c r="F119" s="67" t="str">
        <f aca="false">IF($A119="","",$E119*WorkDaysWeek)</f>
        <v/>
      </c>
      <c r="G119" s="67" t="str">
        <f aca="false">IF($A119="","",$E119*WorkDaysMonth)</f>
        <v/>
      </c>
      <c r="H119" s="68" t="str">
        <f aca="false">IF($A119="","",'Stock Monitor'!$E87)</f>
        <v/>
      </c>
      <c r="I119" s="67" t="str">
        <f aca="false">IF($A119="","",'Stock Monitor'!$T87)</f>
        <v/>
      </c>
      <c r="J119" s="67" t="str">
        <f aca="false">IF($A119="","",$E119*B$8)</f>
        <v/>
      </c>
      <c r="K119" s="67" t="str">
        <f aca="false">IF($A119="","",$E119*C$8)</f>
        <v/>
      </c>
      <c r="L119" s="67" t="str">
        <f aca="false">IF($A119="","",$E119*D$8)</f>
        <v/>
      </c>
      <c r="M119" s="67" t="str">
        <f aca="false">IF($A119="","",$E119*E$8)</f>
        <v/>
      </c>
      <c r="N119" s="67" t="str">
        <f aca="false">IF($A119="","",$E119*F$8)</f>
        <v/>
      </c>
      <c r="O119" s="67" t="str">
        <f aca="false">IF($A119="","",$E119*G$8)</f>
        <v/>
      </c>
      <c r="P119" s="74" t="str">
        <f aca="false">IF($A119="","",SUMIFS(Del_Qty,Del_Site,$A119,Del_Mat,$B119,Del_Date,"&gt;="&amp;B$6,Del_Date,"&lt;="&amp;B$7))</f>
        <v/>
      </c>
      <c r="Q119" s="74" t="str">
        <f aca="false">IF($A119="","",SUMIFS(Del_Qty,Del_Site,$A119,Del_Mat,$B119,Del_Date,"&gt;="&amp;C$6,Del_Date,"&lt;="&amp;C$7))</f>
        <v/>
      </c>
      <c r="R119" s="74" t="str">
        <f aca="false">IF($A119="","",SUMIFS(Del_Qty,Del_Site,$A119,Del_Mat,$B119,Del_Date,"&gt;="&amp;D$6,Del_Date,"&lt;="&amp;D$7))</f>
        <v/>
      </c>
      <c r="S119" s="74" t="str">
        <f aca="false">IF($A119="","",SUMIFS(Del_Qty,Del_Site,$A119,Del_Mat,$B119,Del_Date,"&gt;="&amp;E$6,Del_Date,"&lt;="&amp;E$7))</f>
        <v/>
      </c>
      <c r="T119" s="74" t="str">
        <f aca="false">IF($A119="","",SUMIFS(Del_Qty,Del_Site,$A119,Del_Mat,$B119,Del_Date,"&gt;="&amp;F$6,Del_Date,"&lt;="&amp;F$7))</f>
        <v/>
      </c>
      <c r="U119" s="74" t="str">
        <f aca="false">IF($A119="","",SUMIFS(Del_Qty,Del_Site,$A119,Del_Mat,$B119,Del_Date,"&gt;="&amp;G$6,Del_Date,"&lt;="&amp;G$7))</f>
        <v/>
      </c>
      <c r="V119" s="81" t="str">
        <f aca="false">IF($A119="","",MAX(0,J119+$I119-MAX(0,$H119)-P119))</f>
        <v/>
      </c>
      <c r="W119" s="81" t="str">
        <f aca="false">IF($A119="","",MAX(0,K119+$I119-AB119-Q119))</f>
        <v/>
      </c>
      <c r="X119" s="81" t="str">
        <f aca="false">IF($A119="","",MAX(0,L119+$I119-AC119-R119))</f>
        <v/>
      </c>
      <c r="Y119" s="81" t="str">
        <f aca="false">IF($A119="","",MAX(0,M119+$I119-AD119-S119))</f>
        <v/>
      </c>
      <c r="Z119" s="81" t="str">
        <f aca="false">IF($A119="","",MAX(0,N119+$I119-AE119-T119))</f>
        <v/>
      </c>
      <c r="AA119" s="81" t="str">
        <f aca="false">IF($A119="","",MAX(0,O119+$I119-AF119-U119))</f>
        <v/>
      </c>
      <c r="AB119" s="67" t="str">
        <f aca="false">IF($A119="","",MAX($I119,MAX(0,$H119)+P119-J119))</f>
        <v/>
      </c>
      <c r="AC119" s="67" t="str">
        <f aca="false">IF($A119="","",MAX($I119,AB119+Q119-K119))</f>
        <v/>
      </c>
      <c r="AD119" s="67" t="str">
        <f aca="false">IF($A119="","",MAX($I119,AC119+R119-L119))</f>
        <v/>
      </c>
      <c r="AE119" s="67" t="str">
        <f aca="false">IF($A119="","",MAX($I119,AD119+S119-M119))</f>
        <v/>
      </c>
      <c r="AF119" s="67" t="str">
        <f aca="false">IF($A119="","",MAX($I119,AE119+T119-N119))</f>
        <v/>
      </c>
      <c r="AG119" s="67" t="str">
        <f aca="false">IF($A119="","",MAX($I119,AF119+U119-O119))</f>
        <v/>
      </c>
      <c r="AH119" s="76" t="str">
        <f aca="false">IF($A119="","",IF($H119&lt;=0,"Already out",IF($E119&lt;=0,"No usage",IF(MAX(0,$H119)+SUM($P119:P119)-SUM($J119:J119)&lt;=0,$B$9,IF(MAX(0,$H119)+SUM($P119:Q119)-SUM($J119:K119)&lt;=0,$C$9,IF(MAX(0,$H119)+SUM($P119:R119)-SUM($J119:L119)&lt;=0,$D$9,IF(MAX(0,$H119)+SUM($P119:S119)-SUM($J119:M119)&lt;=0,$E$9,IF(MAX(0,$H119)+SUM($P119:T119)-SUM($J119:N119)&lt;=0,$F$9,IF(MAX(0,$H119)+SUM($P119:U119)-SUM($J119:O119)&lt;=0,$G$9,"Beyond 6 periods")))))))))</f>
        <v/>
      </c>
      <c r="AI119" s="67" t="str">
        <f aca="false">IF($A119="","",SUM(J119:O119))</f>
        <v/>
      </c>
      <c r="AJ119" s="68" t="str">
        <f aca="false">IF($A119="","",SUM(V119:AA119))</f>
        <v/>
      </c>
    </row>
    <row r="120" customFormat="false" ht="15" hidden="false" customHeight="false" outlineLevel="0" collapsed="false">
      <c r="A120" s="16" t="str">
        <f aca="false">IF('Stock Monitor'!$A88="","",'Stock Monitor'!$A88)</f>
        <v/>
      </c>
      <c r="B120" s="64" t="str">
        <f aca="false">IF($A120="","",'Stock Monitor'!$B88)</f>
        <v/>
      </c>
      <c r="C120" s="16" t="str">
        <f aca="false">IF($A120="","",'Stock Monitor'!$C88)</f>
        <v/>
      </c>
      <c r="D120" s="64" t="str">
        <f aca="false">IF($A120="","",'Stock Monitor'!$D88)</f>
        <v/>
      </c>
      <c r="E120" s="67" t="str">
        <f aca="false">IF($A120="","",'Stock Monitor'!$J88)</f>
        <v/>
      </c>
      <c r="F120" s="67" t="str">
        <f aca="false">IF($A120="","",$E120*WorkDaysWeek)</f>
        <v/>
      </c>
      <c r="G120" s="67" t="str">
        <f aca="false">IF($A120="","",$E120*WorkDaysMonth)</f>
        <v/>
      </c>
      <c r="H120" s="68" t="str">
        <f aca="false">IF($A120="","",'Stock Monitor'!$E88)</f>
        <v/>
      </c>
      <c r="I120" s="67" t="str">
        <f aca="false">IF($A120="","",'Stock Monitor'!$T88)</f>
        <v/>
      </c>
      <c r="J120" s="67" t="str">
        <f aca="false">IF($A120="","",$E120*B$8)</f>
        <v/>
      </c>
      <c r="K120" s="67" t="str">
        <f aca="false">IF($A120="","",$E120*C$8)</f>
        <v/>
      </c>
      <c r="L120" s="67" t="str">
        <f aca="false">IF($A120="","",$E120*D$8)</f>
        <v/>
      </c>
      <c r="M120" s="67" t="str">
        <f aca="false">IF($A120="","",$E120*E$8)</f>
        <v/>
      </c>
      <c r="N120" s="67" t="str">
        <f aca="false">IF($A120="","",$E120*F$8)</f>
        <v/>
      </c>
      <c r="O120" s="67" t="str">
        <f aca="false">IF($A120="","",$E120*G$8)</f>
        <v/>
      </c>
      <c r="P120" s="74" t="str">
        <f aca="false">IF($A120="","",SUMIFS(Del_Qty,Del_Site,$A120,Del_Mat,$B120,Del_Date,"&gt;="&amp;B$6,Del_Date,"&lt;="&amp;B$7))</f>
        <v/>
      </c>
      <c r="Q120" s="74" t="str">
        <f aca="false">IF($A120="","",SUMIFS(Del_Qty,Del_Site,$A120,Del_Mat,$B120,Del_Date,"&gt;="&amp;C$6,Del_Date,"&lt;="&amp;C$7))</f>
        <v/>
      </c>
      <c r="R120" s="74" t="str">
        <f aca="false">IF($A120="","",SUMIFS(Del_Qty,Del_Site,$A120,Del_Mat,$B120,Del_Date,"&gt;="&amp;D$6,Del_Date,"&lt;="&amp;D$7))</f>
        <v/>
      </c>
      <c r="S120" s="74" t="str">
        <f aca="false">IF($A120="","",SUMIFS(Del_Qty,Del_Site,$A120,Del_Mat,$B120,Del_Date,"&gt;="&amp;E$6,Del_Date,"&lt;="&amp;E$7))</f>
        <v/>
      </c>
      <c r="T120" s="74" t="str">
        <f aca="false">IF($A120="","",SUMIFS(Del_Qty,Del_Site,$A120,Del_Mat,$B120,Del_Date,"&gt;="&amp;F$6,Del_Date,"&lt;="&amp;F$7))</f>
        <v/>
      </c>
      <c r="U120" s="74" t="str">
        <f aca="false">IF($A120="","",SUMIFS(Del_Qty,Del_Site,$A120,Del_Mat,$B120,Del_Date,"&gt;="&amp;G$6,Del_Date,"&lt;="&amp;G$7))</f>
        <v/>
      </c>
      <c r="V120" s="81" t="str">
        <f aca="false">IF($A120="","",MAX(0,J120+$I120-MAX(0,$H120)-P120))</f>
        <v/>
      </c>
      <c r="W120" s="81" t="str">
        <f aca="false">IF($A120="","",MAX(0,K120+$I120-AB120-Q120))</f>
        <v/>
      </c>
      <c r="X120" s="81" t="str">
        <f aca="false">IF($A120="","",MAX(0,L120+$I120-AC120-R120))</f>
        <v/>
      </c>
      <c r="Y120" s="81" t="str">
        <f aca="false">IF($A120="","",MAX(0,M120+$I120-AD120-S120))</f>
        <v/>
      </c>
      <c r="Z120" s="81" t="str">
        <f aca="false">IF($A120="","",MAX(0,N120+$I120-AE120-T120))</f>
        <v/>
      </c>
      <c r="AA120" s="81" t="str">
        <f aca="false">IF($A120="","",MAX(0,O120+$I120-AF120-U120))</f>
        <v/>
      </c>
      <c r="AB120" s="67" t="str">
        <f aca="false">IF($A120="","",MAX($I120,MAX(0,$H120)+P120-J120))</f>
        <v/>
      </c>
      <c r="AC120" s="67" t="str">
        <f aca="false">IF($A120="","",MAX($I120,AB120+Q120-K120))</f>
        <v/>
      </c>
      <c r="AD120" s="67" t="str">
        <f aca="false">IF($A120="","",MAX($I120,AC120+R120-L120))</f>
        <v/>
      </c>
      <c r="AE120" s="67" t="str">
        <f aca="false">IF($A120="","",MAX($I120,AD120+S120-M120))</f>
        <v/>
      </c>
      <c r="AF120" s="67" t="str">
        <f aca="false">IF($A120="","",MAX($I120,AE120+T120-N120))</f>
        <v/>
      </c>
      <c r="AG120" s="67" t="str">
        <f aca="false">IF($A120="","",MAX($I120,AF120+U120-O120))</f>
        <v/>
      </c>
      <c r="AH120" s="76" t="str">
        <f aca="false">IF($A120="","",IF($H120&lt;=0,"Already out",IF($E120&lt;=0,"No usage",IF(MAX(0,$H120)+SUM($P120:P120)-SUM($J120:J120)&lt;=0,$B$9,IF(MAX(0,$H120)+SUM($P120:Q120)-SUM($J120:K120)&lt;=0,$C$9,IF(MAX(0,$H120)+SUM($P120:R120)-SUM($J120:L120)&lt;=0,$D$9,IF(MAX(0,$H120)+SUM($P120:S120)-SUM($J120:M120)&lt;=0,$E$9,IF(MAX(0,$H120)+SUM($P120:T120)-SUM($J120:N120)&lt;=0,$F$9,IF(MAX(0,$H120)+SUM($P120:U120)-SUM($J120:O120)&lt;=0,$G$9,"Beyond 6 periods")))))))))</f>
        <v/>
      </c>
      <c r="AI120" s="67" t="str">
        <f aca="false">IF($A120="","",SUM(J120:O120))</f>
        <v/>
      </c>
      <c r="AJ120" s="68" t="str">
        <f aca="false">IF($A120="","",SUM(V120:AA120))</f>
        <v/>
      </c>
    </row>
    <row r="121" customFormat="false" ht="15" hidden="false" customHeight="false" outlineLevel="0" collapsed="false">
      <c r="A121" s="16" t="str">
        <f aca="false">IF('Stock Monitor'!$A89="","",'Stock Monitor'!$A89)</f>
        <v/>
      </c>
      <c r="B121" s="64" t="str">
        <f aca="false">IF($A121="","",'Stock Monitor'!$B89)</f>
        <v/>
      </c>
      <c r="C121" s="16" t="str">
        <f aca="false">IF($A121="","",'Stock Monitor'!$C89)</f>
        <v/>
      </c>
      <c r="D121" s="64" t="str">
        <f aca="false">IF($A121="","",'Stock Monitor'!$D89)</f>
        <v/>
      </c>
      <c r="E121" s="67" t="str">
        <f aca="false">IF($A121="","",'Stock Monitor'!$J89)</f>
        <v/>
      </c>
      <c r="F121" s="67" t="str">
        <f aca="false">IF($A121="","",$E121*WorkDaysWeek)</f>
        <v/>
      </c>
      <c r="G121" s="67" t="str">
        <f aca="false">IF($A121="","",$E121*WorkDaysMonth)</f>
        <v/>
      </c>
      <c r="H121" s="68" t="str">
        <f aca="false">IF($A121="","",'Stock Monitor'!$E89)</f>
        <v/>
      </c>
      <c r="I121" s="67" t="str">
        <f aca="false">IF($A121="","",'Stock Monitor'!$T89)</f>
        <v/>
      </c>
      <c r="J121" s="67" t="str">
        <f aca="false">IF($A121="","",$E121*B$8)</f>
        <v/>
      </c>
      <c r="K121" s="67" t="str">
        <f aca="false">IF($A121="","",$E121*C$8)</f>
        <v/>
      </c>
      <c r="L121" s="67" t="str">
        <f aca="false">IF($A121="","",$E121*D$8)</f>
        <v/>
      </c>
      <c r="M121" s="67" t="str">
        <f aca="false">IF($A121="","",$E121*E$8)</f>
        <v/>
      </c>
      <c r="N121" s="67" t="str">
        <f aca="false">IF($A121="","",$E121*F$8)</f>
        <v/>
      </c>
      <c r="O121" s="67" t="str">
        <f aca="false">IF($A121="","",$E121*G$8)</f>
        <v/>
      </c>
      <c r="P121" s="74" t="str">
        <f aca="false">IF($A121="","",SUMIFS(Del_Qty,Del_Site,$A121,Del_Mat,$B121,Del_Date,"&gt;="&amp;B$6,Del_Date,"&lt;="&amp;B$7))</f>
        <v/>
      </c>
      <c r="Q121" s="74" t="str">
        <f aca="false">IF($A121="","",SUMIFS(Del_Qty,Del_Site,$A121,Del_Mat,$B121,Del_Date,"&gt;="&amp;C$6,Del_Date,"&lt;="&amp;C$7))</f>
        <v/>
      </c>
      <c r="R121" s="74" t="str">
        <f aca="false">IF($A121="","",SUMIFS(Del_Qty,Del_Site,$A121,Del_Mat,$B121,Del_Date,"&gt;="&amp;D$6,Del_Date,"&lt;="&amp;D$7))</f>
        <v/>
      </c>
      <c r="S121" s="74" t="str">
        <f aca="false">IF($A121="","",SUMIFS(Del_Qty,Del_Site,$A121,Del_Mat,$B121,Del_Date,"&gt;="&amp;E$6,Del_Date,"&lt;="&amp;E$7))</f>
        <v/>
      </c>
      <c r="T121" s="74" t="str">
        <f aca="false">IF($A121="","",SUMIFS(Del_Qty,Del_Site,$A121,Del_Mat,$B121,Del_Date,"&gt;="&amp;F$6,Del_Date,"&lt;="&amp;F$7))</f>
        <v/>
      </c>
      <c r="U121" s="74" t="str">
        <f aca="false">IF($A121="","",SUMIFS(Del_Qty,Del_Site,$A121,Del_Mat,$B121,Del_Date,"&gt;="&amp;G$6,Del_Date,"&lt;="&amp;G$7))</f>
        <v/>
      </c>
      <c r="V121" s="81" t="str">
        <f aca="false">IF($A121="","",MAX(0,J121+$I121-MAX(0,$H121)-P121))</f>
        <v/>
      </c>
      <c r="W121" s="81" t="str">
        <f aca="false">IF($A121="","",MAX(0,K121+$I121-AB121-Q121))</f>
        <v/>
      </c>
      <c r="X121" s="81" t="str">
        <f aca="false">IF($A121="","",MAX(0,L121+$I121-AC121-R121))</f>
        <v/>
      </c>
      <c r="Y121" s="81" t="str">
        <f aca="false">IF($A121="","",MAX(0,M121+$I121-AD121-S121))</f>
        <v/>
      </c>
      <c r="Z121" s="81" t="str">
        <f aca="false">IF($A121="","",MAX(0,N121+$I121-AE121-T121))</f>
        <v/>
      </c>
      <c r="AA121" s="81" t="str">
        <f aca="false">IF($A121="","",MAX(0,O121+$I121-AF121-U121))</f>
        <v/>
      </c>
      <c r="AB121" s="67" t="str">
        <f aca="false">IF($A121="","",MAX($I121,MAX(0,$H121)+P121-J121))</f>
        <v/>
      </c>
      <c r="AC121" s="67" t="str">
        <f aca="false">IF($A121="","",MAX($I121,AB121+Q121-K121))</f>
        <v/>
      </c>
      <c r="AD121" s="67" t="str">
        <f aca="false">IF($A121="","",MAX($I121,AC121+R121-L121))</f>
        <v/>
      </c>
      <c r="AE121" s="67" t="str">
        <f aca="false">IF($A121="","",MAX($I121,AD121+S121-M121))</f>
        <v/>
      </c>
      <c r="AF121" s="67" t="str">
        <f aca="false">IF($A121="","",MAX($I121,AE121+T121-N121))</f>
        <v/>
      </c>
      <c r="AG121" s="67" t="str">
        <f aca="false">IF($A121="","",MAX($I121,AF121+U121-O121))</f>
        <v/>
      </c>
      <c r="AH121" s="76" t="str">
        <f aca="false">IF($A121="","",IF($H121&lt;=0,"Already out",IF($E121&lt;=0,"No usage",IF(MAX(0,$H121)+SUM($P121:P121)-SUM($J121:J121)&lt;=0,$B$9,IF(MAX(0,$H121)+SUM($P121:Q121)-SUM($J121:K121)&lt;=0,$C$9,IF(MAX(0,$H121)+SUM($P121:R121)-SUM($J121:L121)&lt;=0,$D$9,IF(MAX(0,$H121)+SUM($P121:S121)-SUM($J121:M121)&lt;=0,$E$9,IF(MAX(0,$H121)+SUM($P121:T121)-SUM($J121:N121)&lt;=0,$F$9,IF(MAX(0,$H121)+SUM($P121:U121)-SUM($J121:O121)&lt;=0,$G$9,"Beyond 6 periods")))))))))</f>
        <v/>
      </c>
      <c r="AI121" s="67" t="str">
        <f aca="false">IF($A121="","",SUM(J121:O121))</f>
        <v/>
      </c>
      <c r="AJ121" s="68" t="str">
        <f aca="false">IF($A121="","",SUM(V121:AA121))</f>
        <v/>
      </c>
    </row>
    <row r="122" customFormat="false" ht="15" hidden="false" customHeight="false" outlineLevel="0" collapsed="false">
      <c r="A122" s="16" t="str">
        <f aca="false">IF('Stock Monitor'!$A90="","",'Stock Monitor'!$A90)</f>
        <v/>
      </c>
      <c r="B122" s="64" t="str">
        <f aca="false">IF($A122="","",'Stock Monitor'!$B90)</f>
        <v/>
      </c>
      <c r="C122" s="16" t="str">
        <f aca="false">IF($A122="","",'Stock Monitor'!$C90)</f>
        <v/>
      </c>
      <c r="D122" s="64" t="str">
        <f aca="false">IF($A122="","",'Stock Monitor'!$D90)</f>
        <v/>
      </c>
      <c r="E122" s="67" t="str">
        <f aca="false">IF($A122="","",'Stock Monitor'!$J90)</f>
        <v/>
      </c>
      <c r="F122" s="67" t="str">
        <f aca="false">IF($A122="","",$E122*WorkDaysWeek)</f>
        <v/>
      </c>
      <c r="G122" s="67" t="str">
        <f aca="false">IF($A122="","",$E122*WorkDaysMonth)</f>
        <v/>
      </c>
      <c r="H122" s="68" t="str">
        <f aca="false">IF($A122="","",'Stock Monitor'!$E90)</f>
        <v/>
      </c>
      <c r="I122" s="67" t="str">
        <f aca="false">IF($A122="","",'Stock Monitor'!$T90)</f>
        <v/>
      </c>
      <c r="J122" s="67" t="str">
        <f aca="false">IF($A122="","",$E122*B$8)</f>
        <v/>
      </c>
      <c r="K122" s="67" t="str">
        <f aca="false">IF($A122="","",$E122*C$8)</f>
        <v/>
      </c>
      <c r="L122" s="67" t="str">
        <f aca="false">IF($A122="","",$E122*D$8)</f>
        <v/>
      </c>
      <c r="M122" s="67" t="str">
        <f aca="false">IF($A122="","",$E122*E$8)</f>
        <v/>
      </c>
      <c r="N122" s="67" t="str">
        <f aca="false">IF($A122="","",$E122*F$8)</f>
        <v/>
      </c>
      <c r="O122" s="67" t="str">
        <f aca="false">IF($A122="","",$E122*G$8)</f>
        <v/>
      </c>
      <c r="P122" s="74" t="str">
        <f aca="false">IF($A122="","",SUMIFS(Del_Qty,Del_Site,$A122,Del_Mat,$B122,Del_Date,"&gt;="&amp;B$6,Del_Date,"&lt;="&amp;B$7))</f>
        <v/>
      </c>
      <c r="Q122" s="74" t="str">
        <f aca="false">IF($A122="","",SUMIFS(Del_Qty,Del_Site,$A122,Del_Mat,$B122,Del_Date,"&gt;="&amp;C$6,Del_Date,"&lt;="&amp;C$7))</f>
        <v/>
      </c>
      <c r="R122" s="74" t="str">
        <f aca="false">IF($A122="","",SUMIFS(Del_Qty,Del_Site,$A122,Del_Mat,$B122,Del_Date,"&gt;="&amp;D$6,Del_Date,"&lt;="&amp;D$7))</f>
        <v/>
      </c>
      <c r="S122" s="74" t="str">
        <f aca="false">IF($A122="","",SUMIFS(Del_Qty,Del_Site,$A122,Del_Mat,$B122,Del_Date,"&gt;="&amp;E$6,Del_Date,"&lt;="&amp;E$7))</f>
        <v/>
      </c>
      <c r="T122" s="74" t="str">
        <f aca="false">IF($A122="","",SUMIFS(Del_Qty,Del_Site,$A122,Del_Mat,$B122,Del_Date,"&gt;="&amp;F$6,Del_Date,"&lt;="&amp;F$7))</f>
        <v/>
      </c>
      <c r="U122" s="74" t="str">
        <f aca="false">IF($A122="","",SUMIFS(Del_Qty,Del_Site,$A122,Del_Mat,$B122,Del_Date,"&gt;="&amp;G$6,Del_Date,"&lt;="&amp;G$7))</f>
        <v/>
      </c>
      <c r="V122" s="81" t="str">
        <f aca="false">IF($A122="","",MAX(0,J122+$I122-MAX(0,$H122)-P122))</f>
        <v/>
      </c>
      <c r="W122" s="81" t="str">
        <f aca="false">IF($A122="","",MAX(0,K122+$I122-AB122-Q122))</f>
        <v/>
      </c>
      <c r="X122" s="81" t="str">
        <f aca="false">IF($A122="","",MAX(0,L122+$I122-AC122-R122))</f>
        <v/>
      </c>
      <c r="Y122" s="81" t="str">
        <f aca="false">IF($A122="","",MAX(0,M122+$I122-AD122-S122))</f>
        <v/>
      </c>
      <c r="Z122" s="81" t="str">
        <f aca="false">IF($A122="","",MAX(0,N122+$I122-AE122-T122))</f>
        <v/>
      </c>
      <c r="AA122" s="81" t="str">
        <f aca="false">IF($A122="","",MAX(0,O122+$I122-AF122-U122))</f>
        <v/>
      </c>
      <c r="AB122" s="67" t="str">
        <f aca="false">IF($A122="","",MAX($I122,MAX(0,$H122)+P122-J122))</f>
        <v/>
      </c>
      <c r="AC122" s="67" t="str">
        <f aca="false">IF($A122="","",MAX($I122,AB122+Q122-K122))</f>
        <v/>
      </c>
      <c r="AD122" s="67" t="str">
        <f aca="false">IF($A122="","",MAX($I122,AC122+R122-L122))</f>
        <v/>
      </c>
      <c r="AE122" s="67" t="str">
        <f aca="false">IF($A122="","",MAX($I122,AD122+S122-M122))</f>
        <v/>
      </c>
      <c r="AF122" s="67" t="str">
        <f aca="false">IF($A122="","",MAX($I122,AE122+T122-N122))</f>
        <v/>
      </c>
      <c r="AG122" s="67" t="str">
        <f aca="false">IF($A122="","",MAX($I122,AF122+U122-O122))</f>
        <v/>
      </c>
      <c r="AH122" s="76" t="str">
        <f aca="false">IF($A122="","",IF($H122&lt;=0,"Already out",IF($E122&lt;=0,"No usage",IF(MAX(0,$H122)+SUM($P122:P122)-SUM($J122:J122)&lt;=0,$B$9,IF(MAX(0,$H122)+SUM($P122:Q122)-SUM($J122:K122)&lt;=0,$C$9,IF(MAX(0,$H122)+SUM($P122:R122)-SUM($J122:L122)&lt;=0,$D$9,IF(MAX(0,$H122)+SUM($P122:S122)-SUM($J122:M122)&lt;=0,$E$9,IF(MAX(0,$H122)+SUM($P122:T122)-SUM($J122:N122)&lt;=0,$F$9,IF(MAX(0,$H122)+SUM($P122:U122)-SUM($J122:O122)&lt;=0,$G$9,"Beyond 6 periods")))))))))</f>
        <v/>
      </c>
      <c r="AI122" s="67" t="str">
        <f aca="false">IF($A122="","",SUM(J122:O122))</f>
        <v/>
      </c>
      <c r="AJ122" s="68" t="str">
        <f aca="false">IF($A122="","",SUM(V122:AA122))</f>
        <v/>
      </c>
    </row>
    <row r="123" customFormat="false" ht="15" hidden="false" customHeight="false" outlineLevel="0" collapsed="false">
      <c r="A123" s="16" t="str">
        <f aca="false">IF('Stock Monitor'!$A91="","",'Stock Monitor'!$A91)</f>
        <v/>
      </c>
      <c r="B123" s="64" t="str">
        <f aca="false">IF($A123="","",'Stock Monitor'!$B91)</f>
        <v/>
      </c>
      <c r="C123" s="16" t="str">
        <f aca="false">IF($A123="","",'Stock Monitor'!$C91)</f>
        <v/>
      </c>
      <c r="D123" s="64" t="str">
        <f aca="false">IF($A123="","",'Stock Monitor'!$D91)</f>
        <v/>
      </c>
      <c r="E123" s="67" t="str">
        <f aca="false">IF($A123="","",'Stock Monitor'!$J91)</f>
        <v/>
      </c>
      <c r="F123" s="67" t="str">
        <f aca="false">IF($A123="","",$E123*WorkDaysWeek)</f>
        <v/>
      </c>
      <c r="G123" s="67" t="str">
        <f aca="false">IF($A123="","",$E123*WorkDaysMonth)</f>
        <v/>
      </c>
      <c r="H123" s="68" t="str">
        <f aca="false">IF($A123="","",'Stock Monitor'!$E91)</f>
        <v/>
      </c>
      <c r="I123" s="67" t="str">
        <f aca="false">IF($A123="","",'Stock Monitor'!$T91)</f>
        <v/>
      </c>
      <c r="J123" s="67" t="str">
        <f aca="false">IF($A123="","",$E123*B$8)</f>
        <v/>
      </c>
      <c r="K123" s="67" t="str">
        <f aca="false">IF($A123="","",$E123*C$8)</f>
        <v/>
      </c>
      <c r="L123" s="67" t="str">
        <f aca="false">IF($A123="","",$E123*D$8)</f>
        <v/>
      </c>
      <c r="M123" s="67" t="str">
        <f aca="false">IF($A123="","",$E123*E$8)</f>
        <v/>
      </c>
      <c r="N123" s="67" t="str">
        <f aca="false">IF($A123="","",$E123*F$8)</f>
        <v/>
      </c>
      <c r="O123" s="67" t="str">
        <f aca="false">IF($A123="","",$E123*G$8)</f>
        <v/>
      </c>
      <c r="P123" s="74" t="str">
        <f aca="false">IF($A123="","",SUMIFS(Del_Qty,Del_Site,$A123,Del_Mat,$B123,Del_Date,"&gt;="&amp;B$6,Del_Date,"&lt;="&amp;B$7))</f>
        <v/>
      </c>
      <c r="Q123" s="74" t="str">
        <f aca="false">IF($A123="","",SUMIFS(Del_Qty,Del_Site,$A123,Del_Mat,$B123,Del_Date,"&gt;="&amp;C$6,Del_Date,"&lt;="&amp;C$7))</f>
        <v/>
      </c>
      <c r="R123" s="74" t="str">
        <f aca="false">IF($A123="","",SUMIFS(Del_Qty,Del_Site,$A123,Del_Mat,$B123,Del_Date,"&gt;="&amp;D$6,Del_Date,"&lt;="&amp;D$7))</f>
        <v/>
      </c>
      <c r="S123" s="74" t="str">
        <f aca="false">IF($A123="","",SUMIFS(Del_Qty,Del_Site,$A123,Del_Mat,$B123,Del_Date,"&gt;="&amp;E$6,Del_Date,"&lt;="&amp;E$7))</f>
        <v/>
      </c>
      <c r="T123" s="74" t="str">
        <f aca="false">IF($A123="","",SUMIFS(Del_Qty,Del_Site,$A123,Del_Mat,$B123,Del_Date,"&gt;="&amp;F$6,Del_Date,"&lt;="&amp;F$7))</f>
        <v/>
      </c>
      <c r="U123" s="74" t="str">
        <f aca="false">IF($A123="","",SUMIFS(Del_Qty,Del_Site,$A123,Del_Mat,$B123,Del_Date,"&gt;="&amp;G$6,Del_Date,"&lt;="&amp;G$7))</f>
        <v/>
      </c>
      <c r="V123" s="81" t="str">
        <f aca="false">IF($A123="","",MAX(0,J123+$I123-MAX(0,$H123)-P123))</f>
        <v/>
      </c>
      <c r="W123" s="81" t="str">
        <f aca="false">IF($A123="","",MAX(0,K123+$I123-AB123-Q123))</f>
        <v/>
      </c>
      <c r="X123" s="81" t="str">
        <f aca="false">IF($A123="","",MAX(0,L123+$I123-AC123-R123))</f>
        <v/>
      </c>
      <c r="Y123" s="81" t="str">
        <f aca="false">IF($A123="","",MAX(0,M123+$I123-AD123-S123))</f>
        <v/>
      </c>
      <c r="Z123" s="81" t="str">
        <f aca="false">IF($A123="","",MAX(0,N123+$I123-AE123-T123))</f>
        <v/>
      </c>
      <c r="AA123" s="81" t="str">
        <f aca="false">IF($A123="","",MAX(0,O123+$I123-AF123-U123))</f>
        <v/>
      </c>
      <c r="AB123" s="67" t="str">
        <f aca="false">IF($A123="","",MAX($I123,MAX(0,$H123)+P123-J123))</f>
        <v/>
      </c>
      <c r="AC123" s="67" t="str">
        <f aca="false">IF($A123="","",MAX($I123,AB123+Q123-K123))</f>
        <v/>
      </c>
      <c r="AD123" s="67" t="str">
        <f aca="false">IF($A123="","",MAX($I123,AC123+R123-L123))</f>
        <v/>
      </c>
      <c r="AE123" s="67" t="str">
        <f aca="false">IF($A123="","",MAX($I123,AD123+S123-M123))</f>
        <v/>
      </c>
      <c r="AF123" s="67" t="str">
        <f aca="false">IF($A123="","",MAX($I123,AE123+T123-N123))</f>
        <v/>
      </c>
      <c r="AG123" s="67" t="str">
        <f aca="false">IF($A123="","",MAX($I123,AF123+U123-O123))</f>
        <v/>
      </c>
      <c r="AH123" s="76" t="str">
        <f aca="false">IF($A123="","",IF($H123&lt;=0,"Already out",IF($E123&lt;=0,"No usage",IF(MAX(0,$H123)+SUM($P123:P123)-SUM($J123:J123)&lt;=0,$B$9,IF(MAX(0,$H123)+SUM($P123:Q123)-SUM($J123:K123)&lt;=0,$C$9,IF(MAX(0,$H123)+SUM($P123:R123)-SUM($J123:L123)&lt;=0,$D$9,IF(MAX(0,$H123)+SUM($P123:S123)-SUM($J123:M123)&lt;=0,$E$9,IF(MAX(0,$H123)+SUM($P123:T123)-SUM($J123:N123)&lt;=0,$F$9,IF(MAX(0,$H123)+SUM($P123:U123)-SUM($J123:O123)&lt;=0,$G$9,"Beyond 6 periods")))))))))</f>
        <v/>
      </c>
      <c r="AI123" s="67" t="str">
        <f aca="false">IF($A123="","",SUM(J123:O123))</f>
        <v/>
      </c>
      <c r="AJ123" s="68" t="str">
        <f aca="false">IF($A123="","",SUM(V123:AA123))</f>
        <v/>
      </c>
    </row>
    <row r="124" customFormat="false" ht="15" hidden="false" customHeight="false" outlineLevel="0" collapsed="false">
      <c r="A124" s="16" t="str">
        <f aca="false">IF('Stock Monitor'!$A92="","",'Stock Monitor'!$A92)</f>
        <v/>
      </c>
      <c r="B124" s="64" t="str">
        <f aca="false">IF($A124="","",'Stock Monitor'!$B92)</f>
        <v/>
      </c>
      <c r="C124" s="16" t="str">
        <f aca="false">IF($A124="","",'Stock Monitor'!$C92)</f>
        <v/>
      </c>
      <c r="D124" s="64" t="str">
        <f aca="false">IF($A124="","",'Stock Monitor'!$D92)</f>
        <v/>
      </c>
      <c r="E124" s="67" t="str">
        <f aca="false">IF($A124="","",'Stock Monitor'!$J92)</f>
        <v/>
      </c>
      <c r="F124" s="67" t="str">
        <f aca="false">IF($A124="","",$E124*WorkDaysWeek)</f>
        <v/>
      </c>
      <c r="G124" s="67" t="str">
        <f aca="false">IF($A124="","",$E124*WorkDaysMonth)</f>
        <v/>
      </c>
      <c r="H124" s="68" t="str">
        <f aca="false">IF($A124="","",'Stock Monitor'!$E92)</f>
        <v/>
      </c>
      <c r="I124" s="67" t="str">
        <f aca="false">IF($A124="","",'Stock Monitor'!$T92)</f>
        <v/>
      </c>
      <c r="J124" s="67" t="str">
        <f aca="false">IF($A124="","",$E124*B$8)</f>
        <v/>
      </c>
      <c r="K124" s="67" t="str">
        <f aca="false">IF($A124="","",$E124*C$8)</f>
        <v/>
      </c>
      <c r="L124" s="67" t="str">
        <f aca="false">IF($A124="","",$E124*D$8)</f>
        <v/>
      </c>
      <c r="M124" s="67" t="str">
        <f aca="false">IF($A124="","",$E124*E$8)</f>
        <v/>
      </c>
      <c r="N124" s="67" t="str">
        <f aca="false">IF($A124="","",$E124*F$8)</f>
        <v/>
      </c>
      <c r="O124" s="67" t="str">
        <f aca="false">IF($A124="","",$E124*G$8)</f>
        <v/>
      </c>
      <c r="P124" s="74" t="str">
        <f aca="false">IF($A124="","",SUMIFS(Del_Qty,Del_Site,$A124,Del_Mat,$B124,Del_Date,"&gt;="&amp;B$6,Del_Date,"&lt;="&amp;B$7))</f>
        <v/>
      </c>
      <c r="Q124" s="74" t="str">
        <f aca="false">IF($A124="","",SUMIFS(Del_Qty,Del_Site,$A124,Del_Mat,$B124,Del_Date,"&gt;="&amp;C$6,Del_Date,"&lt;="&amp;C$7))</f>
        <v/>
      </c>
      <c r="R124" s="74" t="str">
        <f aca="false">IF($A124="","",SUMIFS(Del_Qty,Del_Site,$A124,Del_Mat,$B124,Del_Date,"&gt;="&amp;D$6,Del_Date,"&lt;="&amp;D$7))</f>
        <v/>
      </c>
      <c r="S124" s="74" t="str">
        <f aca="false">IF($A124="","",SUMIFS(Del_Qty,Del_Site,$A124,Del_Mat,$B124,Del_Date,"&gt;="&amp;E$6,Del_Date,"&lt;="&amp;E$7))</f>
        <v/>
      </c>
      <c r="T124" s="74" t="str">
        <f aca="false">IF($A124="","",SUMIFS(Del_Qty,Del_Site,$A124,Del_Mat,$B124,Del_Date,"&gt;="&amp;F$6,Del_Date,"&lt;="&amp;F$7))</f>
        <v/>
      </c>
      <c r="U124" s="74" t="str">
        <f aca="false">IF($A124="","",SUMIFS(Del_Qty,Del_Site,$A124,Del_Mat,$B124,Del_Date,"&gt;="&amp;G$6,Del_Date,"&lt;="&amp;G$7))</f>
        <v/>
      </c>
      <c r="V124" s="81" t="str">
        <f aca="false">IF($A124="","",MAX(0,J124+$I124-MAX(0,$H124)-P124))</f>
        <v/>
      </c>
      <c r="W124" s="81" t="str">
        <f aca="false">IF($A124="","",MAX(0,K124+$I124-AB124-Q124))</f>
        <v/>
      </c>
      <c r="X124" s="81" t="str">
        <f aca="false">IF($A124="","",MAX(0,L124+$I124-AC124-R124))</f>
        <v/>
      </c>
      <c r="Y124" s="81" t="str">
        <f aca="false">IF($A124="","",MAX(0,M124+$I124-AD124-S124))</f>
        <v/>
      </c>
      <c r="Z124" s="81" t="str">
        <f aca="false">IF($A124="","",MAX(0,N124+$I124-AE124-T124))</f>
        <v/>
      </c>
      <c r="AA124" s="81" t="str">
        <f aca="false">IF($A124="","",MAX(0,O124+$I124-AF124-U124))</f>
        <v/>
      </c>
      <c r="AB124" s="67" t="str">
        <f aca="false">IF($A124="","",MAX($I124,MAX(0,$H124)+P124-J124))</f>
        <v/>
      </c>
      <c r="AC124" s="67" t="str">
        <f aca="false">IF($A124="","",MAX($I124,AB124+Q124-K124))</f>
        <v/>
      </c>
      <c r="AD124" s="67" t="str">
        <f aca="false">IF($A124="","",MAX($I124,AC124+R124-L124))</f>
        <v/>
      </c>
      <c r="AE124" s="67" t="str">
        <f aca="false">IF($A124="","",MAX($I124,AD124+S124-M124))</f>
        <v/>
      </c>
      <c r="AF124" s="67" t="str">
        <f aca="false">IF($A124="","",MAX($I124,AE124+T124-N124))</f>
        <v/>
      </c>
      <c r="AG124" s="67" t="str">
        <f aca="false">IF($A124="","",MAX($I124,AF124+U124-O124))</f>
        <v/>
      </c>
      <c r="AH124" s="76" t="str">
        <f aca="false">IF($A124="","",IF($H124&lt;=0,"Already out",IF($E124&lt;=0,"No usage",IF(MAX(0,$H124)+SUM($P124:P124)-SUM($J124:J124)&lt;=0,$B$9,IF(MAX(0,$H124)+SUM($P124:Q124)-SUM($J124:K124)&lt;=0,$C$9,IF(MAX(0,$H124)+SUM($P124:R124)-SUM($J124:L124)&lt;=0,$D$9,IF(MAX(0,$H124)+SUM($P124:S124)-SUM($J124:M124)&lt;=0,$E$9,IF(MAX(0,$H124)+SUM($P124:T124)-SUM($J124:N124)&lt;=0,$F$9,IF(MAX(0,$H124)+SUM($P124:U124)-SUM($J124:O124)&lt;=0,$G$9,"Beyond 6 periods")))))))))</f>
        <v/>
      </c>
      <c r="AI124" s="67" t="str">
        <f aca="false">IF($A124="","",SUM(J124:O124))</f>
        <v/>
      </c>
      <c r="AJ124" s="68" t="str">
        <f aca="false">IF($A124="","",SUM(V124:AA124))</f>
        <v/>
      </c>
    </row>
    <row r="125" customFormat="false" ht="15" hidden="false" customHeight="false" outlineLevel="0" collapsed="false">
      <c r="A125" s="16" t="str">
        <f aca="false">IF('Stock Monitor'!$A93="","",'Stock Monitor'!$A93)</f>
        <v/>
      </c>
      <c r="B125" s="64" t="str">
        <f aca="false">IF($A125="","",'Stock Monitor'!$B93)</f>
        <v/>
      </c>
      <c r="C125" s="16" t="str">
        <f aca="false">IF($A125="","",'Stock Monitor'!$C93)</f>
        <v/>
      </c>
      <c r="D125" s="64" t="str">
        <f aca="false">IF($A125="","",'Stock Monitor'!$D93)</f>
        <v/>
      </c>
      <c r="E125" s="67" t="str">
        <f aca="false">IF($A125="","",'Stock Monitor'!$J93)</f>
        <v/>
      </c>
      <c r="F125" s="67" t="str">
        <f aca="false">IF($A125="","",$E125*WorkDaysWeek)</f>
        <v/>
      </c>
      <c r="G125" s="67" t="str">
        <f aca="false">IF($A125="","",$E125*WorkDaysMonth)</f>
        <v/>
      </c>
      <c r="H125" s="68" t="str">
        <f aca="false">IF($A125="","",'Stock Monitor'!$E93)</f>
        <v/>
      </c>
      <c r="I125" s="67" t="str">
        <f aca="false">IF($A125="","",'Stock Monitor'!$T93)</f>
        <v/>
      </c>
      <c r="J125" s="67" t="str">
        <f aca="false">IF($A125="","",$E125*B$8)</f>
        <v/>
      </c>
      <c r="K125" s="67" t="str">
        <f aca="false">IF($A125="","",$E125*C$8)</f>
        <v/>
      </c>
      <c r="L125" s="67" t="str">
        <f aca="false">IF($A125="","",$E125*D$8)</f>
        <v/>
      </c>
      <c r="M125" s="67" t="str">
        <f aca="false">IF($A125="","",$E125*E$8)</f>
        <v/>
      </c>
      <c r="N125" s="67" t="str">
        <f aca="false">IF($A125="","",$E125*F$8)</f>
        <v/>
      </c>
      <c r="O125" s="67" t="str">
        <f aca="false">IF($A125="","",$E125*G$8)</f>
        <v/>
      </c>
      <c r="P125" s="74" t="str">
        <f aca="false">IF($A125="","",SUMIFS(Del_Qty,Del_Site,$A125,Del_Mat,$B125,Del_Date,"&gt;="&amp;B$6,Del_Date,"&lt;="&amp;B$7))</f>
        <v/>
      </c>
      <c r="Q125" s="74" t="str">
        <f aca="false">IF($A125="","",SUMIFS(Del_Qty,Del_Site,$A125,Del_Mat,$B125,Del_Date,"&gt;="&amp;C$6,Del_Date,"&lt;="&amp;C$7))</f>
        <v/>
      </c>
      <c r="R125" s="74" t="str">
        <f aca="false">IF($A125="","",SUMIFS(Del_Qty,Del_Site,$A125,Del_Mat,$B125,Del_Date,"&gt;="&amp;D$6,Del_Date,"&lt;="&amp;D$7))</f>
        <v/>
      </c>
      <c r="S125" s="74" t="str">
        <f aca="false">IF($A125="","",SUMIFS(Del_Qty,Del_Site,$A125,Del_Mat,$B125,Del_Date,"&gt;="&amp;E$6,Del_Date,"&lt;="&amp;E$7))</f>
        <v/>
      </c>
      <c r="T125" s="74" t="str">
        <f aca="false">IF($A125="","",SUMIFS(Del_Qty,Del_Site,$A125,Del_Mat,$B125,Del_Date,"&gt;="&amp;F$6,Del_Date,"&lt;="&amp;F$7))</f>
        <v/>
      </c>
      <c r="U125" s="74" t="str">
        <f aca="false">IF($A125="","",SUMIFS(Del_Qty,Del_Site,$A125,Del_Mat,$B125,Del_Date,"&gt;="&amp;G$6,Del_Date,"&lt;="&amp;G$7))</f>
        <v/>
      </c>
      <c r="V125" s="81" t="str">
        <f aca="false">IF($A125="","",MAX(0,J125+$I125-MAX(0,$H125)-P125))</f>
        <v/>
      </c>
      <c r="W125" s="81" t="str">
        <f aca="false">IF($A125="","",MAX(0,K125+$I125-AB125-Q125))</f>
        <v/>
      </c>
      <c r="X125" s="81" t="str">
        <f aca="false">IF($A125="","",MAX(0,L125+$I125-AC125-R125))</f>
        <v/>
      </c>
      <c r="Y125" s="81" t="str">
        <f aca="false">IF($A125="","",MAX(0,M125+$I125-AD125-S125))</f>
        <v/>
      </c>
      <c r="Z125" s="81" t="str">
        <f aca="false">IF($A125="","",MAX(0,N125+$I125-AE125-T125))</f>
        <v/>
      </c>
      <c r="AA125" s="81" t="str">
        <f aca="false">IF($A125="","",MAX(0,O125+$I125-AF125-U125))</f>
        <v/>
      </c>
      <c r="AB125" s="67" t="str">
        <f aca="false">IF($A125="","",MAX($I125,MAX(0,$H125)+P125-J125))</f>
        <v/>
      </c>
      <c r="AC125" s="67" t="str">
        <f aca="false">IF($A125="","",MAX($I125,AB125+Q125-K125))</f>
        <v/>
      </c>
      <c r="AD125" s="67" t="str">
        <f aca="false">IF($A125="","",MAX($I125,AC125+R125-L125))</f>
        <v/>
      </c>
      <c r="AE125" s="67" t="str">
        <f aca="false">IF($A125="","",MAX($I125,AD125+S125-M125))</f>
        <v/>
      </c>
      <c r="AF125" s="67" t="str">
        <f aca="false">IF($A125="","",MAX($I125,AE125+T125-N125))</f>
        <v/>
      </c>
      <c r="AG125" s="67" t="str">
        <f aca="false">IF($A125="","",MAX($I125,AF125+U125-O125))</f>
        <v/>
      </c>
      <c r="AH125" s="76" t="str">
        <f aca="false">IF($A125="","",IF($H125&lt;=0,"Already out",IF($E125&lt;=0,"No usage",IF(MAX(0,$H125)+SUM($P125:P125)-SUM($J125:J125)&lt;=0,$B$9,IF(MAX(0,$H125)+SUM($P125:Q125)-SUM($J125:K125)&lt;=0,$C$9,IF(MAX(0,$H125)+SUM($P125:R125)-SUM($J125:L125)&lt;=0,$D$9,IF(MAX(0,$H125)+SUM($P125:S125)-SUM($J125:M125)&lt;=0,$E$9,IF(MAX(0,$H125)+SUM($P125:T125)-SUM($J125:N125)&lt;=0,$F$9,IF(MAX(0,$H125)+SUM($P125:U125)-SUM($J125:O125)&lt;=0,$G$9,"Beyond 6 periods")))))))))</f>
        <v/>
      </c>
      <c r="AI125" s="67" t="str">
        <f aca="false">IF($A125="","",SUM(J125:O125))</f>
        <v/>
      </c>
      <c r="AJ125" s="68" t="str">
        <f aca="false">IF($A125="","",SUM(V125:AA125))</f>
        <v/>
      </c>
    </row>
    <row r="126" customFormat="false" ht="15" hidden="false" customHeight="false" outlineLevel="0" collapsed="false">
      <c r="A126" s="16" t="str">
        <f aca="false">IF('Stock Monitor'!$A94="","",'Stock Monitor'!$A94)</f>
        <v/>
      </c>
      <c r="B126" s="64" t="str">
        <f aca="false">IF($A126="","",'Stock Monitor'!$B94)</f>
        <v/>
      </c>
      <c r="C126" s="16" t="str">
        <f aca="false">IF($A126="","",'Stock Monitor'!$C94)</f>
        <v/>
      </c>
      <c r="D126" s="64" t="str">
        <f aca="false">IF($A126="","",'Stock Monitor'!$D94)</f>
        <v/>
      </c>
      <c r="E126" s="67" t="str">
        <f aca="false">IF($A126="","",'Stock Monitor'!$J94)</f>
        <v/>
      </c>
      <c r="F126" s="67" t="str">
        <f aca="false">IF($A126="","",$E126*WorkDaysWeek)</f>
        <v/>
      </c>
      <c r="G126" s="67" t="str">
        <f aca="false">IF($A126="","",$E126*WorkDaysMonth)</f>
        <v/>
      </c>
      <c r="H126" s="68" t="str">
        <f aca="false">IF($A126="","",'Stock Monitor'!$E94)</f>
        <v/>
      </c>
      <c r="I126" s="67" t="str">
        <f aca="false">IF($A126="","",'Stock Monitor'!$T94)</f>
        <v/>
      </c>
      <c r="J126" s="67" t="str">
        <f aca="false">IF($A126="","",$E126*B$8)</f>
        <v/>
      </c>
      <c r="K126" s="67" t="str">
        <f aca="false">IF($A126="","",$E126*C$8)</f>
        <v/>
      </c>
      <c r="L126" s="67" t="str">
        <f aca="false">IF($A126="","",$E126*D$8)</f>
        <v/>
      </c>
      <c r="M126" s="67" t="str">
        <f aca="false">IF($A126="","",$E126*E$8)</f>
        <v/>
      </c>
      <c r="N126" s="67" t="str">
        <f aca="false">IF($A126="","",$E126*F$8)</f>
        <v/>
      </c>
      <c r="O126" s="67" t="str">
        <f aca="false">IF($A126="","",$E126*G$8)</f>
        <v/>
      </c>
      <c r="P126" s="74" t="str">
        <f aca="false">IF($A126="","",SUMIFS(Del_Qty,Del_Site,$A126,Del_Mat,$B126,Del_Date,"&gt;="&amp;B$6,Del_Date,"&lt;="&amp;B$7))</f>
        <v/>
      </c>
      <c r="Q126" s="74" t="str">
        <f aca="false">IF($A126="","",SUMIFS(Del_Qty,Del_Site,$A126,Del_Mat,$B126,Del_Date,"&gt;="&amp;C$6,Del_Date,"&lt;="&amp;C$7))</f>
        <v/>
      </c>
      <c r="R126" s="74" t="str">
        <f aca="false">IF($A126="","",SUMIFS(Del_Qty,Del_Site,$A126,Del_Mat,$B126,Del_Date,"&gt;="&amp;D$6,Del_Date,"&lt;="&amp;D$7))</f>
        <v/>
      </c>
      <c r="S126" s="74" t="str">
        <f aca="false">IF($A126="","",SUMIFS(Del_Qty,Del_Site,$A126,Del_Mat,$B126,Del_Date,"&gt;="&amp;E$6,Del_Date,"&lt;="&amp;E$7))</f>
        <v/>
      </c>
      <c r="T126" s="74" t="str">
        <f aca="false">IF($A126="","",SUMIFS(Del_Qty,Del_Site,$A126,Del_Mat,$B126,Del_Date,"&gt;="&amp;F$6,Del_Date,"&lt;="&amp;F$7))</f>
        <v/>
      </c>
      <c r="U126" s="74" t="str">
        <f aca="false">IF($A126="","",SUMIFS(Del_Qty,Del_Site,$A126,Del_Mat,$B126,Del_Date,"&gt;="&amp;G$6,Del_Date,"&lt;="&amp;G$7))</f>
        <v/>
      </c>
      <c r="V126" s="81" t="str">
        <f aca="false">IF($A126="","",MAX(0,J126+$I126-MAX(0,$H126)-P126))</f>
        <v/>
      </c>
      <c r="W126" s="81" t="str">
        <f aca="false">IF($A126="","",MAX(0,K126+$I126-AB126-Q126))</f>
        <v/>
      </c>
      <c r="X126" s="81" t="str">
        <f aca="false">IF($A126="","",MAX(0,L126+$I126-AC126-R126))</f>
        <v/>
      </c>
      <c r="Y126" s="81" t="str">
        <f aca="false">IF($A126="","",MAX(0,M126+$I126-AD126-S126))</f>
        <v/>
      </c>
      <c r="Z126" s="81" t="str">
        <f aca="false">IF($A126="","",MAX(0,N126+$I126-AE126-T126))</f>
        <v/>
      </c>
      <c r="AA126" s="81" t="str">
        <f aca="false">IF($A126="","",MAX(0,O126+$I126-AF126-U126))</f>
        <v/>
      </c>
      <c r="AB126" s="67" t="str">
        <f aca="false">IF($A126="","",MAX($I126,MAX(0,$H126)+P126-J126))</f>
        <v/>
      </c>
      <c r="AC126" s="67" t="str">
        <f aca="false">IF($A126="","",MAX($I126,AB126+Q126-K126))</f>
        <v/>
      </c>
      <c r="AD126" s="67" t="str">
        <f aca="false">IF($A126="","",MAX($I126,AC126+R126-L126))</f>
        <v/>
      </c>
      <c r="AE126" s="67" t="str">
        <f aca="false">IF($A126="","",MAX($I126,AD126+S126-M126))</f>
        <v/>
      </c>
      <c r="AF126" s="67" t="str">
        <f aca="false">IF($A126="","",MAX($I126,AE126+T126-N126))</f>
        <v/>
      </c>
      <c r="AG126" s="67" t="str">
        <f aca="false">IF($A126="","",MAX($I126,AF126+U126-O126))</f>
        <v/>
      </c>
      <c r="AH126" s="76" t="str">
        <f aca="false">IF($A126="","",IF($H126&lt;=0,"Already out",IF($E126&lt;=0,"No usage",IF(MAX(0,$H126)+SUM($P126:P126)-SUM($J126:J126)&lt;=0,$B$9,IF(MAX(0,$H126)+SUM($P126:Q126)-SUM($J126:K126)&lt;=0,$C$9,IF(MAX(0,$H126)+SUM($P126:R126)-SUM($J126:L126)&lt;=0,$D$9,IF(MAX(0,$H126)+SUM($P126:S126)-SUM($J126:M126)&lt;=0,$E$9,IF(MAX(0,$H126)+SUM($P126:T126)-SUM($J126:N126)&lt;=0,$F$9,IF(MAX(0,$H126)+SUM($P126:U126)-SUM($J126:O126)&lt;=0,$G$9,"Beyond 6 periods")))))))))</f>
        <v/>
      </c>
      <c r="AI126" s="67" t="str">
        <f aca="false">IF($A126="","",SUM(J126:O126))</f>
        <v/>
      </c>
      <c r="AJ126" s="68" t="str">
        <f aca="false">IF($A126="","",SUM(V126:AA126))</f>
        <v/>
      </c>
    </row>
    <row r="127" customFormat="false" ht="15" hidden="false" customHeight="false" outlineLevel="0" collapsed="false">
      <c r="A127" s="16" t="str">
        <f aca="false">IF('Stock Monitor'!$A95="","",'Stock Monitor'!$A95)</f>
        <v/>
      </c>
      <c r="B127" s="64" t="str">
        <f aca="false">IF($A127="","",'Stock Monitor'!$B95)</f>
        <v/>
      </c>
      <c r="C127" s="16" t="str">
        <f aca="false">IF($A127="","",'Stock Monitor'!$C95)</f>
        <v/>
      </c>
      <c r="D127" s="64" t="str">
        <f aca="false">IF($A127="","",'Stock Monitor'!$D95)</f>
        <v/>
      </c>
      <c r="E127" s="67" t="str">
        <f aca="false">IF($A127="","",'Stock Monitor'!$J95)</f>
        <v/>
      </c>
      <c r="F127" s="67" t="str">
        <f aca="false">IF($A127="","",$E127*WorkDaysWeek)</f>
        <v/>
      </c>
      <c r="G127" s="67" t="str">
        <f aca="false">IF($A127="","",$E127*WorkDaysMonth)</f>
        <v/>
      </c>
      <c r="H127" s="68" t="str">
        <f aca="false">IF($A127="","",'Stock Monitor'!$E95)</f>
        <v/>
      </c>
      <c r="I127" s="67" t="str">
        <f aca="false">IF($A127="","",'Stock Monitor'!$T95)</f>
        <v/>
      </c>
      <c r="J127" s="67" t="str">
        <f aca="false">IF($A127="","",$E127*B$8)</f>
        <v/>
      </c>
      <c r="K127" s="67" t="str">
        <f aca="false">IF($A127="","",$E127*C$8)</f>
        <v/>
      </c>
      <c r="L127" s="67" t="str">
        <f aca="false">IF($A127="","",$E127*D$8)</f>
        <v/>
      </c>
      <c r="M127" s="67" t="str">
        <f aca="false">IF($A127="","",$E127*E$8)</f>
        <v/>
      </c>
      <c r="N127" s="67" t="str">
        <f aca="false">IF($A127="","",$E127*F$8)</f>
        <v/>
      </c>
      <c r="O127" s="67" t="str">
        <f aca="false">IF($A127="","",$E127*G$8)</f>
        <v/>
      </c>
      <c r="P127" s="74" t="str">
        <f aca="false">IF($A127="","",SUMIFS(Del_Qty,Del_Site,$A127,Del_Mat,$B127,Del_Date,"&gt;="&amp;B$6,Del_Date,"&lt;="&amp;B$7))</f>
        <v/>
      </c>
      <c r="Q127" s="74" t="str">
        <f aca="false">IF($A127="","",SUMIFS(Del_Qty,Del_Site,$A127,Del_Mat,$B127,Del_Date,"&gt;="&amp;C$6,Del_Date,"&lt;="&amp;C$7))</f>
        <v/>
      </c>
      <c r="R127" s="74" t="str">
        <f aca="false">IF($A127="","",SUMIFS(Del_Qty,Del_Site,$A127,Del_Mat,$B127,Del_Date,"&gt;="&amp;D$6,Del_Date,"&lt;="&amp;D$7))</f>
        <v/>
      </c>
      <c r="S127" s="74" t="str">
        <f aca="false">IF($A127="","",SUMIFS(Del_Qty,Del_Site,$A127,Del_Mat,$B127,Del_Date,"&gt;="&amp;E$6,Del_Date,"&lt;="&amp;E$7))</f>
        <v/>
      </c>
      <c r="T127" s="74" t="str">
        <f aca="false">IF($A127="","",SUMIFS(Del_Qty,Del_Site,$A127,Del_Mat,$B127,Del_Date,"&gt;="&amp;F$6,Del_Date,"&lt;="&amp;F$7))</f>
        <v/>
      </c>
      <c r="U127" s="74" t="str">
        <f aca="false">IF($A127="","",SUMIFS(Del_Qty,Del_Site,$A127,Del_Mat,$B127,Del_Date,"&gt;="&amp;G$6,Del_Date,"&lt;="&amp;G$7))</f>
        <v/>
      </c>
      <c r="V127" s="81" t="str">
        <f aca="false">IF($A127="","",MAX(0,J127+$I127-MAX(0,$H127)-P127))</f>
        <v/>
      </c>
      <c r="W127" s="81" t="str">
        <f aca="false">IF($A127="","",MAX(0,K127+$I127-AB127-Q127))</f>
        <v/>
      </c>
      <c r="X127" s="81" t="str">
        <f aca="false">IF($A127="","",MAX(0,L127+$I127-AC127-R127))</f>
        <v/>
      </c>
      <c r="Y127" s="81" t="str">
        <f aca="false">IF($A127="","",MAX(0,M127+$I127-AD127-S127))</f>
        <v/>
      </c>
      <c r="Z127" s="81" t="str">
        <f aca="false">IF($A127="","",MAX(0,N127+$I127-AE127-T127))</f>
        <v/>
      </c>
      <c r="AA127" s="81" t="str">
        <f aca="false">IF($A127="","",MAX(0,O127+$I127-AF127-U127))</f>
        <v/>
      </c>
      <c r="AB127" s="67" t="str">
        <f aca="false">IF($A127="","",MAX($I127,MAX(0,$H127)+P127-J127))</f>
        <v/>
      </c>
      <c r="AC127" s="67" t="str">
        <f aca="false">IF($A127="","",MAX($I127,AB127+Q127-K127))</f>
        <v/>
      </c>
      <c r="AD127" s="67" t="str">
        <f aca="false">IF($A127="","",MAX($I127,AC127+R127-L127))</f>
        <v/>
      </c>
      <c r="AE127" s="67" t="str">
        <f aca="false">IF($A127="","",MAX($I127,AD127+S127-M127))</f>
        <v/>
      </c>
      <c r="AF127" s="67" t="str">
        <f aca="false">IF($A127="","",MAX($I127,AE127+T127-N127))</f>
        <v/>
      </c>
      <c r="AG127" s="67" t="str">
        <f aca="false">IF($A127="","",MAX($I127,AF127+U127-O127))</f>
        <v/>
      </c>
      <c r="AH127" s="76" t="str">
        <f aca="false">IF($A127="","",IF($H127&lt;=0,"Already out",IF($E127&lt;=0,"No usage",IF(MAX(0,$H127)+SUM($P127:P127)-SUM($J127:J127)&lt;=0,$B$9,IF(MAX(0,$H127)+SUM($P127:Q127)-SUM($J127:K127)&lt;=0,$C$9,IF(MAX(0,$H127)+SUM($P127:R127)-SUM($J127:L127)&lt;=0,$D$9,IF(MAX(0,$H127)+SUM($P127:S127)-SUM($J127:M127)&lt;=0,$E$9,IF(MAX(0,$H127)+SUM($P127:T127)-SUM($J127:N127)&lt;=0,$F$9,IF(MAX(0,$H127)+SUM($P127:U127)-SUM($J127:O127)&lt;=0,$G$9,"Beyond 6 periods")))))))))</f>
        <v/>
      </c>
      <c r="AI127" s="67" t="str">
        <f aca="false">IF($A127="","",SUM(J127:O127))</f>
        <v/>
      </c>
      <c r="AJ127" s="68" t="str">
        <f aca="false">IF($A127="","",SUM(V127:AA127))</f>
        <v/>
      </c>
    </row>
    <row r="128" customFormat="false" ht="15" hidden="false" customHeight="false" outlineLevel="0" collapsed="false">
      <c r="A128" s="16" t="str">
        <f aca="false">IF('Stock Monitor'!$A96="","",'Stock Monitor'!$A96)</f>
        <v/>
      </c>
      <c r="B128" s="64" t="str">
        <f aca="false">IF($A128="","",'Stock Monitor'!$B96)</f>
        <v/>
      </c>
      <c r="C128" s="16" t="str">
        <f aca="false">IF($A128="","",'Stock Monitor'!$C96)</f>
        <v/>
      </c>
      <c r="D128" s="64" t="str">
        <f aca="false">IF($A128="","",'Stock Monitor'!$D96)</f>
        <v/>
      </c>
      <c r="E128" s="67" t="str">
        <f aca="false">IF($A128="","",'Stock Monitor'!$J96)</f>
        <v/>
      </c>
      <c r="F128" s="67" t="str">
        <f aca="false">IF($A128="","",$E128*WorkDaysWeek)</f>
        <v/>
      </c>
      <c r="G128" s="67" t="str">
        <f aca="false">IF($A128="","",$E128*WorkDaysMonth)</f>
        <v/>
      </c>
      <c r="H128" s="68" t="str">
        <f aca="false">IF($A128="","",'Stock Monitor'!$E96)</f>
        <v/>
      </c>
      <c r="I128" s="67" t="str">
        <f aca="false">IF($A128="","",'Stock Monitor'!$T96)</f>
        <v/>
      </c>
      <c r="J128" s="67" t="str">
        <f aca="false">IF($A128="","",$E128*B$8)</f>
        <v/>
      </c>
      <c r="K128" s="67" t="str">
        <f aca="false">IF($A128="","",$E128*C$8)</f>
        <v/>
      </c>
      <c r="L128" s="67" t="str">
        <f aca="false">IF($A128="","",$E128*D$8)</f>
        <v/>
      </c>
      <c r="M128" s="67" t="str">
        <f aca="false">IF($A128="","",$E128*E$8)</f>
        <v/>
      </c>
      <c r="N128" s="67" t="str">
        <f aca="false">IF($A128="","",$E128*F$8)</f>
        <v/>
      </c>
      <c r="O128" s="67" t="str">
        <f aca="false">IF($A128="","",$E128*G$8)</f>
        <v/>
      </c>
      <c r="P128" s="74" t="str">
        <f aca="false">IF($A128="","",SUMIFS(Del_Qty,Del_Site,$A128,Del_Mat,$B128,Del_Date,"&gt;="&amp;B$6,Del_Date,"&lt;="&amp;B$7))</f>
        <v/>
      </c>
      <c r="Q128" s="74" t="str">
        <f aca="false">IF($A128="","",SUMIFS(Del_Qty,Del_Site,$A128,Del_Mat,$B128,Del_Date,"&gt;="&amp;C$6,Del_Date,"&lt;="&amp;C$7))</f>
        <v/>
      </c>
      <c r="R128" s="74" t="str">
        <f aca="false">IF($A128="","",SUMIFS(Del_Qty,Del_Site,$A128,Del_Mat,$B128,Del_Date,"&gt;="&amp;D$6,Del_Date,"&lt;="&amp;D$7))</f>
        <v/>
      </c>
      <c r="S128" s="74" t="str">
        <f aca="false">IF($A128="","",SUMIFS(Del_Qty,Del_Site,$A128,Del_Mat,$B128,Del_Date,"&gt;="&amp;E$6,Del_Date,"&lt;="&amp;E$7))</f>
        <v/>
      </c>
      <c r="T128" s="74" t="str">
        <f aca="false">IF($A128="","",SUMIFS(Del_Qty,Del_Site,$A128,Del_Mat,$B128,Del_Date,"&gt;="&amp;F$6,Del_Date,"&lt;="&amp;F$7))</f>
        <v/>
      </c>
      <c r="U128" s="74" t="str">
        <f aca="false">IF($A128="","",SUMIFS(Del_Qty,Del_Site,$A128,Del_Mat,$B128,Del_Date,"&gt;="&amp;G$6,Del_Date,"&lt;="&amp;G$7))</f>
        <v/>
      </c>
      <c r="V128" s="81" t="str">
        <f aca="false">IF($A128="","",MAX(0,J128+$I128-MAX(0,$H128)-P128))</f>
        <v/>
      </c>
      <c r="W128" s="81" t="str">
        <f aca="false">IF($A128="","",MAX(0,K128+$I128-AB128-Q128))</f>
        <v/>
      </c>
      <c r="X128" s="81" t="str">
        <f aca="false">IF($A128="","",MAX(0,L128+$I128-AC128-R128))</f>
        <v/>
      </c>
      <c r="Y128" s="81" t="str">
        <f aca="false">IF($A128="","",MAX(0,M128+$I128-AD128-S128))</f>
        <v/>
      </c>
      <c r="Z128" s="81" t="str">
        <f aca="false">IF($A128="","",MAX(0,N128+$I128-AE128-T128))</f>
        <v/>
      </c>
      <c r="AA128" s="81" t="str">
        <f aca="false">IF($A128="","",MAX(0,O128+$I128-AF128-U128))</f>
        <v/>
      </c>
      <c r="AB128" s="67" t="str">
        <f aca="false">IF($A128="","",MAX($I128,MAX(0,$H128)+P128-J128))</f>
        <v/>
      </c>
      <c r="AC128" s="67" t="str">
        <f aca="false">IF($A128="","",MAX($I128,AB128+Q128-K128))</f>
        <v/>
      </c>
      <c r="AD128" s="67" t="str">
        <f aca="false">IF($A128="","",MAX($I128,AC128+R128-L128))</f>
        <v/>
      </c>
      <c r="AE128" s="67" t="str">
        <f aca="false">IF($A128="","",MAX($I128,AD128+S128-M128))</f>
        <v/>
      </c>
      <c r="AF128" s="67" t="str">
        <f aca="false">IF($A128="","",MAX($I128,AE128+T128-N128))</f>
        <v/>
      </c>
      <c r="AG128" s="67" t="str">
        <f aca="false">IF($A128="","",MAX($I128,AF128+U128-O128))</f>
        <v/>
      </c>
      <c r="AH128" s="76" t="str">
        <f aca="false">IF($A128="","",IF($H128&lt;=0,"Already out",IF($E128&lt;=0,"No usage",IF(MAX(0,$H128)+SUM($P128:P128)-SUM($J128:J128)&lt;=0,$B$9,IF(MAX(0,$H128)+SUM($P128:Q128)-SUM($J128:K128)&lt;=0,$C$9,IF(MAX(0,$H128)+SUM($P128:R128)-SUM($J128:L128)&lt;=0,$D$9,IF(MAX(0,$H128)+SUM($P128:S128)-SUM($J128:M128)&lt;=0,$E$9,IF(MAX(0,$H128)+SUM($P128:T128)-SUM($J128:N128)&lt;=0,$F$9,IF(MAX(0,$H128)+SUM($P128:U128)-SUM($J128:O128)&lt;=0,$G$9,"Beyond 6 periods")))))))))</f>
        <v/>
      </c>
      <c r="AI128" s="67" t="str">
        <f aca="false">IF($A128="","",SUM(J128:O128))</f>
        <v/>
      </c>
      <c r="AJ128" s="68" t="str">
        <f aca="false">IF($A128="","",SUM(V128:AA128))</f>
        <v/>
      </c>
    </row>
    <row r="129" customFormat="false" ht="15" hidden="false" customHeight="false" outlineLevel="0" collapsed="false">
      <c r="A129" s="16" t="str">
        <f aca="false">IF('Stock Monitor'!$A97="","",'Stock Monitor'!$A97)</f>
        <v/>
      </c>
      <c r="B129" s="64" t="str">
        <f aca="false">IF($A129="","",'Stock Monitor'!$B97)</f>
        <v/>
      </c>
      <c r="C129" s="16" t="str">
        <f aca="false">IF($A129="","",'Stock Monitor'!$C97)</f>
        <v/>
      </c>
      <c r="D129" s="64" t="str">
        <f aca="false">IF($A129="","",'Stock Monitor'!$D97)</f>
        <v/>
      </c>
      <c r="E129" s="67" t="str">
        <f aca="false">IF($A129="","",'Stock Monitor'!$J97)</f>
        <v/>
      </c>
      <c r="F129" s="67" t="str">
        <f aca="false">IF($A129="","",$E129*WorkDaysWeek)</f>
        <v/>
      </c>
      <c r="G129" s="67" t="str">
        <f aca="false">IF($A129="","",$E129*WorkDaysMonth)</f>
        <v/>
      </c>
      <c r="H129" s="68" t="str">
        <f aca="false">IF($A129="","",'Stock Monitor'!$E97)</f>
        <v/>
      </c>
      <c r="I129" s="67" t="str">
        <f aca="false">IF($A129="","",'Stock Monitor'!$T97)</f>
        <v/>
      </c>
      <c r="J129" s="67" t="str">
        <f aca="false">IF($A129="","",$E129*B$8)</f>
        <v/>
      </c>
      <c r="K129" s="67" t="str">
        <f aca="false">IF($A129="","",$E129*C$8)</f>
        <v/>
      </c>
      <c r="L129" s="67" t="str">
        <f aca="false">IF($A129="","",$E129*D$8)</f>
        <v/>
      </c>
      <c r="M129" s="67" t="str">
        <f aca="false">IF($A129="","",$E129*E$8)</f>
        <v/>
      </c>
      <c r="N129" s="67" t="str">
        <f aca="false">IF($A129="","",$E129*F$8)</f>
        <v/>
      </c>
      <c r="O129" s="67" t="str">
        <f aca="false">IF($A129="","",$E129*G$8)</f>
        <v/>
      </c>
      <c r="P129" s="74" t="str">
        <f aca="false">IF($A129="","",SUMIFS(Del_Qty,Del_Site,$A129,Del_Mat,$B129,Del_Date,"&gt;="&amp;B$6,Del_Date,"&lt;="&amp;B$7))</f>
        <v/>
      </c>
      <c r="Q129" s="74" t="str">
        <f aca="false">IF($A129="","",SUMIFS(Del_Qty,Del_Site,$A129,Del_Mat,$B129,Del_Date,"&gt;="&amp;C$6,Del_Date,"&lt;="&amp;C$7))</f>
        <v/>
      </c>
      <c r="R129" s="74" t="str">
        <f aca="false">IF($A129="","",SUMIFS(Del_Qty,Del_Site,$A129,Del_Mat,$B129,Del_Date,"&gt;="&amp;D$6,Del_Date,"&lt;="&amp;D$7))</f>
        <v/>
      </c>
      <c r="S129" s="74" t="str">
        <f aca="false">IF($A129="","",SUMIFS(Del_Qty,Del_Site,$A129,Del_Mat,$B129,Del_Date,"&gt;="&amp;E$6,Del_Date,"&lt;="&amp;E$7))</f>
        <v/>
      </c>
      <c r="T129" s="74" t="str">
        <f aca="false">IF($A129="","",SUMIFS(Del_Qty,Del_Site,$A129,Del_Mat,$B129,Del_Date,"&gt;="&amp;F$6,Del_Date,"&lt;="&amp;F$7))</f>
        <v/>
      </c>
      <c r="U129" s="74" t="str">
        <f aca="false">IF($A129="","",SUMIFS(Del_Qty,Del_Site,$A129,Del_Mat,$B129,Del_Date,"&gt;="&amp;G$6,Del_Date,"&lt;="&amp;G$7))</f>
        <v/>
      </c>
      <c r="V129" s="81" t="str">
        <f aca="false">IF($A129="","",MAX(0,J129+$I129-MAX(0,$H129)-P129))</f>
        <v/>
      </c>
      <c r="W129" s="81" t="str">
        <f aca="false">IF($A129="","",MAX(0,K129+$I129-AB129-Q129))</f>
        <v/>
      </c>
      <c r="X129" s="81" t="str">
        <f aca="false">IF($A129="","",MAX(0,L129+$I129-AC129-R129))</f>
        <v/>
      </c>
      <c r="Y129" s="81" t="str">
        <f aca="false">IF($A129="","",MAX(0,M129+$I129-AD129-S129))</f>
        <v/>
      </c>
      <c r="Z129" s="81" t="str">
        <f aca="false">IF($A129="","",MAX(0,N129+$I129-AE129-T129))</f>
        <v/>
      </c>
      <c r="AA129" s="81" t="str">
        <f aca="false">IF($A129="","",MAX(0,O129+$I129-AF129-U129))</f>
        <v/>
      </c>
      <c r="AB129" s="67" t="str">
        <f aca="false">IF($A129="","",MAX($I129,MAX(0,$H129)+P129-J129))</f>
        <v/>
      </c>
      <c r="AC129" s="67" t="str">
        <f aca="false">IF($A129="","",MAX($I129,AB129+Q129-K129))</f>
        <v/>
      </c>
      <c r="AD129" s="67" t="str">
        <f aca="false">IF($A129="","",MAX($I129,AC129+R129-L129))</f>
        <v/>
      </c>
      <c r="AE129" s="67" t="str">
        <f aca="false">IF($A129="","",MAX($I129,AD129+S129-M129))</f>
        <v/>
      </c>
      <c r="AF129" s="67" t="str">
        <f aca="false">IF($A129="","",MAX($I129,AE129+T129-N129))</f>
        <v/>
      </c>
      <c r="AG129" s="67" t="str">
        <f aca="false">IF($A129="","",MAX($I129,AF129+U129-O129))</f>
        <v/>
      </c>
      <c r="AH129" s="76" t="str">
        <f aca="false">IF($A129="","",IF($H129&lt;=0,"Already out",IF($E129&lt;=0,"No usage",IF(MAX(0,$H129)+SUM($P129:P129)-SUM($J129:J129)&lt;=0,$B$9,IF(MAX(0,$H129)+SUM($P129:Q129)-SUM($J129:K129)&lt;=0,$C$9,IF(MAX(0,$H129)+SUM($P129:R129)-SUM($J129:L129)&lt;=0,$D$9,IF(MAX(0,$H129)+SUM($P129:S129)-SUM($J129:M129)&lt;=0,$E$9,IF(MAX(0,$H129)+SUM($P129:T129)-SUM($J129:N129)&lt;=0,$F$9,IF(MAX(0,$H129)+SUM($P129:U129)-SUM($J129:O129)&lt;=0,$G$9,"Beyond 6 periods")))))))))</f>
        <v/>
      </c>
      <c r="AI129" s="67" t="str">
        <f aca="false">IF($A129="","",SUM(J129:O129))</f>
        <v/>
      </c>
      <c r="AJ129" s="68" t="str">
        <f aca="false">IF($A129="","",SUM(V129:AA129))</f>
        <v/>
      </c>
    </row>
    <row r="130" customFormat="false" ht="15" hidden="false" customHeight="false" outlineLevel="0" collapsed="false">
      <c r="A130" s="16" t="str">
        <f aca="false">IF('Stock Monitor'!$A98="","",'Stock Monitor'!$A98)</f>
        <v/>
      </c>
      <c r="B130" s="64" t="str">
        <f aca="false">IF($A130="","",'Stock Monitor'!$B98)</f>
        <v/>
      </c>
      <c r="C130" s="16" t="str">
        <f aca="false">IF($A130="","",'Stock Monitor'!$C98)</f>
        <v/>
      </c>
      <c r="D130" s="64" t="str">
        <f aca="false">IF($A130="","",'Stock Monitor'!$D98)</f>
        <v/>
      </c>
      <c r="E130" s="67" t="str">
        <f aca="false">IF($A130="","",'Stock Monitor'!$J98)</f>
        <v/>
      </c>
      <c r="F130" s="67" t="str">
        <f aca="false">IF($A130="","",$E130*WorkDaysWeek)</f>
        <v/>
      </c>
      <c r="G130" s="67" t="str">
        <f aca="false">IF($A130="","",$E130*WorkDaysMonth)</f>
        <v/>
      </c>
      <c r="H130" s="68" t="str">
        <f aca="false">IF($A130="","",'Stock Monitor'!$E98)</f>
        <v/>
      </c>
      <c r="I130" s="67" t="str">
        <f aca="false">IF($A130="","",'Stock Monitor'!$T98)</f>
        <v/>
      </c>
      <c r="J130" s="67" t="str">
        <f aca="false">IF($A130="","",$E130*B$8)</f>
        <v/>
      </c>
      <c r="K130" s="67" t="str">
        <f aca="false">IF($A130="","",$E130*C$8)</f>
        <v/>
      </c>
      <c r="L130" s="67" t="str">
        <f aca="false">IF($A130="","",$E130*D$8)</f>
        <v/>
      </c>
      <c r="M130" s="67" t="str">
        <f aca="false">IF($A130="","",$E130*E$8)</f>
        <v/>
      </c>
      <c r="N130" s="67" t="str">
        <f aca="false">IF($A130="","",$E130*F$8)</f>
        <v/>
      </c>
      <c r="O130" s="67" t="str">
        <f aca="false">IF($A130="","",$E130*G$8)</f>
        <v/>
      </c>
      <c r="P130" s="74" t="str">
        <f aca="false">IF($A130="","",SUMIFS(Del_Qty,Del_Site,$A130,Del_Mat,$B130,Del_Date,"&gt;="&amp;B$6,Del_Date,"&lt;="&amp;B$7))</f>
        <v/>
      </c>
      <c r="Q130" s="74" t="str">
        <f aca="false">IF($A130="","",SUMIFS(Del_Qty,Del_Site,$A130,Del_Mat,$B130,Del_Date,"&gt;="&amp;C$6,Del_Date,"&lt;="&amp;C$7))</f>
        <v/>
      </c>
      <c r="R130" s="74" t="str">
        <f aca="false">IF($A130="","",SUMIFS(Del_Qty,Del_Site,$A130,Del_Mat,$B130,Del_Date,"&gt;="&amp;D$6,Del_Date,"&lt;="&amp;D$7))</f>
        <v/>
      </c>
      <c r="S130" s="74" t="str">
        <f aca="false">IF($A130="","",SUMIFS(Del_Qty,Del_Site,$A130,Del_Mat,$B130,Del_Date,"&gt;="&amp;E$6,Del_Date,"&lt;="&amp;E$7))</f>
        <v/>
      </c>
      <c r="T130" s="74" t="str">
        <f aca="false">IF($A130="","",SUMIFS(Del_Qty,Del_Site,$A130,Del_Mat,$B130,Del_Date,"&gt;="&amp;F$6,Del_Date,"&lt;="&amp;F$7))</f>
        <v/>
      </c>
      <c r="U130" s="74" t="str">
        <f aca="false">IF($A130="","",SUMIFS(Del_Qty,Del_Site,$A130,Del_Mat,$B130,Del_Date,"&gt;="&amp;G$6,Del_Date,"&lt;="&amp;G$7))</f>
        <v/>
      </c>
      <c r="V130" s="81" t="str">
        <f aca="false">IF($A130="","",MAX(0,J130+$I130-MAX(0,$H130)-P130))</f>
        <v/>
      </c>
      <c r="W130" s="81" t="str">
        <f aca="false">IF($A130="","",MAX(0,K130+$I130-AB130-Q130))</f>
        <v/>
      </c>
      <c r="X130" s="81" t="str">
        <f aca="false">IF($A130="","",MAX(0,L130+$I130-AC130-R130))</f>
        <v/>
      </c>
      <c r="Y130" s="81" t="str">
        <f aca="false">IF($A130="","",MAX(0,M130+$I130-AD130-S130))</f>
        <v/>
      </c>
      <c r="Z130" s="81" t="str">
        <f aca="false">IF($A130="","",MAX(0,N130+$I130-AE130-T130))</f>
        <v/>
      </c>
      <c r="AA130" s="81" t="str">
        <f aca="false">IF($A130="","",MAX(0,O130+$I130-AF130-U130))</f>
        <v/>
      </c>
      <c r="AB130" s="67" t="str">
        <f aca="false">IF($A130="","",MAX($I130,MAX(0,$H130)+P130-J130))</f>
        <v/>
      </c>
      <c r="AC130" s="67" t="str">
        <f aca="false">IF($A130="","",MAX($I130,AB130+Q130-K130))</f>
        <v/>
      </c>
      <c r="AD130" s="67" t="str">
        <f aca="false">IF($A130="","",MAX($I130,AC130+R130-L130))</f>
        <v/>
      </c>
      <c r="AE130" s="67" t="str">
        <f aca="false">IF($A130="","",MAX($I130,AD130+S130-M130))</f>
        <v/>
      </c>
      <c r="AF130" s="67" t="str">
        <f aca="false">IF($A130="","",MAX($I130,AE130+T130-N130))</f>
        <v/>
      </c>
      <c r="AG130" s="67" t="str">
        <f aca="false">IF($A130="","",MAX($I130,AF130+U130-O130))</f>
        <v/>
      </c>
      <c r="AH130" s="76" t="str">
        <f aca="false">IF($A130="","",IF($H130&lt;=0,"Already out",IF($E130&lt;=0,"No usage",IF(MAX(0,$H130)+SUM($P130:P130)-SUM($J130:J130)&lt;=0,$B$9,IF(MAX(0,$H130)+SUM($P130:Q130)-SUM($J130:K130)&lt;=0,$C$9,IF(MAX(0,$H130)+SUM($P130:R130)-SUM($J130:L130)&lt;=0,$D$9,IF(MAX(0,$H130)+SUM($P130:S130)-SUM($J130:M130)&lt;=0,$E$9,IF(MAX(0,$H130)+SUM($P130:T130)-SUM($J130:N130)&lt;=0,$F$9,IF(MAX(0,$H130)+SUM($P130:U130)-SUM($J130:O130)&lt;=0,$G$9,"Beyond 6 periods")))))))))</f>
        <v/>
      </c>
      <c r="AI130" s="67" t="str">
        <f aca="false">IF($A130="","",SUM(J130:O130))</f>
        <v/>
      </c>
      <c r="AJ130" s="68" t="str">
        <f aca="false">IF($A130="","",SUM(V130:AA130))</f>
        <v/>
      </c>
    </row>
    <row r="131" customFormat="false" ht="15" hidden="false" customHeight="false" outlineLevel="0" collapsed="false">
      <c r="A131" s="16" t="str">
        <f aca="false">IF('Stock Monitor'!$A99="","",'Stock Monitor'!$A99)</f>
        <v/>
      </c>
      <c r="B131" s="64" t="str">
        <f aca="false">IF($A131="","",'Stock Monitor'!$B99)</f>
        <v/>
      </c>
      <c r="C131" s="16" t="str">
        <f aca="false">IF($A131="","",'Stock Monitor'!$C99)</f>
        <v/>
      </c>
      <c r="D131" s="64" t="str">
        <f aca="false">IF($A131="","",'Stock Monitor'!$D99)</f>
        <v/>
      </c>
      <c r="E131" s="67" t="str">
        <f aca="false">IF($A131="","",'Stock Monitor'!$J99)</f>
        <v/>
      </c>
      <c r="F131" s="67" t="str">
        <f aca="false">IF($A131="","",$E131*WorkDaysWeek)</f>
        <v/>
      </c>
      <c r="G131" s="67" t="str">
        <f aca="false">IF($A131="","",$E131*WorkDaysMonth)</f>
        <v/>
      </c>
      <c r="H131" s="68" t="str">
        <f aca="false">IF($A131="","",'Stock Monitor'!$E99)</f>
        <v/>
      </c>
      <c r="I131" s="67" t="str">
        <f aca="false">IF($A131="","",'Stock Monitor'!$T99)</f>
        <v/>
      </c>
      <c r="J131" s="67" t="str">
        <f aca="false">IF($A131="","",$E131*B$8)</f>
        <v/>
      </c>
      <c r="K131" s="67" t="str">
        <f aca="false">IF($A131="","",$E131*C$8)</f>
        <v/>
      </c>
      <c r="L131" s="67" t="str">
        <f aca="false">IF($A131="","",$E131*D$8)</f>
        <v/>
      </c>
      <c r="M131" s="67" t="str">
        <f aca="false">IF($A131="","",$E131*E$8)</f>
        <v/>
      </c>
      <c r="N131" s="67" t="str">
        <f aca="false">IF($A131="","",$E131*F$8)</f>
        <v/>
      </c>
      <c r="O131" s="67" t="str">
        <f aca="false">IF($A131="","",$E131*G$8)</f>
        <v/>
      </c>
      <c r="P131" s="74" t="str">
        <f aca="false">IF($A131="","",SUMIFS(Del_Qty,Del_Site,$A131,Del_Mat,$B131,Del_Date,"&gt;="&amp;B$6,Del_Date,"&lt;="&amp;B$7))</f>
        <v/>
      </c>
      <c r="Q131" s="74" t="str">
        <f aca="false">IF($A131="","",SUMIFS(Del_Qty,Del_Site,$A131,Del_Mat,$B131,Del_Date,"&gt;="&amp;C$6,Del_Date,"&lt;="&amp;C$7))</f>
        <v/>
      </c>
      <c r="R131" s="74" t="str">
        <f aca="false">IF($A131="","",SUMIFS(Del_Qty,Del_Site,$A131,Del_Mat,$B131,Del_Date,"&gt;="&amp;D$6,Del_Date,"&lt;="&amp;D$7))</f>
        <v/>
      </c>
      <c r="S131" s="74" t="str">
        <f aca="false">IF($A131="","",SUMIFS(Del_Qty,Del_Site,$A131,Del_Mat,$B131,Del_Date,"&gt;="&amp;E$6,Del_Date,"&lt;="&amp;E$7))</f>
        <v/>
      </c>
      <c r="T131" s="74" t="str">
        <f aca="false">IF($A131="","",SUMIFS(Del_Qty,Del_Site,$A131,Del_Mat,$B131,Del_Date,"&gt;="&amp;F$6,Del_Date,"&lt;="&amp;F$7))</f>
        <v/>
      </c>
      <c r="U131" s="74" t="str">
        <f aca="false">IF($A131="","",SUMIFS(Del_Qty,Del_Site,$A131,Del_Mat,$B131,Del_Date,"&gt;="&amp;G$6,Del_Date,"&lt;="&amp;G$7))</f>
        <v/>
      </c>
      <c r="V131" s="81" t="str">
        <f aca="false">IF($A131="","",MAX(0,J131+$I131-MAX(0,$H131)-P131))</f>
        <v/>
      </c>
      <c r="W131" s="81" t="str">
        <f aca="false">IF($A131="","",MAX(0,K131+$I131-AB131-Q131))</f>
        <v/>
      </c>
      <c r="X131" s="81" t="str">
        <f aca="false">IF($A131="","",MAX(0,L131+$I131-AC131-R131))</f>
        <v/>
      </c>
      <c r="Y131" s="81" t="str">
        <f aca="false">IF($A131="","",MAX(0,M131+$I131-AD131-S131))</f>
        <v/>
      </c>
      <c r="Z131" s="81" t="str">
        <f aca="false">IF($A131="","",MAX(0,N131+$I131-AE131-T131))</f>
        <v/>
      </c>
      <c r="AA131" s="81" t="str">
        <f aca="false">IF($A131="","",MAX(0,O131+$I131-AF131-U131))</f>
        <v/>
      </c>
      <c r="AB131" s="67" t="str">
        <f aca="false">IF($A131="","",MAX($I131,MAX(0,$H131)+P131-J131))</f>
        <v/>
      </c>
      <c r="AC131" s="67" t="str">
        <f aca="false">IF($A131="","",MAX($I131,AB131+Q131-K131))</f>
        <v/>
      </c>
      <c r="AD131" s="67" t="str">
        <f aca="false">IF($A131="","",MAX($I131,AC131+R131-L131))</f>
        <v/>
      </c>
      <c r="AE131" s="67" t="str">
        <f aca="false">IF($A131="","",MAX($I131,AD131+S131-M131))</f>
        <v/>
      </c>
      <c r="AF131" s="67" t="str">
        <f aca="false">IF($A131="","",MAX($I131,AE131+T131-N131))</f>
        <v/>
      </c>
      <c r="AG131" s="67" t="str">
        <f aca="false">IF($A131="","",MAX($I131,AF131+U131-O131))</f>
        <v/>
      </c>
      <c r="AH131" s="76" t="str">
        <f aca="false">IF($A131="","",IF($H131&lt;=0,"Already out",IF($E131&lt;=0,"No usage",IF(MAX(0,$H131)+SUM($P131:P131)-SUM($J131:J131)&lt;=0,$B$9,IF(MAX(0,$H131)+SUM($P131:Q131)-SUM($J131:K131)&lt;=0,$C$9,IF(MAX(0,$H131)+SUM($P131:R131)-SUM($J131:L131)&lt;=0,$D$9,IF(MAX(0,$H131)+SUM($P131:S131)-SUM($J131:M131)&lt;=0,$E$9,IF(MAX(0,$H131)+SUM($P131:T131)-SUM($J131:N131)&lt;=0,$F$9,IF(MAX(0,$H131)+SUM($P131:U131)-SUM($J131:O131)&lt;=0,$G$9,"Beyond 6 periods")))))))))</f>
        <v/>
      </c>
      <c r="AI131" s="67" t="str">
        <f aca="false">IF($A131="","",SUM(J131:O131))</f>
        <v/>
      </c>
      <c r="AJ131" s="68" t="str">
        <f aca="false">IF($A131="","",SUM(V131:AA131))</f>
        <v/>
      </c>
    </row>
    <row r="132" customFormat="false" ht="15" hidden="false" customHeight="false" outlineLevel="0" collapsed="false">
      <c r="A132" s="16" t="str">
        <f aca="false">IF('Stock Monitor'!$A100="","",'Stock Monitor'!$A100)</f>
        <v/>
      </c>
      <c r="B132" s="64" t="str">
        <f aca="false">IF($A132="","",'Stock Monitor'!$B100)</f>
        <v/>
      </c>
      <c r="C132" s="16" t="str">
        <f aca="false">IF($A132="","",'Stock Monitor'!$C100)</f>
        <v/>
      </c>
      <c r="D132" s="64" t="str">
        <f aca="false">IF($A132="","",'Stock Monitor'!$D100)</f>
        <v/>
      </c>
      <c r="E132" s="67" t="str">
        <f aca="false">IF($A132="","",'Stock Monitor'!$J100)</f>
        <v/>
      </c>
      <c r="F132" s="67" t="str">
        <f aca="false">IF($A132="","",$E132*WorkDaysWeek)</f>
        <v/>
      </c>
      <c r="G132" s="67" t="str">
        <f aca="false">IF($A132="","",$E132*WorkDaysMonth)</f>
        <v/>
      </c>
      <c r="H132" s="68" t="str">
        <f aca="false">IF($A132="","",'Stock Monitor'!$E100)</f>
        <v/>
      </c>
      <c r="I132" s="67" t="str">
        <f aca="false">IF($A132="","",'Stock Monitor'!$T100)</f>
        <v/>
      </c>
      <c r="J132" s="67" t="str">
        <f aca="false">IF($A132="","",$E132*B$8)</f>
        <v/>
      </c>
      <c r="K132" s="67" t="str">
        <f aca="false">IF($A132="","",$E132*C$8)</f>
        <v/>
      </c>
      <c r="L132" s="67" t="str">
        <f aca="false">IF($A132="","",$E132*D$8)</f>
        <v/>
      </c>
      <c r="M132" s="67" t="str">
        <f aca="false">IF($A132="","",$E132*E$8)</f>
        <v/>
      </c>
      <c r="N132" s="67" t="str">
        <f aca="false">IF($A132="","",$E132*F$8)</f>
        <v/>
      </c>
      <c r="O132" s="67" t="str">
        <f aca="false">IF($A132="","",$E132*G$8)</f>
        <v/>
      </c>
      <c r="P132" s="74" t="str">
        <f aca="false">IF($A132="","",SUMIFS(Del_Qty,Del_Site,$A132,Del_Mat,$B132,Del_Date,"&gt;="&amp;B$6,Del_Date,"&lt;="&amp;B$7))</f>
        <v/>
      </c>
      <c r="Q132" s="74" t="str">
        <f aca="false">IF($A132="","",SUMIFS(Del_Qty,Del_Site,$A132,Del_Mat,$B132,Del_Date,"&gt;="&amp;C$6,Del_Date,"&lt;="&amp;C$7))</f>
        <v/>
      </c>
      <c r="R132" s="74" t="str">
        <f aca="false">IF($A132="","",SUMIFS(Del_Qty,Del_Site,$A132,Del_Mat,$B132,Del_Date,"&gt;="&amp;D$6,Del_Date,"&lt;="&amp;D$7))</f>
        <v/>
      </c>
      <c r="S132" s="74" t="str">
        <f aca="false">IF($A132="","",SUMIFS(Del_Qty,Del_Site,$A132,Del_Mat,$B132,Del_Date,"&gt;="&amp;E$6,Del_Date,"&lt;="&amp;E$7))</f>
        <v/>
      </c>
      <c r="T132" s="74" t="str">
        <f aca="false">IF($A132="","",SUMIFS(Del_Qty,Del_Site,$A132,Del_Mat,$B132,Del_Date,"&gt;="&amp;F$6,Del_Date,"&lt;="&amp;F$7))</f>
        <v/>
      </c>
      <c r="U132" s="74" t="str">
        <f aca="false">IF($A132="","",SUMIFS(Del_Qty,Del_Site,$A132,Del_Mat,$B132,Del_Date,"&gt;="&amp;G$6,Del_Date,"&lt;="&amp;G$7))</f>
        <v/>
      </c>
      <c r="V132" s="81" t="str">
        <f aca="false">IF($A132="","",MAX(0,J132+$I132-MAX(0,$H132)-P132))</f>
        <v/>
      </c>
      <c r="W132" s="81" t="str">
        <f aca="false">IF($A132="","",MAX(0,K132+$I132-AB132-Q132))</f>
        <v/>
      </c>
      <c r="X132" s="81" t="str">
        <f aca="false">IF($A132="","",MAX(0,L132+$I132-AC132-R132))</f>
        <v/>
      </c>
      <c r="Y132" s="81" t="str">
        <f aca="false">IF($A132="","",MAX(0,M132+$I132-AD132-S132))</f>
        <v/>
      </c>
      <c r="Z132" s="81" t="str">
        <f aca="false">IF($A132="","",MAX(0,N132+$I132-AE132-T132))</f>
        <v/>
      </c>
      <c r="AA132" s="81" t="str">
        <f aca="false">IF($A132="","",MAX(0,O132+$I132-AF132-U132))</f>
        <v/>
      </c>
      <c r="AB132" s="67" t="str">
        <f aca="false">IF($A132="","",MAX($I132,MAX(0,$H132)+P132-J132))</f>
        <v/>
      </c>
      <c r="AC132" s="67" t="str">
        <f aca="false">IF($A132="","",MAX($I132,AB132+Q132-K132))</f>
        <v/>
      </c>
      <c r="AD132" s="67" t="str">
        <f aca="false">IF($A132="","",MAX($I132,AC132+R132-L132))</f>
        <v/>
      </c>
      <c r="AE132" s="67" t="str">
        <f aca="false">IF($A132="","",MAX($I132,AD132+S132-M132))</f>
        <v/>
      </c>
      <c r="AF132" s="67" t="str">
        <f aca="false">IF($A132="","",MAX($I132,AE132+T132-N132))</f>
        <v/>
      </c>
      <c r="AG132" s="67" t="str">
        <f aca="false">IF($A132="","",MAX($I132,AF132+U132-O132))</f>
        <v/>
      </c>
      <c r="AH132" s="76" t="str">
        <f aca="false">IF($A132="","",IF($H132&lt;=0,"Already out",IF($E132&lt;=0,"No usage",IF(MAX(0,$H132)+SUM($P132:P132)-SUM($J132:J132)&lt;=0,$B$9,IF(MAX(0,$H132)+SUM($P132:Q132)-SUM($J132:K132)&lt;=0,$C$9,IF(MAX(0,$H132)+SUM($P132:R132)-SUM($J132:L132)&lt;=0,$D$9,IF(MAX(0,$H132)+SUM($P132:S132)-SUM($J132:M132)&lt;=0,$E$9,IF(MAX(0,$H132)+SUM($P132:T132)-SUM($J132:N132)&lt;=0,$F$9,IF(MAX(0,$H132)+SUM($P132:U132)-SUM($J132:O132)&lt;=0,$G$9,"Beyond 6 periods")))))))))</f>
        <v/>
      </c>
      <c r="AI132" s="67" t="str">
        <f aca="false">IF($A132="","",SUM(J132:O132))</f>
        <v/>
      </c>
      <c r="AJ132" s="68" t="str">
        <f aca="false">IF($A132="","",SUM(V132:AA132))</f>
        <v/>
      </c>
    </row>
    <row r="133" customFormat="false" ht="15" hidden="false" customHeight="false" outlineLevel="0" collapsed="false">
      <c r="A133" s="16" t="str">
        <f aca="false">IF('Stock Monitor'!$A101="","",'Stock Monitor'!$A101)</f>
        <v/>
      </c>
      <c r="B133" s="64" t="str">
        <f aca="false">IF($A133="","",'Stock Monitor'!$B101)</f>
        <v/>
      </c>
      <c r="C133" s="16" t="str">
        <f aca="false">IF($A133="","",'Stock Monitor'!$C101)</f>
        <v/>
      </c>
      <c r="D133" s="64" t="str">
        <f aca="false">IF($A133="","",'Stock Monitor'!$D101)</f>
        <v/>
      </c>
      <c r="E133" s="67" t="str">
        <f aca="false">IF($A133="","",'Stock Monitor'!$J101)</f>
        <v/>
      </c>
      <c r="F133" s="67" t="str">
        <f aca="false">IF($A133="","",$E133*WorkDaysWeek)</f>
        <v/>
      </c>
      <c r="G133" s="67" t="str">
        <f aca="false">IF($A133="","",$E133*WorkDaysMonth)</f>
        <v/>
      </c>
      <c r="H133" s="68" t="str">
        <f aca="false">IF($A133="","",'Stock Monitor'!$E101)</f>
        <v/>
      </c>
      <c r="I133" s="67" t="str">
        <f aca="false">IF($A133="","",'Stock Monitor'!$T101)</f>
        <v/>
      </c>
      <c r="J133" s="67" t="str">
        <f aca="false">IF($A133="","",$E133*B$8)</f>
        <v/>
      </c>
      <c r="K133" s="67" t="str">
        <f aca="false">IF($A133="","",$E133*C$8)</f>
        <v/>
      </c>
      <c r="L133" s="67" t="str">
        <f aca="false">IF($A133="","",$E133*D$8)</f>
        <v/>
      </c>
      <c r="M133" s="67" t="str">
        <f aca="false">IF($A133="","",$E133*E$8)</f>
        <v/>
      </c>
      <c r="N133" s="67" t="str">
        <f aca="false">IF($A133="","",$E133*F$8)</f>
        <v/>
      </c>
      <c r="O133" s="67" t="str">
        <f aca="false">IF($A133="","",$E133*G$8)</f>
        <v/>
      </c>
      <c r="P133" s="74" t="str">
        <f aca="false">IF($A133="","",SUMIFS(Del_Qty,Del_Site,$A133,Del_Mat,$B133,Del_Date,"&gt;="&amp;B$6,Del_Date,"&lt;="&amp;B$7))</f>
        <v/>
      </c>
      <c r="Q133" s="74" t="str">
        <f aca="false">IF($A133="","",SUMIFS(Del_Qty,Del_Site,$A133,Del_Mat,$B133,Del_Date,"&gt;="&amp;C$6,Del_Date,"&lt;="&amp;C$7))</f>
        <v/>
      </c>
      <c r="R133" s="74" t="str">
        <f aca="false">IF($A133="","",SUMIFS(Del_Qty,Del_Site,$A133,Del_Mat,$B133,Del_Date,"&gt;="&amp;D$6,Del_Date,"&lt;="&amp;D$7))</f>
        <v/>
      </c>
      <c r="S133" s="74" t="str">
        <f aca="false">IF($A133="","",SUMIFS(Del_Qty,Del_Site,$A133,Del_Mat,$B133,Del_Date,"&gt;="&amp;E$6,Del_Date,"&lt;="&amp;E$7))</f>
        <v/>
      </c>
      <c r="T133" s="74" t="str">
        <f aca="false">IF($A133="","",SUMIFS(Del_Qty,Del_Site,$A133,Del_Mat,$B133,Del_Date,"&gt;="&amp;F$6,Del_Date,"&lt;="&amp;F$7))</f>
        <v/>
      </c>
      <c r="U133" s="74" t="str">
        <f aca="false">IF($A133="","",SUMIFS(Del_Qty,Del_Site,$A133,Del_Mat,$B133,Del_Date,"&gt;="&amp;G$6,Del_Date,"&lt;="&amp;G$7))</f>
        <v/>
      </c>
      <c r="V133" s="81" t="str">
        <f aca="false">IF($A133="","",MAX(0,J133+$I133-MAX(0,$H133)-P133))</f>
        <v/>
      </c>
      <c r="W133" s="81" t="str">
        <f aca="false">IF($A133="","",MAX(0,K133+$I133-AB133-Q133))</f>
        <v/>
      </c>
      <c r="X133" s="81" t="str">
        <f aca="false">IF($A133="","",MAX(0,L133+$I133-AC133-R133))</f>
        <v/>
      </c>
      <c r="Y133" s="81" t="str">
        <f aca="false">IF($A133="","",MAX(0,M133+$I133-AD133-S133))</f>
        <v/>
      </c>
      <c r="Z133" s="81" t="str">
        <f aca="false">IF($A133="","",MAX(0,N133+$I133-AE133-T133))</f>
        <v/>
      </c>
      <c r="AA133" s="81" t="str">
        <f aca="false">IF($A133="","",MAX(0,O133+$I133-AF133-U133))</f>
        <v/>
      </c>
      <c r="AB133" s="67" t="str">
        <f aca="false">IF($A133="","",MAX($I133,MAX(0,$H133)+P133-J133))</f>
        <v/>
      </c>
      <c r="AC133" s="67" t="str">
        <f aca="false">IF($A133="","",MAX($I133,AB133+Q133-K133))</f>
        <v/>
      </c>
      <c r="AD133" s="67" t="str">
        <f aca="false">IF($A133="","",MAX($I133,AC133+R133-L133))</f>
        <v/>
      </c>
      <c r="AE133" s="67" t="str">
        <f aca="false">IF($A133="","",MAX($I133,AD133+S133-M133))</f>
        <v/>
      </c>
      <c r="AF133" s="67" t="str">
        <f aca="false">IF($A133="","",MAX($I133,AE133+T133-N133))</f>
        <v/>
      </c>
      <c r="AG133" s="67" t="str">
        <f aca="false">IF($A133="","",MAX($I133,AF133+U133-O133))</f>
        <v/>
      </c>
      <c r="AH133" s="76" t="str">
        <f aca="false">IF($A133="","",IF($H133&lt;=0,"Already out",IF($E133&lt;=0,"No usage",IF(MAX(0,$H133)+SUM($P133:P133)-SUM($J133:J133)&lt;=0,$B$9,IF(MAX(0,$H133)+SUM($P133:Q133)-SUM($J133:K133)&lt;=0,$C$9,IF(MAX(0,$H133)+SUM($P133:R133)-SUM($J133:L133)&lt;=0,$D$9,IF(MAX(0,$H133)+SUM($P133:S133)-SUM($J133:M133)&lt;=0,$E$9,IF(MAX(0,$H133)+SUM($P133:T133)-SUM($J133:N133)&lt;=0,$F$9,IF(MAX(0,$H133)+SUM($P133:U133)-SUM($J133:O133)&lt;=0,$G$9,"Beyond 6 periods")))))))))</f>
        <v/>
      </c>
      <c r="AI133" s="67" t="str">
        <f aca="false">IF($A133="","",SUM(J133:O133))</f>
        <v/>
      </c>
      <c r="AJ133" s="68" t="str">
        <f aca="false">IF($A133="","",SUM(V133:AA133))</f>
        <v/>
      </c>
    </row>
    <row r="134" customFormat="false" ht="15" hidden="false" customHeight="false" outlineLevel="0" collapsed="false">
      <c r="A134" s="16" t="str">
        <f aca="false">IF('Stock Monitor'!$A102="","",'Stock Monitor'!$A102)</f>
        <v/>
      </c>
      <c r="B134" s="64" t="str">
        <f aca="false">IF($A134="","",'Stock Monitor'!$B102)</f>
        <v/>
      </c>
      <c r="C134" s="16" t="str">
        <f aca="false">IF($A134="","",'Stock Monitor'!$C102)</f>
        <v/>
      </c>
      <c r="D134" s="64" t="str">
        <f aca="false">IF($A134="","",'Stock Monitor'!$D102)</f>
        <v/>
      </c>
      <c r="E134" s="67" t="str">
        <f aca="false">IF($A134="","",'Stock Monitor'!$J102)</f>
        <v/>
      </c>
      <c r="F134" s="67" t="str">
        <f aca="false">IF($A134="","",$E134*WorkDaysWeek)</f>
        <v/>
      </c>
      <c r="G134" s="67" t="str">
        <f aca="false">IF($A134="","",$E134*WorkDaysMonth)</f>
        <v/>
      </c>
      <c r="H134" s="68" t="str">
        <f aca="false">IF($A134="","",'Stock Monitor'!$E102)</f>
        <v/>
      </c>
      <c r="I134" s="67" t="str">
        <f aca="false">IF($A134="","",'Stock Monitor'!$T102)</f>
        <v/>
      </c>
      <c r="J134" s="67" t="str">
        <f aca="false">IF($A134="","",$E134*B$8)</f>
        <v/>
      </c>
      <c r="K134" s="67" t="str">
        <f aca="false">IF($A134="","",$E134*C$8)</f>
        <v/>
      </c>
      <c r="L134" s="67" t="str">
        <f aca="false">IF($A134="","",$E134*D$8)</f>
        <v/>
      </c>
      <c r="M134" s="67" t="str">
        <f aca="false">IF($A134="","",$E134*E$8)</f>
        <v/>
      </c>
      <c r="N134" s="67" t="str">
        <f aca="false">IF($A134="","",$E134*F$8)</f>
        <v/>
      </c>
      <c r="O134" s="67" t="str">
        <f aca="false">IF($A134="","",$E134*G$8)</f>
        <v/>
      </c>
      <c r="P134" s="74" t="str">
        <f aca="false">IF($A134="","",SUMIFS(Del_Qty,Del_Site,$A134,Del_Mat,$B134,Del_Date,"&gt;="&amp;B$6,Del_Date,"&lt;="&amp;B$7))</f>
        <v/>
      </c>
      <c r="Q134" s="74" t="str">
        <f aca="false">IF($A134="","",SUMIFS(Del_Qty,Del_Site,$A134,Del_Mat,$B134,Del_Date,"&gt;="&amp;C$6,Del_Date,"&lt;="&amp;C$7))</f>
        <v/>
      </c>
      <c r="R134" s="74" t="str">
        <f aca="false">IF($A134="","",SUMIFS(Del_Qty,Del_Site,$A134,Del_Mat,$B134,Del_Date,"&gt;="&amp;D$6,Del_Date,"&lt;="&amp;D$7))</f>
        <v/>
      </c>
      <c r="S134" s="74" t="str">
        <f aca="false">IF($A134="","",SUMIFS(Del_Qty,Del_Site,$A134,Del_Mat,$B134,Del_Date,"&gt;="&amp;E$6,Del_Date,"&lt;="&amp;E$7))</f>
        <v/>
      </c>
      <c r="T134" s="74" t="str">
        <f aca="false">IF($A134="","",SUMIFS(Del_Qty,Del_Site,$A134,Del_Mat,$B134,Del_Date,"&gt;="&amp;F$6,Del_Date,"&lt;="&amp;F$7))</f>
        <v/>
      </c>
      <c r="U134" s="74" t="str">
        <f aca="false">IF($A134="","",SUMIFS(Del_Qty,Del_Site,$A134,Del_Mat,$B134,Del_Date,"&gt;="&amp;G$6,Del_Date,"&lt;="&amp;G$7))</f>
        <v/>
      </c>
      <c r="V134" s="81" t="str">
        <f aca="false">IF($A134="","",MAX(0,J134+$I134-MAX(0,$H134)-P134))</f>
        <v/>
      </c>
      <c r="W134" s="81" t="str">
        <f aca="false">IF($A134="","",MAX(0,K134+$I134-AB134-Q134))</f>
        <v/>
      </c>
      <c r="X134" s="81" t="str">
        <f aca="false">IF($A134="","",MAX(0,L134+$I134-AC134-R134))</f>
        <v/>
      </c>
      <c r="Y134" s="81" t="str">
        <f aca="false">IF($A134="","",MAX(0,M134+$I134-AD134-S134))</f>
        <v/>
      </c>
      <c r="Z134" s="81" t="str">
        <f aca="false">IF($A134="","",MAX(0,N134+$I134-AE134-T134))</f>
        <v/>
      </c>
      <c r="AA134" s="81" t="str">
        <f aca="false">IF($A134="","",MAX(0,O134+$I134-AF134-U134))</f>
        <v/>
      </c>
      <c r="AB134" s="67" t="str">
        <f aca="false">IF($A134="","",MAX($I134,MAX(0,$H134)+P134-J134))</f>
        <v/>
      </c>
      <c r="AC134" s="67" t="str">
        <f aca="false">IF($A134="","",MAX($I134,AB134+Q134-K134))</f>
        <v/>
      </c>
      <c r="AD134" s="67" t="str">
        <f aca="false">IF($A134="","",MAX($I134,AC134+R134-L134))</f>
        <v/>
      </c>
      <c r="AE134" s="67" t="str">
        <f aca="false">IF($A134="","",MAX($I134,AD134+S134-M134))</f>
        <v/>
      </c>
      <c r="AF134" s="67" t="str">
        <f aca="false">IF($A134="","",MAX($I134,AE134+T134-N134))</f>
        <v/>
      </c>
      <c r="AG134" s="67" t="str">
        <f aca="false">IF($A134="","",MAX($I134,AF134+U134-O134))</f>
        <v/>
      </c>
      <c r="AH134" s="76" t="str">
        <f aca="false">IF($A134="","",IF($H134&lt;=0,"Already out",IF($E134&lt;=0,"No usage",IF(MAX(0,$H134)+SUM($P134:P134)-SUM($J134:J134)&lt;=0,$B$9,IF(MAX(0,$H134)+SUM($P134:Q134)-SUM($J134:K134)&lt;=0,$C$9,IF(MAX(0,$H134)+SUM($P134:R134)-SUM($J134:L134)&lt;=0,$D$9,IF(MAX(0,$H134)+SUM($P134:S134)-SUM($J134:M134)&lt;=0,$E$9,IF(MAX(0,$H134)+SUM($P134:T134)-SUM($J134:N134)&lt;=0,$F$9,IF(MAX(0,$H134)+SUM($P134:U134)-SUM($J134:O134)&lt;=0,$G$9,"Beyond 6 periods")))))))))</f>
        <v/>
      </c>
      <c r="AI134" s="67" t="str">
        <f aca="false">IF($A134="","",SUM(J134:O134))</f>
        <v/>
      </c>
      <c r="AJ134" s="68" t="str">
        <f aca="false">IF($A134="","",SUM(V134:AA134))</f>
        <v/>
      </c>
    </row>
    <row r="135" customFormat="false" ht="15" hidden="false" customHeight="false" outlineLevel="0" collapsed="false">
      <c r="A135" s="16" t="str">
        <f aca="false">IF('Stock Monitor'!$A103="","",'Stock Monitor'!$A103)</f>
        <v/>
      </c>
      <c r="B135" s="64" t="str">
        <f aca="false">IF($A135="","",'Stock Monitor'!$B103)</f>
        <v/>
      </c>
      <c r="C135" s="16" t="str">
        <f aca="false">IF($A135="","",'Stock Monitor'!$C103)</f>
        <v/>
      </c>
      <c r="D135" s="64" t="str">
        <f aca="false">IF($A135="","",'Stock Monitor'!$D103)</f>
        <v/>
      </c>
      <c r="E135" s="67" t="str">
        <f aca="false">IF($A135="","",'Stock Monitor'!$J103)</f>
        <v/>
      </c>
      <c r="F135" s="67" t="str">
        <f aca="false">IF($A135="","",$E135*WorkDaysWeek)</f>
        <v/>
      </c>
      <c r="G135" s="67" t="str">
        <f aca="false">IF($A135="","",$E135*WorkDaysMonth)</f>
        <v/>
      </c>
      <c r="H135" s="68" t="str">
        <f aca="false">IF($A135="","",'Stock Monitor'!$E103)</f>
        <v/>
      </c>
      <c r="I135" s="67" t="str">
        <f aca="false">IF($A135="","",'Stock Monitor'!$T103)</f>
        <v/>
      </c>
      <c r="J135" s="67" t="str">
        <f aca="false">IF($A135="","",$E135*B$8)</f>
        <v/>
      </c>
      <c r="K135" s="67" t="str">
        <f aca="false">IF($A135="","",$E135*C$8)</f>
        <v/>
      </c>
      <c r="L135" s="67" t="str">
        <f aca="false">IF($A135="","",$E135*D$8)</f>
        <v/>
      </c>
      <c r="M135" s="67" t="str">
        <f aca="false">IF($A135="","",$E135*E$8)</f>
        <v/>
      </c>
      <c r="N135" s="67" t="str">
        <f aca="false">IF($A135="","",$E135*F$8)</f>
        <v/>
      </c>
      <c r="O135" s="67" t="str">
        <f aca="false">IF($A135="","",$E135*G$8)</f>
        <v/>
      </c>
      <c r="P135" s="74" t="str">
        <f aca="false">IF($A135="","",SUMIFS(Del_Qty,Del_Site,$A135,Del_Mat,$B135,Del_Date,"&gt;="&amp;B$6,Del_Date,"&lt;="&amp;B$7))</f>
        <v/>
      </c>
      <c r="Q135" s="74" t="str">
        <f aca="false">IF($A135="","",SUMIFS(Del_Qty,Del_Site,$A135,Del_Mat,$B135,Del_Date,"&gt;="&amp;C$6,Del_Date,"&lt;="&amp;C$7))</f>
        <v/>
      </c>
      <c r="R135" s="74" t="str">
        <f aca="false">IF($A135="","",SUMIFS(Del_Qty,Del_Site,$A135,Del_Mat,$B135,Del_Date,"&gt;="&amp;D$6,Del_Date,"&lt;="&amp;D$7))</f>
        <v/>
      </c>
      <c r="S135" s="74" t="str">
        <f aca="false">IF($A135="","",SUMIFS(Del_Qty,Del_Site,$A135,Del_Mat,$B135,Del_Date,"&gt;="&amp;E$6,Del_Date,"&lt;="&amp;E$7))</f>
        <v/>
      </c>
      <c r="T135" s="74" t="str">
        <f aca="false">IF($A135="","",SUMIFS(Del_Qty,Del_Site,$A135,Del_Mat,$B135,Del_Date,"&gt;="&amp;F$6,Del_Date,"&lt;="&amp;F$7))</f>
        <v/>
      </c>
      <c r="U135" s="74" t="str">
        <f aca="false">IF($A135="","",SUMIFS(Del_Qty,Del_Site,$A135,Del_Mat,$B135,Del_Date,"&gt;="&amp;G$6,Del_Date,"&lt;="&amp;G$7))</f>
        <v/>
      </c>
      <c r="V135" s="81" t="str">
        <f aca="false">IF($A135="","",MAX(0,J135+$I135-MAX(0,$H135)-P135))</f>
        <v/>
      </c>
      <c r="W135" s="81" t="str">
        <f aca="false">IF($A135="","",MAX(0,K135+$I135-AB135-Q135))</f>
        <v/>
      </c>
      <c r="X135" s="81" t="str">
        <f aca="false">IF($A135="","",MAX(0,L135+$I135-AC135-R135))</f>
        <v/>
      </c>
      <c r="Y135" s="81" t="str">
        <f aca="false">IF($A135="","",MAX(0,M135+$I135-AD135-S135))</f>
        <v/>
      </c>
      <c r="Z135" s="81" t="str">
        <f aca="false">IF($A135="","",MAX(0,N135+$I135-AE135-T135))</f>
        <v/>
      </c>
      <c r="AA135" s="81" t="str">
        <f aca="false">IF($A135="","",MAX(0,O135+$I135-AF135-U135))</f>
        <v/>
      </c>
      <c r="AB135" s="67" t="str">
        <f aca="false">IF($A135="","",MAX($I135,MAX(0,$H135)+P135-J135))</f>
        <v/>
      </c>
      <c r="AC135" s="67" t="str">
        <f aca="false">IF($A135="","",MAX($I135,AB135+Q135-K135))</f>
        <v/>
      </c>
      <c r="AD135" s="67" t="str">
        <f aca="false">IF($A135="","",MAX($I135,AC135+R135-L135))</f>
        <v/>
      </c>
      <c r="AE135" s="67" t="str">
        <f aca="false">IF($A135="","",MAX($I135,AD135+S135-M135))</f>
        <v/>
      </c>
      <c r="AF135" s="67" t="str">
        <f aca="false">IF($A135="","",MAX($I135,AE135+T135-N135))</f>
        <v/>
      </c>
      <c r="AG135" s="67" t="str">
        <f aca="false">IF($A135="","",MAX($I135,AF135+U135-O135))</f>
        <v/>
      </c>
      <c r="AH135" s="76" t="str">
        <f aca="false">IF($A135="","",IF($H135&lt;=0,"Already out",IF($E135&lt;=0,"No usage",IF(MAX(0,$H135)+SUM($P135:P135)-SUM($J135:J135)&lt;=0,$B$9,IF(MAX(0,$H135)+SUM($P135:Q135)-SUM($J135:K135)&lt;=0,$C$9,IF(MAX(0,$H135)+SUM($P135:R135)-SUM($J135:L135)&lt;=0,$D$9,IF(MAX(0,$H135)+SUM($P135:S135)-SUM($J135:M135)&lt;=0,$E$9,IF(MAX(0,$H135)+SUM($P135:T135)-SUM($J135:N135)&lt;=0,$F$9,IF(MAX(0,$H135)+SUM($P135:U135)-SUM($J135:O135)&lt;=0,$G$9,"Beyond 6 periods")))))))))</f>
        <v/>
      </c>
      <c r="AI135" s="67" t="str">
        <f aca="false">IF($A135="","",SUM(J135:O135))</f>
        <v/>
      </c>
      <c r="AJ135" s="68" t="str">
        <f aca="false">IF($A135="","",SUM(V135:AA135))</f>
        <v/>
      </c>
    </row>
    <row r="136" customFormat="false" ht="15" hidden="false" customHeight="false" outlineLevel="0" collapsed="false">
      <c r="A136" s="16" t="str">
        <f aca="false">IF('Stock Monitor'!$A104="","",'Stock Monitor'!$A104)</f>
        <v/>
      </c>
      <c r="B136" s="64" t="str">
        <f aca="false">IF($A136="","",'Stock Monitor'!$B104)</f>
        <v/>
      </c>
      <c r="C136" s="16" t="str">
        <f aca="false">IF($A136="","",'Stock Monitor'!$C104)</f>
        <v/>
      </c>
      <c r="D136" s="64" t="str">
        <f aca="false">IF($A136="","",'Stock Monitor'!$D104)</f>
        <v/>
      </c>
      <c r="E136" s="67" t="str">
        <f aca="false">IF($A136="","",'Stock Monitor'!$J104)</f>
        <v/>
      </c>
      <c r="F136" s="67" t="str">
        <f aca="false">IF($A136="","",$E136*WorkDaysWeek)</f>
        <v/>
      </c>
      <c r="G136" s="67" t="str">
        <f aca="false">IF($A136="","",$E136*WorkDaysMonth)</f>
        <v/>
      </c>
      <c r="H136" s="68" t="str">
        <f aca="false">IF($A136="","",'Stock Monitor'!$E104)</f>
        <v/>
      </c>
      <c r="I136" s="67" t="str">
        <f aca="false">IF($A136="","",'Stock Monitor'!$T104)</f>
        <v/>
      </c>
      <c r="J136" s="67" t="str">
        <f aca="false">IF($A136="","",$E136*B$8)</f>
        <v/>
      </c>
      <c r="K136" s="67" t="str">
        <f aca="false">IF($A136="","",$E136*C$8)</f>
        <v/>
      </c>
      <c r="L136" s="67" t="str">
        <f aca="false">IF($A136="","",$E136*D$8)</f>
        <v/>
      </c>
      <c r="M136" s="67" t="str">
        <f aca="false">IF($A136="","",$E136*E$8)</f>
        <v/>
      </c>
      <c r="N136" s="67" t="str">
        <f aca="false">IF($A136="","",$E136*F$8)</f>
        <v/>
      </c>
      <c r="O136" s="67" t="str">
        <f aca="false">IF($A136="","",$E136*G$8)</f>
        <v/>
      </c>
      <c r="P136" s="74" t="str">
        <f aca="false">IF($A136="","",SUMIFS(Del_Qty,Del_Site,$A136,Del_Mat,$B136,Del_Date,"&gt;="&amp;B$6,Del_Date,"&lt;="&amp;B$7))</f>
        <v/>
      </c>
      <c r="Q136" s="74" t="str">
        <f aca="false">IF($A136="","",SUMIFS(Del_Qty,Del_Site,$A136,Del_Mat,$B136,Del_Date,"&gt;="&amp;C$6,Del_Date,"&lt;="&amp;C$7))</f>
        <v/>
      </c>
      <c r="R136" s="74" t="str">
        <f aca="false">IF($A136="","",SUMIFS(Del_Qty,Del_Site,$A136,Del_Mat,$B136,Del_Date,"&gt;="&amp;D$6,Del_Date,"&lt;="&amp;D$7))</f>
        <v/>
      </c>
      <c r="S136" s="74" t="str">
        <f aca="false">IF($A136="","",SUMIFS(Del_Qty,Del_Site,$A136,Del_Mat,$B136,Del_Date,"&gt;="&amp;E$6,Del_Date,"&lt;="&amp;E$7))</f>
        <v/>
      </c>
      <c r="T136" s="74" t="str">
        <f aca="false">IF($A136="","",SUMIFS(Del_Qty,Del_Site,$A136,Del_Mat,$B136,Del_Date,"&gt;="&amp;F$6,Del_Date,"&lt;="&amp;F$7))</f>
        <v/>
      </c>
      <c r="U136" s="74" t="str">
        <f aca="false">IF($A136="","",SUMIFS(Del_Qty,Del_Site,$A136,Del_Mat,$B136,Del_Date,"&gt;="&amp;G$6,Del_Date,"&lt;="&amp;G$7))</f>
        <v/>
      </c>
      <c r="V136" s="81" t="str">
        <f aca="false">IF($A136="","",MAX(0,J136+$I136-MAX(0,$H136)-P136))</f>
        <v/>
      </c>
      <c r="W136" s="81" t="str">
        <f aca="false">IF($A136="","",MAX(0,K136+$I136-AB136-Q136))</f>
        <v/>
      </c>
      <c r="X136" s="81" t="str">
        <f aca="false">IF($A136="","",MAX(0,L136+$I136-AC136-R136))</f>
        <v/>
      </c>
      <c r="Y136" s="81" t="str">
        <f aca="false">IF($A136="","",MAX(0,M136+$I136-AD136-S136))</f>
        <v/>
      </c>
      <c r="Z136" s="81" t="str">
        <f aca="false">IF($A136="","",MAX(0,N136+$I136-AE136-T136))</f>
        <v/>
      </c>
      <c r="AA136" s="81" t="str">
        <f aca="false">IF($A136="","",MAX(0,O136+$I136-AF136-U136))</f>
        <v/>
      </c>
      <c r="AB136" s="67" t="str">
        <f aca="false">IF($A136="","",MAX($I136,MAX(0,$H136)+P136-J136))</f>
        <v/>
      </c>
      <c r="AC136" s="67" t="str">
        <f aca="false">IF($A136="","",MAX($I136,AB136+Q136-K136))</f>
        <v/>
      </c>
      <c r="AD136" s="67" t="str">
        <f aca="false">IF($A136="","",MAX($I136,AC136+R136-L136))</f>
        <v/>
      </c>
      <c r="AE136" s="67" t="str">
        <f aca="false">IF($A136="","",MAX($I136,AD136+S136-M136))</f>
        <v/>
      </c>
      <c r="AF136" s="67" t="str">
        <f aca="false">IF($A136="","",MAX($I136,AE136+T136-N136))</f>
        <v/>
      </c>
      <c r="AG136" s="67" t="str">
        <f aca="false">IF($A136="","",MAX($I136,AF136+U136-O136))</f>
        <v/>
      </c>
      <c r="AH136" s="76" t="str">
        <f aca="false">IF($A136="","",IF($H136&lt;=0,"Already out",IF($E136&lt;=0,"No usage",IF(MAX(0,$H136)+SUM($P136:P136)-SUM($J136:J136)&lt;=0,$B$9,IF(MAX(0,$H136)+SUM($P136:Q136)-SUM($J136:K136)&lt;=0,$C$9,IF(MAX(0,$H136)+SUM($P136:R136)-SUM($J136:L136)&lt;=0,$D$9,IF(MAX(0,$H136)+SUM($P136:S136)-SUM($J136:M136)&lt;=0,$E$9,IF(MAX(0,$H136)+SUM($P136:T136)-SUM($J136:N136)&lt;=0,$F$9,IF(MAX(0,$H136)+SUM($P136:U136)-SUM($J136:O136)&lt;=0,$G$9,"Beyond 6 periods")))))))))</f>
        <v/>
      </c>
      <c r="AI136" s="67" t="str">
        <f aca="false">IF($A136="","",SUM(J136:O136))</f>
        <v/>
      </c>
      <c r="AJ136" s="68" t="str">
        <f aca="false">IF($A136="","",SUM(V136:AA136))</f>
        <v/>
      </c>
    </row>
    <row r="137" customFormat="false" ht="15" hidden="false" customHeight="false" outlineLevel="0" collapsed="false">
      <c r="A137" s="16" t="str">
        <f aca="false">IF('Stock Monitor'!$A105="","",'Stock Monitor'!$A105)</f>
        <v/>
      </c>
      <c r="B137" s="64" t="str">
        <f aca="false">IF($A137="","",'Stock Monitor'!$B105)</f>
        <v/>
      </c>
      <c r="C137" s="16" t="str">
        <f aca="false">IF($A137="","",'Stock Monitor'!$C105)</f>
        <v/>
      </c>
      <c r="D137" s="64" t="str">
        <f aca="false">IF($A137="","",'Stock Monitor'!$D105)</f>
        <v/>
      </c>
      <c r="E137" s="67" t="str">
        <f aca="false">IF($A137="","",'Stock Monitor'!$J105)</f>
        <v/>
      </c>
      <c r="F137" s="67" t="str">
        <f aca="false">IF($A137="","",$E137*WorkDaysWeek)</f>
        <v/>
      </c>
      <c r="G137" s="67" t="str">
        <f aca="false">IF($A137="","",$E137*WorkDaysMonth)</f>
        <v/>
      </c>
      <c r="H137" s="68" t="str">
        <f aca="false">IF($A137="","",'Stock Monitor'!$E105)</f>
        <v/>
      </c>
      <c r="I137" s="67" t="str">
        <f aca="false">IF($A137="","",'Stock Monitor'!$T105)</f>
        <v/>
      </c>
      <c r="J137" s="67" t="str">
        <f aca="false">IF($A137="","",$E137*B$8)</f>
        <v/>
      </c>
      <c r="K137" s="67" t="str">
        <f aca="false">IF($A137="","",$E137*C$8)</f>
        <v/>
      </c>
      <c r="L137" s="67" t="str">
        <f aca="false">IF($A137="","",$E137*D$8)</f>
        <v/>
      </c>
      <c r="M137" s="67" t="str">
        <f aca="false">IF($A137="","",$E137*E$8)</f>
        <v/>
      </c>
      <c r="N137" s="67" t="str">
        <f aca="false">IF($A137="","",$E137*F$8)</f>
        <v/>
      </c>
      <c r="O137" s="67" t="str">
        <f aca="false">IF($A137="","",$E137*G$8)</f>
        <v/>
      </c>
      <c r="P137" s="74" t="str">
        <f aca="false">IF($A137="","",SUMIFS(Del_Qty,Del_Site,$A137,Del_Mat,$B137,Del_Date,"&gt;="&amp;B$6,Del_Date,"&lt;="&amp;B$7))</f>
        <v/>
      </c>
      <c r="Q137" s="74" t="str">
        <f aca="false">IF($A137="","",SUMIFS(Del_Qty,Del_Site,$A137,Del_Mat,$B137,Del_Date,"&gt;="&amp;C$6,Del_Date,"&lt;="&amp;C$7))</f>
        <v/>
      </c>
      <c r="R137" s="74" t="str">
        <f aca="false">IF($A137="","",SUMIFS(Del_Qty,Del_Site,$A137,Del_Mat,$B137,Del_Date,"&gt;="&amp;D$6,Del_Date,"&lt;="&amp;D$7))</f>
        <v/>
      </c>
      <c r="S137" s="74" t="str">
        <f aca="false">IF($A137="","",SUMIFS(Del_Qty,Del_Site,$A137,Del_Mat,$B137,Del_Date,"&gt;="&amp;E$6,Del_Date,"&lt;="&amp;E$7))</f>
        <v/>
      </c>
      <c r="T137" s="74" t="str">
        <f aca="false">IF($A137="","",SUMIFS(Del_Qty,Del_Site,$A137,Del_Mat,$B137,Del_Date,"&gt;="&amp;F$6,Del_Date,"&lt;="&amp;F$7))</f>
        <v/>
      </c>
      <c r="U137" s="74" t="str">
        <f aca="false">IF($A137="","",SUMIFS(Del_Qty,Del_Site,$A137,Del_Mat,$B137,Del_Date,"&gt;="&amp;G$6,Del_Date,"&lt;="&amp;G$7))</f>
        <v/>
      </c>
      <c r="V137" s="81" t="str">
        <f aca="false">IF($A137="","",MAX(0,J137+$I137-MAX(0,$H137)-P137))</f>
        <v/>
      </c>
      <c r="W137" s="81" t="str">
        <f aca="false">IF($A137="","",MAX(0,K137+$I137-AB137-Q137))</f>
        <v/>
      </c>
      <c r="X137" s="81" t="str">
        <f aca="false">IF($A137="","",MAX(0,L137+$I137-AC137-R137))</f>
        <v/>
      </c>
      <c r="Y137" s="81" t="str">
        <f aca="false">IF($A137="","",MAX(0,M137+$I137-AD137-S137))</f>
        <v/>
      </c>
      <c r="Z137" s="81" t="str">
        <f aca="false">IF($A137="","",MAX(0,N137+$I137-AE137-T137))</f>
        <v/>
      </c>
      <c r="AA137" s="81" t="str">
        <f aca="false">IF($A137="","",MAX(0,O137+$I137-AF137-U137))</f>
        <v/>
      </c>
      <c r="AB137" s="67" t="str">
        <f aca="false">IF($A137="","",MAX($I137,MAX(0,$H137)+P137-J137))</f>
        <v/>
      </c>
      <c r="AC137" s="67" t="str">
        <f aca="false">IF($A137="","",MAX($I137,AB137+Q137-K137))</f>
        <v/>
      </c>
      <c r="AD137" s="67" t="str">
        <f aca="false">IF($A137="","",MAX($I137,AC137+R137-L137))</f>
        <v/>
      </c>
      <c r="AE137" s="67" t="str">
        <f aca="false">IF($A137="","",MAX($I137,AD137+S137-M137))</f>
        <v/>
      </c>
      <c r="AF137" s="67" t="str">
        <f aca="false">IF($A137="","",MAX($I137,AE137+T137-N137))</f>
        <v/>
      </c>
      <c r="AG137" s="67" t="str">
        <f aca="false">IF($A137="","",MAX($I137,AF137+U137-O137))</f>
        <v/>
      </c>
      <c r="AH137" s="76" t="str">
        <f aca="false">IF($A137="","",IF($H137&lt;=0,"Already out",IF($E137&lt;=0,"No usage",IF(MAX(0,$H137)+SUM($P137:P137)-SUM($J137:J137)&lt;=0,$B$9,IF(MAX(0,$H137)+SUM($P137:Q137)-SUM($J137:K137)&lt;=0,$C$9,IF(MAX(0,$H137)+SUM($P137:R137)-SUM($J137:L137)&lt;=0,$D$9,IF(MAX(0,$H137)+SUM($P137:S137)-SUM($J137:M137)&lt;=0,$E$9,IF(MAX(0,$H137)+SUM($P137:T137)-SUM($J137:N137)&lt;=0,$F$9,IF(MAX(0,$H137)+SUM($P137:U137)-SUM($J137:O137)&lt;=0,$G$9,"Beyond 6 periods")))))))))</f>
        <v/>
      </c>
      <c r="AI137" s="67" t="str">
        <f aca="false">IF($A137="","",SUM(J137:O137))</f>
        <v/>
      </c>
      <c r="AJ137" s="68" t="str">
        <f aca="false">IF($A137="","",SUM(V137:AA137))</f>
        <v/>
      </c>
    </row>
  </sheetData>
  <mergeCells count="10">
    <mergeCell ref="A4:G4"/>
    <mergeCell ref="A11:K11"/>
    <mergeCell ref="A35:AJ35"/>
    <mergeCell ref="A36:D36"/>
    <mergeCell ref="E36:I36"/>
    <mergeCell ref="J36:O36"/>
    <mergeCell ref="P36:U36"/>
    <mergeCell ref="V36:AA36"/>
    <mergeCell ref="AB36:AG36"/>
    <mergeCell ref="AH36:AJ36"/>
  </mergeCells>
  <conditionalFormatting sqref="V38:AA137">
    <cfRule type="cellIs" priority="2" operator="greaterThan" aboveAverage="0" equalAverage="0" bottom="0" percent="0" rank="0" text="" dxfId="2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3"/>
    <col collapsed="false" customWidth="true" hidden="false" outlineLevel="0" max="9" min="9" style="0" width="11"/>
    <col collapsed="false" customWidth="true" hidden="false" outlineLevel="0" max="10" min="10" style="0" width="50"/>
    <col collapsed="false" customWidth="true" hidden="false" outlineLevel="0" max="15" min="11" style="0" width="13"/>
  </cols>
  <sheetData>
    <row r="1" customFormat="false" ht="21.75" hidden="false" customHeight="true" outlineLevel="0" collapsed="false">
      <c r="A1" s="59" t="s">
        <v>222</v>
      </c>
    </row>
    <row r="2" customFormat="false" ht="15" hidden="false" customHeight="false" outlineLevel="0" collapsed="false">
      <c r="A2" s="8" t="s">
        <v>223</v>
      </c>
    </row>
    <row r="3" customFormat="false" ht="18" hidden="false" customHeight="true" outlineLevel="0" collapsed="false">
      <c r="D3" s="35" t="s">
        <v>224</v>
      </c>
      <c r="E3" s="35"/>
      <c r="F3" s="35"/>
      <c r="G3" s="35"/>
      <c r="H3" s="35"/>
      <c r="I3" s="35"/>
      <c r="K3" s="35" t="s">
        <v>225</v>
      </c>
      <c r="L3" s="35"/>
      <c r="M3" s="35"/>
      <c r="N3" s="35"/>
      <c r="O3" s="35"/>
    </row>
    <row r="4" customFormat="false" ht="39.75" hidden="false" customHeight="true" outlineLevel="0" collapsed="false">
      <c r="A4" s="22" t="s">
        <v>137</v>
      </c>
      <c r="B4" s="22" t="s">
        <v>226</v>
      </c>
      <c r="C4" s="22" t="s">
        <v>227</v>
      </c>
      <c r="D4" s="22" t="str">
        <f aca="false">Settings!$C$11&amp;CHAR(10)&amp;"("&amp;Settings!$E$11&amp;" per m3)"</f>
        <v>Cement
(bags per m3)</v>
      </c>
      <c r="E4" s="22" t="str">
        <f aca="false">Settings!$C$12&amp;CHAR(10)&amp;"("&amp;Settings!$E$12&amp;" per m3)"</f>
        <v>Sand
(m3 per m3)</v>
      </c>
      <c r="F4" s="22" t="str">
        <f aca="false">Settings!$C$13&amp;CHAR(10)&amp;"("&amp;Settings!$E$13&amp;" per m3)"</f>
        <v>Gravel 3/4"
(m3 per m3)</v>
      </c>
      <c r="G4" s="22" t="str">
        <f aca="false">Settings!$C$14&amp;CHAR(10)&amp;"("&amp;Settings!$E$14&amp;" per m3)"</f>
        <v>Gravel 3/8"
(m3 per m3)</v>
      </c>
      <c r="H4" s="22" t="str">
        <f aca="false">Settings!$C$15&amp;CHAR(10)&amp;"("&amp;Settings!$E$15&amp;" per m3)"</f>
        <v>Admixture
(L per m3)</v>
      </c>
      <c r="I4" s="22" t="s">
        <v>228</v>
      </c>
      <c r="J4" s="22" t="s">
        <v>229</v>
      </c>
      <c r="K4" s="22" t="str">
        <f aca="false">Settings!$C$11&amp;CHAR(10)&amp;"incl. allowance"</f>
        <v>Cement
incl. allowance</v>
      </c>
      <c r="L4" s="22" t="str">
        <f aca="false">Settings!$C$12&amp;CHAR(10)&amp;"incl. allowance"</f>
        <v>Sand
incl. allowance</v>
      </c>
      <c r="M4" s="22" t="str">
        <f aca="false">Settings!$C$13&amp;CHAR(10)&amp;"incl. allowance"</f>
        <v>Gravel 3/4"
incl. allowance</v>
      </c>
      <c r="N4" s="22" t="str">
        <f aca="false">Settings!$C$14&amp;CHAR(10)&amp;"incl. allowance"</f>
        <v>Gravel 3/8"
incl. allowance</v>
      </c>
      <c r="O4" s="22" t="str">
        <f aca="false">Settings!$C$15&amp;CHAR(10)&amp;"incl. allowance"</f>
        <v>Admixture
incl. allowance</v>
      </c>
    </row>
    <row r="5" customFormat="false" ht="42" hidden="false" customHeight="true" outlineLevel="0" collapsed="false">
      <c r="A5" s="82" t="s">
        <v>141</v>
      </c>
      <c r="B5" s="63" t="s">
        <v>142</v>
      </c>
      <c r="C5" s="63" t="s">
        <v>230</v>
      </c>
      <c r="D5" s="83" t="n">
        <v>12</v>
      </c>
      <c r="E5" s="83" t="n">
        <v>0.5</v>
      </c>
      <c r="F5" s="83" t="n">
        <v>0</v>
      </c>
      <c r="G5" s="83" t="n">
        <v>1</v>
      </c>
      <c r="H5" s="83" t="n">
        <v>4</v>
      </c>
      <c r="I5" s="84" t="n">
        <v>0.03</v>
      </c>
      <c r="J5" s="85" t="s">
        <v>231</v>
      </c>
      <c r="K5" s="86" t="n">
        <f aca="false">IF($A5="","",N(D5)*(1+N($I5)))</f>
        <v>12.36</v>
      </c>
      <c r="L5" s="86" t="n">
        <f aca="false">IF($A5="","",N(E5)*(1+N($I5)))</f>
        <v>0.515</v>
      </c>
      <c r="M5" s="86" t="n">
        <f aca="false">IF($A5="","",N(F5)*(1+N($I5)))</f>
        <v>0</v>
      </c>
      <c r="N5" s="86" t="n">
        <f aca="false">IF($A5="","",N(G5)*(1+N($I5)))</f>
        <v>1.03</v>
      </c>
      <c r="O5" s="86" t="n">
        <f aca="false">IF($A5="","",N(H5)*(1+N($I5)))</f>
        <v>4.12</v>
      </c>
    </row>
    <row r="6" customFormat="false" ht="42" hidden="false" customHeight="true" outlineLevel="0" collapsed="false">
      <c r="A6" s="82" t="s">
        <v>232</v>
      </c>
      <c r="B6" s="63" t="s">
        <v>233</v>
      </c>
      <c r="C6" s="63" t="s">
        <v>230</v>
      </c>
      <c r="D6" s="83" t="n">
        <v>12</v>
      </c>
      <c r="E6" s="83" t="n">
        <v>0.5</v>
      </c>
      <c r="F6" s="83" t="n">
        <v>1</v>
      </c>
      <c r="G6" s="83" t="n">
        <v>0</v>
      </c>
      <c r="H6" s="83" t="n">
        <v>4</v>
      </c>
      <c r="I6" s="84" t="n">
        <v>0.03</v>
      </c>
      <c r="J6" s="85" t="s">
        <v>231</v>
      </c>
      <c r="K6" s="86" t="n">
        <f aca="false">IF($A6="","",N(D6)*(1+N($I6)))</f>
        <v>12.36</v>
      </c>
      <c r="L6" s="86" t="n">
        <f aca="false">IF($A6="","",N(E6)*(1+N($I6)))</f>
        <v>0.515</v>
      </c>
      <c r="M6" s="86" t="n">
        <f aca="false">IF($A6="","",N(F6)*(1+N($I6)))</f>
        <v>1.03</v>
      </c>
      <c r="N6" s="86" t="n">
        <f aca="false">IF($A6="","",N(G6)*(1+N($I6)))</f>
        <v>0</v>
      </c>
      <c r="O6" s="86" t="n">
        <f aca="false">IF($A6="","",N(H6)*(1+N($I6)))</f>
        <v>4.12</v>
      </c>
    </row>
    <row r="7" customFormat="false" ht="42" hidden="false" customHeight="true" outlineLevel="0" collapsed="false">
      <c r="A7" s="82" t="s">
        <v>234</v>
      </c>
      <c r="B7" s="63" t="s">
        <v>235</v>
      </c>
      <c r="C7" s="63" t="s">
        <v>236</v>
      </c>
      <c r="D7" s="83" t="n">
        <v>9</v>
      </c>
      <c r="E7" s="83" t="n">
        <v>0.5</v>
      </c>
      <c r="F7" s="83" t="n">
        <v>1</v>
      </c>
      <c r="G7" s="83" t="n">
        <v>0</v>
      </c>
      <c r="H7" s="83" t="n">
        <v>2.5</v>
      </c>
      <c r="I7" s="84" t="n">
        <v>0.05</v>
      </c>
      <c r="J7" s="85" t="s">
        <v>231</v>
      </c>
      <c r="K7" s="86" t="n">
        <f aca="false">IF($A7="","",N(D7)*(1+N($I7)))</f>
        <v>9.45</v>
      </c>
      <c r="L7" s="86" t="n">
        <f aca="false">IF($A7="","",N(E7)*(1+N($I7)))</f>
        <v>0.525</v>
      </c>
      <c r="M7" s="86" t="n">
        <f aca="false">IF($A7="","",N(F7)*(1+N($I7)))</f>
        <v>1.05</v>
      </c>
      <c r="N7" s="86" t="n">
        <f aca="false">IF($A7="","",N(G7)*(1+N($I7)))</f>
        <v>0</v>
      </c>
      <c r="O7" s="86" t="n">
        <f aca="false">IF($A7="","",N(H7)*(1+N($I7)))</f>
        <v>2.625</v>
      </c>
    </row>
    <row r="8" customFormat="false" ht="42" hidden="false" customHeight="true" outlineLevel="0" collapsed="false">
      <c r="A8" s="82" t="s">
        <v>237</v>
      </c>
      <c r="B8" s="63" t="s">
        <v>238</v>
      </c>
      <c r="C8" s="63" t="s">
        <v>239</v>
      </c>
      <c r="D8" s="83" t="n">
        <v>6</v>
      </c>
      <c r="E8" s="83" t="n">
        <v>0.5</v>
      </c>
      <c r="F8" s="83" t="n">
        <v>1</v>
      </c>
      <c r="G8" s="83" t="n">
        <v>0</v>
      </c>
      <c r="H8" s="83" t="n">
        <v>0</v>
      </c>
      <c r="I8" s="84" t="n">
        <v>0.05</v>
      </c>
      <c r="J8" s="85" t="s">
        <v>231</v>
      </c>
      <c r="K8" s="86" t="n">
        <f aca="false">IF($A8="","",N(D8)*(1+N($I8)))</f>
        <v>6.3</v>
      </c>
      <c r="L8" s="86" t="n">
        <f aca="false">IF($A8="","",N(E8)*(1+N($I8)))</f>
        <v>0.525</v>
      </c>
      <c r="M8" s="86" t="n">
        <f aca="false">IF($A8="","",N(F8)*(1+N($I8)))</f>
        <v>1.05</v>
      </c>
      <c r="N8" s="86" t="n">
        <f aca="false">IF($A8="","",N(G8)*(1+N($I8)))</f>
        <v>0</v>
      </c>
      <c r="O8" s="86" t="n">
        <f aca="false">IF($A8="","",N(H8)*(1+N($I8)))</f>
        <v>0</v>
      </c>
    </row>
    <row r="9" customFormat="false" ht="15" hidden="false" customHeight="false" outlineLevel="0" collapsed="false">
      <c r="A9" s="82"/>
      <c r="B9" s="63"/>
      <c r="C9" s="63"/>
      <c r="D9" s="83"/>
      <c r="E9" s="83"/>
      <c r="F9" s="83"/>
      <c r="G9" s="83"/>
      <c r="H9" s="83"/>
      <c r="I9" s="84"/>
      <c r="J9" s="85"/>
      <c r="K9" s="86" t="str">
        <f aca="false">IF($A9="","",N(D9)*(1+N($I9)))</f>
        <v/>
      </c>
      <c r="L9" s="86" t="str">
        <f aca="false">IF($A9="","",N(E9)*(1+N($I9)))</f>
        <v/>
      </c>
      <c r="M9" s="86" t="str">
        <f aca="false">IF($A9="","",N(F9)*(1+N($I9)))</f>
        <v/>
      </c>
      <c r="N9" s="86" t="str">
        <f aca="false">IF($A9="","",N(G9)*(1+N($I9)))</f>
        <v/>
      </c>
      <c r="O9" s="86" t="str">
        <f aca="false">IF($A9="","",N(H9)*(1+N($I9)))</f>
        <v/>
      </c>
    </row>
    <row r="10" customFormat="false" ht="15" hidden="false" customHeight="false" outlineLevel="0" collapsed="false">
      <c r="A10" s="82"/>
      <c r="B10" s="63"/>
      <c r="C10" s="63"/>
      <c r="D10" s="83"/>
      <c r="E10" s="83"/>
      <c r="F10" s="83"/>
      <c r="G10" s="83"/>
      <c r="H10" s="83"/>
      <c r="I10" s="84"/>
      <c r="J10" s="85"/>
      <c r="K10" s="86" t="str">
        <f aca="false">IF($A10="","",N(D10)*(1+N($I10)))</f>
        <v/>
      </c>
      <c r="L10" s="86" t="str">
        <f aca="false">IF($A10="","",N(E10)*(1+N($I10)))</f>
        <v/>
      </c>
      <c r="M10" s="86" t="str">
        <f aca="false">IF($A10="","",N(F10)*(1+N($I10)))</f>
        <v/>
      </c>
      <c r="N10" s="86" t="str">
        <f aca="false">IF($A10="","",N(G10)*(1+N($I10)))</f>
        <v/>
      </c>
      <c r="O10" s="86" t="str">
        <f aca="false">IF($A10="","",N(H10)*(1+N($I10)))</f>
        <v/>
      </c>
    </row>
    <row r="11" customFormat="false" ht="15" hidden="false" customHeight="false" outlineLevel="0" collapsed="false">
      <c r="A11" s="82"/>
      <c r="B11" s="63"/>
      <c r="C11" s="63"/>
      <c r="D11" s="83"/>
      <c r="E11" s="83"/>
      <c r="F11" s="83"/>
      <c r="G11" s="83"/>
      <c r="H11" s="83"/>
      <c r="I11" s="84"/>
      <c r="J11" s="85"/>
      <c r="K11" s="86" t="str">
        <f aca="false">IF($A11="","",N(D11)*(1+N($I11)))</f>
        <v/>
      </c>
      <c r="L11" s="86" t="str">
        <f aca="false">IF($A11="","",N(E11)*(1+N($I11)))</f>
        <v/>
      </c>
      <c r="M11" s="86" t="str">
        <f aca="false">IF($A11="","",N(F11)*(1+N($I11)))</f>
        <v/>
      </c>
      <c r="N11" s="86" t="str">
        <f aca="false">IF($A11="","",N(G11)*(1+N($I11)))</f>
        <v/>
      </c>
      <c r="O11" s="86" t="str">
        <f aca="false">IF($A11="","",N(H11)*(1+N($I11)))</f>
        <v/>
      </c>
    </row>
    <row r="12" customFormat="false" ht="15" hidden="false" customHeight="false" outlineLevel="0" collapsed="false">
      <c r="A12" s="82"/>
      <c r="B12" s="63"/>
      <c r="C12" s="63"/>
      <c r="D12" s="83"/>
      <c r="E12" s="83"/>
      <c r="F12" s="83"/>
      <c r="G12" s="83"/>
      <c r="H12" s="83"/>
      <c r="I12" s="84"/>
      <c r="J12" s="85"/>
      <c r="K12" s="86" t="str">
        <f aca="false">IF($A12="","",N(D12)*(1+N($I12)))</f>
        <v/>
      </c>
      <c r="L12" s="86" t="str">
        <f aca="false">IF($A12="","",N(E12)*(1+N($I12)))</f>
        <v/>
      </c>
      <c r="M12" s="86" t="str">
        <f aca="false">IF($A12="","",N(F12)*(1+N($I12)))</f>
        <v/>
      </c>
      <c r="N12" s="86" t="str">
        <f aca="false">IF($A12="","",N(G12)*(1+N($I12)))</f>
        <v/>
      </c>
      <c r="O12" s="86" t="str">
        <f aca="false">IF($A12="","",N(H12)*(1+N($I12)))</f>
        <v/>
      </c>
    </row>
    <row r="13" customFormat="false" ht="15" hidden="false" customHeight="false" outlineLevel="0" collapsed="false">
      <c r="A13" s="82"/>
      <c r="B13" s="63"/>
      <c r="C13" s="63"/>
      <c r="D13" s="83"/>
      <c r="E13" s="83"/>
      <c r="F13" s="83"/>
      <c r="G13" s="83"/>
      <c r="H13" s="83"/>
      <c r="I13" s="84"/>
      <c r="J13" s="85"/>
      <c r="K13" s="86" t="str">
        <f aca="false">IF($A13="","",N(D13)*(1+N($I13)))</f>
        <v/>
      </c>
      <c r="L13" s="86" t="str">
        <f aca="false">IF($A13="","",N(E13)*(1+N($I13)))</f>
        <v/>
      </c>
      <c r="M13" s="86" t="str">
        <f aca="false">IF($A13="","",N(F13)*(1+N($I13)))</f>
        <v/>
      </c>
      <c r="N13" s="86" t="str">
        <f aca="false">IF($A13="","",N(G13)*(1+N($I13)))</f>
        <v/>
      </c>
      <c r="O13" s="86" t="str">
        <f aca="false">IF($A13="","",N(H13)*(1+N($I13)))</f>
        <v/>
      </c>
    </row>
    <row r="14" customFormat="false" ht="15" hidden="false" customHeight="false" outlineLevel="0" collapsed="false">
      <c r="A14" s="82"/>
      <c r="B14" s="63"/>
      <c r="C14" s="63"/>
      <c r="D14" s="83"/>
      <c r="E14" s="83"/>
      <c r="F14" s="83"/>
      <c r="G14" s="83"/>
      <c r="H14" s="83"/>
      <c r="I14" s="84"/>
      <c r="J14" s="85"/>
      <c r="K14" s="86" t="str">
        <f aca="false">IF($A14="","",N(D14)*(1+N($I14)))</f>
        <v/>
      </c>
      <c r="L14" s="86" t="str">
        <f aca="false">IF($A14="","",N(E14)*(1+N($I14)))</f>
        <v/>
      </c>
      <c r="M14" s="86" t="str">
        <f aca="false">IF($A14="","",N(F14)*(1+N($I14)))</f>
        <v/>
      </c>
      <c r="N14" s="86" t="str">
        <f aca="false">IF($A14="","",N(G14)*(1+N($I14)))</f>
        <v/>
      </c>
      <c r="O14" s="86" t="str">
        <f aca="false">IF($A14="","",N(H14)*(1+N($I14)))</f>
        <v/>
      </c>
    </row>
    <row r="15" customFormat="false" ht="15" hidden="false" customHeight="false" outlineLevel="0" collapsed="false">
      <c r="A15" s="82"/>
      <c r="B15" s="63"/>
      <c r="C15" s="63"/>
      <c r="D15" s="83"/>
      <c r="E15" s="83"/>
      <c r="F15" s="83"/>
      <c r="G15" s="83"/>
      <c r="H15" s="83"/>
      <c r="I15" s="84"/>
      <c r="J15" s="85"/>
      <c r="K15" s="86" t="str">
        <f aca="false">IF($A15="","",N(D15)*(1+N($I15)))</f>
        <v/>
      </c>
      <c r="L15" s="86" t="str">
        <f aca="false">IF($A15="","",N(E15)*(1+N($I15)))</f>
        <v/>
      </c>
      <c r="M15" s="86" t="str">
        <f aca="false">IF($A15="","",N(F15)*(1+N($I15)))</f>
        <v/>
      </c>
      <c r="N15" s="86" t="str">
        <f aca="false">IF($A15="","",N(G15)*(1+N($I15)))</f>
        <v/>
      </c>
      <c r="O15" s="86" t="str">
        <f aca="false">IF($A15="","",N(H15)*(1+N($I15)))</f>
        <v/>
      </c>
    </row>
    <row r="16" customFormat="false" ht="15" hidden="false" customHeight="false" outlineLevel="0" collapsed="false">
      <c r="A16" s="82"/>
      <c r="B16" s="63"/>
      <c r="C16" s="63"/>
      <c r="D16" s="83"/>
      <c r="E16" s="83"/>
      <c r="F16" s="83"/>
      <c r="G16" s="83"/>
      <c r="H16" s="83"/>
      <c r="I16" s="84"/>
      <c r="J16" s="85"/>
      <c r="K16" s="86" t="str">
        <f aca="false">IF($A16="","",N(D16)*(1+N($I16)))</f>
        <v/>
      </c>
      <c r="L16" s="86" t="str">
        <f aca="false">IF($A16="","",N(E16)*(1+N($I16)))</f>
        <v/>
      </c>
      <c r="M16" s="86" t="str">
        <f aca="false">IF($A16="","",N(F16)*(1+N($I16)))</f>
        <v/>
      </c>
      <c r="N16" s="86" t="str">
        <f aca="false">IF($A16="","",N(G16)*(1+N($I16)))</f>
        <v/>
      </c>
      <c r="O16" s="86" t="str">
        <f aca="false">IF($A16="","",N(H16)*(1+N($I16)))</f>
        <v/>
      </c>
    </row>
    <row r="17" customFormat="false" ht="15" hidden="false" customHeight="false" outlineLevel="0" collapsed="false">
      <c r="A17" s="82"/>
      <c r="B17" s="63"/>
      <c r="C17" s="63"/>
      <c r="D17" s="83"/>
      <c r="E17" s="83"/>
      <c r="F17" s="83"/>
      <c r="G17" s="83"/>
      <c r="H17" s="83"/>
      <c r="I17" s="84"/>
      <c r="J17" s="85"/>
      <c r="K17" s="86" t="str">
        <f aca="false">IF($A17="","",N(D17)*(1+N($I17)))</f>
        <v/>
      </c>
      <c r="L17" s="86" t="str">
        <f aca="false">IF($A17="","",N(E17)*(1+N($I17)))</f>
        <v/>
      </c>
      <c r="M17" s="86" t="str">
        <f aca="false">IF($A17="","",N(F17)*(1+N($I17)))</f>
        <v/>
      </c>
      <c r="N17" s="86" t="str">
        <f aca="false">IF($A17="","",N(G17)*(1+N($I17)))</f>
        <v/>
      </c>
      <c r="O17" s="86" t="str">
        <f aca="false">IF($A17="","",N(H17)*(1+N($I17)))</f>
        <v/>
      </c>
    </row>
    <row r="18" customFormat="false" ht="15" hidden="false" customHeight="false" outlineLevel="0" collapsed="false">
      <c r="A18" s="82"/>
      <c r="B18" s="63"/>
      <c r="C18" s="63"/>
      <c r="D18" s="83"/>
      <c r="E18" s="83"/>
      <c r="F18" s="83"/>
      <c r="G18" s="83"/>
      <c r="H18" s="83"/>
      <c r="I18" s="84"/>
      <c r="J18" s="85"/>
      <c r="K18" s="86" t="str">
        <f aca="false">IF($A18="","",N(D18)*(1+N($I18)))</f>
        <v/>
      </c>
      <c r="L18" s="86" t="str">
        <f aca="false">IF($A18="","",N(E18)*(1+N($I18)))</f>
        <v/>
      </c>
      <c r="M18" s="86" t="str">
        <f aca="false">IF($A18="","",N(F18)*(1+N($I18)))</f>
        <v/>
      </c>
      <c r="N18" s="86" t="str">
        <f aca="false">IF($A18="","",N(G18)*(1+N($I18)))</f>
        <v/>
      </c>
      <c r="O18" s="86" t="str">
        <f aca="false">IF($A18="","",N(H18)*(1+N($I18)))</f>
        <v/>
      </c>
    </row>
    <row r="19" customFormat="false" ht="15" hidden="false" customHeight="false" outlineLevel="0" collapsed="false">
      <c r="A19" s="82"/>
      <c r="B19" s="63"/>
      <c r="C19" s="63"/>
      <c r="D19" s="83"/>
      <c r="E19" s="83"/>
      <c r="F19" s="83"/>
      <c r="G19" s="83"/>
      <c r="H19" s="83"/>
      <c r="I19" s="84"/>
      <c r="J19" s="85"/>
      <c r="K19" s="86" t="str">
        <f aca="false">IF($A19="","",N(D19)*(1+N($I19)))</f>
        <v/>
      </c>
      <c r="L19" s="86" t="str">
        <f aca="false">IF($A19="","",N(E19)*(1+N($I19)))</f>
        <v/>
      </c>
      <c r="M19" s="86" t="str">
        <f aca="false">IF($A19="","",N(F19)*(1+N($I19)))</f>
        <v/>
      </c>
      <c r="N19" s="86" t="str">
        <f aca="false">IF($A19="","",N(G19)*(1+N($I19)))</f>
        <v/>
      </c>
      <c r="O19" s="86" t="str">
        <f aca="false">IF($A19="","",N(H19)*(1+N($I19)))</f>
        <v/>
      </c>
    </row>
    <row r="20" customFormat="false" ht="15" hidden="false" customHeight="false" outlineLevel="0" collapsed="false">
      <c r="A20" s="82"/>
      <c r="B20" s="63"/>
      <c r="C20" s="63"/>
      <c r="D20" s="83"/>
      <c r="E20" s="83"/>
      <c r="F20" s="83"/>
      <c r="G20" s="83"/>
      <c r="H20" s="83"/>
      <c r="I20" s="84"/>
      <c r="J20" s="85"/>
      <c r="K20" s="86" t="str">
        <f aca="false">IF($A20="","",N(D20)*(1+N($I20)))</f>
        <v/>
      </c>
      <c r="L20" s="86" t="str">
        <f aca="false">IF($A20="","",N(E20)*(1+N($I20)))</f>
        <v/>
      </c>
      <c r="M20" s="86" t="str">
        <f aca="false">IF($A20="","",N(F20)*(1+N($I20)))</f>
        <v/>
      </c>
      <c r="N20" s="86" t="str">
        <f aca="false">IF($A20="","",N(G20)*(1+N($I20)))</f>
        <v/>
      </c>
      <c r="O20" s="86" t="str">
        <f aca="false">IF($A20="","",N(H20)*(1+N($I20)))</f>
        <v/>
      </c>
    </row>
    <row r="21" customFormat="false" ht="15" hidden="false" customHeight="false" outlineLevel="0" collapsed="false">
      <c r="A21" s="82"/>
      <c r="B21" s="63"/>
      <c r="C21" s="63"/>
      <c r="D21" s="83"/>
      <c r="E21" s="83"/>
      <c r="F21" s="83"/>
      <c r="G21" s="83"/>
      <c r="H21" s="83"/>
      <c r="I21" s="84"/>
      <c r="J21" s="85"/>
      <c r="K21" s="86" t="str">
        <f aca="false">IF($A21="","",N(D21)*(1+N($I21)))</f>
        <v/>
      </c>
      <c r="L21" s="86" t="str">
        <f aca="false">IF($A21="","",N(E21)*(1+N($I21)))</f>
        <v/>
      </c>
      <c r="M21" s="86" t="str">
        <f aca="false">IF($A21="","",N(F21)*(1+N($I21)))</f>
        <v/>
      </c>
      <c r="N21" s="86" t="str">
        <f aca="false">IF($A21="","",N(G21)*(1+N($I21)))</f>
        <v/>
      </c>
      <c r="O21" s="86" t="str">
        <f aca="false">IF($A21="","",N(H21)*(1+N($I21)))</f>
        <v/>
      </c>
    </row>
    <row r="22" customFormat="false" ht="15" hidden="false" customHeight="false" outlineLevel="0" collapsed="false">
      <c r="A22" s="82"/>
      <c r="B22" s="63"/>
      <c r="C22" s="63"/>
      <c r="D22" s="83"/>
      <c r="E22" s="83"/>
      <c r="F22" s="83"/>
      <c r="G22" s="83"/>
      <c r="H22" s="83"/>
      <c r="I22" s="84"/>
      <c r="J22" s="85"/>
      <c r="K22" s="86" t="str">
        <f aca="false">IF($A22="","",N(D22)*(1+N($I22)))</f>
        <v/>
      </c>
      <c r="L22" s="86" t="str">
        <f aca="false">IF($A22="","",N(E22)*(1+N($I22)))</f>
        <v/>
      </c>
      <c r="M22" s="86" t="str">
        <f aca="false">IF($A22="","",N(F22)*(1+N($I22)))</f>
        <v/>
      </c>
      <c r="N22" s="86" t="str">
        <f aca="false">IF($A22="","",N(G22)*(1+N($I22)))</f>
        <v/>
      </c>
      <c r="O22" s="86" t="str">
        <f aca="false">IF($A22="","",N(H22)*(1+N($I22)))</f>
        <v/>
      </c>
    </row>
    <row r="23" customFormat="false" ht="15" hidden="false" customHeight="false" outlineLevel="0" collapsed="false">
      <c r="A23" s="82"/>
      <c r="B23" s="63"/>
      <c r="C23" s="63"/>
      <c r="D23" s="83"/>
      <c r="E23" s="83"/>
      <c r="F23" s="83"/>
      <c r="G23" s="83"/>
      <c r="H23" s="83"/>
      <c r="I23" s="84"/>
      <c r="J23" s="85"/>
      <c r="K23" s="86" t="str">
        <f aca="false">IF($A23="","",N(D23)*(1+N($I23)))</f>
        <v/>
      </c>
      <c r="L23" s="86" t="str">
        <f aca="false">IF($A23="","",N(E23)*(1+N($I23)))</f>
        <v/>
      </c>
      <c r="M23" s="86" t="str">
        <f aca="false">IF($A23="","",N(F23)*(1+N($I23)))</f>
        <v/>
      </c>
      <c r="N23" s="86" t="str">
        <f aca="false">IF($A23="","",N(G23)*(1+N($I23)))</f>
        <v/>
      </c>
      <c r="O23" s="86" t="str">
        <f aca="false">IF($A23="","",N(H23)*(1+N($I23)))</f>
        <v/>
      </c>
    </row>
    <row r="24" customFormat="false" ht="15" hidden="false" customHeight="false" outlineLevel="0" collapsed="false">
      <c r="A24" s="82"/>
      <c r="B24" s="63"/>
      <c r="C24" s="63"/>
      <c r="D24" s="83"/>
      <c r="E24" s="83"/>
      <c r="F24" s="83"/>
      <c r="G24" s="83"/>
      <c r="H24" s="83"/>
      <c r="I24" s="84"/>
      <c r="J24" s="85"/>
      <c r="K24" s="86" t="str">
        <f aca="false">IF($A24="","",N(D24)*(1+N($I24)))</f>
        <v/>
      </c>
      <c r="L24" s="86" t="str">
        <f aca="false">IF($A24="","",N(E24)*(1+N($I24)))</f>
        <v/>
      </c>
      <c r="M24" s="86" t="str">
        <f aca="false">IF($A24="","",N(F24)*(1+N($I24)))</f>
        <v/>
      </c>
      <c r="N24" s="86" t="str">
        <f aca="false">IF($A24="","",N(G24)*(1+N($I24)))</f>
        <v/>
      </c>
      <c r="O24" s="86" t="str">
        <f aca="false">IF($A24="","",N(H24)*(1+N($I24)))</f>
        <v/>
      </c>
    </row>
  </sheetData>
  <mergeCells count="2">
    <mergeCell ref="D3:I3"/>
    <mergeCell ref="K3:O3"/>
  </mergeCells>
  <dataValidations count="1">
    <dataValidation allowBlank="true" error="Enter a number &gt;= 0." errorStyle="stop" errorTitle="Number" operator="greaterThanOrEqual" showDropDown="false" showErrorMessage="true" showInputMessage="false" sqref="D5:I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70"/>
  </cols>
  <sheetData>
    <row r="1" customFormat="false" ht="21.75" hidden="false" customHeight="true" outlineLevel="0" collapsed="false">
      <c r="A1" s="59" t="s">
        <v>240</v>
      </c>
    </row>
    <row r="2" customFormat="false" ht="15" hidden="false" customHeight="false" outlineLevel="0" collapsed="false">
      <c r="A2" s="8" t="s">
        <v>241</v>
      </c>
    </row>
    <row r="4" customFormat="false" ht="18" hidden="false" customHeight="true" outlineLevel="0" collapsed="false">
      <c r="A4" s="35" t="s">
        <v>242</v>
      </c>
      <c r="B4" s="35"/>
      <c r="C4" s="35"/>
    </row>
    <row r="5" customFormat="false" ht="15" hidden="false" customHeight="false" outlineLevel="0" collapsed="false">
      <c r="A5" s="79" t="s">
        <v>243</v>
      </c>
      <c r="B5" s="87" t="n">
        <f aca="true">TODAY()</f>
        <v>46326</v>
      </c>
      <c r="C5" s="15" t="s">
        <v>244</v>
      </c>
    </row>
    <row r="6" customFormat="false" ht="15" hidden="false" customHeight="false" outlineLevel="0" collapsed="false">
      <c r="A6" s="79" t="s">
        <v>245</v>
      </c>
      <c r="B6" s="88" t="n">
        <v>6</v>
      </c>
      <c r="C6" s="15" t="s">
        <v>246</v>
      </c>
    </row>
    <row r="7" customFormat="false" ht="15" hidden="false" customHeight="false" outlineLevel="0" collapsed="false">
      <c r="A7" s="79" t="s">
        <v>247</v>
      </c>
      <c r="B7" s="88" t="n">
        <v>26</v>
      </c>
      <c r="C7" s="15" t="s">
        <v>248</v>
      </c>
    </row>
    <row r="8" customFormat="false" ht="15" hidden="false" customHeight="false" outlineLevel="0" collapsed="false">
      <c r="A8" s="79" t="s">
        <v>249</v>
      </c>
      <c r="B8" s="64" t="str">
        <f aca="false">RIGHT("0000000"&amp;REPT("1",7-WorkDaysWeek),7)</f>
        <v>0000001</v>
      </c>
      <c r="C8" s="15" t="s">
        <v>250</v>
      </c>
    </row>
    <row r="9" customFormat="false" ht="18" hidden="false" customHeight="true" outlineLevel="0" collapsed="false">
      <c r="A9" s="35" t="s">
        <v>251</v>
      </c>
      <c r="B9" s="35"/>
      <c r="C9" s="35"/>
      <c r="D9" s="35"/>
      <c r="E9" s="35"/>
      <c r="F9" s="35"/>
      <c r="G9" s="35"/>
      <c r="H9" s="35"/>
    </row>
    <row r="10" customFormat="false" ht="33.75" hidden="false" customHeight="true" outlineLevel="0" collapsed="false">
      <c r="A10" s="22" t="s">
        <v>252</v>
      </c>
      <c r="B10" s="22" t="s">
        <v>253</v>
      </c>
      <c r="C10" s="22" t="s">
        <v>254</v>
      </c>
      <c r="D10" s="22" t="s">
        <v>255</v>
      </c>
      <c r="E10" s="22" t="s">
        <v>53</v>
      </c>
      <c r="F10" s="22" t="s">
        <v>256</v>
      </c>
      <c r="G10" s="22" t="s">
        <v>257</v>
      </c>
      <c r="H10" s="22" t="s">
        <v>258</v>
      </c>
    </row>
    <row r="11" customFormat="false" ht="27.75" hidden="false" customHeight="true" outlineLevel="0" collapsed="false">
      <c r="A11" s="64" t="n">
        <v>1</v>
      </c>
      <c r="B11" s="76" t="s">
        <v>118</v>
      </c>
      <c r="C11" s="63" t="s">
        <v>119</v>
      </c>
      <c r="D11" s="63" t="s">
        <v>259</v>
      </c>
      <c r="E11" s="70" t="s">
        <v>120</v>
      </c>
      <c r="F11" s="89" t="n">
        <v>3</v>
      </c>
      <c r="G11" s="89" t="n">
        <v>2</v>
      </c>
      <c r="H11" s="85" t="s">
        <v>260</v>
      </c>
    </row>
    <row r="12" customFormat="false" ht="27.75" hidden="false" customHeight="true" outlineLevel="0" collapsed="false">
      <c r="A12" s="64" t="n">
        <v>2</v>
      </c>
      <c r="B12" s="76" t="s">
        <v>124</v>
      </c>
      <c r="C12" s="63" t="s">
        <v>261</v>
      </c>
      <c r="D12" s="63" t="s">
        <v>262</v>
      </c>
      <c r="E12" s="70" t="s">
        <v>101</v>
      </c>
      <c r="F12" s="89" t="n">
        <v>2</v>
      </c>
      <c r="G12" s="89" t="n">
        <v>2</v>
      </c>
      <c r="H12" s="85" t="s">
        <v>263</v>
      </c>
    </row>
    <row r="13" customFormat="false" ht="27.75" hidden="false" customHeight="true" outlineLevel="0" collapsed="false">
      <c r="A13" s="64" t="n">
        <v>3</v>
      </c>
      <c r="B13" s="76" t="s">
        <v>125</v>
      </c>
      <c r="C13" s="63" t="s">
        <v>264</v>
      </c>
      <c r="D13" s="63" t="s">
        <v>265</v>
      </c>
      <c r="E13" s="70" t="s">
        <v>101</v>
      </c>
      <c r="F13" s="89" t="n">
        <v>2</v>
      </c>
      <c r="G13" s="89" t="n">
        <v>2</v>
      </c>
      <c r="H13" s="85" t="s">
        <v>263</v>
      </c>
    </row>
    <row r="14" customFormat="false" ht="27.75" hidden="false" customHeight="true" outlineLevel="0" collapsed="false">
      <c r="A14" s="64" t="n">
        <v>4</v>
      </c>
      <c r="B14" s="76" t="s">
        <v>126</v>
      </c>
      <c r="C14" s="63" t="s">
        <v>266</v>
      </c>
      <c r="D14" s="63" t="s">
        <v>267</v>
      </c>
      <c r="E14" s="70" t="s">
        <v>101</v>
      </c>
      <c r="F14" s="89" t="n">
        <v>2</v>
      </c>
      <c r="G14" s="89" t="n">
        <v>2</v>
      </c>
      <c r="H14" s="85" t="s">
        <v>263</v>
      </c>
    </row>
    <row r="15" customFormat="false" ht="27.75" hidden="false" customHeight="true" outlineLevel="0" collapsed="false">
      <c r="A15" s="64" t="n">
        <v>5</v>
      </c>
      <c r="B15" s="76" t="s">
        <v>127</v>
      </c>
      <c r="C15" s="63" t="s">
        <v>268</v>
      </c>
      <c r="D15" s="63" t="s">
        <v>269</v>
      </c>
      <c r="E15" s="70" t="s">
        <v>270</v>
      </c>
      <c r="F15" s="89" t="n">
        <v>5</v>
      </c>
      <c r="G15" s="89" t="n">
        <v>3</v>
      </c>
      <c r="H15" s="85" t="s">
        <v>271</v>
      </c>
    </row>
    <row r="16" customFormat="false" ht="18" hidden="false" customHeight="true" outlineLevel="0" collapsed="false">
      <c r="A16" s="35" t="s">
        <v>272</v>
      </c>
      <c r="B16" s="35"/>
      <c r="C16" s="35"/>
    </row>
    <row r="17" customFormat="false" ht="33.75" hidden="false" customHeight="true" outlineLevel="0" collapsed="false">
      <c r="A17" s="22" t="s">
        <v>252</v>
      </c>
      <c r="B17" s="22" t="s">
        <v>88</v>
      </c>
      <c r="C17" s="22" t="s">
        <v>258</v>
      </c>
    </row>
    <row r="18" customFormat="false" ht="15" hidden="false" customHeight="false" outlineLevel="0" collapsed="false">
      <c r="A18" s="16"/>
      <c r="B18" s="23" t="s">
        <v>46</v>
      </c>
      <c r="C18" s="16" t="s">
        <v>273</v>
      </c>
    </row>
    <row r="19" customFormat="false" ht="15" hidden="false" customHeight="false" outlineLevel="0" collapsed="false">
      <c r="A19" s="64" t="n">
        <v>1</v>
      </c>
      <c r="B19" s="63" t="s">
        <v>123</v>
      </c>
      <c r="C19" s="63"/>
    </row>
    <row r="20" customFormat="false" ht="15" hidden="false" customHeight="false" outlineLevel="0" collapsed="false">
      <c r="A20" s="64" t="n">
        <v>2</v>
      </c>
      <c r="B20" s="63" t="s">
        <v>128</v>
      </c>
      <c r="C20" s="63"/>
    </row>
    <row r="21" customFormat="false" ht="15" hidden="false" customHeight="false" outlineLevel="0" collapsed="false">
      <c r="A21" s="64" t="n">
        <v>3</v>
      </c>
      <c r="B21" s="63" t="s">
        <v>129</v>
      </c>
      <c r="C21" s="63"/>
    </row>
    <row r="22" customFormat="false" ht="15" hidden="false" customHeight="false" outlineLevel="0" collapsed="false">
      <c r="A22" s="64" t="n">
        <v>4</v>
      </c>
      <c r="B22" s="63" t="s">
        <v>130</v>
      </c>
      <c r="C22" s="63"/>
    </row>
    <row r="23" customFormat="false" ht="15" hidden="false" customHeight="false" outlineLevel="0" collapsed="false">
      <c r="A23" s="64" t="n">
        <v>5</v>
      </c>
      <c r="B23" s="63" t="s">
        <v>131</v>
      </c>
      <c r="C23" s="63"/>
    </row>
    <row r="24" customFormat="false" ht="15" hidden="false" customHeight="false" outlineLevel="0" collapsed="false">
      <c r="A24" s="64" t="n">
        <v>6</v>
      </c>
      <c r="B24" s="63" t="s">
        <v>132</v>
      </c>
      <c r="C24" s="63"/>
    </row>
    <row r="25" customFormat="false" ht="15" hidden="false" customHeight="false" outlineLevel="0" collapsed="false">
      <c r="A25" s="64" t="n">
        <v>7</v>
      </c>
      <c r="B25" s="63" t="s">
        <v>133</v>
      </c>
      <c r="C25" s="63"/>
    </row>
    <row r="26" customFormat="false" ht="15" hidden="false" customHeight="false" outlineLevel="0" collapsed="false">
      <c r="A26" s="64" t="n">
        <v>8</v>
      </c>
      <c r="B26" s="63" t="s">
        <v>134</v>
      </c>
      <c r="C26" s="63"/>
    </row>
    <row r="27" customFormat="false" ht="15" hidden="false" customHeight="false" outlineLevel="0" collapsed="false">
      <c r="A27" s="64" t="n">
        <v>9</v>
      </c>
      <c r="B27" s="63"/>
      <c r="C27" s="63"/>
    </row>
    <row r="28" customFormat="false" ht="15" hidden="false" customHeight="false" outlineLevel="0" collapsed="false">
      <c r="A28" s="64" t="n">
        <v>10</v>
      </c>
      <c r="B28" s="63"/>
      <c r="C28" s="63"/>
    </row>
    <row r="29" customFormat="false" ht="15" hidden="false" customHeight="false" outlineLevel="0" collapsed="false">
      <c r="A29" s="64" t="n">
        <v>11</v>
      </c>
      <c r="B29" s="63"/>
      <c r="C29" s="63"/>
    </row>
    <row r="30" customFormat="false" ht="15" hidden="false" customHeight="false" outlineLevel="0" collapsed="false">
      <c r="A30" s="64" t="n">
        <v>12</v>
      </c>
      <c r="B30" s="63"/>
      <c r="C30" s="63"/>
    </row>
    <row r="31" customFormat="false" ht="15" hidden="false" customHeight="false" outlineLevel="0" collapsed="false">
      <c r="A31" s="64" t="n">
        <v>13</v>
      </c>
      <c r="B31" s="63"/>
      <c r="C31" s="63"/>
    </row>
    <row r="32" customFormat="false" ht="15" hidden="false" customHeight="false" outlineLevel="0" collapsed="false">
      <c r="A32" s="64" t="n">
        <v>14</v>
      </c>
      <c r="B32" s="63"/>
      <c r="C32" s="63"/>
    </row>
    <row r="33" customFormat="false" ht="15" hidden="false" customHeight="false" outlineLevel="0" collapsed="false">
      <c r="A33" s="64" t="n">
        <v>15</v>
      </c>
      <c r="B33" s="63"/>
      <c r="C33" s="63"/>
    </row>
    <row r="34" customFormat="false" ht="15" hidden="false" customHeight="false" outlineLevel="0" collapsed="false">
      <c r="A34" s="64" t="n">
        <v>16</v>
      </c>
      <c r="B34" s="63"/>
      <c r="C34" s="63"/>
    </row>
    <row r="35" customFormat="false" ht="15" hidden="false" customHeight="false" outlineLevel="0" collapsed="false">
      <c r="A35" s="64" t="n">
        <v>17</v>
      </c>
      <c r="B35" s="63"/>
      <c r="C35" s="63"/>
    </row>
    <row r="36" customFormat="false" ht="15" hidden="false" customHeight="false" outlineLevel="0" collapsed="false">
      <c r="A36" s="64" t="n">
        <v>18</v>
      </c>
      <c r="B36" s="63"/>
      <c r="C36" s="63"/>
    </row>
    <row r="37" customFormat="false" ht="15" hidden="false" customHeight="false" outlineLevel="0" collapsed="false">
      <c r="A37" s="64" t="n">
        <v>19</v>
      </c>
      <c r="B37" s="63"/>
      <c r="C37" s="63"/>
    </row>
    <row r="38" customFormat="false" ht="15" hidden="false" customHeight="false" outlineLevel="0" collapsed="false">
      <c r="A38" s="64" t="n">
        <v>20</v>
      </c>
      <c r="B38" s="63"/>
      <c r="C38" s="63"/>
    </row>
    <row r="40" customFormat="false" ht="18" hidden="false" customHeight="true" outlineLevel="0" collapsed="false">
      <c r="A40" s="35" t="s">
        <v>274</v>
      </c>
      <c r="B40" s="35"/>
      <c r="C40" s="35"/>
    </row>
    <row r="41" customFormat="false" ht="33.75" hidden="false" customHeight="true" outlineLevel="0" collapsed="false">
      <c r="A41" s="22" t="s">
        <v>252</v>
      </c>
      <c r="B41" s="22" t="s">
        <v>93</v>
      </c>
      <c r="C41" s="22" t="s">
        <v>275</v>
      </c>
    </row>
    <row r="42" customFormat="false" ht="15" hidden="false" customHeight="false" outlineLevel="0" collapsed="false">
      <c r="A42" s="64" t="n">
        <v>1</v>
      </c>
      <c r="B42" s="87"/>
      <c r="C42" s="63"/>
      <c r="D42" s="15" t="s">
        <v>276</v>
      </c>
    </row>
    <row r="43" customFormat="false" ht="15" hidden="false" customHeight="false" outlineLevel="0" collapsed="false">
      <c r="A43" s="64" t="n">
        <v>2</v>
      </c>
      <c r="B43" s="87"/>
      <c r="C43" s="63"/>
    </row>
    <row r="44" customFormat="false" ht="15" hidden="false" customHeight="false" outlineLevel="0" collapsed="false">
      <c r="A44" s="64" t="n">
        <v>3</v>
      </c>
      <c r="B44" s="87"/>
      <c r="C44" s="63"/>
    </row>
    <row r="45" customFormat="false" ht="15" hidden="false" customHeight="false" outlineLevel="0" collapsed="false">
      <c r="A45" s="64" t="n">
        <v>4</v>
      </c>
      <c r="B45" s="87"/>
      <c r="C45" s="63"/>
    </row>
    <row r="46" customFormat="false" ht="15" hidden="false" customHeight="false" outlineLevel="0" collapsed="false">
      <c r="A46" s="64" t="n">
        <v>5</v>
      </c>
      <c r="B46" s="87"/>
      <c r="C46" s="63"/>
    </row>
    <row r="47" customFormat="false" ht="15" hidden="false" customHeight="false" outlineLevel="0" collapsed="false">
      <c r="A47" s="64" t="n">
        <v>6</v>
      </c>
      <c r="B47" s="87"/>
      <c r="C47" s="63"/>
    </row>
    <row r="48" customFormat="false" ht="15" hidden="false" customHeight="false" outlineLevel="0" collapsed="false">
      <c r="A48" s="64" t="n">
        <v>7</v>
      </c>
      <c r="B48" s="87"/>
      <c r="C48" s="63"/>
    </row>
    <row r="49" customFormat="false" ht="15" hidden="false" customHeight="false" outlineLevel="0" collapsed="false">
      <c r="A49" s="64" t="n">
        <v>8</v>
      </c>
      <c r="B49" s="87"/>
      <c r="C49" s="63"/>
    </row>
    <row r="50" customFormat="false" ht="15" hidden="false" customHeight="false" outlineLevel="0" collapsed="false">
      <c r="A50" s="64" t="n">
        <v>9</v>
      </c>
      <c r="B50" s="87"/>
      <c r="C50" s="63"/>
    </row>
    <row r="51" customFormat="false" ht="15" hidden="false" customHeight="false" outlineLevel="0" collapsed="false">
      <c r="A51" s="64" t="n">
        <v>10</v>
      </c>
      <c r="B51" s="87"/>
      <c r="C51" s="63"/>
    </row>
    <row r="52" customFormat="false" ht="15" hidden="false" customHeight="false" outlineLevel="0" collapsed="false">
      <c r="A52" s="64" t="n">
        <v>11</v>
      </c>
      <c r="B52" s="87"/>
      <c r="C52" s="63"/>
    </row>
    <row r="53" customFormat="false" ht="15" hidden="false" customHeight="false" outlineLevel="0" collapsed="false">
      <c r="A53" s="64" t="n">
        <v>12</v>
      </c>
      <c r="B53" s="87"/>
      <c r="C53" s="63"/>
    </row>
    <row r="54" customFormat="false" ht="15" hidden="false" customHeight="false" outlineLevel="0" collapsed="false">
      <c r="A54" s="64" t="n">
        <v>13</v>
      </c>
      <c r="B54" s="87"/>
      <c r="C54" s="63"/>
    </row>
    <row r="55" customFormat="false" ht="15" hidden="false" customHeight="false" outlineLevel="0" collapsed="false">
      <c r="A55" s="64" t="n">
        <v>14</v>
      </c>
      <c r="B55" s="87"/>
      <c r="C55" s="63"/>
    </row>
    <row r="56" customFormat="false" ht="15" hidden="false" customHeight="false" outlineLevel="0" collapsed="false">
      <c r="A56" s="64" t="n">
        <v>15</v>
      </c>
      <c r="B56" s="87"/>
      <c r="C56" s="63"/>
    </row>
    <row r="57" customFormat="false" ht="15" hidden="false" customHeight="false" outlineLevel="0" collapsed="false">
      <c r="A57" s="64" t="n">
        <v>16</v>
      </c>
      <c r="B57" s="87"/>
      <c r="C57" s="63"/>
    </row>
    <row r="58" customFormat="false" ht="15" hidden="false" customHeight="false" outlineLevel="0" collapsed="false">
      <c r="A58" s="64" t="n">
        <v>17</v>
      </c>
      <c r="B58" s="87"/>
      <c r="C58" s="63"/>
    </row>
    <row r="59" customFormat="false" ht="15" hidden="false" customHeight="false" outlineLevel="0" collapsed="false">
      <c r="A59" s="64" t="n">
        <v>18</v>
      </c>
      <c r="B59" s="87"/>
      <c r="C59" s="63"/>
    </row>
    <row r="60" customFormat="false" ht="15" hidden="false" customHeight="false" outlineLevel="0" collapsed="false">
      <c r="A60" s="64" t="n">
        <v>19</v>
      </c>
      <c r="B60" s="87"/>
      <c r="C60" s="63"/>
    </row>
    <row r="61" customFormat="false" ht="15" hidden="false" customHeight="false" outlineLevel="0" collapsed="false">
      <c r="A61" s="64" t="n">
        <v>20</v>
      </c>
      <c r="B61" s="87"/>
      <c r="C61" s="63"/>
    </row>
  </sheetData>
  <mergeCells count="4">
    <mergeCell ref="A4:C4"/>
    <mergeCell ref="A9:H9"/>
    <mergeCell ref="A16:C16"/>
    <mergeCell ref="A40:C40"/>
  </mergeCells>
  <dataValidations count="5">
    <dataValidation allowBlank="true" error="Enter a number &gt;= 0." errorStyle="stop" errorTitle="Number" operator="greaterThanOrEqual" showDropDown="false" showErrorMessage="true" showInputMessage="false" sqref="F11:G15" type="decimal">
      <formula1>0</formula1>
      <formula2>0</formula2>
    </dataValidation>
    <dataValidation allowBlank="true" error="Enter a valid date, e.g. 15-Oct-2026." errorStyle="stop" errorTitle="Date" operator="greaterThan" showDropDown="false" showErrorMessage="true" showInputMessage="false" sqref="B5" type="date">
      <formula1>DATE(2020,1,1)</formula1>
      <formula2>0</formula2>
    </dataValidation>
    <dataValidation allowBlank="false" error="Enter 1 to 7." errorStyle="stop" operator="between" showDropDown="false" showErrorMessage="true" showInputMessage="false" sqref="B6" type="whole">
      <formula1>1</formula1>
      <formula2>7</formula2>
    </dataValidation>
    <dataValidation allowBlank="false" error="Enter 1 to 31." errorStyle="stop" operator="between" showDropDown="false" showErrorMessage="true" showInputMessage="false" sqref="B7" type="whole">
      <formula1>1</formula1>
      <formula2>31</formula2>
    </dataValidation>
    <dataValidation allowBlank="true" error="Enter a valid date, e.g. 15-Oct-2026." errorStyle="stop" errorTitle="Date" operator="greaterThan" showDropDown="false" showErrorMessage="true" showInputMessage="false" sqref="B42:B61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2026-10-31T15:42:22Z</dcterms:created>
  <dc:creator>openpyxl</dc:creator>
  <dc:description/>
  <dc:language>en-US</dc:language>
  <cp:lastModifiedBy/>
  <dcterms:modified xsi:type="dcterms:W3CDTF">2026-10-31T15:42:34Z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