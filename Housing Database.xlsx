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egawideph-my.sharepoint.com/personal/ltandoc_megawide_com_ph/Documents/Desktop/"/>
    </mc:Choice>
  </mc:AlternateContent>
  <xr:revisionPtr revIDLastSave="707" documentId="11_81D528A56A7291953DA073FC6F9DE84A7EA6C308" xr6:coauthVersionLast="47" xr6:coauthVersionMax="47" xr10:uidLastSave="{3EED94F3-0188-4078-88CD-E055DEFFF51D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Project Overview" sheetId="2" r:id="rId2"/>
    <sheet name="Monthly History" sheetId="3" r:id="rId3"/>
    <sheet name="Annual Histo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  <c r="J11" i="2"/>
  <c r="J10" i="2"/>
  <c r="J9" i="2"/>
  <c r="J8" i="2"/>
  <c r="J7" i="2"/>
  <c r="J6" i="2"/>
  <c r="J5" i="2"/>
  <c r="G5" i="2"/>
  <c r="F5" i="2"/>
  <c r="G12" i="2"/>
  <c r="G11" i="2"/>
  <c r="G10" i="2"/>
  <c r="G9" i="2"/>
  <c r="G8" i="2"/>
  <c r="G7" i="2"/>
  <c r="G6" i="2"/>
  <c r="F12" i="2"/>
  <c r="M12" i="2" s="1"/>
  <c r="F11" i="2"/>
  <c r="F10" i="2"/>
  <c r="F9" i="2"/>
  <c r="F8" i="2"/>
  <c r="F7" i="2"/>
  <c r="F6" i="2"/>
  <c r="B6" i="2"/>
  <c r="E6" i="2" s="1"/>
  <c r="M18" i="2"/>
  <c r="I18" i="2"/>
  <c r="E18" i="2"/>
  <c r="D18" i="2"/>
  <c r="M17" i="2"/>
  <c r="I17" i="2"/>
  <c r="E17" i="2"/>
  <c r="D17" i="2"/>
  <c r="M16" i="2"/>
  <c r="I16" i="2"/>
  <c r="E16" i="2"/>
  <c r="D16" i="2"/>
  <c r="M15" i="2"/>
  <c r="I15" i="2"/>
  <c r="E15" i="2"/>
  <c r="D15" i="2"/>
  <c r="M14" i="2"/>
  <c r="I14" i="2"/>
  <c r="E14" i="2"/>
  <c r="D14" i="2"/>
  <c r="M13" i="2"/>
  <c r="I13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5" i="2"/>
  <c r="D5" i="2"/>
  <c r="M9" i="2" l="1"/>
  <c r="M8" i="2"/>
  <c r="M7" i="2"/>
  <c r="I6" i="2"/>
  <c r="M5" i="2"/>
  <c r="I5" i="2"/>
  <c r="M6" i="2"/>
  <c r="I7" i="2"/>
  <c r="I8" i="2"/>
  <c r="M11" i="2"/>
  <c r="I12" i="2"/>
  <c r="I9" i="2"/>
  <c r="I11" i="2"/>
  <c r="M10" i="2"/>
  <c r="I10" i="2"/>
  <c r="D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4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Optional. Use this for units that shouldn't count toward Available FTB — e.g. units awarded to another contractor, or punchlist units already accounted for elsewhere.</t>
        </r>
      </text>
    </comment>
    <comment ref="L4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Optional manual override. Leave blank to let the dashboard calculate risk automatically from FTB Produced − Installed.
If you do fill this in, use exactly one of:
critical = Critical
watch = At Risk
lower = On Track</t>
        </r>
      </text>
    </comment>
    <comment ref="M4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Read-only preview of what the dashboard will show if Risk Level (column L) is left blank. This column is not read by the dashboard — it's just for your reference here in Excel.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Use YYYY-MM format, e.g. 2026-07 for July 2026. This column is formatted as text so Excel won't auto-convert it into a date.</t>
        </r>
      </text>
    </comment>
    <comment ref="E5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Cubic meters of panels produced THIS MONTH by PCS (not a running total).</t>
        </r>
      </text>
    </comment>
    <comment ref="I5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Production-crew manhours THIS MONTH. Kept separate from installation manhours.</t>
        </r>
      </text>
    </comment>
    <comment ref="K5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Planned/budgeted installation for that month.</t>
        </r>
      </text>
    </comment>
    <comment ref="M5" authorId="0" shapeId="0" xr:uid="{00000000-0006-0000-0200-000006000000}">
      <text>
        <r>
          <rPr>
            <sz val="11"/>
            <color theme="1"/>
            <rFont val="Calibri"/>
            <family val="2"/>
            <charset val="1"/>
          </rPr>
          <t>Planned/forecast FTB availability from the client (Phirst Park Homes) for that month. Compare against actual FTB Produced to catch client-side delivery delays early.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4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Planned/budgeted installation for that year.</t>
        </r>
      </text>
    </comment>
    <comment ref="F4" authorId="0" shapeId="0" xr:uid="{00000000-0006-0000-0300-000002000000}">
      <text>
        <r>
          <rPr>
            <sz val="11"/>
            <color theme="1"/>
            <rFont val="Calibri"/>
            <family val="2"/>
            <charset val="1"/>
          </rPr>
          <t>Request for Inspection/Acceptance — the stage before final COCA clearance.</t>
        </r>
      </text>
    </comment>
  </commentList>
</comments>
</file>

<file path=xl/sharedStrings.xml><?xml version="1.0" encoding="utf-8"?>
<sst xmlns="http://schemas.openxmlformats.org/spreadsheetml/2006/main" count="333" uniqueCount="124">
  <si>
    <t>FTB Supply &amp; Production — Data Workbook</t>
  </si>
  <si>
    <t>This workbook is the data source for the FTB Supply &amp; Production Dashboard.</t>
  </si>
  <si>
    <t>HOW TO USE</t>
  </si>
  <si>
    <t>1. Fill in the yellow cells in 'Project Overview' with your current site-level totals.</t>
  </si>
  <si>
    <t>2. Each month, add a new row to 'Monthly History' with that month's production/installation totals per site.</t>
  </si>
  <si>
    <t>3. Save this file, then in the dashboard click 'Upload File' and select this workbook (.xlsx).</t>
  </si>
  <si>
    <t>4. The dashboard reads both tabs automatically — Project Overview for the current snapshot, and Monthly History for the 6-month projection chart.</t>
  </si>
  <si>
    <t>COLOR LEGEND</t>
  </si>
  <si>
    <t>Yellow cells   = type your data here</t>
  </si>
  <si>
    <t>Grey cells       = calculated automatically — do not type over these</t>
  </si>
  <si>
    <t>Light grey/italic = example row — delete or ignore, just shows the expected format</t>
  </si>
  <si>
    <t>PROJECT OVERVIEW — COLUMN NOTES</t>
  </si>
  <si>
    <t>Contract Units       Total units contracted for this site.</t>
  </si>
  <si>
    <t>With PO                 Units that currently have an issued Purchase Order.</t>
  </si>
  <si>
    <t>No PO                    Auto-calculated: Contract Units minus With PO.</t>
  </si>
  <si>
    <t>PO %                     Auto-calculated: With PO ÷ Contract Units.</t>
  </si>
  <si>
    <t>FTB Produced        Cumulative FTB units produced to date.</t>
  </si>
  <si>
    <t>Installed                Cumulative units installed to date.</t>
  </si>
  <si>
    <t>Deductions            Optional. Units to exclude from the buffer (e.g. awarded to another</t>
  </si>
  <si>
    <t xml:space="preserve">                             contractor, or punchlist units already accounted for elsewhere).</t>
  </si>
  <si>
    <t>Available FTB        Auto-calculated: FTB Produced − Installed − Deductions.</t>
  </si>
  <si>
    <t>COCA                     Cumulative units that have passed COCA.</t>
  </si>
  <si>
    <t>Critical Month       Your own manual estimate of when this site runs out of buffer (optional —</t>
  </si>
  <si>
    <t xml:space="preserve">                             free text, just for reference alongside the dashboard's own projection).</t>
  </si>
  <si>
    <t>Risk Level              Optional manual override — leave BLANK to let the dashboard calculate it</t>
  </si>
  <si>
    <t xml:space="preserve">                             automatically. If you do set it, use exactly: critical / watch / lower</t>
  </si>
  <si>
    <t xml:space="preserve">                             (watch = At Risk, lower = On Track).</t>
  </si>
  <si>
    <t>Auto Risk (preview)  Read-only — shows what the dashboard will display if Risk Level is left blank.</t>
  </si>
  <si>
    <t>Notes / Action        Free text shown on the dashboard's Priority Risk Board.</t>
  </si>
  <si>
    <t>MONTHLY HISTORY — COLUMN NOTES</t>
  </si>
  <si>
    <t>Site                        Pick from the dropdown (sourced from Project Overview).</t>
  </si>
  <si>
    <t>Month                    Format YYYY-MM, e.g. 2026-07 for July 2026.</t>
  </si>
  <si>
    <t>FTB Produced        Units produced THAT MONTH ONLY (not a running total).</t>
  </si>
  <si>
    <t>Installed                Units installed THAT MONTH ONLY (not a running total).</t>
  </si>
  <si>
    <t>The dashboard uses the most recent 3 months per site to calculate an average monthly rate, then projects forward 6 months to flag when a site is likely to cross the 100-unit critical variance threshold.</t>
  </si>
  <si>
    <t>RISK METHODOLOGY (calculated automatically by the dashboard)</t>
  </si>
  <si>
    <t>Critical    variance (FTB Produced − Installed) below 100 units</t>
  </si>
  <si>
    <t>At Risk    variance between 100–199 units</t>
  </si>
  <si>
    <t>On Track  variance of 200+ units</t>
  </si>
  <si>
    <t>PRODUCTION &amp; INSTALLATION EFFICIENCY (NEW)</t>
  </si>
  <si>
    <t>IMPORTANT: FTB is supplied by the client (Phirst Park Homes) — 'FTB Produced' above tracks their</t>
  </si>
  <si>
    <t>scope, not ours. The columns below track PCS's own production (panels) and installation activity,</t>
  </si>
  <si>
    <t>which is a separate scope from FTB.</t>
  </si>
  <si>
    <t>Available both in Project Overview (cumulative, columns P-W) and Monthly History (columns E-L,</t>
  </si>
  <si>
    <t>per month) — use whichever view fits how you want to track it.</t>
  </si>
  <si>
    <t>Manpower (Production)         Headcount assigned to panel production.</t>
  </si>
  <si>
    <t>Manpower (Installation)        Headcount assigned to installation.</t>
  </si>
  <si>
    <t>Manhours (Production)          Total hours worked by the production crew. Kept separate from</t>
  </si>
  <si>
    <t xml:space="preserve">                                          installation manhours so neither efficiency figure gets distorted</t>
  </si>
  <si>
    <t xml:space="preserve">                                          by the other activity's labor.</t>
  </si>
  <si>
    <t>Manhours (Installation)         Total hours worked by the installation crew.</t>
  </si>
  <si>
    <t>Volume Produced m3             Cubic meters of panels produced by PCS this period.</t>
  </si>
  <si>
    <t>Volume Installed m3              Cubic meters actually installed this period.</t>
  </si>
  <si>
    <t>Production Efficiency            Auto-calculated: Volume Produced ÷ Manhours (Production).</t>
  </si>
  <si>
    <t xml:space="preserve">                                          Measured in m3 per manhour.</t>
  </si>
  <si>
    <t>Installation Efficiency           Auto-calculated: Volume Installed ÷ Manhours (Installation).</t>
  </si>
  <si>
    <t>ANNUAL HISTORY (NEW) — PRE-2026 REFERENCE ONLY</t>
  </si>
  <si>
    <t>For sites that started before monthly tracking began. One row per site per year (2021-2025).</t>
  </si>
  <si>
    <t>This sheet is NOT read by the dashboard — it's a historical reference only, since annual totals</t>
  </si>
  <si>
    <t>can't be used for the monthly projection math. The dashboard's projection only uses Monthly</t>
  </si>
  <si>
    <t>History (2026 onward), which is when your real monthly tracking starts.</t>
  </si>
  <si>
    <t>MONTHLY HISTORY — TWO NEW COLUMNS ADDED</t>
  </si>
  <si>
    <t>Target Installation     Planned/budgeted installation for that month.</t>
  </si>
  <si>
    <t>RFIA COCA                  Request for Inspection/Acceptance this month — the stage before</t>
  </si>
  <si>
    <t xml:space="preserve">                                    final COCA clearance. Tracked separately from COCA itself.</t>
  </si>
  <si>
    <t>MONTHLY HISTORY — PLAN VS. ACTUAL (NEW)</t>
  </si>
  <si>
    <t>Target FTB Produced   Planned/forecast FTB availability from the client for that month.</t>
  </si>
  <si>
    <t xml:space="preserve">                                   Compare against actual FTB Produced to catch client-side</t>
  </si>
  <si>
    <t xml:space="preserve">                                   delivery delays early. Shown on the dashboard as a Plan vs.</t>
  </si>
  <si>
    <t xml:space="preserve">                                   Actual chart, alongside Target Installation vs. Actual Installation.</t>
  </si>
  <si>
    <t>FTB Supply &amp; Production — Project Overview</t>
  </si>
  <si>
    <t>Fill in yellow cells only. Grey cells are auto-calculated — do not overwrite them.</t>
  </si>
  <si>
    <t>Site</t>
  </si>
  <si>
    <t>Contract Units</t>
  </si>
  <si>
    <t>With PO</t>
  </si>
  <si>
    <t>No PO</t>
  </si>
  <si>
    <t>PO %</t>
  </si>
  <si>
    <t>FTB Produced</t>
  </si>
  <si>
    <t>Installed</t>
  </si>
  <si>
    <t>Available FTB</t>
  </si>
  <si>
    <t>COCA</t>
  </si>
  <si>
    <t>Critical Month</t>
  </si>
  <si>
    <t>Risk Level</t>
  </si>
  <si>
    <t>Auto Risk (preview)</t>
  </si>
  <si>
    <t>Notes</t>
  </si>
  <si>
    <t>Action</t>
  </si>
  <si>
    <t>Manpower (Production)</t>
  </si>
  <si>
    <t>Manpower (Installation)</t>
  </si>
  <si>
    <t>Manhours (Production)</t>
  </si>
  <si>
    <t>Manhours (Installation)</t>
  </si>
  <si>
    <t>Volume Produced m3 (Panels)</t>
  </si>
  <si>
    <t>Volume Installed m3</t>
  </si>
  <si>
    <t>Batulao Parkhomes</t>
  </si>
  <si>
    <t>Calauan (Alora+Amani)</t>
  </si>
  <si>
    <t>Gentri</t>
  </si>
  <si>
    <t>Naic</t>
  </si>
  <si>
    <t>The Cove Lipa</t>
  </si>
  <si>
    <t>Sights Bay</t>
  </si>
  <si>
    <t>Tayabas</t>
  </si>
  <si>
    <t>Batulao Impression</t>
  </si>
  <si>
    <t>FTB Supply &amp; Production — Monthly History</t>
  </si>
  <si>
    <t>One row per site per month. Add a new row each month — never overwrite past months.</t>
  </si>
  <si>
    <t>Month format: YYYY-MM (e.g. 2026-07). This feeds the dashboard's 6-month projection chart.</t>
  </si>
  <si>
    <t>Month</t>
  </si>
  <si>
    <t>Target Installation</t>
  </si>
  <si>
    <t>RFIA COCA</t>
  </si>
  <si>
    <t>Target FTB Produced</t>
  </si>
  <si>
    <t>2026-06</t>
  </si>
  <si>
    <t>Annual History — Reference Only (2021–2025)</t>
  </si>
  <si>
    <t>Historical reference before monthly tracking began. Not read by the dashboard — Monthly History (2026+) is what feeds the live projection.</t>
  </si>
  <si>
    <t>Year</t>
  </si>
  <si>
    <t>Actual Installation</t>
  </si>
  <si>
    <t>Deductions (Punchlist/Awarded/Hold Units)</t>
  </si>
  <si>
    <t>2026-01</t>
  </si>
  <si>
    <t>2026-02</t>
  </si>
  <si>
    <t>2026-03</t>
  </si>
  <si>
    <t>2026-04</t>
  </si>
  <si>
    <t>2026-05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</si>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</sst>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color rgb="FF1C2530"/>
      <name val="Arial"/>
      <charset val="1"/>
    </font>
    <font>
      <sz val="10"/>
      <name val="Arial"/>
      <charset val="1"/>
    </font>
    <font>
      <b/>
      <sz val="11"/>
      <color rgb="FF1C2530"/>
      <name val="Arial"/>
      <charset val="1"/>
    </font>
    <font>
      <b/>
      <sz val="14"/>
      <color rgb="FF1C2530"/>
      <name val="Arial"/>
      <charset val="1"/>
    </font>
    <font>
      <i/>
      <sz val="9"/>
      <color rgb="FF77807A"/>
      <name val="Arial"/>
      <charset val="1"/>
    </font>
    <font>
      <b/>
      <sz val="10"/>
      <color rgb="FFFFFFFF"/>
      <name val="Arial"/>
      <charset val="1"/>
    </font>
    <font>
      <sz val="10"/>
      <name val="Arial"/>
    </font>
    <font>
      <b/>
      <sz val="11"/>
      <color rgb="FF1C2530"/>
      <name val="Arial"/>
    </font>
    <font>
      <sz val="10"/>
      <color rgb="FF000000"/>
      <name val="Arial"/>
    </font>
    <font>
      <sz val="8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C2530"/>
        <bgColor rgb="FF333300"/>
      </patternFill>
    </fill>
    <fill>
      <patternFill patternType="solid">
        <fgColor rgb="FFFFF6D6"/>
        <bgColor rgb="FFF2F0EA"/>
      </patternFill>
    </fill>
    <fill>
      <patternFill patternType="solid">
        <fgColor rgb="FFF2F0EA"/>
        <bgColor rgb="FFE8E8E8"/>
      </patternFill>
    </fill>
    <fill>
      <patternFill patternType="solid">
        <fgColor rgb="FFC00000"/>
        <bgColor rgb="FFF2F0EA"/>
      </patternFill>
    </fill>
  </fills>
  <borders count="3">
    <border>
      <left/>
      <right/>
      <top/>
      <bottom/>
      <diagonal/>
    </border>
    <border>
      <left style="thin">
        <color rgb="FFD9D6CC"/>
      </left>
      <right style="thin">
        <color rgb="FFD9D6CC"/>
      </right>
      <top style="thin">
        <color rgb="FFD9D6CC"/>
      </top>
      <bottom style="thin">
        <color rgb="FFD9D6CC"/>
      </bottom>
      <diagonal/>
    </border>
    <border>
      <left style="thin">
        <color rgb="FFD9D6CC"/>
      </left>
      <right style="thin">
        <color rgb="FFD9D6CC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3" fontId="2" fillId="3" borderId="1" xfId="0" applyNumberFormat="1" applyFont="1" applyFill="1" applyBorder="1"/>
    <xf numFmtId="3" fontId="2" fillId="4" borderId="1" xfId="0" applyNumberFormat="1" applyFont="1" applyFill="1" applyBorder="1"/>
    <xf numFmtId="9" fontId="2" fillId="4" borderId="1" xfId="0" applyNumberFormat="1" applyFont="1" applyFill="1" applyBorder="1"/>
    <xf numFmtId="0" fontId="2" fillId="4" borderId="1" xfId="0" applyFont="1" applyFill="1" applyBorder="1"/>
    <xf numFmtId="3" fontId="0" fillId="3" borderId="1" xfId="0" applyNumberFormat="1" applyFill="1" applyBorder="1"/>
    <xf numFmtId="0" fontId="0" fillId="3" borderId="1" xfId="0" applyFill="1" applyBorder="1"/>
    <xf numFmtId="3" fontId="0" fillId="4" borderId="1" xfId="0" applyNumberFormat="1" applyFill="1" applyBorder="1"/>
    <xf numFmtId="9" fontId="0" fillId="4" borderId="1" xfId="0" applyNumberFormat="1" applyFill="1" applyBorder="1"/>
    <xf numFmtId="0" fontId="0" fillId="4" borderId="1" xfId="0" applyFill="1" applyBorder="1"/>
    <xf numFmtId="49" fontId="0" fillId="3" borderId="1" xfId="0" applyNumberFormat="1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5" borderId="1" xfId="0" applyFont="1" applyFill="1" applyBorder="1"/>
    <xf numFmtId="49" fontId="11" fillId="5" borderId="1" xfId="0" applyNumberFormat="1" applyFont="1" applyFill="1" applyBorder="1"/>
    <xf numFmtId="3" fontId="11" fillId="5" borderId="1" xfId="0" applyNumberFormat="1" applyFont="1" applyFill="1" applyBorder="1"/>
    <xf numFmtId="0" fontId="0" fillId="3" borderId="2" xfId="0" applyFill="1" applyBorder="1"/>
    <xf numFmtId="3" fontId="0" fillId="3" borderId="2" xfId="0" applyNumberFormat="1" applyFill="1" applyBorder="1"/>
    <xf numFmtId="0" fontId="12" fillId="5" borderId="1" xfId="0" applyFont="1" applyFill="1" applyBorder="1"/>
    <xf numFmtId="49" fontId="13" fillId="3" borderId="1" xfId="0" applyNumberFormat="1" applyFont="1" applyFill="1" applyBorder="1"/>
    <xf numFmtId="3" fontId="13" fillId="3" borderId="1" xfId="0" applyNumberFormat="1" applyFont="1" applyFill="1" applyBorder="1"/>
    <xf numFmtId="0" fontId="14" fillId="5" borderId="1" xfId="0" applyFont="1" applyFill="1" applyBorder="1"/>
    <xf numFmtId="0" fontId="5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807A"/>
      <rgbColor rgb="FF9999FF"/>
      <rgbColor rgb="FF993366"/>
      <rgbColor rgb="FFFFF6D6"/>
      <rgbColor rgb="FFE8E8E8"/>
      <rgbColor rgb="FF660066"/>
      <rgbColor rgb="FFFF8080"/>
      <rgbColor rgb="FF0066CC"/>
      <rgbColor rgb="FFD9D6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0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0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5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88"/>
  <sheetViews>
    <sheetView topLeftCell="A18" zoomScaleNormal="100" workbookViewId="0">
      <selection activeCell="B7" sqref="B7"/>
    </sheetView>
  </sheetViews>
  <sheetFormatPr defaultColWidth="8.6640625" defaultRowHeight="14.4" x14ac:dyDescent="0.3"/>
  <cols>
    <col min="1" max="1" width="3" customWidth="1"/>
    <col min="2" max="2" width="100" customWidth="1"/>
  </cols>
  <sheetData>
    <row r="2" spans="2:2" ht="19.5" customHeight="1" x14ac:dyDescent="0.4">
      <c r="B2" s="1" t="s">
        <v>0</v>
      </c>
    </row>
    <row r="4" spans="2:2" ht="15" customHeight="1" x14ac:dyDescent="0.3">
      <c r="B4" s="2" t="s">
        <v>1</v>
      </c>
    </row>
    <row r="5" spans="2:2" ht="15" customHeight="1" x14ac:dyDescent="0.3">
      <c r="B5" s="2"/>
    </row>
    <row r="6" spans="2:2" ht="15" customHeight="1" x14ac:dyDescent="0.3">
      <c r="B6" s="3" t="s">
        <v>2</v>
      </c>
    </row>
    <row r="7" spans="2:2" ht="15" customHeight="1" x14ac:dyDescent="0.3">
      <c r="B7" s="2" t="s">
        <v>3</v>
      </c>
    </row>
    <row r="8" spans="2:2" ht="15" customHeight="1" x14ac:dyDescent="0.3">
      <c r="B8" s="2" t="s">
        <v>4</v>
      </c>
    </row>
    <row r="9" spans="2:2" ht="15" customHeight="1" x14ac:dyDescent="0.3">
      <c r="B9" s="2" t="s">
        <v>5</v>
      </c>
    </row>
    <row r="10" spans="2:2" ht="15" customHeight="1" x14ac:dyDescent="0.3">
      <c r="B10" s="2" t="s">
        <v>6</v>
      </c>
    </row>
    <row r="11" spans="2:2" ht="15" customHeight="1" x14ac:dyDescent="0.3">
      <c r="B11" s="2"/>
    </row>
    <row r="12" spans="2:2" ht="15" customHeight="1" x14ac:dyDescent="0.3">
      <c r="B12" s="3" t="s">
        <v>7</v>
      </c>
    </row>
    <row r="13" spans="2:2" ht="15" customHeight="1" x14ac:dyDescent="0.3">
      <c r="B13" s="2" t="s">
        <v>8</v>
      </c>
    </row>
    <row r="14" spans="2:2" ht="15" customHeight="1" x14ac:dyDescent="0.3">
      <c r="B14" s="2" t="s">
        <v>9</v>
      </c>
    </row>
    <row r="15" spans="2:2" ht="15" customHeight="1" x14ac:dyDescent="0.3">
      <c r="B15" s="2" t="s">
        <v>10</v>
      </c>
    </row>
    <row r="16" spans="2:2" ht="15" customHeight="1" x14ac:dyDescent="0.3">
      <c r="B16" s="2"/>
    </row>
    <row r="17" spans="2:2" ht="15" customHeight="1" x14ac:dyDescent="0.3">
      <c r="B17" s="3" t="s">
        <v>11</v>
      </c>
    </row>
    <row r="18" spans="2:2" ht="15" customHeight="1" x14ac:dyDescent="0.3">
      <c r="B18" s="2" t="s">
        <v>12</v>
      </c>
    </row>
    <row r="19" spans="2:2" ht="15" customHeight="1" x14ac:dyDescent="0.3">
      <c r="B19" s="2" t="s">
        <v>13</v>
      </c>
    </row>
    <row r="20" spans="2:2" ht="15" customHeight="1" x14ac:dyDescent="0.3">
      <c r="B20" s="2" t="s">
        <v>14</v>
      </c>
    </row>
    <row r="21" spans="2:2" ht="15" customHeight="1" x14ac:dyDescent="0.3">
      <c r="B21" s="2" t="s">
        <v>15</v>
      </c>
    </row>
    <row r="22" spans="2:2" ht="15" customHeight="1" x14ac:dyDescent="0.3">
      <c r="B22" s="2" t="s">
        <v>16</v>
      </c>
    </row>
    <row r="23" spans="2:2" ht="15" customHeight="1" x14ac:dyDescent="0.3">
      <c r="B23" s="2" t="s">
        <v>17</v>
      </c>
    </row>
    <row r="24" spans="2:2" ht="15" customHeight="1" x14ac:dyDescent="0.3">
      <c r="B24" s="2" t="s">
        <v>18</v>
      </c>
    </row>
    <row r="25" spans="2:2" ht="15" customHeight="1" x14ac:dyDescent="0.3">
      <c r="B25" s="2" t="s">
        <v>19</v>
      </c>
    </row>
    <row r="26" spans="2:2" ht="15" customHeight="1" x14ac:dyDescent="0.3">
      <c r="B26" s="2" t="s">
        <v>20</v>
      </c>
    </row>
    <row r="27" spans="2:2" ht="15" customHeight="1" x14ac:dyDescent="0.3">
      <c r="B27" s="2" t="s">
        <v>21</v>
      </c>
    </row>
    <row r="28" spans="2:2" ht="15" customHeight="1" x14ac:dyDescent="0.3">
      <c r="B28" s="2" t="s">
        <v>22</v>
      </c>
    </row>
    <row r="29" spans="2:2" ht="15" customHeight="1" x14ac:dyDescent="0.3">
      <c r="B29" s="2" t="s">
        <v>23</v>
      </c>
    </row>
    <row r="30" spans="2:2" ht="15" customHeight="1" x14ac:dyDescent="0.3">
      <c r="B30" s="2" t="s">
        <v>24</v>
      </c>
    </row>
    <row r="31" spans="2:2" ht="15" customHeight="1" x14ac:dyDescent="0.3">
      <c r="B31" s="2" t="s">
        <v>25</v>
      </c>
    </row>
    <row r="32" spans="2:2" ht="15" customHeight="1" x14ac:dyDescent="0.3">
      <c r="B32" s="2" t="s">
        <v>26</v>
      </c>
    </row>
    <row r="33" spans="2:2" ht="15" customHeight="1" x14ac:dyDescent="0.3">
      <c r="B33" s="2" t="s">
        <v>27</v>
      </c>
    </row>
    <row r="34" spans="2:2" ht="15" customHeight="1" x14ac:dyDescent="0.3">
      <c r="B34" s="2" t="s">
        <v>28</v>
      </c>
    </row>
    <row r="35" spans="2:2" ht="15" customHeight="1" x14ac:dyDescent="0.3">
      <c r="B35" s="2"/>
    </row>
    <row r="36" spans="2:2" ht="15" customHeight="1" x14ac:dyDescent="0.3">
      <c r="B36" s="3" t="s">
        <v>29</v>
      </c>
    </row>
    <row r="37" spans="2:2" ht="15" customHeight="1" x14ac:dyDescent="0.3">
      <c r="B37" s="2" t="s">
        <v>30</v>
      </c>
    </row>
    <row r="38" spans="2:2" ht="15" customHeight="1" x14ac:dyDescent="0.3">
      <c r="B38" s="2" t="s">
        <v>31</v>
      </c>
    </row>
    <row r="39" spans="2:2" ht="15" customHeight="1" x14ac:dyDescent="0.3">
      <c r="B39" s="2" t="s">
        <v>32</v>
      </c>
    </row>
    <row r="40" spans="2:2" ht="15" customHeight="1" x14ac:dyDescent="0.3">
      <c r="B40" s="2" t="s">
        <v>33</v>
      </c>
    </row>
    <row r="41" spans="2:2" ht="15" customHeight="1" x14ac:dyDescent="0.3">
      <c r="B41" s="2"/>
    </row>
    <row r="42" spans="2:2" ht="15" customHeight="1" x14ac:dyDescent="0.3">
      <c r="B42" s="2" t="s">
        <v>34</v>
      </c>
    </row>
    <row r="43" spans="2:2" ht="15" customHeight="1" x14ac:dyDescent="0.3">
      <c r="B43" s="2"/>
    </row>
    <row r="44" spans="2:2" ht="15" customHeight="1" x14ac:dyDescent="0.3">
      <c r="B44" s="2" t="s">
        <v>35</v>
      </c>
    </row>
    <row r="45" spans="2:2" ht="15" customHeight="1" x14ac:dyDescent="0.3">
      <c r="B45" s="2" t="s">
        <v>36</v>
      </c>
    </row>
    <row r="46" spans="2:2" ht="15" customHeight="1" x14ac:dyDescent="0.3">
      <c r="B46" s="2" t="s">
        <v>37</v>
      </c>
    </row>
    <row r="47" spans="2:2" ht="15" customHeight="1" x14ac:dyDescent="0.3">
      <c r="B47" s="2" t="s">
        <v>38</v>
      </c>
    </row>
    <row r="49" spans="2:2" ht="15" customHeight="1" x14ac:dyDescent="0.3">
      <c r="B49" s="2"/>
    </row>
    <row r="50" spans="2:2" ht="15" customHeight="1" x14ac:dyDescent="0.3">
      <c r="B50" s="3" t="s">
        <v>39</v>
      </c>
    </row>
    <row r="51" spans="2:2" ht="15" customHeight="1" x14ac:dyDescent="0.3">
      <c r="B51" s="2" t="s">
        <v>40</v>
      </c>
    </row>
    <row r="52" spans="2:2" ht="15" customHeight="1" x14ac:dyDescent="0.3">
      <c r="B52" s="2" t="s">
        <v>41</v>
      </c>
    </row>
    <row r="53" spans="2:2" ht="15" customHeight="1" x14ac:dyDescent="0.3">
      <c r="B53" s="2" t="s">
        <v>42</v>
      </c>
    </row>
    <row r="54" spans="2:2" ht="15" customHeight="1" x14ac:dyDescent="0.3">
      <c r="B54" s="2"/>
    </row>
    <row r="55" spans="2:2" ht="15" customHeight="1" x14ac:dyDescent="0.3">
      <c r="B55" s="2" t="s">
        <v>43</v>
      </c>
    </row>
    <row r="56" spans="2:2" ht="15" customHeight="1" x14ac:dyDescent="0.3">
      <c r="B56" s="2" t="s">
        <v>44</v>
      </c>
    </row>
    <row r="57" spans="2:2" ht="15" customHeight="1" x14ac:dyDescent="0.3">
      <c r="B57" s="2"/>
    </row>
    <row r="58" spans="2:2" ht="15" customHeight="1" x14ac:dyDescent="0.3">
      <c r="B58" s="2" t="s">
        <v>45</v>
      </c>
    </row>
    <row r="59" spans="2:2" ht="15" customHeight="1" x14ac:dyDescent="0.3">
      <c r="B59" s="2" t="s">
        <v>46</v>
      </c>
    </row>
    <row r="60" spans="2:2" ht="15" customHeight="1" x14ac:dyDescent="0.3">
      <c r="B60" s="2" t="s">
        <v>47</v>
      </c>
    </row>
    <row r="61" spans="2:2" ht="15" customHeight="1" x14ac:dyDescent="0.3">
      <c r="B61" s="2" t="s">
        <v>48</v>
      </c>
    </row>
    <row r="62" spans="2:2" ht="15" customHeight="1" x14ac:dyDescent="0.3">
      <c r="B62" s="2" t="s">
        <v>49</v>
      </c>
    </row>
    <row r="63" spans="2:2" ht="15" customHeight="1" x14ac:dyDescent="0.3">
      <c r="B63" s="2" t="s">
        <v>50</v>
      </c>
    </row>
    <row r="64" spans="2:2" ht="15" customHeight="1" x14ac:dyDescent="0.3">
      <c r="B64" s="2" t="s">
        <v>51</v>
      </c>
    </row>
    <row r="65" spans="2:2" ht="15" customHeight="1" x14ac:dyDescent="0.3">
      <c r="B65" s="2" t="s">
        <v>52</v>
      </c>
    </row>
    <row r="66" spans="2:2" ht="15" customHeight="1" x14ac:dyDescent="0.3">
      <c r="B66" s="2" t="s">
        <v>53</v>
      </c>
    </row>
    <row r="67" spans="2:2" ht="15" customHeight="1" x14ac:dyDescent="0.3">
      <c r="B67" s="2" t="s">
        <v>54</v>
      </c>
    </row>
    <row r="68" spans="2:2" ht="15" customHeight="1" x14ac:dyDescent="0.3">
      <c r="B68" s="2" t="s">
        <v>55</v>
      </c>
    </row>
    <row r="69" spans="2:2" ht="15" customHeight="1" x14ac:dyDescent="0.3">
      <c r="B69" s="2" t="s">
        <v>54</v>
      </c>
    </row>
    <row r="71" spans="2:2" ht="15" customHeight="1" x14ac:dyDescent="0.3">
      <c r="B71" s="2"/>
    </row>
    <row r="72" spans="2:2" ht="15" customHeight="1" x14ac:dyDescent="0.3">
      <c r="B72" s="3" t="s">
        <v>56</v>
      </c>
    </row>
    <row r="73" spans="2:2" ht="15" customHeight="1" x14ac:dyDescent="0.3">
      <c r="B73" s="2" t="s">
        <v>57</v>
      </c>
    </row>
    <row r="74" spans="2:2" ht="15" customHeight="1" x14ac:dyDescent="0.3">
      <c r="B74" s="2" t="s">
        <v>58</v>
      </c>
    </row>
    <row r="75" spans="2:2" ht="15" customHeight="1" x14ac:dyDescent="0.3">
      <c r="B75" s="2" t="s">
        <v>59</v>
      </c>
    </row>
    <row r="76" spans="2:2" ht="15" customHeight="1" x14ac:dyDescent="0.3">
      <c r="B76" s="2" t="s">
        <v>60</v>
      </c>
    </row>
    <row r="77" spans="2:2" ht="15" customHeight="1" x14ac:dyDescent="0.3">
      <c r="B77" s="2"/>
    </row>
    <row r="78" spans="2:2" ht="15" customHeight="1" x14ac:dyDescent="0.3">
      <c r="B78" s="3" t="s">
        <v>61</v>
      </c>
    </row>
    <row r="79" spans="2:2" ht="15" customHeight="1" x14ac:dyDescent="0.3">
      <c r="B79" s="2" t="s">
        <v>62</v>
      </c>
    </row>
    <row r="80" spans="2:2" ht="15" customHeight="1" x14ac:dyDescent="0.3">
      <c r="B80" s="2" t="s">
        <v>63</v>
      </c>
    </row>
    <row r="81" spans="2:2" ht="15" customHeight="1" x14ac:dyDescent="0.3">
      <c r="B81" s="2" t="s">
        <v>64</v>
      </c>
    </row>
    <row r="83" spans="2:2" x14ac:dyDescent="0.3">
      <c r="B83" s="16"/>
    </row>
    <row r="84" spans="2:2" x14ac:dyDescent="0.3">
      <c r="B84" s="17" t="s">
        <v>65</v>
      </c>
    </row>
    <row r="85" spans="2:2" x14ac:dyDescent="0.3">
      <c r="B85" s="18" t="s">
        <v>66</v>
      </c>
    </row>
    <row r="86" spans="2:2" x14ac:dyDescent="0.3">
      <c r="B86" s="18" t="s">
        <v>67</v>
      </c>
    </row>
    <row r="87" spans="2:2" x14ac:dyDescent="0.3">
      <c r="B87" s="18" t="s">
        <v>68</v>
      </c>
    </row>
    <row r="88" spans="2:2" x14ac:dyDescent="0.3">
      <c r="B88" s="18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tabSelected="1" zoomScaleNormal="100" workbookViewId="0">
      <pane ySplit="4" topLeftCell="A5" activePane="bottomLeft" state="frozen"/>
      <selection pane="bottomLeft" activeCell="A22" sqref="A22"/>
    </sheetView>
  </sheetViews>
  <sheetFormatPr defaultColWidth="8.6640625" defaultRowHeight="14.4" x14ac:dyDescent="0.3"/>
  <cols>
    <col min="1" max="1" width="24" customWidth="1"/>
    <col min="2" max="2" width="13" customWidth="1"/>
    <col min="3" max="4" width="10" customWidth="1"/>
    <col min="5" max="5" width="8" customWidth="1"/>
    <col min="6" max="6" width="12" customWidth="1"/>
    <col min="7" max="7" width="10" customWidth="1"/>
    <col min="8" max="8" width="24.5546875" customWidth="1"/>
    <col min="9" max="9" width="12" customWidth="1"/>
    <col min="10" max="10" width="9" customWidth="1"/>
    <col min="11" max="11" width="20" customWidth="1"/>
    <col min="12" max="12" width="10" customWidth="1"/>
    <col min="13" max="13" width="14" customWidth="1"/>
    <col min="14" max="14" width="30" customWidth="1"/>
    <col min="15" max="15" width="34" customWidth="1"/>
  </cols>
  <sheetData>
    <row r="1" spans="1:15" ht="17.25" customHeight="1" x14ac:dyDescent="0.3">
      <c r="A1" s="30" t="s">
        <v>70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5" customHeight="1" x14ac:dyDescent="0.3">
      <c r="A2" s="28" t="s">
        <v>71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4" spans="1:15" ht="42.6" customHeight="1" x14ac:dyDescent="0.3">
      <c r="A4" s="4" t="s">
        <v>72</v>
      </c>
      <c r="B4" s="4" t="s">
        <v>73</v>
      </c>
      <c r="C4" s="4" t="s">
        <v>74</v>
      </c>
      <c r="D4" s="4" t="s">
        <v>75</v>
      </c>
      <c r="E4" s="4" t="s">
        <v>76</v>
      </c>
      <c r="F4" s="4" t="s">
        <v>77</v>
      </c>
      <c r="G4" s="4" t="s">
        <v>78</v>
      </c>
      <c r="H4" s="4" t="s">
        <v>112</v>
      </c>
      <c r="I4" s="4" t="s">
        <v>79</v>
      </c>
      <c r="J4" s="4" t="s">
        <v>80</v>
      </c>
      <c r="K4" s="4" t="s">
        <v>81</v>
      </c>
      <c r="L4" s="4" t="s">
        <v>82</v>
      </c>
      <c r="M4" s="4" t="s">
        <v>83</v>
      </c>
      <c r="N4" s="4" t="s">
        <v>84</v>
      </c>
      <c r="O4" s="4" t="s">
        <v>85</v>
      </c>
    </row>
    <row r="5" spans="1:15" ht="15" customHeight="1" x14ac:dyDescent="0.3">
      <c r="A5" s="5" t="s">
        <v>92</v>
      </c>
      <c r="B5" s="6">
        <v>2052</v>
      </c>
      <c r="C5" s="6">
        <v>2019</v>
      </c>
      <c r="D5" s="7">
        <f t="shared" ref="D5:D18" si="0">B5-C5</f>
        <v>33</v>
      </c>
      <c r="E5" s="8">
        <f t="shared" ref="E5:E18" si="1">IFERROR(C5/B5,0)</f>
        <v>0.98391812865497075</v>
      </c>
      <c r="F5" s="6">
        <f>SUM('Annual History'!C5:C9)+SUM('Monthly History'!C6:C17)</f>
        <v>1839</v>
      </c>
      <c r="G5" s="6">
        <f>SUM('Annual History'!E5:E9)+SUM('Monthly History'!D6:D17)</f>
        <v>1824</v>
      </c>
      <c r="H5" s="6">
        <v>0</v>
      </c>
      <c r="I5" s="7">
        <f t="shared" ref="I5:I18" si="2">F5-G5-H5</f>
        <v>15</v>
      </c>
      <c r="J5" s="6">
        <f>SUM('Annual History'!G5:G9)+SUM('Monthly History'!L6:L17)</f>
        <v>1685</v>
      </c>
      <c r="K5" s="5"/>
      <c r="L5" s="5"/>
      <c r="M5" s="9" t="str">
        <f t="shared" ref="M5:M18" si="3">IF((F5-G5)&lt;100,"Critical",IF((F5-G5)&lt;200,"At Risk","On Track"))</f>
        <v>Critical</v>
      </c>
      <c r="N5" s="5"/>
      <c r="O5" s="5"/>
    </row>
    <row r="6" spans="1:15" ht="15" customHeight="1" x14ac:dyDescent="0.3">
      <c r="A6" s="5" t="s">
        <v>93</v>
      </c>
      <c r="B6" s="6">
        <f>830+1390</f>
        <v>2220</v>
      </c>
      <c r="C6" s="6">
        <v>666</v>
      </c>
      <c r="D6" s="7">
        <f t="shared" si="0"/>
        <v>1554</v>
      </c>
      <c r="E6" s="8">
        <f t="shared" si="1"/>
        <v>0.3</v>
      </c>
      <c r="F6" s="6">
        <f>SUM('Annual History'!C10)+SUM('Monthly History'!C18:C29)</f>
        <v>521</v>
      </c>
      <c r="G6" s="6">
        <f>SUM('Annual History'!E10)+SUM('Monthly History'!D18:D29)</f>
        <v>416</v>
      </c>
      <c r="H6" s="6">
        <v>26</v>
      </c>
      <c r="I6" s="7">
        <f t="shared" si="2"/>
        <v>79</v>
      </c>
      <c r="J6" s="6">
        <f>SUM('Annual History'!G10)+SUM('Monthly History'!L18:L29)</f>
        <v>316</v>
      </c>
      <c r="K6" s="5"/>
      <c r="L6" s="5"/>
      <c r="M6" s="9" t="str">
        <f t="shared" si="3"/>
        <v>At Risk</v>
      </c>
      <c r="N6" s="5"/>
      <c r="O6" s="5"/>
    </row>
    <row r="7" spans="1:15" ht="15" customHeight="1" x14ac:dyDescent="0.3">
      <c r="A7" s="5" t="s">
        <v>94</v>
      </c>
      <c r="B7" s="6">
        <v>1642</v>
      </c>
      <c r="C7" s="6">
        <v>1540</v>
      </c>
      <c r="D7" s="7">
        <f t="shared" si="0"/>
        <v>102</v>
      </c>
      <c r="E7" s="8">
        <f t="shared" si="1"/>
        <v>0.93788063337393424</v>
      </c>
      <c r="F7" s="6">
        <f>SUM('Annual History'!C11:C13)+SUM('Monthly History'!C30:C41)</f>
        <v>1379</v>
      </c>
      <c r="G7" s="6">
        <f>SUM('Annual History'!E11:E13)+SUM('Monthly History'!D30:D41)</f>
        <v>1287</v>
      </c>
      <c r="H7" s="6">
        <v>0</v>
      </c>
      <c r="I7" s="7">
        <f t="shared" si="2"/>
        <v>92</v>
      </c>
      <c r="J7" s="6">
        <f>SUM('Annual History'!G11:G13)+SUM('Monthly History'!M30:M41)</f>
        <v>819</v>
      </c>
      <c r="K7" s="5"/>
      <c r="L7" s="5"/>
      <c r="M7" s="9" t="str">
        <f t="shared" si="3"/>
        <v>Critical</v>
      </c>
      <c r="N7" s="5"/>
      <c r="O7" s="5"/>
    </row>
    <row r="8" spans="1:15" ht="15" customHeight="1" x14ac:dyDescent="0.3">
      <c r="A8" s="5" t="s">
        <v>95</v>
      </c>
      <c r="B8" s="6">
        <v>1943</v>
      </c>
      <c r="C8" s="6">
        <v>1685</v>
      </c>
      <c r="D8" s="7">
        <f t="shared" si="0"/>
        <v>258</v>
      </c>
      <c r="E8" s="8">
        <f t="shared" si="1"/>
        <v>0.86721564590838907</v>
      </c>
      <c r="F8" s="6">
        <f>SUM('Annual History'!C14:C16)+SUM('Monthly History'!C42:C53)</f>
        <v>1218</v>
      </c>
      <c r="G8" s="6">
        <f>SUM('Annual History'!E14:E16)+SUM('Monthly History'!D42:D53)</f>
        <v>1058</v>
      </c>
      <c r="H8" s="6">
        <v>0</v>
      </c>
      <c r="I8" s="7">
        <f t="shared" si="2"/>
        <v>160</v>
      </c>
      <c r="J8" s="6">
        <f>SUM('Annual History'!G14:G16)+SUM('Monthly History'!L42:L53)</f>
        <v>1026</v>
      </c>
      <c r="K8" s="5"/>
      <c r="L8" s="5"/>
      <c r="M8" s="9" t="str">
        <f t="shared" si="3"/>
        <v>At Risk</v>
      </c>
      <c r="N8" s="5"/>
      <c r="O8" s="5"/>
    </row>
    <row r="9" spans="1:15" ht="15" customHeight="1" x14ac:dyDescent="0.3">
      <c r="A9" s="5" t="s">
        <v>96</v>
      </c>
      <c r="B9" s="6">
        <v>1116</v>
      </c>
      <c r="C9" s="6">
        <v>1018</v>
      </c>
      <c r="D9" s="7">
        <f t="shared" si="0"/>
        <v>98</v>
      </c>
      <c r="E9" s="8">
        <f t="shared" si="1"/>
        <v>0.91218637992831542</v>
      </c>
      <c r="F9" s="6">
        <f>SUM('Annual History'!C17)+SUM('Monthly History'!C54:C65)</f>
        <v>844</v>
      </c>
      <c r="G9" s="6">
        <f>SUM('Annual History'!E17)+SUM('Monthly History'!D54:D65)</f>
        <v>604</v>
      </c>
      <c r="H9" s="6">
        <v>0</v>
      </c>
      <c r="I9" s="7">
        <f t="shared" si="2"/>
        <v>240</v>
      </c>
      <c r="J9" s="6">
        <f>SUM('Annual History'!G17)+SUM('Monthly History'!L54:L65)</f>
        <v>616</v>
      </c>
      <c r="K9" s="5"/>
      <c r="L9" s="5"/>
      <c r="M9" s="9" t="str">
        <f t="shared" si="3"/>
        <v>On Track</v>
      </c>
      <c r="N9" s="5"/>
      <c r="O9" s="5"/>
    </row>
    <row r="10" spans="1:15" ht="15" customHeight="1" x14ac:dyDescent="0.3">
      <c r="A10" s="5" t="s">
        <v>97</v>
      </c>
      <c r="B10" s="6">
        <v>2266</v>
      </c>
      <c r="C10" s="6">
        <v>1540</v>
      </c>
      <c r="D10" s="7">
        <f t="shared" si="0"/>
        <v>726</v>
      </c>
      <c r="E10" s="8">
        <f t="shared" si="1"/>
        <v>0.67961165048543692</v>
      </c>
      <c r="F10" s="6">
        <f>SUM('Annual History'!C18:C20)+SUM('Monthly History'!C66:C77)</f>
        <v>2044</v>
      </c>
      <c r="G10" s="6">
        <f>SUM('Annual History'!E18:E20)+SUM('Monthly History'!D66:D77)</f>
        <v>1812</v>
      </c>
      <c r="H10" s="6">
        <v>0</v>
      </c>
      <c r="I10" s="7">
        <f t="shared" si="2"/>
        <v>232</v>
      </c>
      <c r="J10" s="6">
        <f>SUM('Annual History'!G18:G20)+SUM('Monthly History'!L66:L77)</f>
        <v>1788</v>
      </c>
      <c r="K10" s="5"/>
      <c r="L10" s="5"/>
      <c r="M10" s="9" t="str">
        <f t="shared" si="3"/>
        <v>On Track</v>
      </c>
      <c r="N10" s="5"/>
      <c r="O10" s="5"/>
    </row>
    <row r="11" spans="1:15" ht="15" customHeight="1" x14ac:dyDescent="0.3">
      <c r="A11" s="5" t="s">
        <v>98</v>
      </c>
      <c r="B11" s="6">
        <v>2048</v>
      </c>
      <c r="C11" s="6">
        <v>1615</v>
      </c>
      <c r="D11" s="7">
        <f t="shared" si="0"/>
        <v>433</v>
      </c>
      <c r="E11" s="8">
        <f t="shared" si="1"/>
        <v>0.78857421875</v>
      </c>
      <c r="F11" s="6">
        <f>SUM('Annual History'!C21:C23)+SUM('Monthly History'!C78:C89)</f>
        <v>1450</v>
      </c>
      <c r="G11" s="6">
        <f>SUM('Annual History'!E21:E23)+SUM('Monthly History'!D78:D89)</f>
        <v>1274</v>
      </c>
      <c r="H11" s="6">
        <v>0</v>
      </c>
      <c r="I11" s="7">
        <f t="shared" si="2"/>
        <v>176</v>
      </c>
      <c r="J11" s="6">
        <f>SUM('Annual History'!G21:G23)+SUM('Monthly History'!L78:L89)</f>
        <v>1240</v>
      </c>
      <c r="K11" s="5"/>
      <c r="L11" s="5"/>
      <c r="M11" s="9" t="str">
        <f t="shared" si="3"/>
        <v>At Risk</v>
      </c>
      <c r="N11" s="5"/>
      <c r="O11" s="5"/>
    </row>
    <row r="12" spans="1:15" ht="15" customHeight="1" x14ac:dyDescent="0.3">
      <c r="A12" s="5" t="s">
        <v>99</v>
      </c>
      <c r="B12" s="6">
        <v>1054</v>
      </c>
      <c r="C12" s="6">
        <v>296</v>
      </c>
      <c r="D12" s="7">
        <f t="shared" si="0"/>
        <v>758</v>
      </c>
      <c r="E12" s="8">
        <f t="shared" si="1"/>
        <v>0.28083491461100568</v>
      </c>
      <c r="F12" s="6">
        <f>SUM('Annual History'!C24)+SUM('Monthly History'!C90:C101)</f>
        <v>184</v>
      </c>
      <c r="G12" s="6">
        <f>SUM('Annual History'!E24+SUM('Monthly History'!D90:D101))</f>
        <v>30</v>
      </c>
      <c r="H12" s="6">
        <v>0</v>
      </c>
      <c r="I12" s="7">
        <f t="shared" si="2"/>
        <v>154</v>
      </c>
      <c r="J12" s="6">
        <f>SUM('Annual History'!G24)+SUM('Monthly History'!L90:L101)</f>
        <v>0</v>
      </c>
      <c r="K12" s="5"/>
      <c r="L12" s="5"/>
      <c r="M12" s="9" t="str">
        <f t="shared" si="3"/>
        <v>At Risk</v>
      </c>
      <c r="N12" s="5"/>
      <c r="O12" s="5"/>
    </row>
    <row r="13" spans="1:15" ht="15" customHeight="1" x14ac:dyDescent="0.3">
      <c r="A13" s="11"/>
      <c r="B13" s="10"/>
      <c r="C13" s="10"/>
      <c r="D13" s="12">
        <f t="shared" si="0"/>
        <v>0</v>
      </c>
      <c r="E13" s="13">
        <f t="shared" si="1"/>
        <v>0</v>
      </c>
      <c r="F13" s="10"/>
      <c r="G13" s="10"/>
      <c r="H13" s="10"/>
      <c r="I13" s="12">
        <f t="shared" si="2"/>
        <v>0</v>
      </c>
      <c r="J13" s="10"/>
      <c r="K13" s="11"/>
      <c r="L13" s="11"/>
      <c r="M13" s="14" t="str">
        <f t="shared" si="3"/>
        <v>Critical</v>
      </c>
      <c r="N13" s="11"/>
      <c r="O13" s="11"/>
    </row>
    <row r="14" spans="1:15" ht="15" customHeight="1" x14ac:dyDescent="0.3">
      <c r="A14" s="11"/>
      <c r="B14" s="10"/>
      <c r="C14" s="10"/>
      <c r="D14" s="12">
        <f t="shared" si="0"/>
        <v>0</v>
      </c>
      <c r="E14" s="13">
        <f t="shared" si="1"/>
        <v>0</v>
      </c>
      <c r="F14" s="10"/>
      <c r="G14" s="10"/>
      <c r="H14" s="10"/>
      <c r="I14" s="12">
        <f t="shared" si="2"/>
        <v>0</v>
      </c>
      <c r="J14" s="10"/>
      <c r="K14" s="11"/>
      <c r="L14" s="11"/>
      <c r="M14" s="14" t="str">
        <f t="shared" si="3"/>
        <v>Critical</v>
      </c>
      <c r="N14" s="11"/>
      <c r="O14" s="11"/>
    </row>
    <row r="15" spans="1:15" ht="15" customHeight="1" x14ac:dyDescent="0.3">
      <c r="A15" s="11"/>
      <c r="B15" s="10"/>
      <c r="C15" s="10"/>
      <c r="D15" s="12">
        <f t="shared" si="0"/>
        <v>0</v>
      </c>
      <c r="E15" s="13">
        <f t="shared" si="1"/>
        <v>0</v>
      </c>
      <c r="F15" s="10"/>
      <c r="G15" s="10"/>
      <c r="H15" s="10"/>
      <c r="I15" s="12">
        <f t="shared" si="2"/>
        <v>0</v>
      </c>
      <c r="J15" s="10"/>
      <c r="K15" s="11"/>
      <c r="L15" s="11"/>
      <c r="M15" s="14" t="str">
        <f t="shared" si="3"/>
        <v>Critical</v>
      </c>
      <c r="N15" s="11"/>
      <c r="O15" s="11"/>
    </row>
    <row r="16" spans="1:15" ht="15" customHeight="1" x14ac:dyDescent="0.3">
      <c r="A16" s="11"/>
      <c r="B16" s="10"/>
      <c r="C16" s="10"/>
      <c r="D16" s="12">
        <f t="shared" si="0"/>
        <v>0</v>
      </c>
      <c r="E16" s="13">
        <f t="shared" si="1"/>
        <v>0</v>
      </c>
      <c r="F16" s="10"/>
      <c r="G16" s="10"/>
      <c r="H16" s="10"/>
      <c r="I16" s="12">
        <f t="shared" si="2"/>
        <v>0</v>
      </c>
      <c r="J16" s="10"/>
      <c r="K16" s="11"/>
      <c r="L16" s="11"/>
      <c r="M16" s="14" t="str">
        <f t="shared" si="3"/>
        <v>Critical</v>
      </c>
      <c r="N16" s="11"/>
      <c r="O16" s="11"/>
    </row>
    <row r="17" spans="1:15" ht="15" customHeight="1" x14ac:dyDescent="0.3">
      <c r="A17" s="11"/>
      <c r="B17" s="10"/>
      <c r="C17" s="10"/>
      <c r="D17" s="12">
        <f t="shared" si="0"/>
        <v>0</v>
      </c>
      <c r="E17" s="13">
        <f t="shared" si="1"/>
        <v>0</v>
      </c>
      <c r="F17" s="10"/>
      <c r="G17" s="10"/>
      <c r="H17" s="10"/>
      <c r="I17" s="12">
        <f t="shared" si="2"/>
        <v>0</v>
      </c>
      <c r="J17" s="10"/>
      <c r="K17" s="11"/>
      <c r="L17" s="11"/>
      <c r="M17" s="14" t="str">
        <f t="shared" si="3"/>
        <v>Critical</v>
      </c>
      <c r="N17" s="11"/>
      <c r="O17" s="11"/>
    </row>
    <row r="18" spans="1:15" ht="15" customHeight="1" x14ac:dyDescent="0.3">
      <c r="A18" s="11"/>
      <c r="B18" s="10"/>
      <c r="C18" s="10"/>
      <c r="D18" s="12">
        <f t="shared" si="0"/>
        <v>0</v>
      </c>
      <c r="E18" s="13">
        <f t="shared" si="1"/>
        <v>0</v>
      </c>
      <c r="F18" s="10"/>
      <c r="G18" s="10"/>
      <c r="H18" s="10"/>
      <c r="I18" s="12">
        <f t="shared" si="2"/>
        <v>0</v>
      </c>
      <c r="J18" s="10"/>
      <c r="K18" s="11"/>
      <c r="L18" s="11"/>
      <c r="M18" s="14" t="str">
        <f t="shared" si="3"/>
        <v>Critical</v>
      </c>
      <c r="N18" s="11"/>
      <c r="O18" s="11"/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topLeftCell="A19" zoomScale="70" zoomScaleNormal="70" workbookViewId="0">
      <selection activeCell="C42" sqref="C42:C53"/>
    </sheetView>
  </sheetViews>
  <sheetFormatPr defaultColWidth="8.6640625" defaultRowHeight="14.4" outlineLevelRow="2" x14ac:dyDescent="0.3"/>
  <cols>
    <col min="1" max="1" width="26" customWidth="1"/>
    <col min="2" max="3" width="14" customWidth="1"/>
    <col min="4" max="4" width="12" customWidth="1"/>
    <col min="5" max="13" width="15" customWidth="1"/>
  </cols>
  <sheetData>
    <row r="1" spans="1:13" ht="17.25" customHeight="1" x14ac:dyDescent="0.3">
      <c r="A1" s="30" t="s">
        <v>100</v>
      </c>
      <c r="B1" s="29"/>
      <c r="C1" s="29"/>
      <c r="D1" s="29"/>
    </row>
    <row r="2" spans="1:13" ht="15" customHeight="1" x14ac:dyDescent="0.3">
      <c r="A2" s="28" t="s">
        <v>101</v>
      </c>
      <c r="B2" s="29"/>
      <c r="C2" s="29"/>
      <c r="D2" s="29"/>
    </row>
    <row r="3" spans="1:13" ht="15" customHeight="1" x14ac:dyDescent="0.3">
      <c r="A3" s="28" t="s">
        <v>102</v>
      </c>
      <c r="B3" s="29"/>
      <c r="C3" s="29"/>
      <c r="D3" s="29"/>
    </row>
    <row r="5" spans="1:13" ht="31.5" customHeight="1" x14ac:dyDescent="0.3">
      <c r="A5" s="4" t="s">
        <v>72</v>
      </c>
      <c r="B5" s="4" t="s">
        <v>103</v>
      </c>
      <c r="C5" s="4" t="s">
        <v>77</v>
      </c>
      <c r="D5" s="4" t="s">
        <v>78</v>
      </c>
      <c r="E5" s="4" t="s">
        <v>90</v>
      </c>
      <c r="F5" s="4" t="s">
        <v>91</v>
      </c>
      <c r="G5" s="4" t="s">
        <v>86</v>
      </c>
      <c r="H5" s="4" t="s">
        <v>87</v>
      </c>
      <c r="I5" s="4" t="s">
        <v>88</v>
      </c>
      <c r="J5" s="4" t="s">
        <v>89</v>
      </c>
      <c r="K5" s="4" t="s">
        <v>104</v>
      </c>
      <c r="L5" s="4" t="s">
        <v>80</v>
      </c>
      <c r="M5" s="4" t="s">
        <v>106</v>
      </c>
    </row>
    <row r="6" spans="1:13" ht="15" customHeight="1" x14ac:dyDescent="0.3">
      <c r="A6" s="19" t="s">
        <v>92</v>
      </c>
      <c r="B6" s="20" t="s">
        <v>113</v>
      </c>
      <c r="C6" s="21">
        <v>0</v>
      </c>
      <c r="D6" s="21">
        <v>14</v>
      </c>
      <c r="E6" s="21">
        <v>121.489</v>
      </c>
      <c r="F6" s="21">
        <v>146.5</v>
      </c>
      <c r="G6" s="21"/>
      <c r="H6" s="21"/>
      <c r="I6" s="21">
        <v>3176</v>
      </c>
      <c r="J6" s="21">
        <v>525</v>
      </c>
      <c r="K6" s="21">
        <v>60</v>
      </c>
      <c r="L6" s="21">
        <v>14</v>
      </c>
      <c r="M6" s="21">
        <v>60</v>
      </c>
    </row>
    <row r="7" spans="1:13" ht="15" customHeight="1" outlineLevel="2" x14ac:dyDescent="0.3">
      <c r="A7" s="19" t="s">
        <v>92</v>
      </c>
      <c r="B7" s="15" t="s">
        <v>114</v>
      </c>
      <c r="C7" s="10">
        <v>8</v>
      </c>
      <c r="D7" s="10">
        <v>30</v>
      </c>
      <c r="E7" s="10">
        <v>402.23700000000002</v>
      </c>
      <c r="F7" s="10">
        <v>374.03</v>
      </c>
      <c r="G7" s="10"/>
      <c r="H7" s="10"/>
      <c r="I7" s="10">
        <v>5112</v>
      </c>
      <c r="J7" s="10">
        <v>760</v>
      </c>
      <c r="K7" s="10">
        <v>60</v>
      </c>
      <c r="L7" s="10">
        <v>102</v>
      </c>
      <c r="M7" s="10">
        <v>60</v>
      </c>
    </row>
    <row r="8" spans="1:13" ht="15" customHeight="1" outlineLevel="2" x14ac:dyDescent="0.3">
      <c r="A8" s="19" t="s">
        <v>92</v>
      </c>
      <c r="B8" s="15" t="s">
        <v>115</v>
      </c>
      <c r="C8" s="10">
        <v>30</v>
      </c>
      <c r="D8" s="10">
        <v>48</v>
      </c>
      <c r="E8" s="10">
        <v>497.37299999999999</v>
      </c>
      <c r="F8" s="10">
        <v>543.6</v>
      </c>
      <c r="G8" s="10"/>
      <c r="H8" s="10"/>
      <c r="I8" s="10">
        <v>6429.87</v>
      </c>
      <c r="J8" s="10">
        <v>923</v>
      </c>
      <c r="K8" s="10">
        <v>60</v>
      </c>
      <c r="L8" s="10">
        <v>81</v>
      </c>
      <c r="M8" s="10">
        <v>60</v>
      </c>
    </row>
    <row r="9" spans="1:13" ht="15" customHeight="1" outlineLevel="2" x14ac:dyDescent="0.3">
      <c r="A9" s="19" t="s">
        <v>92</v>
      </c>
      <c r="B9" s="15" t="s">
        <v>116</v>
      </c>
      <c r="C9" s="10">
        <v>22</v>
      </c>
      <c r="D9" s="10">
        <v>42</v>
      </c>
      <c r="E9" s="10">
        <v>518.74</v>
      </c>
      <c r="F9" s="10">
        <v>517.55999999999995</v>
      </c>
      <c r="G9" s="10"/>
      <c r="H9" s="10"/>
      <c r="I9" s="10">
        <v>5454.94</v>
      </c>
      <c r="J9" s="10">
        <v>631</v>
      </c>
      <c r="K9" s="10">
        <v>60</v>
      </c>
      <c r="L9" s="10">
        <v>82</v>
      </c>
      <c r="M9" s="10">
        <v>60</v>
      </c>
    </row>
    <row r="10" spans="1:13" ht="15" customHeight="1" outlineLevel="2" x14ac:dyDescent="0.3">
      <c r="A10" s="19" t="s">
        <v>92</v>
      </c>
      <c r="B10" s="15" t="s">
        <v>117</v>
      </c>
      <c r="C10" s="10">
        <v>32</v>
      </c>
      <c r="D10" s="10">
        <v>24</v>
      </c>
      <c r="E10" s="10">
        <v>485.38</v>
      </c>
      <c r="F10" s="10">
        <v>510.78</v>
      </c>
      <c r="G10" s="10"/>
      <c r="H10" s="10"/>
      <c r="I10" s="10">
        <v>5103</v>
      </c>
      <c r="J10" s="10">
        <v>657</v>
      </c>
      <c r="K10" s="10">
        <v>60</v>
      </c>
      <c r="L10" s="10">
        <v>20</v>
      </c>
      <c r="M10" s="10">
        <v>60</v>
      </c>
    </row>
    <row r="11" spans="1:13" ht="15" customHeight="1" outlineLevel="2" x14ac:dyDescent="0.3">
      <c r="A11" s="19" t="s">
        <v>92</v>
      </c>
      <c r="B11" s="15" t="s">
        <v>107</v>
      </c>
      <c r="C11" s="10">
        <v>17</v>
      </c>
      <c r="D11" s="10">
        <v>49</v>
      </c>
      <c r="E11" s="10">
        <v>498.43</v>
      </c>
      <c r="F11" s="10">
        <v>439.42</v>
      </c>
      <c r="G11" s="10"/>
      <c r="H11" s="10"/>
      <c r="I11" s="10">
        <v>5314</v>
      </c>
      <c r="J11" s="10">
        <v>828</v>
      </c>
      <c r="K11" s="10">
        <v>60</v>
      </c>
      <c r="L11" s="10">
        <v>70</v>
      </c>
      <c r="M11" s="10">
        <v>60</v>
      </c>
    </row>
    <row r="12" spans="1:13" ht="15" customHeight="1" outlineLevel="2" x14ac:dyDescent="0.3">
      <c r="A12" s="19" t="s">
        <v>92</v>
      </c>
      <c r="B12" s="15" t="s">
        <v>118</v>
      </c>
      <c r="C12" s="10">
        <v>4</v>
      </c>
      <c r="D12" s="10">
        <v>33</v>
      </c>
      <c r="E12" s="10">
        <v>303.22000000000003</v>
      </c>
      <c r="F12" s="10">
        <v>376.94</v>
      </c>
      <c r="G12" s="10"/>
      <c r="H12" s="10"/>
      <c r="I12" s="10">
        <v>5252</v>
      </c>
      <c r="J12" s="10">
        <v>797</v>
      </c>
      <c r="K12" s="10">
        <v>60</v>
      </c>
      <c r="L12" s="10">
        <v>4</v>
      </c>
      <c r="M12" s="10">
        <v>60</v>
      </c>
    </row>
    <row r="13" spans="1:13" ht="15" customHeight="1" outlineLevel="2" x14ac:dyDescent="0.3">
      <c r="A13" s="27" t="s">
        <v>92</v>
      </c>
      <c r="B13" s="25" t="s">
        <v>119</v>
      </c>
      <c r="C13" s="26">
        <v>0</v>
      </c>
      <c r="D13" s="26">
        <v>0</v>
      </c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15" customHeight="1" outlineLevel="2" x14ac:dyDescent="0.3">
      <c r="A14" s="19" t="s">
        <v>92</v>
      </c>
      <c r="B14" s="15" t="s">
        <v>120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ht="15" customHeight="1" outlineLevel="2" x14ac:dyDescent="0.3">
      <c r="A15" s="19" t="s">
        <v>92</v>
      </c>
      <c r="B15" s="15" t="s">
        <v>121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ht="15" customHeight="1" outlineLevel="2" x14ac:dyDescent="0.3">
      <c r="A16" s="19" t="s">
        <v>92</v>
      </c>
      <c r="B16" s="15" t="s">
        <v>122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" customHeight="1" outlineLevel="2" x14ac:dyDescent="0.3">
      <c r="A17" s="19" t="s">
        <v>92</v>
      </c>
      <c r="B17" s="15" t="s">
        <v>123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" customHeight="1" x14ac:dyDescent="0.3">
      <c r="A18" s="19" t="s">
        <v>93</v>
      </c>
      <c r="B18" s="20" t="s">
        <v>113</v>
      </c>
      <c r="C18" s="21">
        <v>4</v>
      </c>
      <c r="D18" s="21">
        <v>14</v>
      </c>
      <c r="E18" s="21">
        <v>0</v>
      </c>
      <c r="F18" s="21">
        <v>23.71</v>
      </c>
      <c r="G18" s="21"/>
      <c r="H18" s="21"/>
      <c r="I18" s="21">
        <v>0</v>
      </c>
      <c r="J18" s="21">
        <v>880</v>
      </c>
      <c r="K18" s="21">
        <v>0</v>
      </c>
      <c r="L18" s="21">
        <v>60</v>
      </c>
      <c r="M18" s="21">
        <v>60</v>
      </c>
    </row>
    <row r="19" spans="1:13" ht="15" customHeight="1" outlineLevel="1" x14ac:dyDescent="0.3">
      <c r="A19" s="19" t="s">
        <v>93</v>
      </c>
      <c r="B19" s="15" t="s">
        <v>114</v>
      </c>
      <c r="C19" s="10">
        <v>85</v>
      </c>
      <c r="D19" s="10">
        <v>0</v>
      </c>
      <c r="E19" s="10">
        <v>0</v>
      </c>
      <c r="F19" s="10">
        <v>56.98</v>
      </c>
      <c r="G19" s="10"/>
      <c r="H19" s="10"/>
      <c r="I19" s="10">
        <v>0</v>
      </c>
      <c r="J19" s="10">
        <v>264</v>
      </c>
      <c r="K19" s="10">
        <v>0</v>
      </c>
      <c r="L19" s="10">
        <v>0</v>
      </c>
      <c r="M19" s="10">
        <v>60</v>
      </c>
    </row>
    <row r="20" spans="1:13" ht="15" customHeight="1" outlineLevel="1" x14ac:dyDescent="0.3">
      <c r="A20" s="19" t="s">
        <v>93</v>
      </c>
      <c r="B20" s="15" t="s">
        <v>115</v>
      </c>
      <c r="C20" s="10">
        <v>40</v>
      </c>
      <c r="D20" s="10">
        <v>0</v>
      </c>
      <c r="E20" s="10">
        <v>97.75</v>
      </c>
      <c r="F20" s="10">
        <v>8.51</v>
      </c>
      <c r="G20" s="10"/>
      <c r="H20" s="10"/>
      <c r="I20" s="10">
        <v>2640</v>
      </c>
      <c r="J20" s="10">
        <v>664</v>
      </c>
      <c r="K20" s="10">
        <v>30</v>
      </c>
      <c r="L20" s="10">
        <v>0</v>
      </c>
      <c r="M20" s="10">
        <v>60</v>
      </c>
    </row>
    <row r="21" spans="1:13" ht="15" customHeight="1" outlineLevel="1" x14ac:dyDescent="0.3">
      <c r="A21" s="19" t="s">
        <v>93</v>
      </c>
      <c r="B21" s="15" t="s">
        <v>116</v>
      </c>
      <c r="C21" s="10">
        <v>24</v>
      </c>
      <c r="D21" s="10">
        <v>84</v>
      </c>
      <c r="E21" s="10">
        <v>689.28</v>
      </c>
      <c r="F21" s="10">
        <v>644.01</v>
      </c>
      <c r="G21" s="10"/>
      <c r="H21" s="10"/>
      <c r="I21" s="10">
        <v>8938</v>
      </c>
      <c r="J21" s="10">
        <v>1250</v>
      </c>
      <c r="K21" s="10">
        <v>40</v>
      </c>
      <c r="L21" s="10">
        <v>72</v>
      </c>
      <c r="M21" s="10">
        <v>60</v>
      </c>
    </row>
    <row r="22" spans="1:13" ht="15" customHeight="1" outlineLevel="1" x14ac:dyDescent="0.3">
      <c r="A22" s="19" t="s">
        <v>93</v>
      </c>
      <c r="B22" s="15" t="s">
        <v>117</v>
      </c>
      <c r="C22" s="10">
        <v>12</v>
      </c>
      <c r="D22" s="10">
        <v>90</v>
      </c>
      <c r="E22" s="10">
        <v>567.29999999999995</v>
      </c>
      <c r="F22" s="10">
        <v>755.36</v>
      </c>
      <c r="G22" s="10"/>
      <c r="H22" s="10"/>
      <c r="I22" s="10">
        <v>9475</v>
      </c>
      <c r="J22" s="10">
        <v>1224</v>
      </c>
      <c r="K22" s="10">
        <v>60</v>
      </c>
      <c r="L22" s="10">
        <v>102</v>
      </c>
      <c r="M22" s="10">
        <v>60</v>
      </c>
    </row>
    <row r="23" spans="1:13" ht="15" customHeight="1" outlineLevel="1" x14ac:dyDescent="0.3">
      <c r="A23" s="19" t="s">
        <v>93</v>
      </c>
      <c r="B23" s="15" t="s">
        <v>107</v>
      </c>
      <c r="C23" s="10">
        <v>0</v>
      </c>
      <c r="D23" s="10">
        <v>64</v>
      </c>
      <c r="E23" s="10">
        <v>672.15</v>
      </c>
      <c r="F23" s="10">
        <v>506.18</v>
      </c>
      <c r="G23" s="10"/>
      <c r="H23" s="10"/>
      <c r="I23" s="10">
        <v>10743</v>
      </c>
      <c r="J23" s="10">
        <v>1119</v>
      </c>
      <c r="K23" s="10">
        <v>70</v>
      </c>
      <c r="L23" s="10">
        <v>44</v>
      </c>
      <c r="M23" s="10">
        <v>60</v>
      </c>
    </row>
    <row r="24" spans="1:13" ht="15" customHeight="1" outlineLevel="1" x14ac:dyDescent="0.3">
      <c r="A24" s="19" t="s">
        <v>93</v>
      </c>
      <c r="B24" s="15" t="s">
        <v>118</v>
      </c>
      <c r="C24" s="10">
        <v>0</v>
      </c>
      <c r="D24" s="10">
        <v>96</v>
      </c>
      <c r="E24" s="10">
        <v>527.36</v>
      </c>
      <c r="F24" s="10">
        <v>672.01</v>
      </c>
      <c r="G24" s="10"/>
      <c r="H24" s="10"/>
      <c r="I24" s="10">
        <v>12677</v>
      </c>
      <c r="J24" s="10">
        <v>1074</v>
      </c>
      <c r="K24" s="10">
        <v>70</v>
      </c>
      <c r="L24" s="10">
        <v>28</v>
      </c>
      <c r="M24" s="10">
        <v>60</v>
      </c>
    </row>
    <row r="25" spans="1:13" ht="15" customHeight="1" outlineLevel="1" x14ac:dyDescent="0.3">
      <c r="A25" s="24" t="s">
        <v>93</v>
      </c>
      <c r="B25" s="25" t="s">
        <v>119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</row>
    <row r="26" spans="1:13" ht="15" customHeight="1" outlineLevel="1" x14ac:dyDescent="0.3">
      <c r="A26" s="19" t="s">
        <v>93</v>
      </c>
      <c r="B26" s="15" t="s">
        <v>120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ht="15" customHeight="1" outlineLevel="1" x14ac:dyDescent="0.3">
      <c r="A27" s="19" t="s">
        <v>93</v>
      </c>
      <c r="B27" s="15" t="s">
        <v>121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5" customHeight="1" outlineLevel="1" x14ac:dyDescent="0.3">
      <c r="A28" s="19" t="s">
        <v>93</v>
      </c>
      <c r="B28" s="15" t="s">
        <v>122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5" customHeight="1" outlineLevel="1" x14ac:dyDescent="0.3">
      <c r="A29" s="19" t="s">
        <v>93</v>
      </c>
      <c r="B29" s="15" t="s">
        <v>123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5" customHeight="1" x14ac:dyDescent="0.3">
      <c r="A30" s="19" t="s">
        <v>94</v>
      </c>
      <c r="B30" s="20" t="s">
        <v>113</v>
      </c>
      <c r="C30" s="21">
        <v>63</v>
      </c>
      <c r="D30" s="21">
        <v>2</v>
      </c>
      <c r="E30" s="21">
        <v>68.42</v>
      </c>
      <c r="F30" s="21">
        <v>68.42</v>
      </c>
      <c r="G30" s="21"/>
      <c r="H30" s="21">
        <v>0</v>
      </c>
      <c r="I30" s="21">
        <v>0</v>
      </c>
      <c r="J30" s="21">
        <v>832</v>
      </c>
      <c r="K30" s="21"/>
      <c r="L30" s="21">
        <v>2</v>
      </c>
      <c r="M30" s="21"/>
    </row>
    <row r="31" spans="1:13" ht="15" customHeight="1" outlineLevel="1" x14ac:dyDescent="0.3">
      <c r="A31" s="19" t="s">
        <v>94</v>
      </c>
      <c r="B31" s="15" t="s">
        <v>114</v>
      </c>
      <c r="C31" s="10">
        <v>20</v>
      </c>
      <c r="D31" s="10">
        <v>32</v>
      </c>
      <c r="E31" s="10">
        <v>625.59</v>
      </c>
      <c r="F31" s="10">
        <v>625.59</v>
      </c>
      <c r="G31" s="10"/>
      <c r="H31" s="10">
        <v>0</v>
      </c>
      <c r="I31" s="10">
        <v>0</v>
      </c>
      <c r="J31" s="10">
        <v>760</v>
      </c>
      <c r="K31" s="10"/>
      <c r="L31" s="10">
        <v>32</v>
      </c>
      <c r="M31" s="10"/>
    </row>
    <row r="32" spans="1:13" ht="15" customHeight="1" outlineLevel="1" x14ac:dyDescent="0.3">
      <c r="A32" s="19" t="s">
        <v>94</v>
      </c>
      <c r="B32" s="15" t="s">
        <v>115</v>
      </c>
      <c r="C32" s="10">
        <v>0</v>
      </c>
      <c r="D32" s="10">
        <v>72</v>
      </c>
      <c r="E32" s="10">
        <v>938.37</v>
      </c>
      <c r="F32" s="10">
        <v>938.37</v>
      </c>
      <c r="G32" s="10"/>
      <c r="H32" s="10">
        <v>0</v>
      </c>
      <c r="I32" s="10">
        <v>0</v>
      </c>
      <c r="J32" s="10">
        <v>872</v>
      </c>
      <c r="K32" s="10"/>
      <c r="L32" s="10">
        <v>72</v>
      </c>
      <c r="M32" s="10"/>
    </row>
    <row r="33" spans="1:13" ht="15" customHeight="1" outlineLevel="1" x14ac:dyDescent="0.3">
      <c r="A33" s="19" t="s">
        <v>94</v>
      </c>
      <c r="B33" s="15" t="s">
        <v>116</v>
      </c>
      <c r="C33" s="10">
        <v>12</v>
      </c>
      <c r="D33" s="10">
        <v>70</v>
      </c>
      <c r="E33" s="10">
        <v>478.43</v>
      </c>
      <c r="F33" s="10">
        <v>478.43</v>
      </c>
      <c r="G33" s="10"/>
      <c r="H33" s="10">
        <v>0</v>
      </c>
      <c r="I33" s="10">
        <v>0</v>
      </c>
      <c r="J33" s="10">
        <v>1072</v>
      </c>
      <c r="K33" s="10"/>
      <c r="L33" s="10">
        <v>70</v>
      </c>
      <c r="M33" s="10"/>
    </row>
    <row r="34" spans="1:13" ht="15" customHeight="1" outlineLevel="1" x14ac:dyDescent="0.3">
      <c r="A34" s="19" t="s">
        <v>94</v>
      </c>
      <c r="B34" s="15" t="s">
        <v>117</v>
      </c>
      <c r="C34" s="10">
        <v>22</v>
      </c>
      <c r="D34" s="10">
        <v>39</v>
      </c>
      <c r="E34" s="10">
        <v>561.22</v>
      </c>
      <c r="F34" s="10">
        <v>561.22</v>
      </c>
      <c r="G34" s="10"/>
      <c r="H34" s="10">
        <v>0</v>
      </c>
      <c r="I34" s="10">
        <v>0</v>
      </c>
      <c r="J34" s="10">
        <v>1000</v>
      </c>
      <c r="K34" s="10"/>
      <c r="L34" s="10">
        <v>39</v>
      </c>
      <c r="M34" s="10"/>
    </row>
    <row r="35" spans="1:13" ht="15" customHeight="1" outlineLevel="1" x14ac:dyDescent="0.3">
      <c r="A35" s="19" t="s">
        <v>94</v>
      </c>
      <c r="B35" s="15" t="s">
        <v>107</v>
      </c>
      <c r="C35" s="10">
        <v>15</v>
      </c>
      <c r="D35" s="10">
        <v>17</v>
      </c>
      <c r="E35" s="10">
        <v>226.26</v>
      </c>
      <c r="F35" s="10">
        <v>226.26</v>
      </c>
      <c r="G35" s="10"/>
      <c r="H35" s="10">
        <v>0</v>
      </c>
      <c r="I35" s="10">
        <v>0</v>
      </c>
      <c r="J35" s="10">
        <v>520</v>
      </c>
      <c r="K35" s="10"/>
      <c r="L35" s="10">
        <v>17</v>
      </c>
      <c r="M35" s="10"/>
    </row>
    <row r="36" spans="1:13" ht="15" customHeight="1" outlineLevel="1" x14ac:dyDescent="0.3">
      <c r="A36" s="19" t="s">
        <v>94</v>
      </c>
      <c r="B36" s="15" t="s">
        <v>118</v>
      </c>
      <c r="C36" s="10">
        <v>7</v>
      </c>
      <c r="D36" s="10">
        <v>23</v>
      </c>
      <c r="E36" s="10">
        <v>206.56</v>
      </c>
      <c r="F36" s="10">
        <v>380.4</v>
      </c>
      <c r="G36" s="10"/>
      <c r="H36" s="10">
        <v>0</v>
      </c>
      <c r="I36" s="10">
        <v>0</v>
      </c>
      <c r="J36" s="10">
        <v>1024</v>
      </c>
      <c r="K36" s="10"/>
      <c r="L36" s="10">
        <v>20</v>
      </c>
      <c r="M36" s="10"/>
    </row>
    <row r="37" spans="1:13" ht="15" customHeight="1" outlineLevel="1" x14ac:dyDescent="0.3">
      <c r="A37" s="19" t="s">
        <v>94</v>
      </c>
      <c r="B37" s="15" t="s">
        <v>119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ht="15" customHeight="1" outlineLevel="1" x14ac:dyDescent="0.3">
      <c r="A38" s="19" t="s">
        <v>94</v>
      </c>
      <c r="B38" s="15" t="s">
        <v>120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15" customHeight="1" outlineLevel="1" x14ac:dyDescent="0.3">
      <c r="A39" s="19" t="s">
        <v>94</v>
      </c>
      <c r="B39" s="15" t="s">
        <v>121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15" customHeight="1" outlineLevel="1" x14ac:dyDescent="0.3">
      <c r="A40" s="19" t="s">
        <v>94</v>
      </c>
      <c r="B40" s="15" t="s">
        <v>122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15" customHeight="1" outlineLevel="1" x14ac:dyDescent="0.3">
      <c r="A41" s="19" t="s">
        <v>94</v>
      </c>
      <c r="B41" s="15" t="s">
        <v>123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15" customHeight="1" x14ac:dyDescent="0.3">
      <c r="A42" s="19" t="s">
        <v>95</v>
      </c>
      <c r="B42" s="20" t="s">
        <v>113</v>
      </c>
      <c r="C42" s="21">
        <v>48</v>
      </c>
      <c r="D42" s="21">
        <v>8</v>
      </c>
      <c r="E42" s="21">
        <v>76.06</v>
      </c>
      <c r="F42" s="21">
        <v>40.479999999999997</v>
      </c>
      <c r="G42" s="21"/>
      <c r="H42" s="21"/>
      <c r="I42" s="21">
        <v>3998</v>
      </c>
      <c r="J42" s="21">
        <v>456</v>
      </c>
      <c r="K42" s="21"/>
      <c r="L42" s="21">
        <v>44</v>
      </c>
      <c r="M42" s="21"/>
    </row>
    <row r="43" spans="1:13" ht="15" customHeight="1" outlineLevel="1" x14ac:dyDescent="0.3">
      <c r="A43" s="19" t="s">
        <v>95</v>
      </c>
      <c r="B43" s="15" t="s">
        <v>114</v>
      </c>
      <c r="C43" s="10">
        <v>114</v>
      </c>
      <c r="D43" s="10">
        <v>62</v>
      </c>
      <c r="E43" s="10">
        <v>516.85</v>
      </c>
      <c r="F43" s="10">
        <v>500.23</v>
      </c>
      <c r="G43" s="10"/>
      <c r="H43" s="10"/>
      <c r="I43" s="10">
        <v>11408</v>
      </c>
      <c r="J43" s="10">
        <v>920</v>
      </c>
      <c r="K43" s="10"/>
      <c r="L43" s="10">
        <v>104</v>
      </c>
      <c r="M43" s="10"/>
    </row>
    <row r="44" spans="1:13" ht="15" customHeight="1" outlineLevel="1" x14ac:dyDescent="0.3">
      <c r="A44" s="19" t="s">
        <v>95</v>
      </c>
      <c r="B44" s="15" t="s">
        <v>115</v>
      </c>
      <c r="C44" s="10">
        <v>74</v>
      </c>
      <c r="D44" s="10">
        <v>68</v>
      </c>
      <c r="E44" s="10">
        <v>697.56</v>
      </c>
      <c r="F44" s="10">
        <v>791.13</v>
      </c>
      <c r="G44" s="10"/>
      <c r="H44" s="10"/>
      <c r="I44" s="10">
        <v>14799</v>
      </c>
      <c r="J44" s="10">
        <v>1324</v>
      </c>
      <c r="K44" s="10"/>
      <c r="L44" s="10">
        <v>120</v>
      </c>
      <c r="M44" s="10"/>
    </row>
    <row r="45" spans="1:13" ht="15" customHeight="1" outlineLevel="1" x14ac:dyDescent="0.3">
      <c r="A45" s="19" t="s">
        <v>95</v>
      </c>
      <c r="B45" s="15" t="s">
        <v>116</v>
      </c>
      <c r="C45" s="10">
        <v>58</v>
      </c>
      <c r="D45" s="10">
        <v>82</v>
      </c>
      <c r="E45" s="10">
        <v>961.69</v>
      </c>
      <c r="F45" s="10">
        <v>846.85</v>
      </c>
      <c r="G45" s="10"/>
      <c r="H45" s="10"/>
      <c r="I45" s="10">
        <v>13705.16</v>
      </c>
      <c r="J45" s="10">
        <v>1157</v>
      </c>
      <c r="K45" s="10"/>
      <c r="L45" s="10">
        <v>80</v>
      </c>
      <c r="M45" s="10"/>
    </row>
    <row r="46" spans="1:13" ht="15" customHeight="1" outlineLevel="1" x14ac:dyDescent="0.3">
      <c r="A46" s="19" t="s">
        <v>95</v>
      </c>
      <c r="B46" s="15" t="s">
        <v>117</v>
      </c>
      <c r="C46" s="10">
        <v>18</v>
      </c>
      <c r="D46" s="10">
        <v>70</v>
      </c>
      <c r="E46" s="10">
        <v>857.01</v>
      </c>
      <c r="F46" s="10">
        <v>789.23</v>
      </c>
      <c r="G46" s="10"/>
      <c r="H46" s="10"/>
      <c r="I46" s="10">
        <v>14154</v>
      </c>
      <c r="J46" s="10">
        <v>1128</v>
      </c>
      <c r="K46" s="10"/>
      <c r="L46" s="10">
        <v>66</v>
      </c>
      <c r="M46" s="10"/>
    </row>
    <row r="47" spans="1:13" ht="15" customHeight="1" outlineLevel="1" x14ac:dyDescent="0.3">
      <c r="A47" s="19" t="s">
        <v>95</v>
      </c>
      <c r="B47" s="15" t="s">
        <v>107</v>
      </c>
      <c r="C47" s="10">
        <v>16</v>
      </c>
      <c r="D47" s="10">
        <v>120</v>
      </c>
      <c r="E47" s="10">
        <v>1074.94</v>
      </c>
      <c r="F47" s="10">
        <v>1253.69</v>
      </c>
      <c r="G47" s="10"/>
      <c r="H47" s="10"/>
      <c r="I47" s="10">
        <v>13364</v>
      </c>
      <c r="J47" s="10">
        <v>1472</v>
      </c>
      <c r="K47" s="10"/>
      <c r="L47" s="10">
        <v>120</v>
      </c>
      <c r="M47" s="10"/>
    </row>
    <row r="48" spans="1:13" ht="15" customHeight="1" outlineLevel="1" x14ac:dyDescent="0.3">
      <c r="A48" s="19" t="s">
        <v>95</v>
      </c>
      <c r="B48" s="15" t="s">
        <v>118</v>
      </c>
      <c r="C48" s="10">
        <v>0</v>
      </c>
      <c r="D48" s="10">
        <v>66</v>
      </c>
      <c r="E48" s="10">
        <v>345.45</v>
      </c>
      <c r="F48" s="10">
        <v>432.26</v>
      </c>
      <c r="G48" s="10"/>
      <c r="H48" s="10"/>
      <c r="I48" s="10">
        <v>10965</v>
      </c>
      <c r="J48" s="10">
        <v>680</v>
      </c>
      <c r="K48" s="10"/>
      <c r="L48" s="10">
        <v>52</v>
      </c>
      <c r="M48" s="10"/>
    </row>
    <row r="49" spans="1:13" ht="15" customHeight="1" outlineLevel="1" x14ac:dyDescent="0.3">
      <c r="A49" s="19" t="s">
        <v>95</v>
      </c>
      <c r="B49" s="15" t="s">
        <v>119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ht="15" customHeight="1" outlineLevel="1" x14ac:dyDescent="0.3">
      <c r="A50" s="19" t="s">
        <v>95</v>
      </c>
      <c r="B50" s="15" t="s">
        <v>120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ht="15" customHeight="1" outlineLevel="1" x14ac:dyDescent="0.3">
      <c r="A51" s="19" t="s">
        <v>95</v>
      </c>
      <c r="B51" s="15" t="s">
        <v>121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ht="15" customHeight="1" outlineLevel="1" x14ac:dyDescent="0.3">
      <c r="A52" s="19" t="s">
        <v>95</v>
      </c>
      <c r="B52" s="15" t="s">
        <v>122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ht="15" customHeight="1" outlineLevel="1" x14ac:dyDescent="0.3">
      <c r="A53" s="19" t="s">
        <v>95</v>
      </c>
      <c r="B53" s="15" t="s">
        <v>123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ht="15" customHeight="1" x14ac:dyDescent="0.3">
      <c r="A54" s="19" t="s">
        <v>96</v>
      </c>
      <c r="B54" s="20" t="s">
        <v>113</v>
      </c>
      <c r="C54" s="21">
        <v>24</v>
      </c>
      <c r="D54" s="21">
        <v>46</v>
      </c>
      <c r="E54" s="21">
        <v>407.24</v>
      </c>
      <c r="F54" s="21">
        <v>490.37</v>
      </c>
      <c r="G54" s="21"/>
      <c r="H54" s="21"/>
      <c r="I54" s="21"/>
      <c r="J54" s="21">
        <v>994</v>
      </c>
      <c r="K54" s="21"/>
      <c r="L54" s="21">
        <v>132</v>
      </c>
      <c r="M54" s="21"/>
    </row>
    <row r="55" spans="1:13" ht="15" customHeight="1" outlineLevel="1" x14ac:dyDescent="0.3">
      <c r="A55" s="19" t="s">
        <v>96</v>
      </c>
      <c r="B55" s="15" t="s">
        <v>114</v>
      </c>
      <c r="C55" s="10">
        <v>44</v>
      </c>
      <c r="D55" s="10">
        <v>42</v>
      </c>
      <c r="E55" s="10">
        <v>415.08</v>
      </c>
      <c r="F55" s="10">
        <v>434.61</v>
      </c>
      <c r="G55" s="10"/>
      <c r="H55" s="10"/>
      <c r="I55" s="10"/>
      <c r="J55" s="10">
        <v>1135</v>
      </c>
      <c r="K55" s="10"/>
      <c r="L55" s="10">
        <v>32</v>
      </c>
      <c r="M55" s="10"/>
    </row>
    <row r="56" spans="1:13" ht="15" customHeight="1" outlineLevel="1" x14ac:dyDescent="0.3">
      <c r="A56" s="19" t="s">
        <v>96</v>
      </c>
      <c r="B56" s="15" t="s">
        <v>115</v>
      </c>
      <c r="C56" s="10">
        <v>52</v>
      </c>
      <c r="D56" s="10">
        <v>56</v>
      </c>
      <c r="E56" s="10">
        <v>513.78</v>
      </c>
      <c r="F56" s="10">
        <v>509.37</v>
      </c>
      <c r="G56" s="10"/>
      <c r="H56" s="10"/>
      <c r="I56" s="10"/>
      <c r="J56" s="10">
        <v>1295</v>
      </c>
      <c r="K56" s="10"/>
      <c r="L56" s="10">
        <v>38</v>
      </c>
      <c r="M56" s="10"/>
    </row>
    <row r="57" spans="1:13" ht="15" customHeight="1" outlineLevel="1" x14ac:dyDescent="0.3">
      <c r="A57" s="19" t="s">
        <v>96</v>
      </c>
      <c r="B57" s="15" t="s">
        <v>116</v>
      </c>
      <c r="C57" s="10">
        <v>74</v>
      </c>
      <c r="D57" s="10">
        <v>72</v>
      </c>
      <c r="E57" s="10">
        <v>627.25</v>
      </c>
      <c r="F57" s="10">
        <v>642.85</v>
      </c>
      <c r="G57" s="10"/>
      <c r="H57" s="10"/>
      <c r="I57" s="10"/>
      <c r="J57" s="10">
        <v>1377</v>
      </c>
      <c r="K57" s="10"/>
      <c r="L57" s="10">
        <v>100</v>
      </c>
      <c r="M57" s="10"/>
    </row>
    <row r="58" spans="1:13" ht="15" customHeight="1" outlineLevel="1" x14ac:dyDescent="0.3">
      <c r="A58" s="19" t="s">
        <v>96</v>
      </c>
      <c r="B58" s="15" t="s">
        <v>117</v>
      </c>
      <c r="C58" s="10">
        <v>46</v>
      </c>
      <c r="D58" s="10">
        <v>48</v>
      </c>
      <c r="E58" s="10">
        <v>569.29999999999995</v>
      </c>
      <c r="F58" s="10">
        <v>696.62</v>
      </c>
      <c r="G58" s="10"/>
      <c r="H58" s="10"/>
      <c r="I58" s="10"/>
      <c r="J58" s="10">
        <v>1215</v>
      </c>
      <c r="K58" s="10"/>
      <c r="L58" s="10">
        <v>52</v>
      </c>
      <c r="M58" s="10"/>
    </row>
    <row r="59" spans="1:13" ht="15" customHeight="1" outlineLevel="1" x14ac:dyDescent="0.3">
      <c r="A59" s="19" t="s">
        <v>96</v>
      </c>
      <c r="B59" s="15" t="s">
        <v>107</v>
      </c>
      <c r="C59" s="10">
        <v>50</v>
      </c>
      <c r="D59" s="10">
        <v>74</v>
      </c>
      <c r="E59" s="10">
        <v>600.34</v>
      </c>
      <c r="F59" s="10">
        <v>658.17</v>
      </c>
      <c r="G59" s="10"/>
      <c r="H59" s="10"/>
      <c r="I59" s="10"/>
      <c r="J59" s="10">
        <v>1228</v>
      </c>
      <c r="K59" s="10"/>
      <c r="L59" s="10">
        <v>70</v>
      </c>
      <c r="M59" s="10"/>
    </row>
    <row r="60" spans="1:13" ht="15" customHeight="1" outlineLevel="1" x14ac:dyDescent="0.3">
      <c r="A60" s="19" t="s">
        <v>96</v>
      </c>
      <c r="B60" s="15" t="s">
        <v>118</v>
      </c>
      <c r="C60" s="10">
        <v>0</v>
      </c>
      <c r="D60" s="10">
        <v>36</v>
      </c>
      <c r="E60" s="10">
        <v>640.51</v>
      </c>
      <c r="F60" s="10">
        <v>571.03</v>
      </c>
      <c r="G60" s="10"/>
      <c r="H60" s="10"/>
      <c r="I60" s="10"/>
      <c r="J60" s="10">
        <v>1280</v>
      </c>
      <c r="K60" s="10"/>
      <c r="L60" s="10">
        <v>64</v>
      </c>
      <c r="M60" s="10"/>
    </row>
    <row r="61" spans="1:13" ht="15" customHeight="1" outlineLevel="1" x14ac:dyDescent="0.3">
      <c r="A61" s="19" t="s">
        <v>96</v>
      </c>
      <c r="B61" s="15" t="s">
        <v>119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ht="15" customHeight="1" outlineLevel="1" x14ac:dyDescent="0.3">
      <c r="A62" s="19" t="s">
        <v>96</v>
      </c>
      <c r="B62" s="15" t="s">
        <v>120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ht="15" customHeight="1" outlineLevel="1" x14ac:dyDescent="0.3">
      <c r="A63" s="19" t="s">
        <v>96</v>
      </c>
      <c r="B63" s="15" t="s">
        <v>121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ht="15" customHeight="1" outlineLevel="1" x14ac:dyDescent="0.3">
      <c r="A64" s="19" t="s">
        <v>96</v>
      </c>
      <c r="B64" s="15" t="s">
        <v>122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spans="1:13" ht="15" customHeight="1" outlineLevel="1" x14ac:dyDescent="0.3">
      <c r="A65" s="19" t="s">
        <v>96</v>
      </c>
      <c r="B65" s="15" t="s">
        <v>123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13" ht="15" customHeight="1" x14ac:dyDescent="0.3">
      <c r="A66" s="19" t="s">
        <v>97</v>
      </c>
      <c r="B66" s="20" t="s">
        <v>113</v>
      </c>
      <c r="C66" s="21">
        <v>49</v>
      </c>
      <c r="D66" s="21">
        <v>0</v>
      </c>
      <c r="E66" s="21"/>
      <c r="F66" s="21"/>
      <c r="G66" s="21"/>
      <c r="H66" s="21"/>
      <c r="I66" s="21"/>
      <c r="J66" s="21"/>
      <c r="K66" s="21"/>
      <c r="L66" s="21">
        <v>57</v>
      </c>
      <c r="M66" s="21"/>
    </row>
    <row r="67" spans="1:13" ht="15" customHeight="1" outlineLevel="1" x14ac:dyDescent="0.3">
      <c r="A67" s="19" t="s">
        <v>97</v>
      </c>
      <c r="B67" s="15" t="s">
        <v>114</v>
      </c>
      <c r="C67" s="10">
        <v>0</v>
      </c>
      <c r="D67" s="10">
        <v>0</v>
      </c>
      <c r="E67" s="10"/>
      <c r="F67" s="10"/>
      <c r="G67" s="10"/>
      <c r="H67" s="10"/>
      <c r="I67" s="10"/>
      <c r="J67" s="10">
        <v>0</v>
      </c>
      <c r="K67" s="10"/>
      <c r="L67" s="10">
        <v>19</v>
      </c>
      <c r="M67" s="10"/>
    </row>
    <row r="68" spans="1:13" ht="15" customHeight="1" outlineLevel="1" x14ac:dyDescent="0.3">
      <c r="A68" s="19" t="s">
        <v>97</v>
      </c>
      <c r="B68" s="15" t="s">
        <v>115</v>
      </c>
      <c r="C68" s="10">
        <v>5</v>
      </c>
      <c r="D68" s="10">
        <v>0</v>
      </c>
      <c r="E68" s="10"/>
      <c r="F68" s="10"/>
      <c r="G68" s="10"/>
      <c r="H68" s="10"/>
      <c r="I68" s="10"/>
      <c r="J68" s="10">
        <v>0</v>
      </c>
      <c r="K68" s="10"/>
      <c r="L68" s="10">
        <v>12</v>
      </c>
      <c r="M68" s="10"/>
    </row>
    <row r="69" spans="1:13" ht="15" customHeight="1" outlineLevel="1" x14ac:dyDescent="0.3">
      <c r="A69" s="19" t="s">
        <v>97</v>
      </c>
      <c r="B69" s="15" t="s">
        <v>116</v>
      </c>
      <c r="C69" s="10">
        <v>0</v>
      </c>
      <c r="D69" s="10">
        <v>0</v>
      </c>
      <c r="E69" s="10"/>
      <c r="F69" s="10"/>
      <c r="G69" s="10"/>
      <c r="H69" s="10"/>
      <c r="I69" s="10"/>
      <c r="J69" s="10">
        <v>0</v>
      </c>
      <c r="K69" s="10"/>
      <c r="L69" s="10">
        <v>32</v>
      </c>
      <c r="M69" s="10"/>
    </row>
    <row r="70" spans="1:13" ht="15" customHeight="1" outlineLevel="1" x14ac:dyDescent="0.3">
      <c r="A70" s="19" t="s">
        <v>97</v>
      </c>
      <c r="B70" s="15" t="s">
        <v>117</v>
      </c>
      <c r="C70" s="10">
        <v>0</v>
      </c>
      <c r="D70" s="10">
        <v>0</v>
      </c>
      <c r="E70" s="10">
        <v>7.12</v>
      </c>
      <c r="F70" s="10"/>
      <c r="G70" s="10"/>
      <c r="H70" s="10"/>
      <c r="I70" s="10"/>
      <c r="J70" s="10">
        <v>0</v>
      </c>
      <c r="K70" s="10"/>
      <c r="L70" s="10">
        <v>0</v>
      </c>
      <c r="M70" s="10"/>
    </row>
    <row r="71" spans="1:13" ht="15" customHeight="1" outlineLevel="1" x14ac:dyDescent="0.3">
      <c r="A71" s="19" t="s">
        <v>97</v>
      </c>
      <c r="B71" s="15" t="s">
        <v>107</v>
      </c>
      <c r="C71" s="10">
        <v>0</v>
      </c>
      <c r="D71" s="10">
        <v>28</v>
      </c>
      <c r="E71" s="10">
        <v>200.81</v>
      </c>
      <c r="F71" s="10">
        <v>193.7</v>
      </c>
      <c r="G71" s="10"/>
      <c r="H71" s="10"/>
      <c r="I71" s="10"/>
      <c r="J71" s="10">
        <v>768</v>
      </c>
      <c r="K71" s="10"/>
      <c r="L71" s="10">
        <v>0</v>
      </c>
      <c r="M71" s="10"/>
    </row>
    <row r="72" spans="1:13" ht="15" customHeight="1" outlineLevel="1" x14ac:dyDescent="0.3">
      <c r="A72" s="19" t="s">
        <v>97</v>
      </c>
      <c r="B72" s="15" t="s">
        <v>118</v>
      </c>
      <c r="C72" s="10">
        <v>0</v>
      </c>
      <c r="D72" s="10">
        <v>44</v>
      </c>
      <c r="E72" s="10">
        <v>319.82</v>
      </c>
      <c r="F72" s="10">
        <v>393.94</v>
      </c>
      <c r="G72" s="10"/>
      <c r="H72" s="10"/>
      <c r="I72" s="10"/>
      <c r="J72" s="10">
        <v>712</v>
      </c>
      <c r="K72" s="10"/>
      <c r="L72" s="10">
        <v>48</v>
      </c>
      <c r="M72" s="10"/>
    </row>
    <row r="73" spans="1:13" ht="15" customHeight="1" outlineLevel="1" x14ac:dyDescent="0.3">
      <c r="A73" s="19" t="s">
        <v>97</v>
      </c>
      <c r="B73" s="15" t="s">
        <v>119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spans="1:13" ht="15" customHeight="1" outlineLevel="1" x14ac:dyDescent="0.3">
      <c r="A74" s="19" t="s">
        <v>97</v>
      </c>
      <c r="B74" s="15" t="s">
        <v>120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spans="1:13" ht="15" customHeight="1" outlineLevel="1" x14ac:dyDescent="0.3">
      <c r="A75" s="19" t="s">
        <v>97</v>
      </c>
      <c r="B75" s="15" t="s">
        <v>121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</row>
    <row r="76" spans="1:13" ht="15" customHeight="1" outlineLevel="1" x14ac:dyDescent="0.3">
      <c r="A76" s="19" t="s">
        <v>97</v>
      </c>
      <c r="B76" s="15" t="s">
        <v>122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spans="1:13" ht="15" customHeight="1" outlineLevel="1" x14ac:dyDescent="0.3">
      <c r="A77" s="19" t="s">
        <v>97</v>
      </c>
      <c r="B77" s="15" t="s">
        <v>123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spans="1:13" ht="15" customHeight="1" x14ac:dyDescent="0.3">
      <c r="A78" s="19" t="s">
        <v>98</v>
      </c>
      <c r="B78" s="20" t="s">
        <v>113</v>
      </c>
      <c r="C78" s="21">
        <v>0</v>
      </c>
      <c r="D78" s="21">
        <v>0</v>
      </c>
      <c r="E78" s="21">
        <v>0</v>
      </c>
      <c r="F78" s="21"/>
      <c r="G78" s="21"/>
      <c r="H78" s="21"/>
      <c r="I78" s="21">
        <v>5997</v>
      </c>
      <c r="J78" s="21"/>
      <c r="K78" s="21"/>
      <c r="L78" s="21">
        <v>0</v>
      </c>
      <c r="M78" s="21"/>
    </row>
    <row r="79" spans="1:13" ht="15" customHeight="1" outlineLevel="1" x14ac:dyDescent="0.3">
      <c r="A79" s="19" t="s">
        <v>98</v>
      </c>
      <c r="B79" s="15" t="s">
        <v>114</v>
      </c>
      <c r="C79" s="10">
        <v>0</v>
      </c>
      <c r="D79" s="10">
        <v>0</v>
      </c>
      <c r="E79" s="10">
        <v>0</v>
      </c>
      <c r="F79" s="10">
        <v>0</v>
      </c>
      <c r="G79" s="10"/>
      <c r="H79" s="10"/>
      <c r="I79" s="10">
        <v>6352</v>
      </c>
      <c r="J79" s="10"/>
      <c r="K79" s="10"/>
      <c r="L79" s="10">
        <v>0</v>
      </c>
      <c r="M79" s="10"/>
    </row>
    <row r="80" spans="1:13" ht="15" customHeight="1" outlineLevel="1" x14ac:dyDescent="0.3">
      <c r="A80" s="19" t="s">
        <v>98</v>
      </c>
      <c r="B80" s="15" t="s">
        <v>115</v>
      </c>
      <c r="C80" s="10">
        <v>14</v>
      </c>
      <c r="D80" s="10">
        <v>0</v>
      </c>
      <c r="E80" s="10">
        <v>3.29</v>
      </c>
      <c r="F80" s="10">
        <v>0</v>
      </c>
      <c r="G80" s="10"/>
      <c r="H80" s="10"/>
      <c r="I80" s="10">
        <v>7000</v>
      </c>
      <c r="J80" s="10"/>
      <c r="K80" s="10"/>
      <c r="L80" s="10">
        <v>0</v>
      </c>
      <c r="M80" s="10"/>
    </row>
    <row r="81" spans="1:13" ht="15" customHeight="1" outlineLevel="1" x14ac:dyDescent="0.3">
      <c r="A81" s="19" t="s">
        <v>98</v>
      </c>
      <c r="B81" s="15" t="s">
        <v>116</v>
      </c>
      <c r="C81" s="10">
        <v>0</v>
      </c>
      <c r="D81" s="10">
        <v>0</v>
      </c>
      <c r="E81" s="10">
        <v>33.75</v>
      </c>
      <c r="F81" s="10"/>
      <c r="G81" s="10"/>
      <c r="H81" s="10"/>
      <c r="I81" s="10">
        <v>7254</v>
      </c>
      <c r="J81" s="10"/>
      <c r="K81" s="10"/>
      <c r="L81" s="10">
        <v>0</v>
      </c>
      <c r="M81" s="10">
        <v>14</v>
      </c>
    </row>
    <row r="82" spans="1:13" ht="15" customHeight="1" outlineLevel="1" x14ac:dyDescent="0.3">
      <c r="A82" s="19" t="s">
        <v>98</v>
      </c>
      <c r="B82" s="15" t="s">
        <v>117</v>
      </c>
      <c r="C82" s="10">
        <v>0</v>
      </c>
      <c r="D82" s="10">
        <v>14</v>
      </c>
      <c r="E82" s="10">
        <v>35.32</v>
      </c>
      <c r="F82" s="10">
        <v>141.94999999999999</v>
      </c>
      <c r="G82" s="10"/>
      <c r="H82" s="10"/>
      <c r="I82" s="10">
        <v>6796</v>
      </c>
      <c r="J82" s="10">
        <v>514</v>
      </c>
      <c r="K82" s="10"/>
      <c r="L82" s="10">
        <v>14</v>
      </c>
      <c r="M82" s="10"/>
    </row>
    <row r="83" spans="1:13" ht="15" customHeight="1" outlineLevel="1" x14ac:dyDescent="0.3">
      <c r="A83" s="19" t="s">
        <v>98</v>
      </c>
      <c r="B83" s="15" t="s">
        <v>107</v>
      </c>
      <c r="C83" s="10">
        <v>0</v>
      </c>
      <c r="D83" s="10">
        <v>0</v>
      </c>
      <c r="E83" s="10">
        <v>0</v>
      </c>
      <c r="F83" s="10">
        <v>0</v>
      </c>
      <c r="G83" s="10"/>
      <c r="H83" s="10"/>
      <c r="I83" s="10">
        <v>6531</v>
      </c>
      <c r="J83" s="10"/>
      <c r="K83" s="10"/>
      <c r="L83" s="10">
        <v>19</v>
      </c>
      <c r="M83" s="10"/>
    </row>
    <row r="84" spans="1:13" ht="15" customHeight="1" outlineLevel="1" x14ac:dyDescent="0.3">
      <c r="A84" s="19" t="s">
        <v>98</v>
      </c>
      <c r="B84" s="15" t="s">
        <v>118</v>
      </c>
      <c r="C84" s="10">
        <v>0</v>
      </c>
      <c r="D84" s="10">
        <v>0</v>
      </c>
      <c r="E84" s="10">
        <v>0</v>
      </c>
      <c r="F84" s="10">
        <v>0</v>
      </c>
      <c r="G84" s="10"/>
      <c r="H84" s="10"/>
      <c r="I84" s="10">
        <v>7343</v>
      </c>
      <c r="J84" s="10"/>
      <c r="K84" s="10"/>
      <c r="L84" s="10">
        <v>0</v>
      </c>
      <c r="M84" s="10"/>
    </row>
    <row r="85" spans="1:13" ht="15" customHeight="1" outlineLevel="1" x14ac:dyDescent="0.3">
      <c r="A85" s="19" t="s">
        <v>98</v>
      </c>
      <c r="B85" s="15" t="s">
        <v>119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spans="1:13" ht="15" customHeight="1" outlineLevel="1" x14ac:dyDescent="0.3">
      <c r="A86" s="19" t="s">
        <v>98</v>
      </c>
      <c r="B86" s="15" t="s">
        <v>120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 spans="1:13" ht="15" customHeight="1" outlineLevel="1" x14ac:dyDescent="0.3">
      <c r="A87" s="19" t="s">
        <v>98</v>
      </c>
      <c r="B87" s="15" t="s">
        <v>121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spans="1:13" ht="15" customHeight="1" outlineLevel="1" x14ac:dyDescent="0.3">
      <c r="A88" s="19" t="s">
        <v>98</v>
      </c>
      <c r="B88" s="15" t="s">
        <v>122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spans="1:13" ht="15" customHeight="1" outlineLevel="1" x14ac:dyDescent="0.3">
      <c r="A89" s="19" t="s">
        <v>98</v>
      </c>
      <c r="B89" s="15" t="s">
        <v>123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spans="1:13" ht="15" customHeight="1" x14ac:dyDescent="0.3">
      <c r="A90" s="19" t="s">
        <v>99</v>
      </c>
      <c r="B90" s="20" t="s">
        <v>113</v>
      </c>
      <c r="C90" s="21">
        <v>40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 spans="1:13" ht="15" customHeight="1" outlineLevel="1" x14ac:dyDescent="0.3">
      <c r="A91" s="19" t="s">
        <v>99</v>
      </c>
      <c r="B91" s="15" t="s">
        <v>114</v>
      </c>
      <c r="C91" s="10">
        <v>40</v>
      </c>
      <c r="D91" s="10">
        <v>0</v>
      </c>
      <c r="E91" s="10"/>
      <c r="F91" s="10"/>
      <c r="G91" s="10"/>
      <c r="H91" s="10"/>
      <c r="I91" s="10"/>
      <c r="J91" s="10"/>
      <c r="K91" s="10"/>
      <c r="L91" s="10"/>
      <c r="M91" s="10"/>
    </row>
    <row r="92" spans="1:13" ht="15" customHeight="1" outlineLevel="1" x14ac:dyDescent="0.3">
      <c r="A92" s="19" t="s">
        <v>99</v>
      </c>
      <c r="B92" s="15" t="s">
        <v>115</v>
      </c>
      <c r="C92" s="10">
        <v>40</v>
      </c>
      <c r="D92" s="10">
        <v>0</v>
      </c>
      <c r="E92" s="10"/>
      <c r="F92" s="10"/>
      <c r="G92" s="10"/>
      <c r="H92" s="10"/>
      <c r="I92" s="10"/>
      <c r="J92" s="10"/>
      <c r="K92" s="10"/>
      <c r="L92" s="10"/>
      <c r="M92" s="10"/>
    </row>
    <row r="93" spans="1:13" ht="15" customHeight="1" outlineLevel="1" x14ac:dyDescent="0.3">
      <c r="A93" s="19" t="s">
        <v>99</v>
      </c>
      <c r="B93" s="15" t="s">
        <v>116</v>
      </c>
      <c r="C93" s="10">
        <v>40</v>
      </c>
      <c r="D93" s="10">
        <v>14</v>
      </c>
      <c r="E93" s="10">
        <v>16.71</v>
      </c>
      <c r="F93" s="10">
        <v>145.47</v>
      </c>
      <c r="G93" s="10"/>
      <c r="H93" s="10"/>
      <c r="I93" s="10"/>
      <c r="J93" s="10">
        <v>155</v>
      </c>
      <c r="K93" s="10"/>
      <c r="L93" s="10"/>
      <c r="M93" s="10"/>
    </row>
    <row r="94" spans="1:13" ht="15" customHeight="1" outlineLevel="1" x14ac:dyDescent="0.3">
      <c r="A94" s="19" t="s">
        <v>99</v>
      </c>
      <c r="B94" s="15" t="s">
        <v>117</v>
      </c>
      <c r="C94" s="10"/>
      <c r="D94" s="10">
        <v>16</v>
      </c>
      <c r="E94" s="10">
        <v>101.27</v>
      </c>
      <c r="F94" s="10">
        <v>164.99</v>
      </c>
      <c r="G94" s="10"/>
      <c r="H94" s="10"/>
      <c r="I94" s="10"/>
      <c r="J94" s="10">
        <v>128</v>
      </c>
      <c r="K94" s="10"/>
      <c r="L94" s="10"/>
      <c r="M94" s="10"/>
    </row>
    <row r="95" spans="1:13" ht="15" customHeight="1" outlineLevel="1" x14ac:dyDescent="0.3">
      <c r="A95" s="19" t="s">
        <v>99</v>
      </c>
      <c r="B95" s="15" t="s">
        <v>107</v>
      </c>
      <c r="C95" s="10"/>
      <c r="D95" s="10">
        <v>0</v>
      </c>
      <c r="E95" s="10">
        <v>0</v>
      </c>
      <c r="F95" s="10"/>
      <c r="G95" s="10"/>
      <c r="H95" s="10"/>
      <c r="I95" s="10"/>
      <c r="J95" s="10"/>
      <c r="K95" s="10"/>
      <c r="L95" s="10"/>
      <c r="M95" s="10"/>
    </row>
    <row r="96" spans="1:13" ht="15" customHeight="1" outlineLevel="1" x14ac:dyDescent="0.3">
      <c r="A96" s="19" t="s">
        <v>99</v>
      </c>
      <c r="B96" s="15" t="s">
        <v>118</v>
      </c>
      <c r="C96" s="10"/>
      <c r="D96" s="10">
        <v>0</v>
      </c>
      <c r="E96" s="10">
        <v>0</v>
      </c>
      <c r="F96" s="10"/>
      <c r="G96" s="10"/>
      <c r="H96" s="10"/>
      <c r="I96" s="10"/>
      <c r="J96" s="10"/>
      <c r="K96" s="10"/>
      <c r="L96" s="10"/>
      <c r="M96" s="10"/>
    </row>
    <row r="97" spans="1:13" ht="15" customHeight="1" outlineLevel="1" x14ac:dyDescent="0.3">
      <c r="A97" s="19" t="s">
        <v>99</v>
      </c>
      <c r="B97" s="15" t="s">
        <v>119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spans="1:13" ht="15" customHeight="1" outlineLevel="1" x14ac:dyDescent="0.3">
      <c r="A98" s="19" t="s">
        <v>99</v>
      </c>
      <c r="B98" s="15" t="s">
        <v>120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spans="1:13" ht="15" customHeight="1" outlineLevel="1" x14ac:dyDescent="0.3">
      <c r="A99" s="19" t="s">
        <v>99</v>
      </c>
      <c r="B99" s="15" t="s">
        <v>121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 spans="1:13" ht="15" customHeight="1" outlineLevel="1" x14ac:dyDescent="0.3">
      <c r="A100" s="19" t="s">
        <v>99</v>
      </c>
      <c r="B100" s="15" t="s">
        <v>122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 spans="1:13" ht="15" customHeight="1" outlineLevel="1" x14ac:dyDescent="0.3">
      <c r="A101" s="19" t="s">
        <v>99</v>
      </c>
      <c r="B101" s="15" t="s">
        <v>123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</row>
  </sheetData>
  <mergeCells count="3">
    <mergeCell ref="A1:D1"/>
    <mergeCell ref="A3:D3"/>
    <mergeCell ref="A2:D2"/>
  </mergeCells>
  <phoneticPr fontId="10" type="noConversion"/>
  <pageMargins left="0.75" right="0.75" top="1" bottom="1" header="0.511811023622047" footer="0.511811023622047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Pick a site from the Project Overview list, or add the new site there first." prompt="Select the site this row's monthly figures belong to." xr:uid="{00000000-0002-0000-0200-000000000000}">
          <x14:formula1>
            <xm:f>'Project Overview'!$A$5:$A$18</xm:f>
          </x14:formula1>
          <x14:formula2>
            <xm:f>0</xm:f>
          </x14:formula2>
          <xm:sqref>A6:A101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zoomScaleNormal="100" workbookViewId="0">
      <pane ySplit="4" topLeftCell="A5" activePane="bottomLeft" state="frozen"/>
      <selection pane="bottomLeft" activeCell="C14" sqref="C14:C16"/>
    </sheetView>
  </sheetViews>
  <sheetFormatPr defaultColWidth="8.6640625" defaultRowHeight="14.4" x14ac:dyDescent="0.3"/>
  <cols>
    <col min="1" max="1" width="24" customWidth="1"/>
    <col min="2" max="2" width="8" customWidth="1"/>
    <col min="3" max="3" width="13" customWidth="1"/>
    <col min="4" max="5" width="16" customWidth="1"/>
    <col min="6" max="6" width="11" customWidth="1"/>
    <col min="7" max="7" width="9" customWidth="1"/>
  </cols>
  <sheetData>
    <row r="1" spans="1:7" ht="17.25" customHeight="1" x14ac:dyDescent="0.3">
      <c r="A1" s="30" t="s">
        <v>108</v>
      </c>
      <c r="B1" s="29"/>
      <c r="C1" s="29"/>
      <c r="D1" s="29"/>
      <c r="E1" s="29"/>
      <c r="F1" s="29"/>
    </row>
    <row r="2" spans="1:7" ht="15" customHeight="1" x14ac:dyDescent="0.3">
      <c r="A2" s="28" t="s">
        <v>109</v>
      </c>
      <c r="B2" s="29"/>
      <c r="C2" s="29"/>
      <c r="D2" s="29"/>
      <c r="E2" s="29"/>
      <c r="F2" s="29"/>
    </row>
    <row r="4" spans="1:7" ht="27.75" customHeight="1" x14ac:dyDescent="0.3">
      <c r="A4" s="4" t="s">
        <v>72</v>
      </c>
      <c r="B4" s="4" t="s">
        <v>110</v>
      </c>
      <c r="C4" s="4" t="s">
        <v>77</v>
      </c>
      <c r="D4" s="4" t="s">
        <v>104</v>
      </c>
      <c r="E4" s="4" t="s">
        <v>111</v>
      </c>
      <c r="F4" s="4" t="s">
        <v>105</v>
      </c>
      <c r="G4" s="4" t="s">
        <v>80</v>
      </c>
    </row>
    <row r="5" spans="1:7" ht="15" customHeight="1" x14ac:dyDescent="0.3">
      <c r="A5" s="11" t="s">
        <v>92</v>
      </c>
      <c r="B5" s="11">
        <v>2021</v>
      </c>
      <c r="C5" s="10">
        <v>104</v>
      </c>
      <c r="D5" s="10"/>
      <c r="E5" s="10">
        <v>104</v>
      </c>
      <c r="F5" s="10"/>
      <c r="G5" s="10">
        <v>42</v>
      </c>
    </row>
    <row r="6" spans="1:7" ht="15" customHeight="1" x14ac:dyDescent="0.3">
      <c r="A6" s="11" t="s">
        <v>92</v>
      </c>
      <c r="B6" s="11">
        <v>2022</v>
      </c>
      <c r="C6" s="10">
        <v>585</v>
      </c>
      <c r="D6" s="10"/>
      <c r="E6" s="10">
        <v>585</v>
      </c>
      <c r="F6" s="10"/>
      <c r="G6" s="10">
        <v>637</v>
      </c>
    </row>
    <row r="7" spans="1:7" ht="15" customHeight="1" x14ac:dyDescent="0.3">
      <c r="A7" s="11" t="s">
        <v>92</v>
      </c>
      <c r="B7" s="11">
        <v>2023</v>
      </c>
      <c r="C7" s="10">
        <v>291</v>
      </c>
      <c r="D7" s="10"/>
      <c r="E7" s="10">
        <v>291</v>
      </c>
      <c r="F7" s="10"/>
      <c r="G7" s="10">
        <v>224</v>
      </c>
    </row>
    <row r="8" spans="1:7" ht="15" customHeight="1" x14ac:dyDescent="0.3">
      <c r="A8" s="11" t="s">
        <v>92</v>
      </c>
      <c r="B8" s="11">
        <v>2024</v>
      </c>
      <c r="C8" s="10">
        <v>296</v>
      </c>
      <c r="D8" s="10"/>
      <c r="E8" s="10">
        <v>296</v>
      </c>
      <c r="F8" s="10"/>
      <c r="G8" s="10">
        <v>353</v>
      </c>
    </row>
    <row r="9" spans="1:7" ht="15" customHeight="1" x14ac:dyDescent="0.3">
      <c r="A9" s="11" t="s">
        <v>92</v>
      </c>
      <c r="B9" s="11">
        <v>2025</v>
      </c>
      <c r="C9" s="10">
        <v>450</v>
      </c>
      <c r="D9" s="10"/>
      <c r="E9" s="10">
        <v>308</v>
      </c>
      <c r="F9" s="10"/>
      <c r="G9" s="10">
        <v>56</v>
      </c>
    </row>
    <row r="10" spans="1:7" ht="15" customHeight="1" x14ac:dyDescent="0.3">
      <c r="A10" s="11" t="s">
        <v>93</v>
      </c>
      <c r="B10" s="11">
        <v>2025</v>
      </c>
      <c r="C10" s="10">
        <v>356</v>
      </c>
      <c r="D10" s="10"/>
      <c r="E10" s="10">
        <v>68</v>
      </c>
      <c r="F10" s="10"/>
      <c r="G10" s="10">
        <v>10</v>
      </c>
    </row>
    <row r="11" spans="1:7" ht="15" customHeight="1" x14ac:dyDescent="0.3">
      <c r="A11" s="11" t="s">
        <v>94</v>
      </c>
      <c r="B11" s="11">
        <v>2023</v>
      </c>
      <c r="C11" s="10">
        <v>469</v>
      </c>
      <c r="D11" s="10"/>
      <c r="E11" s="10">
        <v>121</v>
      </c>
      <c r="F11" s="10"/>
      <c r="G11" s="10">
        <v>74</v>
      </c>
    </row>
    <row r="12" spans="1:7" ht="15" customHeight="1" x14ac:dyDescent="0.3">
      <c r="A12" s="11" t="s">
        <v>94</v>
      </c>
      <c r="B12" s="11">
        <v>2024</v>
      </c>
      <c r="C12" s="10">
        <v>356</v>
      </c>
      <c r="D12" s="10"/>
      <c r="E12" s="10">
        <v>596</v>
      </c>
      <c r="F12" s="10"/>
      <c r="G12" s="10">
        <v>572</v>
      </c>
    </row>
    <row r="13" spans="1:7" ht="15" customHeight="1" x14ac:dyDescent="0.3">
      <c r="A13" s="11" t="s">
        <v>94</v>
      </c>
      <c r="B13" s="11">
        <v>2025</v>
      </c>
      <c r="C13" s="10">
        <v>415</v>
      </c>
      <c r="D13" s="10"/>
      <c r="E13" s="10">
        <v>315</v>
      </c>
      <c r="F13" s="10"/>
      <c r="G13" s="10">
        <v>173</v>
      </c>
    </row>
    <row r="14" spans="1:7" ht="15" customHeight="1" x14ac:dyDescent="0.3">
      <c r="A14" s="11" t="s">
        <v>95</v>
      </c>
      <c r="B14" s="11">
        <v>2023</v>
      </c>
      <c r="C14" s="10">
        <v>117</v>
      </c>
      <c r="D14" s="10"/>
      <c r="E14" s="10">
        <v>0</v>
      </c>
      <c r="F14" s="10"/>
      <c r="G14" s="10">
        <v>0</v>
      </c>
    </row>
    <row r="15" spans="1:7" ht="15" customHeight="1" x14ac:dyDescent="0.3">
      <c r="A15" s="11" t="s">
        <v>95</v>
      </c>
      <c r="B15" s="11">
        <v>2024</v>
      </c>
      <c r="C15" s="10">
        <v>304</v>
      </c>
      <c r="D15" s="10"/>
      <c r="E15" s="10">
        <v>276</v>
      </c>
      <c r="F15" s="10"/>
      <c r="G15" s="10">
        <v>186</v>
      </c>
    </row>
    <row r="16" spans="1:7" ht="15" customHeight="1" x14ac:dyDescent="0.3">
      <c r="A16" s="11" t="s">
        <v>95</v>
      </c>
      <c r="B16" s="11">
        <v>2025</v>
      </c>
      <c r="C16" s="10">
        <v>469</v>
      </c>
      <c r="D16" s="10"/>
      <c r="E16" s="10">
        <v>306</v>
      </c>
      <c r="F16" s="10"/>
      <c r="G16" s="10">
        <v>254</v>
      </c>
    </row>
    <row r="17" spans="1:7" ht="15" customHeight="1" x14ac:dyDescent="0.3">
      <c r="A17" s="11" t="s">
        <v>96</v>
      </c>
      <c r="B17" s="11">
        <v>2025</v>
      </c>
      <c r="C17" s="10">
        <v>554</v>
      </c>
      <c r="D17" s="10"/>
      <c r="E17" s="10">
        <v>230</v>
      </c>
      <c r="F17" s="10"/>
      <c r="G17" s="10">
        <v>128</v>
      </c>
    </row>
    <row r="18" spans="1:7" ht="15" customHeight="1" x14ac:dyDescent="0.3">
      <c r="A18" s="11" t="s">
        <v>97</v>
      </c>
      <c r="B18" s="11">
        <v>2023</v>
      </c>
      <c r="C18" s="10">
        <v>402</v>
      </c>
      <c r="D18" s="10"/>
      <c r="E18" s="10">
        <v>86</v>
      </c>
      <c r="F18" s="10"/>
      <c r="G18" s="10">
        <v>74</v>
      </c>
    </row>
    <row r="19" spans="1:7" ht="15" customHeight="1" x14ac:dyDescent="0.3">
      <c r="A19" s="11" t="s">
        <v>97</v>
      </c>
      <c r="B19" s="11">
        <v>2024</v>
      </c>
      <c r="C19" s="10">
        <v>980</v>
      </c>
      <c r="D19" s="10"/>
      <c r="E19" s="10">
        <v>784</v>
      </c>
      <c r="F19" s="10"/>
      <c r="G19" s="10">
        <v>612</v>
      </c>
    </row>
    <row r="20" spans="1:7" ht="15" customHeight="1" x14ac:dyDescent="0.3">
      <c r="A20" s="11" t="s">
        <v>97</v>
      </c>
      <c r="B20" s="11">
        <v>2025</v>
      </c>
      <c r="C20" s="10">
        <v>608</v>
      </c>
      <c r="D20" s="10"/>
      <c r="E20" s="10">
        <v>870</v>
      </c>
      <c r="F20" s="10"/>
      <c r="G20" s="10">
        <v>934</v>
      </c>
    </row>
    <row r="21" spans="1:7" ht="15" customHeight="1" x14ac:dyDescent="0.3">
      <c r="A21" s="11" t="s">
        <v>98</v>
      </c>
      <c r="B21" s="11">
        <v>2023</v>
      </c>
      <c r="C21" s="10">
        <v>446</v>
      </c>
      <c r="D21" s="10"/>
      <c r="E21" s="10">
        <v>286</v>
      </c>
      <c r="F21" s="10"/>
      <c r="G21" s="10">
        <v>272</v>
      </c>
    </row>
    <row r="22" spans="1:7" ht="15" customHeight="1" x14ac:dyDescent="0.3">
      <c r="A22" s="11" t="s">
        <v>98</v>
      </c>
      <c r="B22" s="11">
        <v>2024</v>
      </c>
      <c r="C22" s="10">
        <v>800</v>
      </c>
      <c r="D22" s="10"/>
      <c r="E22" s="10">
        <v>566</v>
      </c>
      <c r="F22" s="10"/>
      <c r="G22" s="10">
        <v>548</v>
      </c>
    </row>
    <row r="23" spans="1:7" ht="15" customHeight="1" x14ac:dyDescent="0.3">
      <c r="A23" s="11" t="s">
        <v>98</v>
      </c>
      <c r="B23" s="11">
        <v>2025</v>
      </c>
      <c r="C23" s="10">
        <v>190</v>
      </c>
      <c r="D23" s="10"/>
      <c r="E23" s="10">
        <v>408</v>
      </c>
      <c r="F23" s="10"/>
      <c r="G23" s="10">
        <v>387</v>
      </c>
    </row>
    <row r="24" spans="1:7" x14ac:dyDescent="0.3">
      <c r="A24" s="5" t="s">
        <v>99</v>
      </c>
      <c r="B24" s="22">
        <v>2025</v>
      </c>
      <c r="C24" s="23">
        <v>24</v>
      </c>
      <c r="D24" s="10"/>
      <c r="E24" s="10"/>
      <c r="F24" s="10"/>
      <c r="G24" s="10"/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Project Overview</vt:lpstr>
      <vt:lpstr>Monthly History</vt:lpstr>
      <vt:lpstr>Annual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Tandoc, Leandro</cp:lastModifiedBy>
  <cp:revision>0</cp:revision>
  <dcterms:created xsi:type="dcterms:W3CDTF">2026-07-20T09:04:27Z</dcterms:created>
  <dcterms:modified xsi:type="dcterms:W3CDTF">2026-08-04T08:21:39Z</dcterms:modified>
  <dc:language>en-US</dc:language>
</cp:coreProperties>
</file>